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" sheetId="1" r:id="rId4"/>
    <sheet state="visible" name="JAMILA" sheetId="2" r:id="rId5"/>
    <sheet state="visible" name="KOLM" sheetId="3" r:id="rId6"/>
    <sheet state="visible" name="Nov-25" sheetId="4" r:id="rId7"/>
    <sheet state="visible" name="Oct-25" sheetId="5" r:id="rId8"/>
    <sheet state="visible" name="Sep-25" sheetId="6" r:id="rId9"/>
    <sheet state="visible" name="Ago-25" sheetId="7" r:id="rId10"/>
    <sheet state="visible" name="Jul-25" sheetId="8" r:id="rId11"/>
    <sheet state="visible" name="Jun-25" sheetId="9" r:id="rId12"/>
    <sheet state="visible" name="May-25" sheetId="10" r:id="rId13"/>
    <sheet state="visible" name="Abr-25" sheetId="11" r:id="rId14"/>
    <sheet state="visible" name="Mar-25" sheetId="12" r:id="rId15"/>
    <sheet state="visible" name="Feb-25" sheetId="13" r:id="rId16"/>
    <sheet state="visible" name="Ene-25" sheetId="14" r:id="rId17"/>
    <sheet state="visible" name="Dic-24" sheetId="15" r:id="rId18"/>
    <sheet state="visible" name="Nov-24" sheetId="16" r:id="rId19"/>
    <sheet state="visible" name="Oct-24" sheetId="17" r:id="rId20"/>
    <sheet state="visible" name="Sep-24" sheetId="18" r:id="rId21"/>
    <sheet state="visible" name="Ago-24" sheetId="19" r:id="rId22"/>
    <sheet state="visible" name="Jul-24" sheetId="20" r:id="rId23"/>
    <sheet state="visible" name="Jun-24" sheetId="21" r:id="rId24"/>
    <sheet state="visible" name="May-24" sheetId="22" r:id="rId25"/>
    <sheet state="visible" name="Abr-24" sheetId="23" r:id="rId26"/>
    <sheet state="visible" name="Mar-24" sheetId="24" r:id="rId27"/>
    <sheet state="visible" name="Feb-24" sheetId="25" r:id="rId28"/>
    <sheet state="visible" name="Ene-24" sheetId="26" r:id="rId29"/>
    <sheet state="visible" name="Dic-23" sheetId="27" r:id="rId30"/>
    <sheet state="visible" name="Nov-23" sheetId="28" r:id="rId31"/>
    <sheet state="visible" name="Oct-23" sheetId="29" r:id="rId32"/>
    <sheet state="visible" name="Sep-23" sheetId="30" r:id="rId33"/>
    <sheet state="visible" name="Compras" sheetId="31" r:id="rId34"/>
    <sheet state="visible" name="Axel" sheetId="32" r:id="rId35"/>
  </sheets>
  <definedNames>
    <definedName hidden="1" localSheetId="0" name="_xlnm._FilterDatabase">Precios!$A$1:$E$2659</definedName>
  </definedNames>
  <calcPr/>
</workbook>
</file>

<file path=xl/sharedStrings.xml><?xml version="1.0" encoding="utf-8"?>
<sst xmlns="http://schemas.openxmlformats.org/spreadsheetml/2006/main" count="6602" uniqueCount="3413">
  <si>
    <t>Articulo</t>
  </si>
  <si>
    <t>Compra</t>
  </si>
  <si>
    <t>Venta</t>
  </si>
  <si>
    <t>Disponibilidad</t>
  </si>
  <si>
    <t>Categoria</t>
  </si>
  <si>
    <t>monturin</t>
  </si>
  <si>
    <t>Linternas</t>
  </si>
  <si>
    <t>linterna luz roja con monturin</t>
  </si>
  <si>
    <t>linterna p70</t>
  </si>
  <si>
    <t>linterna p90</t>
  </si>
  <si>
    <t>linterna verde militar 1</t>
  </si>
  <si>
    <t>linterna verde militar 2</t>
  </si>
  <si>
    <t>linterna grande caja negra (ex caja verde)</t>
  </si>
  <si>
    <t>linterna mediana diseño militar</t>
  </si>
  <si>
    <t>linterna varilla</t>
  </si>
  <si>
    <t>linterna negra</t>
  </si>
  <si>
    <t>linterna negra digital</t>
  </si>
  <si>
    <t>linterna negra-gris XA-B702</t>
  </si>
  <si>
    <t>linterna llavero cob iman</t>
  </si>
  <si>
    <t>linterna llavero encendedor w5144</t>
  </si>
  <si>
    <t>linterna llavero travel con pilas AAA</t>
  </si>
  <si>
    <t>linterna de cabeza Tasbel Don Remate</t>
  </si>
  <si>
    <t xml:space="preserve">linterna de cabeza </t>
  </si>
  <si>
    <t>linterna de cabeza Rojo</t>
  </si>
  <si>
    <t>linterna minero de cabeza 80 watt bateria externa</t>
  </si>
  <si>
    <t>foco caza 1000 watt luz roja</t>
  </si>
  <si>
    <t>linterna mica 3 colores chica T-78 Rincon Solar</t>
  </si>
  <si>
    <t>linterna mica 3 colores grande B-5112 Kolm</t>
  </si>
  <si>
    <t>linterna mica 3 colores B-5113 Javier Farias</t>
  </si>
  <si>
    <t xml:space="preserve">linterna luz trasera strong </t>
  </si>
  <si>
    <t xml:space="preserve">linterna chica de mano recargable </t>
  </si>
  <si>
    <t>linterna chica de mano recargable militar</t>
  </si>
  <si>
    <t>linterna chica de mano tactica recargable Naipa (negra)</t>
  </si>
  <si>
    <t>linterna chica de mano tactica recargable (negra) Tasbel Don Remate</t>
  </si>
  <si>
    <t>linterna solar y recargable HS-8033A camping</t>
  </si>
  <si>
    <t>linterna mediana PM10-TG Comerc. Oriente</t>
  </si>
  <si>
    <t>linterna mediana caja verde Naipa</t>
  </si>
  <si>
    <t>foco simple Y7581 luz separada</t>
  </si>
  <si>
    <t>Focos solares</t>
  </si>
  <si>
    <t>foco doble luz separada</t>
  </si>
  <si>
    <t>foco brazo doble 100 watt 200 Led KXK-988 (orejas)</t>
  </si>
  <si>
    <t>foco 200w amarillo</t>
  </si>
  <si>
    <t>foco 200w amarillo 160 Led 8 placas</t>
  </si>
  <si>
    <t>foco 300w amarillo 240 Led 12 placas</t>
  </si>
  <si>
    <t>foco poste 200w  144 Led</t>
  </si>
  <si>
    <t>foco poste 300w  180 Led</t>
  </si>
  <si>
    <t>foco poste 400w  216 Led</t>
  </si>
  <si>
    <t>foco poste 450w</t>
  </si>
  <si>
    <t>foco poste 600w</t>
  </si>
  <si>
    <t>foco poste 1000w 420 Led Kolm</t>
  </si>
  <si>
    <t>foco poste 1200w 1200 Led</t>
  </si>
  <si>
    <t>foco poste 2500w 598 Led</t>
  </si>
  <si>
    <t>foco para terraza GD07A con 2 extras</t>
  </si>
  <si>
    <t>foco camara 2178T</t>
  </si>
  <si>
    <t>foco camara CL-63B</t>
  </si>
  <si>
    <t>foco camara TS-63B</t>
  </si>
  <si>
    <t xml:space="preserve">foco camara antena </t>
  </si>
  <si>
    <t>foco redondo 170 SMD</t>
  </si>
  <si>
    <t>foco forma casa CL S180</t>
  </si>
  <si>
    <t>foco panel separado Split solar 30 watt</t>
  </si>
  <si>
    <t>foco panel separado grande 60 watt</t>
  </si>
  <si>
    <t>foco panel separado 100 watt</t>
  </si>
  <si>
    <t>foco panel separado 100 watt Kolm</t>
  </si>
  <si>
    <t>foco panel separado 100 watt indicador de carga</t>
  </si>
  <si>
    <t>foco panel separado 1,000 watt calipso  Naipa</t>
  </si>
  <si>
    <t>foco panel separado-incluido 600 watt Tasbel Naipa</t>
  </si>
  <si>
    <t>foco power band pequeño linterna y foco luz blanca cuadrado Naipa</t>
  </si>
  <si>
    <t>foco power band 200 watt amarillo</t>
  </si>
  <si>
    <t>foco power band 300 watt amarillo</t>
  </si>
  <si>
    <t>foco power band 500 watt amarillo Naipa</t>
  </si>
  <si>
    <t>foco power band 1000 watt amarillo Naipa</t>
  </si>
  <si>
    <t>foco solar sin control (Kries)</t>
  </si>
  <si>
    <t>foco farol solar</t>
  </si>
  <si>
    <t>foco farol solar luz blanca y llama roja</t>
  </si>
  <si>
    <t>foco solar pequeño amarillo TS-9808C Naipa</t>
  </si>
  <si>
    <t>luz grande 120 led</t>
  </si>
  <si>
    <t xml:space="preserve">luz de emergencia </t>
  </si>
  <si>
    <t>luz grande con USB solar y recargable</t>
  </si>
  <si>
    <t>luz chica LJ5930 (azul)</t>
  </si>
  <si>
    <t>luz chica solar YL 8683</t>
  </si>
  <si>
    <t>luz chica solar YL 8683 Naipa</t>
  </si>
  <si>
    <t>luz con imán recargable USB</t>
  </si>
  <si>
    <t>luz vehículo kit 60 Led con iman</t>
  </si>
  <si>
    <t xml:space="preserve">ampolletas recargable </t>
  </si>
  <si>
    <t>ampolleta solar y recargable panel separado Naipa</t>
  </si>
  <si>
    <t>ampolleta solar 28 watt panel separado</t>
  </si>
  <si>
    <t>compresor 401</t>
  </si>
  <si>
    <t>neblinero 55 cm</t>
  </si>
  <si>
    <t>foco halogeno 50 watt</t>
  </si>
  <si>
    <t>foco halogeno 400 watt Naipa</t>
  </si>
  <si>
    <t>triangulo led solar HB-7709</t>
  </si>
  <si>
    <t>kit reparacion parabrisas</t>
  </si>
  <si>
    <t xml:space="preserve">ampolleta normal led futbol </t>
  </si>
  <si>
    <t xml:space="preserve">ampolletas </t>
  </si>
  <si>
    <t>ampolleta 10w=65w luz fria</t>
  </si>
  <si>
    <t>ampolleta 9w=65w luz fria Philips</t>
  </si>
  <si>
    <t>ampolleta 9w=65w Tasbel Don Remate</t>
  </si>
  <si>
    <t>ampolleta mediana 18w=125w Tasbel Don Remate</t>
  </si>
  <si>
    <t>ampolleta gigante led 50 watt Naipa</t>
  </si>
  <si>
    <t>ampolleta gigante Ra80 led 40 watt</t>
  </si>
  <si>
    <t>ampolleta gigante 5718 led 26 watt</t>
  </si>
  <si>
    <t>ampolleta disco chica</t>
  </si>
  <si>
    <t>ampolleta disco grande</t>
  </si>
  <si>
    <t>ampolleta foco tipo disco Comerc. Oriente</t>
  </si>
  <si>
    <t>foco redondo 18w led sobrepuesto</t>
  </si>
  <si>
    <t>foco redondo 18w led sobrepuesto Comerc. Oriente</t>
  </si>
  <si>
    <t xml:space="preserve">foco chico 12w led sobrepuesto </t>
  </si>
  <si>
    <t xml:space="preserve">set 3 led con control remoto </t>
  </si>
  <si>
    <t xml:space="preserve">led magnético 6 ultra closets </t>
  </si>
  <si>
    <t>radio solar retro XB397</t>
  </si>
  <si>
    <t>audio</t>
  </si>
  <si>
    <t>radio solar retro XB398U-S Naipa</t>
  </si>
  <si>
    <t>radio solar retro Tasbel Naipa</t>
  </si>
  <si>
    <t>radio solar retro color madera Tasbel</t>
  </si>
  <si>
    <t>radio solar retro Meier MD-959S con luz y linterna Naipa</t>
  </si>
  <si>
    <t>radio solar avion Tasbel</t>
  </si>
  <si>
    <t>radio solar metralleta</t>
  </si>
  <si>
    <t>radio a pilas am-fm Steimer Panama</t>
  </si>
  <si>
    <t>radio a pilas/cte am-fm Philco (Panama)</t>
  </si>
  <si>
    <t>parlante pequeño colores con microfono</t>
  </si>
  <si>
    <t>parlante de 8"recargable 1090A/B c/microfono</t>
  </si>
  <si>
    <t>parlante de 8"recargable BT 8102 c/microfono</t>
  </si>
  <si>
    <t>parlante de 8"recargable NDR-P55 c/microfono</t>
  </si>
  <si>
    <t>parlante de 6.5" recargable 6117</t>
  </si>
  <si>
    <t>parlante con microfono aparte 4" x 2 MS-3629BT-M con luces Don Balato</t>
  </si>
  <si>
    <t>microfono SM 338</t>
  </si>
  <si>
    <t>microfono inalambrico colores Karaoke bluetooth</t>
  </si>
  <si>
    <t>parlante cilindro recargable TG285</t>
  </si>
  <si>
    <t>parlante ovalada recargable MF213</t>
  </si>
  <si>
    <t>parlante colores recargable YD88</t>
  </si>
  <si>
    <t>parlante colores mini Z5</t>
  </si>
  <si>
    <t>parlante semaforo</t>
  </si>
  <si>
    <t>parlante lampara G</t>
  </si>
  <si>
    <t>parlante ducha colores</t>
  </si>
  <si>
    <t>parlante colores XZY-3024</t>
  </si>
  <si>
    <t>parlante con luz Wireless</t>
  </si>
  <si>
    <t>parlante tipo neumatico G2389 1era compra</t>
  </si>
  <si>
    <t>parlante tipo neumatico G2389 (4 un)</t>
  </si>
  <si>
    <t>parlante tipo lata bebida con luz Naipa</t>
  </si>
  <si>
    <t>parlante transparente con luz Naipa</t>
  </si>
  <si>
    <t>parlante solar caja verde Bass Naipa</t>
  </si>
  <si>
    <t xml:space="preserve">pilas AA normal </t>
  </si>
  <si>
    <t>pilas</t>
  </si>
  <si>
    <t>pilas AAA normal</t>
  </si>
  <si>
    <t>pilas AA normal Naipa</t>
  </si>
  <si>
    <t>pilas AA normal Isben</t>
  </si>
  <si>
    <t>pila AA normal Stgo</t>
  </si>
  <si>
    <t>pilas AAA normal Naipa</t>
  </si>
  <si>
    <t>pila AAA Maxell Panama</t>
  </si>
  <si>
    <t>pilas D Panama</t>
  </si>
  <si>
    <t>pilas D Duracell BlueMix</t>
  </si>
  <si>
    <t>pilas D Duracell Stgo 1</t>
  </si>
  <si>
    <t>pilas D Duracell Stgo 2</t>
  </si>
  <si>
    <t>pilas D Duracell  Directo Chile 1</t>
  </si>
  <si>
    <t>pilas D Duracell Directo Chile 2</t>
  </si>
  <si>
    <t>pilas AA Duracell</t>
  </si>
  <si>
    <t>pilas AA Duracell BlueMix</t>
  </si>
  <si>
    <t>pilas AA Duracell BlueMix 2</t>
  </si>
  <si>
    <t>pilas AA Duracell BlueMix 3</t>
  </si>
  <si>
    <t>pilas AA Duracell Directo Chile</t>
  </si>
  <si>
    <t>pilas AA Duracell Stgo</t>
  </si>
  <si>
    <t>pilas AAA Duracell</t>
  </si>
  <si>
    <t>pilas AAA Duracell Importadora Logan</t>
  </si>
  <si>
    <t>pilas AAA Duracell BlueMix</t>
  </si>
  <si>
    <t>pilas AAA Duracell BlueMix 2</t>
  </si>
  <si>
    <t>pilas AAA Duracell Directo Chile</t>
  </si>
  <si>
    <t>pilas AAA Duracell Stgo</t>
  </si>
  <si>
    <t>baterias 9v</t>
  </si>
  <si>
    <t xml:space="preserve">pilas solar AA recargable </t>
  </si>
  <si>
    <t xml:space="preserve">pilas solar AAA recargable </t>
  </si>
  <si>
    <t xml:space="preserve">pilas 18650 recargable </t>
  </si>
  <si>
    <t>pilas 18650 recargable Kolm</t>
  </si>
  <si>
    <t>pilas 26650 recargable Stgo</t>
  </si>
  <si>
    <t>pila CR 1220</t>
  </si>
  <si>
    <t>pila CR 1616</t>
  </si>
  <si>
    <t>pila CR 2025</t>
  </si>
  <si>
    <t>pila CR 2032</t>
  </si>
  <si>
    <t>pila CR 2032 Mana Electronica</t>
  </si>
  <si>
    <t>pila CR 2016</t>
  </si>
  <si>
    <t>pila LR 44</t>
  </si>
  <si>
    <t>pila LR 1130</t>
  </si>
  <si>
    <t>pila A G3 /  LR 41w</t>
  </si>
  <si>
    <t>pila A G4 / 377A</t>
  </si>
  <si>
    <t>pila LR 621w</t>
  </si>
  <si>
    <t>pila LR 621w Kolm</t>
  </si>
  <si>
    <t>pila 27A</t>
  </si>
  <si>
    <t>pila 27A Meidi Make</t>
  </si>
  <si>
    <t>pila 23A</t>
  </si>
  <si>
    <t>pila 23A Kolm</t>
  </si>
  <si>
    <t>pilas SR 626W</t>
  </si>
  <si>
    <t xml:space="preserve">lampara diamante </t>
  </si>
  <si>
    <t xml:space="preserve">lámparas  solar y recargable </t>
  </si>
  <si>
    <t>lampara diamante touch</t>
  </si>
  <si>
    <t>lampara GLOBE</t>
  </si>
  <si>
    <t>lampara arena touch</t>
  </si>
  <si>
    <t>astronauta proyector parlante bluetooth</t>
  </si>
  <si>
    <t>lampara proyector Tralalero Ottimo</t>
  </si>
  <si>
    <t xml:space="preserve">lampara proyector  infantil </t>
  </si>
  <si>
    <t>lampara aro de luz</t>
  </si>
  <si>
    <t xml:space="preserve">lampara articular Apple </t>
  </si>
  <si>
    <t xml:space="preserve">lampara arbol libélula </t>
  </si>
  <si>
    <t xml:space="preserve">lampara arbol abeja </t>
  </si>
  <si>
    <t>lampara duendes solar</t>
  </si>
  <si>
    <t>muñeca mujer pileta solar</t>
  </si>
  <si>
    <t>lampara con clips led</t>
  </si>
  <si>
    <t>lampara escritorio ShangriLa</t>
  </si>
  <si>
    <t xml:space="preserve">soquete con interruptor </t>
  </si>
  <si>
    <t>lampara Doraemon - Hello Kitty</t>
  </si>
  <si>
    <t>lampara cristal touch forma O</t>
  </si>
  <si>
    <t>lampara cristal touch forma O (Comercializadora Oriente)</t>
  </si>
  <si>
    <t>lampara cristal con parlante</t>
  </si>
  <si>
    <t>lampara diseño bola cristal astronauta</t>
  </si>
  <si>
    <t>lampara diseño bola cristal giratoria Naipa</t>
  </si>
  <si>
    <t>lampara diseño bola cristal giratoria 6cm Ale Store JS1497/30418</t>
  </si>
  <si>
    <t>reloj pulsera digital niño</t>
  </si>
  <si>
    <t>relojeria</t>
  </si>
  <si>
    <t>reloj  Smart Watch M12</t>
  </si>
  <si>
    <t>reloj  Smart Watch LM31</t>
  </si>
  <si>
    <t>reloj  Smart Watch T500</t>
  </si>
  <si>
    <t>reloj  Smart Watch XS8 Pro Ultra</t>
  </si>
  <si>
    <t>reloj supervivencia militar Pichong</t>
  </si>
  <si>
    <t xml:space="preserve">reloj pulsera digital </t>
  </si>
  <si>
    <t>reloj de pared</t>
  </si>
  <si>
    <t>reloj de pared gemas Ragnar</t>
  </si>
  <si>
    <t>reloj digital diseño caja madera</t>
  </si>
  <si>
    <t>reloj con caja transparente Stgo</t>
  </si>
  <si>
    <t>reloj ewtto con caja</t>
  </si>
  <si>
    <t>estuche reloj - lapiz - llavero</t>
  </si>
  <si>
    <t>reloj despertador Sanrio (Hello Kitty-Sanrio-MyMelody-Cinamorrol)</t>
  </si>
  <si>
    <t>reloj despertador Hello Kitty (Stgo)</t>
  </si>
  <si>
    <t>reloj mujer con caja y pulsera Comerc. Oriente</t>
  </si>
  <si>
    <t xml:space="preserve">almohada viscoelástica </t>
  </si>
  <si>
    <t>Textil</t>
  </si>
  <si>
    <t>cobertores 2 plaza</t>
  </si>
  <si>
    <t>manta hiper termica softy Doral</t>
  </si>
  <si>
    <t xml:space="preserve">frazadas 1 1/2 plazas Campo Lindo Doral </t>
  </si>
  <si>
    <t>frazadas 2 plazas Campo Lindo Doral</t>
  </si>
  <si>
    <t>cubre colchon 2 plazas impermeable MASEL</t>
  </si>
  <si>
    <t>cubre colchon acolchado 2 plazas DORAL</t>
  </si>
  <si>
    <t>sabanas de polar 1 1/2</t>
  </si>
  <si>
    <t>sabanas de polar 2 plaza</t>
  </si>
  <si>
    <t>sabanas de polar 2 plaza Naipa</t>
  </si>
  <si>
    <t xml:space="preserve">sabanas King  Cannon </t>
  </si>
  <si>
    <t xml:space="preserve">sabanas 2 plaza Cannon </t>
  </si>
  <si>
    <t xml:space="preserve">sabanas 1 1/2 Cannon </t>
  </si>
  <si>
    <t xml:space="preserve">set toallas 2 piezas Cannon </t>
  </si>
  <si>
    <t xml:space="preserve">toallones </t>
  </si>
  <si>
    <t>set toalla mujer Doral julieta</t>
  </si>
  <si>
    <t>toalla grande Hello Kitty</t>
  </si>
  <si>
    <t>lanas economicas</t>
  </si>
  <si>
    <t>lanas Margot</t>
  </si>
  <si>
    <t>lanas Margot Eco Mix - Super - Jumbo - Terra</t>
  </si>
  <si>
    <t>lanas Osito Bluemix</t>
  </si>
  <si>
    <t>lanas Margot liquidacion Bluemix</t>
  </si>
  <si>
    <t>lana hilo tejer Perle</t>
  </si>
  <si>
    <t>lana trinidad BlueMix</t>
  </si>
  <si>
    <t>lana super margot BlueMix</t>
  </si>
  <si>
    <t>lana eco mix BlueMix</t>
  </si>
  <si>
    <t>bajada de cama 47*77</t>
  </si>
  <si>
    <t>bajada de cama 50*90</t>
  </si>
  <si>
    <t>salida de baño 3D</t>
  </si>
  <si>
    <t>set cortinas de baño</t>
  </si>
  <si>
    <t>cortina de baño con diseño Panama 23528</t>
  </si>
  <si>
    <t xml:space="preserve">cortina de baño con diseño </t>
  </si>
  <si>
    <t>manteles 140*180</t>
  </si>
  <si>
    <t>mantel genero 140 x 220</t>
  </si>
  <si>
    <t>mantel genero estampado redondo 180cm</t>
  </si>
  <si>
    <t>mantel plastico 137x274</t>
  </si>
  <si>
    <t>mantel plastico colores 137x183 Super Feliz</t>
  </si>
  <si>
    <t>mantel plastico diseño futbol 108x180 Super Feliz</t>
  </si>
  <si>
    <t xml:space="preserve">guantes - 30 grados </t>
  </si>
  <si>
    <t>guantes forrado hombre Panama</t>
  </si>
  <si>
    <t>guantes genero de trabajo</t>
  </si>
  <si>
    <t>toallas set canasta towels</t>
  </si>
  <si>
    <t>Gorros de lana</t>
  </si>
  <si>
    <t>cuellos de lana</t>
  </si>
  <si>
    <t>toalla mandala Naipa 2023</t>
  </si>
  <si>
    <t>toalla mandala Naipa 2024</t>
  </si>
  <si>
    <t>toalla mandala Isben</t>
  </si>
  <si>
    <t xml:space="preserve">encendedor colores ronson </t>
  </si>
  <si>
    <t>artículos de Aseo</t>
  </si>
  <si>
    <t xml:space="preserve">encendedor </t>
  </si>
  <si>
    <t xml:space="preserve">mascarilla </t>
  </si>
  <si>
    <t>alcohol Gel</t>
  </si>
  <si>
    <t>bolsa de basura 70*90</t>
  </si>
  <si>
    <t>bolsa basura 70x90 Impeke</t>
  </si>
  <si>
    <t>bolsa basura 70x90 Andalien</t>
  </si>
  <si>
    <t>bolsa basura 70x90 Winnex BlueMix</t>
  </si>
  <si>
    <t>bolsa basura 70x90 Red Comerc. Oriente</t>
  </si>
  <si>
    <t>bolsa basura 80x110 Red Comerc. Oriente</t>
  </si>
  <si>
    <t>bolsa basura 80x110 Impeke 1era compra</t>
  </si>
  <si>
    <t>bolsa basura 80x110 Impeke</t>
  </si>
  <si>
    <t xml:space="preserve">toallitas humedas </t>
  </si>
  <si>
    <t>toallitas humedas desinfectantes</t>
  </si>
  <si>
    <t>cotonitos varitas de algodón Reche</t>
  </si>
  <si>
    <t>cotonitos Reche 200 un</t>
  </si>
  <si>
    <t>cotonitos varitas de algodón 200 un forma corazon</t>
  </si>
  <si>
    <t>cotonitos forma corazon ShangriLa</t>
  </si>
  <si>
    <t>jabon popeye verde</t>
  </si>
  <si>
    <t>jabon popeye blanco</t>
  </si>
  <si>
    <t>desodorante spray hombre Millionaire Gold 150 ml</t>
  </si>
  <si>
    <t>desodorante barra hombre (verde) Speed Stick 60 gr</t>
  </si>
  <si>
    <t>desodorante barra hombre (negro) Speed Stick</t>
  </si>
  <si>
    <t>desodorante roll on invisible anti-manchas hombre Garnier Bio</t>
  </si>
  <si>
    <t>desodorante roll on antibacterial mujer Garnier Bio</t>
  </si>
  <si>
    <t>desodorante barra antimanchas mujer Dove Invisible Dry 50 gr</t>
  </si>
  <si>
    <t>desodorante Etiquet mujer</t>
  </si>
  <si>
    <t>set pasta dental 126 gr Colgate</t>
  </si>
  <si>
    <t>pasta dental 126 gr Colgate</t>
  </si>
  <si>
    <t>set pasta dental 90 gr Pepsodent</t>
  </si>
  <si>
    <t>pasta dental 90 gr Pepsodent</t>
  </si>
  <si>
    <t>shampoo Familand</t>
  </si>
  <si>
    <t>shampoo Pantene</t>
  </si>
  <si>
    <t>shampoo Pantene (Micelar-Bambu)</t>
  </si>
  <si>
    <t>shampoo Pantene Bambu</t>
  </si>
  <si>
    <t>shampoo head&amp; shoulder 375 ml manzana</t>
  </si>
  <si>
    <t>shampoo head&amp; shoulder 375 ml carbon</t>
  </si>
  <si>
    <t>colonia Babyland amarilla 210 ml</t>
  </si>
  <si>
    <t>colonia Plaisance 250 ml</t>
  </si>
  <si>
    <t>colonia Coral Musk</t>
  </si>
  <si>
    <t>set Coral colonia y crema</t>
  </si>
  <si>
    <t>colonia Millionaire Titanium plateado 30 ml</t>
  </si>
  <si>
    <t>colonia Millionaire Gold negro 30 ml</t>
  </si>
  <si>
    <t>colonia mini perfume 15 ml Naipa</t>
  </si>
  <si>
    <t>colonia mini perfume 15 ml Imp. Gabriela</t>
  </si>
  <si>
    <t>perfume arabe alternativo 100 ml 42 un Romantic Beauty 2025</t>
  </si>
  <si>
    <t>perfume alternativo 100 ml 39 un Romantic Beauty 2024</t>
  </si>
  <si>
    <t>set 3 perfume hombre Lucky Lily</t>
  </si>
  <si>
    <t>crema pielarmina 80 gr</t>
  </si>
  <si>
    <t>crema de manos con fragancia Flamenco 100 ml</t>
  </si>
  <si>
    <t>crema Nivea 150 ml</t>
  </si>
  <si>
    <t>crema Nivea 60 ml</t>
  </si>
  <si>
    <t>crema Lechuga Soft 55 ml</t>
  </si>
  <si>
    <t>crema Lechuga 150 ml</t>
  </si>
  <si>
    <t>crema Dove 150 ml</t>
  </si>
  <si>
    <t>jabon lux 1era compra</t>
  </si>
  <si>
    <t>jabon lux 2da compra (10 un)</t>
  </si>
  <si>
    <t>jabonera plastica (chinos)</t>
  </si>
  <si>
    <t>jabonera plastica (Panama)</t>
  </si>
  <si>
    <t>jabon liquido antibacterial bambu 300 ml</t>
  </si>
  <si>
    <t>perros de ropa madera 48 un ShangriLa</t>
  </si>
  <si>
    <t>perros de ropa madera 20 un Comerc. Oriente 2</t>
  </si>
  <si>
    <t>perros de ropa madera 20 un Comerc. Oriente 1</t>
  </si>
  <si>
    <t>perros de ropa madera Panama</t>
  </si>
  <si>
    <t>perros de ropa madera</t>
  </si>
  <si>
    <t xml:space="preserve">perros de ropa plástico </t>
  </si>
  <si>
    <t>perros de ropa plástico Isben</t>
  </si>
  <si>
    <t>hisopo para baño con diseño celeste Panama 95963</t>
  </si>
  <si>
    <t>hisopo para baño pato amarillo Panama</t>
  </si>
  <si>
    <t>hisopo para baño</t>
  </si>
  <si>
    <t>sopapo cuerpo metal</t>
  </si>
  <si>
    <t>sopapo</t>
  </si>
  <si>
    <t>pastillas cloro 5 x 1,000</t>
  </si>
  <si>
    <t>cloro 5 litros 1era compra</t>
  </si>
  <si>
    <t>cloro 5 litros 2da compra (3un)</t>
  </si>
  <si>
    <t>cloro 5 litros</t>
  </si>
  <si>
    <t>cloro 5 litros (Villa Reina)</t>
  </si>
  <si>
    <t>detergente Matic 5 litros</t>
  </si>
  <si>
    <t>detergente JG 5 lt</t>
  </si>
  <si>
    <t>detergente RO 5 lt (Villa Reina)</t>
  </si>
  <si>
    <t>detergente RO 5 lt</t>
  </si>
  <si>
    <t xml:space="preserve">lavaloza Máster 2 litros </t>
  </si>
  <si>
    <t>crema de ollas</t>
  </si>
  <si>
    <t xml:space="preserve">dispensador para cepillos de dientes </t>
  </si>
  <si>
    <t>dispensador de lavaloza plastico Panama 22883</t>
  </si>
  <si>
    <t>dispensador de lavaloza plastico con esponja Isben</t>
  </si>
  <si>
    <t>dispensador de lavaloza con resorte</t>
  </si>
  <si>
    <t>lavador de loza tipo hisopo</t>
  </si>
  <si>
    <t>esponjas</t>
  </si>
  <si>
    <t>esponjas Naipa</t>
  </si>
  <si>
    <t>esponjas duras Naipa</t>
  </si>
  <si>
    <t>set esponja de baño 3 un Panama</t>
  </si>
  <si>
    <t>paño metalico Isben</t>
  </si>
  <si>
    <t>prestobarba Xtreme mujer</t>
  </si>
  <si>
    <t>prestobarba Xtreme hombre</t>
  </si>
  <si>
    <t xml:space="preserve">prestobarba Xtreme </t>
  </si>
  <si>
    <t>pañuelos desechables 1era compra</t>
  </si>
  <si>
    <t>pañuelos desechables 2da compra</t>
  </si>
  <si>
    <t>cepillos de dientes x 3 un</t>
  </si>
  <si>
    <t>cepillos de dientes Isben</t>
  </si>
  <si>
    <t>cepillos de dientes x 3 un Hiper Asia</t>
  </si>
  <si>
    <t>cepillo de dientes infantil display Panama</t>
  </si>
  <si>
    <t>cepillo de dientes infantil Kawai Naipa</t>
  </si>
  <si>
    <t>basurero para auto</t>
  </si>
  <si>
    <t xml:space="preserve">tendedero redondo plástico </t>
  </si>
  <si>
    <t>tendedero grande 3 pisos</t>
  </si>
  <si>
    <t>cepillos para el pelo c/espejo Keke</t>
  </si>
  <si>
    <t>cepillos para el pelo c/espejo SangriLa</t>
  </si>
  <si>
    <t>cepillos para el pelo c/espejo</t>
  </si>
  <si>
    <t>cepillos plomo Kawai para el pelo c/espejo Cinnamoroll</t>
  </si>
  <si>
    <t>cepillo para el pelo</t>
  </si>
  <si>
    <t>cepillo madera para el pelo</t>
  </si>
  <si>
    <t xml:space="preserve">set de peinetas adultos </t>
  </si>
  <si>
    <t>set de peinetas niño o niña</t>
  </si>
  <si>
    <t>set espejo y peineta Sanrio Naipa</t>
  </si>
  <si>
    <t xml:space="preserve">pastillas de parafina encendido </t>
  </si>
  <si>
    <t xml:space="preserve">fosforos copihue </t>
  </si>
  <si>
    <t>escobillon</t>
  </si>
  <si>
    <t>trampa raton tipo carpeta chica</t>
  </si>
  <si>
    <t>trampa raton tipo carpeta grande</t>
  </si>
  <si>
    <t>trampa raton tipo carpeta grande Naipa</t>
  </si>
  <si>
    <t>trampa raton tipo carpeta grande Comerc. Oriente</t>
  </si>
  <si>
    <t>trampa raton tipo carpeta grande Comerc. Oriente 28-8-24</t>
  </si>
  <si>
    <t>trampa raton tipo carpeta grande Comerc. Oriente 23-07-25</t>
  </si>
  <si>
    <t>papel aluminio protector cocina 12 un</t>
  </si>
  <si>
    <t>papel aluminio 5 mt</t>
  </si>
  <si>
    <t>papel aluminio 5 mt Comerc. Oriente</t>
  </si>
  <si>
    <t>papel alusa 30 mt Comerc. Oriente</t>
  </si>
  <si>
    <t>papel alusa 30 mt</t>
  </si>
  <si>
    <t>trapero</t>
  </si>
  <si>
    <t>paño cocina Navidad (12 $3,990) Naipa</t>
  </si>
  <si>
    <t>paño cocina 3 en $1.200</t>
  </si>
  <si>
    <t>paño cocina</t>
  </si>
  <si>
    <t>paño cocina microfibra grande Naipa 1</t>
  </si>
  <si>
    <t>paño microfibra 3 en $2.000</t>
  </si>
  <si>
    <t>paño microfibra</t>
  </si>
  <si>
    <t>set paños multiuso 10+2</t>
  </si>
  <si>
    <t>tapa alimentos</t>
  </si>
  <si>
    <t>insecticida Baygon todo insecto</t>
  </si>
  <si>
    <t>desinfectante Lysoform 257 gr 360 cm3</t>
  </si>
  <si>
    <t>pasta de zapato negro-cafe 80 ml Virginia</t>
  </si>
  <si>
    <t>escobilla plastica color zapato</t>
  </si>
  <si>
    <t>escobilla madera zapato Naipa</t>
  </si>
  <si>
    <t>escobilla madera zapato</t>
  </si>
  <si>
    <t>toalla higienica con alas 8 un Naturella</t>
  </si>
  <si>
    <t>atomizador 2 piezas Panama</t>
  </si>
  <si>
    <t>atomizador 3 piezas</t>
  </si>
  <si>
    <t>pala plastica</t>
  </si>
  <si>
    <t>pop it electronico infla globos Naipa</t>
  </si>
  <si>
    <t xml:space="preserve">Juguetes </t>
  </si>
  <si>
    <t>pop it electronico Javier</t>
  </si>
  <si>
    <t>gato electronico Comercial Hidalgo</t>
  </si>
  <si>
    <t>pop it electronico Matias</t>
  </si>
  <si>
    <t>pop it llavero</t>
  </si>
  <si>
    <t>vaso Lego</t>
  </si>
  <si>
    <t>auto a pila Racing</t>
  </si>
  <si>
    <t>autos Lego</t>
  </si>
  <si>
    <t>auto con autos</t>
  </si>
  <si>
    <t>auto buggie a friccion (calipso) Panama JPA-755</t>
  </si>
  <si>
    <t>auto loco recargable control remoto (2 pilas AA incluidas) Dic-25 Comerc. Oriente</t>
  </si>
  <si>
    <t>auto loco control remoto Naipa</t>
  </si>
  <si>
    <t>auto sedan control remoto (5 pilas AA incluidas) Naipa</t>
  </si>
  <si>
    <t>auto deportivo control remoto con manubrio 6 pilas AA Panama 22493</t>
  </si>
  <si>
    <t>auto deportivo mediano control remoto 5 pilas AA Panama 23631</t>
  </si>
  <si>
    <t>auto deportivo grande control remoto 5 pilas AA Panama 24103</t>
  </si>
  <si>
    <t>auto deportivo grande control remoto 5 pilas AA Tasbel Naipa 2025</t>
  </si>
  <si>
    <t>camioneta mediana a friccion Panama 787976</t>
  </si>
  <si>
    <t>camioneta monster control remoto 5 pilas AA Panama 24102</t>
  </si>
  <si>
    <t>camioneta jeep control remoto ShangriLa</t>
  </si>
  <si>
    <t>camioneta control remoto</t>
  </si>
  <si>
    <t>binoculares Panama 21732</t>
  </si>
  <si>
    <t xml:space="preserve">binoculares </t>
  </si>
  <si>
    <t>set cocina rosado Comerc. Oriente</t>
  </si>
  <si>
    <t>set cocina lila Panama</t>
  </si>
  <si>
    <t>set cocina Panama 786086</t>
  </si>
  <si>
    <t>set cocina Panama 787477</t>
  </si>
  <si>
    <t>set cocina Panama 786806</t>
  </si>
  <si>
    <t>set cocina Panama 787478</t>
  </si>
  <si>
    <t>set cocina Panama 788573</t>
  </si>
  <si>
    <t>set cocina Panama 789051</t>
  </si>
  <si>
    <t>set cocina</t>
  </si>
  <si>
    <t>set cocina rojo</t>
  </si>
  <si>
    <t>set cocina color pastel</t>
  </si>
  <si>
    <t>set cocina mediano</t>
  </si>
  <si>
    <t>set cocina grande</t>
  </si>
  <si>
    <t>pistola Graffiti</t>
  </si>
  <si>
    <t>repuesto pistola Graffiti 500 un</t>
  </si>
  <si>
    <t>repuesto pistola Graffiti 1000 un</t>
  </si>
  <si>
    <t>tren vintage</t>
  </si>
  <si>
    <t>carteras con diseño genero</t>
  </si>
  <si>
    <t>mochila peluche unicornio</t>
  </si>
  <si>
    <t>muñeca grande individual cute c/caja y sonido Panama 787434</t>
  </si>
  <si>
    <t>muñeca grande individual pretty c/caja Panama 2 - 787429</t>
  </si>
  <si>
    <t>muñeca grande individual pretty c/caja Panama 1 - 787429</t>
  </si>
  <si>
    <t>muñeca grande c/accesorios en caja Panama 787406</t>
  </si>
  <si>
    <t>muñeca pequeña con maleta en caja</t>
  </si>
  <si>
    <t>muñeca con tocador en caja</t>
  </si>
  <si>
    <t>muñeca de genero que rie Naipa</t>
  </si>
  <si>
    <t>muñecas de genero colores Bubble Kiss</t>
  </si>
  <si>
    <t>set paleta de ping pong (bolso)</t>
  </si>
  <si>
    <t>set paleta de ping pong</t>
  </si>
  <si>
    <t>set paleta de ping pong display Panama 20247</t>
  </si>
  <si>
    <t>set paleta de ping pong Stgo</t>
  </si>
  <si>
    <t>set 9 dados en display Panama</t>
  </si>
  <si>
    <t>camara burbujas 4 pilas AA incluidas Naipa</t>
  </si>
  <si>
    <t>pistola burbujas Sanrio Naipa</t>
  </si>
  <si>
    <t>pistola burbujas Naipa (2 jabon espuma) Dic-24</t>
  </si>
  <si>
    <t>pistola burbujas Naipa (2 jabon espuma)</t>
  </si>
  <si>
    <t>pistola burbujas Naipa</t>
  </si>
  <si>
    <t>pistola burbujas Isben</t>
  </si>
  <si>
    <t>pistola burbujas Javier</t>
  </si>
  <si>
    <t xml:space="preserve">set Ring </t>
  </si>
  <si>
    <t>set dentista</t>
  </si>
  <si>
    <t>set doctor maleta (rosada y celeste)</t>
  </si>
  <si>
    <t>set doctor display Panama 788946</t>
  </si>
  <si>
    <t xml:space="preserve">set Doctor </t>
  </si>
  <si>
    <t>set pesca</t>
  </si>
  <si>
    <t>diamante Capibara Ottimo</t>
  </si>
  <si>
    <t>stickers Kuromi brillantes Ottimo</t>
  </si>
  <si>
    <t>stickers Capibara pequeño Ottimo</t>
  </si>
  <si>
    <t>stickers Capibara mediano Ottimo</t>
  </si>
  <si>
    <t>stickers Capibara con brillos Ottimo</t>
  </si>
  <si>
    <t>stickers Tralalero con brillos Ottimo</t>
  </si>
  <si>
    <t>stickers animales Comercial Unsport</t>
  </si>
  <si>
    <t>stickers</t>
  </si>
  <si>
    <t>stickers muñecas</t>
  </si>
  <si>
    <t>stickers brillantes redondos Gato Felix 2</t>
  </si>
  <si>
    <t>stickers brillantes redondos Gato Felix 1</t>
  </si>
  <si>
    <t>stickers niños Keke</t>
  </si>
  <si>
    <t>stickers rostro Keke</t>
  </si>
  <si>
    <t>stickers brillos rostro y varios Keke</t>
  </si>
  <si>
    <t>stickers brillantes rostro</t>
  </si>
  <si>
    <t>stickers brillantes rostro (chinos)</t>
  </si>
  <si>
    <t>stickers 50 un + libro colorear y lapices Sanrio BlueMix</t>
  </si>
  <si>
    <t>stickers 100 un + libro colorear y lapices Sanrio BlueMix</t>
  </si>
  <si>
    <t>stickers 100 un + libro colorear y lapices Stitch BlueMix</t>
  </si>
  <si>
    <t>caja stickers Sanrio 100 un Ragnar</t>
  </si>
  <si>
    <t>caja stickers Tralalero 100 un Ottimo</t>
  </si>
  <si>
    <t>libro stickers 6 paginas mascotas/granja</t>
  </si>
  <si>
    <t>libro stickers 6 paginas animalitos-granja-motivacional-princesas</t>
  </si>
  <si>
    <t>libro para colorear Hello Kitty</t>
  </si>
  <si>
    <t>libro para colorear pequeño</t>
  </si>
  <si>
    <t>libro para colorear 12 paginas</t>
  </si>
  <si>
    <t>libro para colorear 6 paginas + stickers</t>
  </si>
  <si>
    <t>libro para colorear 6 paginas + stickers Shangrila</t>
  </si>
  <si>
    <t>libro para colorear animales y vehiculos Shangrila</t>
  </si>
  <si>
    <t>libro para colorear Flores Jamila</t>
  </si>
  <si>
    <t>libro para colorear 16 paginas (flores-circo-etc) Panama</t>
  </si>
  <si>
    <t>libro para colorear con cuento dinosaurios con stickers 1 Mi Store</t>
  </si>
  <si>
    <t>libro para colorear Mundo Papel</t>
  </si>
  <si>
    <t>libro para colorear MegaLibro con cartas y tazos Mundo Papel</t>
  </si>
  <si>
    <t>libro para colorear 40 paginas Tralalero Ottimo</t>
  </si>
  <si>
    <t>cuento niño Gato Felix</t>
  </si>
  <si>
    <t>set bling bling</t>
  </si>
  <si>
    <t>set pelotas ping pong x6</t>
  </si>
  <si>
    <t>set pelotas ping pong x 6 ShangriLa</t>
  </si>
  <si>
    <t>set pelotas ping pong x 12 ShangriLa</t>
  </si>
  <si>
    <t>set pelotas tenis (x3) ShangriLa</t>
  </si>
  <si>
    <t>set pelotas tenis (x3) Panama</t>
  </si>
  <si>
    <t>set pelotas tenis (x3) Comercializadora Oriente</t>
  </si>
  <si>
    <t>pelota goma anti estres Panama 23042</t>
  </si>
  <si>
    <t>pelota goma c/luz y sonido Panama 23005</t>
  </si>
  <si>
    <t xml:space="preserve">pantalla amplificador de celular </t>
  </si>
  <si>
    <t>pantalla amplificador de celular con parlante bluetooth</t>
  </si>
  <si>
    <t>domino caja color</t>
  </si>
  <si>
    <t>domino 5 cm caja transparente ShangriLa</t>
  </si>
  <si>
    <t>domino estuche color</t>
  </si>
  <si>
    <t>naipe español</t>
  </si>
  <si>
    <t>naipe español Panama</t>
  </si>
  <si>
    <t>naipe español Stgo</t>
  </si>
  <si>
    <t>naipe español Gatita Feliz</t>
  </si>
  <si>
    <t>naipe ingles Gatita Feliz</t>
  </si>
  <si>
    <t>naipe ingles plastificado Panama</t>
  </si>
  <si>
    <t>naipe ingles monalisa rojo Panama 105007</t>
  </si>
  <si>
    <t xml:space="preserve">naipe Ingles </t>
  </si>
  <si>
    <t>naipe Ingles (Isben)</t>
  </si>
  <si>
    <t>naipe Ingles Stgo</t>
  </si>
  <si>
    <t>naipe ingles Comerc. Oriente</t>
  </si>
  <si>
    <t>naipe carta DOS Tesco</t>
  </si>
  <si>
    <t>naipe carta UNO ADN Panama</t>
  </si>
  <si>
    <t>naipe carta UNO Tesco</t>
  </si>
  <si>
    <t xml:space="preserve">loteria de madera </t>
  </si>
  <si>
    <t>loteria de madera Stgo</t>
  </si>
  <si>
    <t>bingo loteria madera ShangriLa</t>
  </si>
  <si>
    <t>ludo 3 en 1 ludo dama ajedrez</t>
  </si>
  <si>
    <t>ajedrez chess</t>
  </si>
  <si>
    <t>ajedrez magnetico mini Panama</t>
  </si>
  <si>
    <t>bingo tombola metalica</t>
  </si>
  <si>
    <t>bingo tombola grande caja azul Panama 788793</t>
  </si>
  <si>
    <t>bingo tombola ShangriLa</t>
  </si>
  <si>
    <t>bingo tombola</t>
  </si>
  <si>
    <t>bingo tombola grande</t>
  </si>
  <si>
    <t>carteras pop it color</t>
  </si>
  <si>
    <t>carteritas pop it diseños</t>
  </si>
  <si>
    <t xml:space="preserve">set corazon </t>
  </si>
  <si>
    <t>mini joyero con espejo Comercializadora Oriente</t>
  </si>
  <si>
    <t>set joyero oso con rozas</t>
  </si>
  <si>
    <t>set de tazas con platillo rosado ShangriLa</t>
  </si>
  <si>
    <t>set de tazas con platillos, 2 teteras y servicio rosado ShangriLa</t>
  </si>
  <si>
    <t>set de tazas con platillos y tetera neon ShangriLa</t>
  </si>
  <si>
    <t>set de te con tazas niña</t>
  </si>
  <si>
    <t>set de te con bandeja</t>
  </si>
  <si>
    <t>estrella luminosa</t>
  </si>
  <si>
    <t>piedra luminosa</t>
  </si>
  <si>
    <t>pinche niña Disney</t>
  </si>
  <si>
    <t>pinche niña Disney PAR Naipa 1</t>
  </si>
  <si>
    <t>pinche niña Disney PAR Naipa 2</t>
  </si>
  <si>
    <t>pinche brillos y diseños Keke</t>
  </si>
  <si>
    <t>cintillo colores 2 un Keke</t>
  </si>
  <si>
    <t>cintillo niña (cintillo-pinche y colet)</t>
  </si>
  <si>
    <t>cintillo niña (cintillo-lentes-reloj y colet) Keke</t>
  </si>
  <si>
    <t>tiro al blanco juego dardos</t>
  </si>
  <si>
    <t>pelota de playa 79 cm ShangriLa</t>
  </si>
  <si>
    <t>pelota de futbol pequeña</t>
  </si>
  <si>
    <t>pelota de futbol colores pequeña Panama</t>
  </si>
  <si>
    <t>pelota de futbol Chile pequeña Panama 24042</t>
  </si>
  <si>
    <t>pelota de futbol pequeña Panama</t>
  </si>
  <si>
    <t>pelota de futbol pequeña Ottimo</t>
  </si>
  <si>
    <t>pelota de futbol (Panama)</t>
  </si>
  <si>
    <t>pelota de futbol (Comercial Oriente) 28-8-24</t>
  </si>
  <si>
    <t>pelota de futbol (Comercial Oriente)</t>
  </si>
  <si>
    <t>pelota de futbol (Naipa Talca)</t>
  </si>
  <si>
    <t>pelota de futbol (Isben)</t>
  </si>
  <si>
    <t>malla pelota futbol</t>
  </si>
  <si>
    <t>reloj proyector Hello Kitty</t>
  </si>
  <si>
    <t>reloj proyector Kuromi</t>
  </si>
  <si>
    <t>reloj proyector Sanrio (Hello Kitty-Kuromi-Cinamorrol-Ponponpurin)</t>
  </si>
  <si>
    <t>reloj proyector Labubu - Capibara  Comerc. Oriente</t>
  </si>
  <si>
    <t>mini ventilador astronauta</t>
  </si>
  <si>
    <t>corona diadema niña reina ShangriLa</t>
  </si>
  <si>
    <t>corona tiara pequeña de princesa ShangriLa</t>
  </si>
  <si>
    <t>corona niña reina</t>
  </si>
  <si>
    <t>set herramientas carpintero Panama 786998</t>
  </si>
  <si>
    <t>set herramientas mecanico</t>
  </si>
  <si>
    <t>mochila lanza agua Comerc. Oriente</t>
  </si>
  <si>
    <t>bombin lanza agua Naipa</t>
  </si>
  <si>
    <t>pistola lanza agua mediana Naipa 2025</t>
  </si>
  <si>
    <t>pistola lanza agua mediana Naipa 2024</t>
  </si>
  <si>
    <t>pistola lanza agua grande Naipa</t>
  </si>
  <si>
    <t>pistola lanza agua pequeña Isben</t>
  </si>
  <si>
    <t>lentes agua Panama</t>
  </si>
  <si>
    <t>lentes agua</t>
  </si>
  <si>
    <t>maquillaje niñas</t>
  </si>
  <si>
    <t>robot musical</t>
  </si>
  <si>
    <t>robot Astroboy</t>
  </si>
  <si>
    <t>robot Optimus Prime transformers</t>
  </si>
  <si>
    <t>grua transformers amarillo con 5 pilas Comerc. Oriente</t>
  </si>
  <si>
    <t>tanque transformers con 5 pilas Naipa Talca</t>
  </si>
  <si>
    <t>cubo rubik (Panama)</t>
  </si>
  <si>
    <t>set de bebe rosa y celeste</t>
  </si>
  <si>
    <t>babero impermeable</t>
  </si>
  <si>
    <t>set bebe babero semanal</t>
  </si>
  <si>
    <t>set animales de goma baño (4 y 6 un)</t>
  </si>
  <si>
    <t>set 6 patitos de goma baño bebe Panama 24154</t>
  </si>
  <si>
    <t>set 6 patitos de goma baño bebe</t>
  </si>
  <si>
    <t>set patito goma baño bebe</t>
  </si>
  <si>
    <t>set 3 cascabel bebe</t>
  </si>
  <si>
    <t>set 6 cascabel en bolsa</t>
  </si>
  <si>
    <t>set cascabel bebe</t>
  </si>
  <si>
    <t>set Disney plato y cubiertos bebe</t>
  </si>
  <si>
    <t>rompecabezas madera colores numeros y abecedario Panama</t>
  </si>
  <si>
    <t>rompecabezas con madera abecedario 30 cm ShangriLa</t>
  </si>
  <si>
    <t>rompecabezas x 4 pequeño</t>
  </si>
  <si>
    <t>rompecabezas simple</t>
  </si>
  <si>
    <t>liquido burbujas 500 ml 2024 Isben</t>
  </si>
  <si>
    <t>liquido burbujas 500 ml 2023</t>
  </si>
  <si>
    <t>liquido burbujas 1 lt.  Comerc. Oriente</t>
  </si>
  <si>
    <t>señal bebe a bordo</t>
  </si>
  <si>
    <t>calentador de manos</t>
  </si>
  <si>
    <t>set collar mariposa</t>
  </si>
  <si>
    <t>set collar display conejo Shangrila</t>
  </si>
  <si>
    <t>set collar display conejo</t>
  </si>
  <si>
    <t>set collar unicornio</t>
  </si>
  <si>
    <t>set collar con caja tonos pastel</t>
  </si>
  <si>
    <t>set collar con caja (dado)</t>
  </si>
  <si>
    <t>set collar con caja</t>
  </si>
  <si>
    <t>set collar con caja tipo maleta ShangriLa</t>
  </si>
  <si>
    <t>set collar con caja tipo maleta</t>
  </si>
  <si>
    <t>set collar con caja y collet Panama</t>
  </si>
  <si>
    <t>set collar con caja y collet</t>
  </si>
  <si>
    <t>set collar con caja plastica</t>
  </si>
  <si>
    <t>set collar con caja plastica SangriLa</t>
  </si>
  <si>
    <t>set collar con caja plastica y 2 rollo hilo ShangriLa</t>
  </si>
  <si>
    <t>set collar con caja plastica y 2 rollo hilo</t>
  </si>
  <si>
    <t>dinosaurio a pilas con luz y sonido</t>
  </si>
  <si>
    <t>set dinosaurios en caja café ucok</t>
  </si>
  <si>
    <t>set 6 dinosaurios (duros) en bolsa 20349 Panama</t>
  </si>
  <si>
    <t>set 6 dinosaurios (duros) en bolsa Panama KL-105</t>
  </si>
  <si>
    <t>set 6 dinosaurios (duros) en bolsa</t>
  </si>
  <si>
    <t>set dinosaurios 12 un</t>
  </si>
  <si>
    <t>set dinosaurios 6 un</t>
  </si>
  <si>
    <t>set soldados, avion, lancha, tanque display carton</t>
  </si>
  <si>
    <t>set soldados con tanques en bolsa</t>
  </si>
  <si>
    <t>set soldados bolsa verde Comerc. Oriente</t>
  </si>
  <si>
    <t>set insectos display tubo cuadrado</t>
  </si>
  <si>
    <t>set animales display tubo</t>
  </si>
  <si>
    <t>set animales (animal world)</t>
  </si>
  <si>
    <t>set animales Wild Animals 8 pzs Panama 786732</t>
  </si>
  <si>
    <t>set animales Wild Animals 13 pzs Panama 786749</t>
  </si>
  <si>
    <t>camioneta pequeña a friccion Panama</t>
  </si>
  <si>
    <t>camion grande construccion betonero y tolva</t>
  </si>
  <si>
    <t>jeep militar grande verde-beige Panama</t>
  </si>
  <si>
    <t>auto a friccion display</t>
  </si>
  <si>
    <t>tractor grande con cupula</t>
  </si>
  <si>
    <t>tractor mediano con cupula</t>
  </si>
  <si>
    <t>tractor mediano con cupula Panama 788870</t>
  </si>
  <si>
    <t>tractor chico con cupula Panama 788254</t>
  </si>
  <si>
    <t>tractor pequeño con cupula en caja</t>
  </si>
  <si>
    <t>tractor con carro accesorio</t>
  </si>
  <si>
    <t>tractor pequeño con carro</t>
  </si>
  <si>
    <t>tractor retroexcavadora en bolsa 4 un Panama</t>
  </si>
  <si>
    <t>tractor amarillo a friccion con carro arrastre Panama 787919</t>
  </si>
  <si>
    <t>tractor verde en caja doble carros Panama C-304</t>
  </si>
  <si>
    <t>set tractor granja farm toys en bolsa</t>
  </si>
  <si>
    <t>set tractor naranjas</t>
  </si>
  <si>
    <t>puzzle 500 piezas Panama 103220</t>
  </si>
  <si>
    <t>puzzle 1500 piezas</t>
  </si>
  <si>
    <t>lego rosado y verde 120 piezas</t>
  </si>
  <si>
    <t>bolitas nacaradas 70 un Panama</t>
  </si>
  <si>
    <t>bolitas nacaradas grandes 20 un Panama</t>
  </si>
  <si>
    <t>bolitas nacaradas grandes surtidas 20 un Panama</t>
  </si>
  <si>
    <t>bolitas canicas blancas ShangriLa</t>
  </si>
  <si>
    <t>bolitas de leche 48 un</t>
  </si>
  <si>
    <t>bolitas surtidas 48 un</t>
  </si>
  <si>
    <t>lamina 3D infantil 70x75 helicoptero Naipa</t>
  </si>
  <si>
    <t>lamina 3D infantil 70x75 dinosaurios Naipa</t>
  </si>
  <si>
    <t>yenga 54 cm con numeros Panama</t>
  </si>
  <si>
    <t>yenga 54 cm con numeros Motarro</t>
  </si>
  <si>
    <t>yenga xl colores 54 pcs</t>
  </si>
  <si>
    <t>calabaza bolso genero Halloween</t>
  </si>
  <si>
    <t>calabaza plastica halloween con luz y sonido ShangriLa</t>
  </si>
  <si>
    <t>calabaza plastica halloween grande Panama 22007</t>
  </si>
  <si>
    <t>disco volador grande</t>
  </si>
  <si>
    <t>disco volador pequeño</t>
  </si>
  <si>
    <t>disco volador multiple</t>
  </si>
  <si>
    <t>cuerda para saltar de madera</t>
  </si>
  <si>
    <t>cuerda para saltar con contador de vueltas</t>
  </si>
  <si>
    <t>slime envase 6 unidades ShangriLa</t>
  </si>
  <si>
    <t>slime individual Sanrio-Dragon Ball-Spiderman Panda Chillan</t>
  </si>
  <si>
    <t>slime individual dinosaurio-pizza Ottimo</t>
  </si>
  <si>
    <t>slime glitter bolsa 12 un Panda Chillan</t>
  </si>
  <si>
    <t>masas moldeables envase 6 un ShangriLa</t>
  </si>
  <si>
    <t>masas moldeables 12 un ShangriLa</t>
  </si>
  <si>
    <t>masas moldeables 24 un Ottimo</t>
  </si>
  <si>
    <t>masas moldeables 24 un ShangriLa</t>
  </si>
  <si>
    <t>masas moldeables 24 un Naipa</t>
  </si>
  <si>
    <t>masas moldeables 24 un Comerc. Oriente</t>
  </si>
  <si>
    <t>masas moldeables 36 un Comerc. Oriente</t>
  </si>
  <si>
    <t>masas moldeables 36 un Panda Chillan</t>
  </si>
  <si>
    <t>masas moldeables 21 un en caja ShangriLa</t>
  </si>
  <si>
    <t>masas moldeables garras 8 un Shangrila</t>
  </si>
  <si>
    <t>maleta lapices hexagonal 46 piezas</t>
  </si>
  <si>
    <t>arena magica</t>
  </si>
  <si>
    <t>juguete cartera oreja</t>
  </si>
  <si>
    <t>juego Basta Naipa</t>
  </si>
  <si>
    <t>juego Basta 2,0 ShangriLa</t>
  </si>
  <si>
    <t>guante hombre araña Isben</t>
  </si>
  <si>
    <t>monopolio</t>
  </si>
  <si>
    <t>set snorkel</t>
  </si>
  <si>
    <t>pistola lanza dardos</t>
  </si>
  <si>
    <t>pista auto individual con pilas</t>
  </si>
  <si>
    <t>juego pesca a pilas con pilas</t>
  </si>
  <si>
    <t>xilofono 8 notas (metalofono) Panama 3</t>
  </si>
  <si>
    <t>xilofono 8 notas (metalofono) Panama 2</t>
  </si>
  <si>
    <t>xilofono 8 notas (metalofono) Panama 1</t>
  </si>
  <si>
    <t>guitarra infantil monitos Panama 23130</t>
  </si>
  <si>
    <t>caballo plastico Panama 30701</t>
  </si>
  <si>
    <t>tambor plastico bebe en bolsa Panama 24163</t>
  </si>
  <si>
    <t>drone (con pilas)</t>
  </si>
  <si>
    <t>lego en caja Palacio Rosa</t>
  </si>
  <si>
    <t>lego en caja plastica 60 pzs Panama 789244</t>
  </si>
  <si>
    <t>alcancia tarro metal Panama 21663 - 21665</t>
  </si>
  <si>
    <t xml:space="preserve">procesador de carne y verduras </t>
  </si>
  <si>
    <t>Electrodomésticos</t>
  </si>
  <si>
    <t>procesador recargable mini</t>
  </si>
  <si>
    <t xml:space="preserve">selladora mini  de plástico </t>
  </si>
  <si>
    <t xml:space="preserve">aceitero en spray </t>
  </si>
  <si>
    <t>especiero 7 piezas giratorio Ale Store OT-020 CD50592</t>
  </si>
  <si>
    <t>especiero 7 piezas</t>
  </si>
  <si>
    <t>termo lonchera doble metal 1,4 Lt ShangriLa</t>
  </si>
  <si>
    <t>termo digital (degrade-estrellas)</t>
  </si>
  <si>
    <t xml:space="preserve">termos Digitales </t>
  </si>
  <si>
    <t>termo 0,5 lt</t>
  </si>
  <si>
    <t>termo 800 ml Naipa</t>
  </si>
  <si>
    <t>termo 1,2 lt Rapido y Furioso 9</t>
  </si>
  <si>
    <t>termo 1,2 lt plateado Daka</t>
  </si>
  <si>
    <t>termo 2 lt rojo y negro Daka</t>
  </si>
  <si>
    <t>set termo 3 tazas grandes</t>
  </si>
  <si>
    <t>set termo 3 tazas medianas Naipa</t>
  </si>
  <si>
    <t>jarro termo Kuromi-Mickey Naipa</t>
  </si>
  <si>
    <t>tazon magnetico revolvedor automatico</t>
  </si>
  <si>
    <t>tazon vidrio revolvedor Naipa</t>
  </si>
  <si>
    <t>vaso termico digital Naipa</t>
  </si>
  <si>
    <t>botella chupetera Sanrio Comer. Oriente</t>
  </si>
  <si>
    <t>botella chupetera astronauta Comerc. Oriente</t>
  </si>
  <si>
    <t>botella chupetera colores infantil Don Remate</t>
  </si>
  <si>
    <t>botella chupetera bebe</t>
  </si>
  <si>
    <t>botella chupetera Isben</t>
  </si>
  <si>
    <t>botella tomatodo Brainrot 750 ml Ale Store AS909</t>
  </si>
  <si>
    <t>botella agua Shangrila</t>
  </si>
  <si>
    <t>botella agua Isben 2024</t>
  </si>
  <si>
    <t>botella agua Isben 2023</t>
  </si>
  <si>
    <t>botella agua grande color con mango Don Balato</t>
  </si>
  <si>
    <t>botella motivacional con mango set 3 un Comerc. Oriente</t>
  </si>
  <si>
    <t>botella motivacional mas termo digital</t>
  </si>
  <si>
    <t>botella motivacional set 3 un</t>
  </si>
  <si>
    <t>botella motivacional 2 lt</t>
  </si>
  <si>
    <t>botella motivacional 900 ml</t>
  </si>
  <si>
    <t>botella motivacional 300 ml</t>
  </si>
  <si>
    <t>botella motivacional 2 lt (Javier)</t>
  </si>
  <si>
    <t xml:space="preserve">hervidor plegable </t>
  </si>
  <si>
    <t xml:space="preserve">set de cuchillos </t>
  </si>
  <si>
    <t>porta tetera mandala</t>
  </si>
  <si>
    <t xml:space="preserve">pelador de verduras </t>
  </si>
  <si>
    <t>destapador multiple</t>
  </si>
  <si>
    <t>alargadores 5 mts</t>
  </si>
  <si>
    <t>alargadores 5 mts Shangrila</t>
  </si>
  <si>
    <t>alargadores 10 mts</t>
  </si>
  <si>
    <t>alargadores 15 mts</t>
  </si>
  <si>
    <t>alargador 20 mts</t>
  </si>
  <si>
    <t>alargador amarillo con soquete 20 mt</t>
  </si>
  <si>
    <t>jarro porcelana mate</t>
  </si>
  <si>
    <t>jarro porcelana chico 8 cm</t>
  </si>
  <si>
    <t>jarro porcelana mediano 9 cm</t>
  </si>
  <si>
    <t>jarro porcelana grande 10 cm</t>
  </si>
  <si>
    <t xml:space="preserve">jarro porcelana grande </t>
  </si>
  <si>
    <t>bombilla mate</t>
  </si>
  <si>
    <t>set matero keep con bombilla</t>
  </si>
  <si>
    <t xml:space="preserve">tazas personalizadas </t>
  </si>
  <si>
    <t>tazas personalizadas con foto</t>
  </si>
  <si>
    <t>taza dia de la madre con caja</t>
  </si>
  <si>
    <t>mini panquequera</t>
  </si>
  <si>
    <t>velas magicas decorativas</t>
  </si>
  <si>
    <t>timbre inalambrico Meidi Make</t>
  </si>
  <si>
    <t xml:space="preserve">timbre inalambrico </t>
  </si>
  <si>
    <t>timbre inalambrico Naipa 1</t>
  </si>
  <si>
    <t>timbre inalambrico Naipa</t>
  </si>
  <si>
    <t>camara wifi soquete</t>
  </si>
  <si>
    <t>camara wifi USB</t>
  </si>
  <si>
    <t>acuario con luz</t>
  </si>
  <si>
    <t xml:space="preserve">bonsai plástico </t>
  </si>
  <si>
    <t>buda</t>
  </si>
  <si>
    <t>escobilla de uñas</t>
  </si>
  <si>
    <t>escobilla de uñas Naipa</t>
  </si>
  <si>
    <t>cinta mata moscas x 4 un</t>
  </si>
  <si>
    <t>cinta mata moscas x 4 un Panama</t>
  </si>
  <si>
    <t>cinta mata moscas x 4 un Comerc. Oriente</t>
  </si>
  <si>
    <t>mata moscas grande plastico</t>
  </si>
  <si>
    <t>mata moscas plastico con rascador Naipa</t>
  </si>
  <si>
    <t>mata moscas grande plastico Isben</t>
  </si>
  <si>
    <t>mata mosca electrico Naipa</t>
  </si>
  <si>
    <t>mata mosca electrico con linterna</t>
  </si>
  <si>
    <t>huincha de medir 30mts</t>
  </si>
  <si>
    <t>juego tazas china con platillos y tetera 6 un</t>
  </si>
  <si>
    <t>set embudos 5 un</t>
  </si>
  <si>
    <t>set embudos 5 un Comerc. Oriente</t>
  </si>
  <si>
    <t>set colador plastico 4 un Panama</t>
  </si>
  <si>
    <t>set colador plastico 4 un</t>
  </si>
  <si>
    <t>set colador plastico 4 un Don Remate</t>
  </si>
  <si>
    <t>set colador 3 un Plasticos Continental Chillan</t>
  </si>
  <si>
    <t>colador plastico 26 cm</t>
  </si>
  <si>
    <t>colador espumador papas</t>
  </si>
  <si>
    <t>plumero microfibra extensible</t>
  </si>
  <si>
    <t>porcionador de leche</t>
  </si>
  <si>
    <t>pesa gramera 10 kg Don Balato</t>
  </si>
  <si>
    <t>pesa gramera 10 kg Shangrila</t>
  </si>
  <si>
    <t>pesa gramera 10 kg Comerc. Oriente</t>
  </si>
  <si>
    <t>pesa gramera 500 gr Ale Store JS-367</t>
  </si>
  <si>
    <t>bolso niño chico</t>
  </si>
  <si>
    <t>Bolsitos de regalo</t>
  </si>
  <si>
    <t>bolso niña chico</t>
  </si>
  <si>
    <t>bolso niño chico (Blue Mix - Chinos)</t>
  </si>
  <si>
    <t>bolso mujer mediano</t>
  </si>
  <si>
    <t>bolso hombre mediano</t>
  </si>
  <si>
    <t xml:space="preserve">bolso mujer grande </t>
  </si>
  <si>
    <t xml:space="preserve">bolso hombre grande </t>
  </si>
  <si>
    <t>papel de regalo diseños</t>
  </si>
  <si>
    <t>papel de regalo diseños Jamila</t>
  </si>
  <si>
    <t>papel de regalo Navidad Jamila 2025</t>
  </si>
  <si>
    <t>papel regalo couche Jamila (100 un)</t>
  </si>
  <si>
    <t>papel regalo couche Directo Chile</t>
  </si>
  <si>
    <t>papel regalo couche</t>
  </si>
  <si>
    <t>papel regalo Novios</t>
  </si>
  <si>
    <t>papel regalo couche BlueMix</t>
  </si>
  <si>
    <t>papel regalo Disney</t>
  </si>
  <si>
    <t>papel regalo Kuromi - infantil  Naipa Talca</t>
  </si>
  <si>
    <t>bolsa regalo Disney (café)</t>
  </si>
  <si>
    <t>bolso metalizado 6x8x4 cm</t>
  </si>
  <si>
    <t>bolso metalizado 10x8x4 cm</t>
  </si>
  <si>
    <t>bolso metalizado 14x11x6 cm</t>
  </si>
  <si>
    <t>bolso metalizado 27x23x8 cm</t>
  </si>
  <si>
    <t>bolso metalizado 34x26x8 cm</t>
  </si>
  <si>
    <t>bolso metalizado 38x29x9 cm</t>
  </si>
  <si>
    <t>bolso metalizado 45x32x10 cm</t>
  </si>
  <si>
    <t>bolso chico niño-niña 19x23x8</t>
  </si>
  <si>
    <t>bolso mediano mandala y bebe 26x32x10</t>
  </si>
  <si>
    <t>bolso grande hombre 30x40x12</t>
  </si>
  <si>
    <t>bolso 3D mediano hombre 26x10x32</t>
  </si>
  <si>
    <t>bolso 3D grande hombre 30x12x40</t>
  </si>
  <si>
    <t>bolso brillos 18x10x23</t>
  </si>
  <si>
    <t>bolso 3D Kuromi chico 18x10x23</t>
  </si>
  <si>
    <t>bolso 3D Kuromi mediano grande 26x10x32</t>
  </si>
  <si>
    <t>bolso brillos 26x10x32</t>
  </si>
  <si>
    <t>bolso metalizado corazon 1367M 26x10x32 cm</t>
  </si>
  <si>
    <t>bolso metalizado corazon 1373L 30x12x40 cm</t>
  </si>
  <si>
    <t>bolso metalizado vinos 35x12x8 cm</t>
  </si>
  <si>
    <t>bolso vinos diseño geometrico Tesco</t>
  </si>
  <si>
    <t>cajitas regalo</t>
  </si>
  <si>
    <t>bolso papel colores con manilla 26x33 cm (Todo Envases)</t>
  </si>
  <si>
    <t>bolso mediano plastico Sanrio Don Balato</t>
  </si>
  <si>
    <t>bolso regalo Disney (Spiderman-Lol-Princesas) Imp. Gabriela</t>
  </si>
  <si>
    <t>bolso grande navidad 30x12x40 Tesco</t>
  </si>
  <si>
    <t>bolso mediano navidad 26x10x32 Tesco</t>
  </si>
  <si>
    <t>bolso mediano navidad de costado 26x32x10 Tesco</t>
  </si>
  <si>
    <t>bolso kraft navidad con brillo 21x11x27 Tesco</t>
  </si>
  <si>
    <t>bolso brillante Felicidades chico 21,5x18x7,5 Tesco</t>
  </si>
  <si>
    <t>bolso brillante Felicidades mediano 34x26x8 Tesco</t>
  </si>
  <si>
    <t xml:space="preserve">candado para bicicletas </t>
  </si>
  <si>
    <t xml:space="preserve">Otros artículos </t>
  </si>
  <si>
    <t>pino ambientales para autos</t>
  </si>
  <si>
    <t xml:space="preserve">valvulas de colores </t>
  </si>
  <si>
    <t xml:space="preserve">valvulas fluorescentes </t>
  </si>
  <si>
    <t xml:space="preserve">luz de bicicletas rojo blanco </t>
  </si>
  <si>
    <t>luz bicicleta trasera laser</t>
  </si>
  <si>
    <t>luz bicicleta delantera y trasera Panama</t>
  </si>
  <si>
    <t>proyector auto</t>
  </si>
  <si>
    <t xml:space="preserve">globos perlados </t>
  </si>
  <si>
    <t>globos tricolor</t>
  </si>
  <si>
    <t>globos colores 50 un KIKO (10 un)</t>
  </si>
  <si>
    <t>globos colores 50 un KIKO</t>
  </si>
  <si>
    <t>globos tricolor blanco - azul y rojo 25 un</t>
  </si>
  <si>
    <t>globos colores bolsa 12 unidades</t>
  </si>
  <si>
    <t>globos metalicos 10 un Super Feliz</t>
  </si>
  <si>
    <t>globos metalicos 25 un Super Feliz</t>
  </si>
  <si>
    <t>globos banderin tematica verde-rojo Super Feliz</t>
  </si>
  <si>
    <t>globos latex tematica rojo-dorado Super Feliz</t>
  </si>
  <si>
    <t>gotario</t>
  </si>
  <si>
    <t>estuche manicure Kawai</t>
  </si>
  <si>
    <t>estuche manicure</t>
  </si>
  <si>
    <t>estuche manicure diseño Keke</t>
  </si>
  <si>
    <t>estuche manicure y pedicure 12 piezas Ale Store 61301</t>
  </si>
  <si>
    <t>estuche manicure brillos Yes Bella</t>
  </si>
  <si>
    <t>set manicure morado</t>
  </si>
  <si>
    <t>set manicure corta cuticula</t>
  </si>
  <si>
    <t>set cortauñas morado</t>
  </si>
  <si>
    <t>lima ploma uñas Naipa</t>
  </si>
  <si>
    <t>lima ploma OK Accesories</t>
  </si>
  <si>
    <t>lima grande ploma-rosado-calipso Keke</t>
  </si>
  <si>
    <t>set lima ploma Keke</t>
  </si>
  <si>
    <t>set lima larga diseño mujer Keke</t>
  </si>
  <si>
    <t>set lima corta animal print Keke</t>
  </si>
  <si>
    <t>set lima carton 3 un Hiper Asia</t>
  </si>
  <si>
    <t>set lima 6 un metal</t>
  </si>
  <si>
    <t>set lima 3 un neon</t>
  </si>
  <si>
    <t>lima pies</t>
  </si>
  <si>
    <t>corta cuticula mediano</t>
  </si>
  <si>
    <t>corta cuticula grande</t>
  </si>
  <si>
    <t>corta uñas bebe garrita Ottimo</t>
  </si>
  <si>
    <t>corta uñas chico</t>
  </si>
  <si>
    <t>corta uñas chico Tesco</t>
  </si>
  <si>
    <t>corta uñas grande (Paris) Ottimo</t>
  </si>
  <si>
    <t>corta uñas grande tornasol Ottimo</t>
  </si>
  <si>
    <t>corta uñas gigante Ottimo</t>
  </si>
  <si>
    <t>corta uñas grande color Naipa</t>
  </si>
  <si>
    <t xml:space="preserve">corta uñas grande </t>
  </si>
  <si>
    <t>corta uñas grande Tesco</t>
  </si>
  <si>
    <t>set 3 corta uñas Comerc. Oriente</t>
  </si>
  <si>
    <t>encrespador electrico</t>
  </si>
  <si>
    <t>encrespador diseños Keke</t>
  </si>
  <si>
    <t xml:space="preserve">espejo madera </t>
  </si>
  <si>
    <t>espejo cartera Sanrio Naipa</t>
  </si>
  <si>
    <t>espejo cartera redondo acolchado ShangriLa</t>
  </si>
  <si>
    <t>espejo cartera redondo acolchado con llavero ShangriLa</t>
  </si>
  <si>
    <t>espejo pequeño con set pinceles y pinza</t>
  </si>
  <si>
    <t>espejo plastico con soporte sobremesa</t>
  </si>
  <si>
    <t>espejo sobremesa metal 7" con aumento ShangriLa</t>
  </si>
  <si>
    <t>espejo sobremesa ovalado</t>
  </si>
  <si>
    <t xml:space="preserve">espejo plástico </t>
  </si>
  <si>
    <t>espejo mural plástico 30 cm x 40 cm</t>
  </si>
  <si>
    <t>espejo cosmetiquero con luz</t>
  </si>
  <si>
    <t>espejo cosmetiquero con luz Tasbel</t>
  </si>
  <si>
    <t>espejo maquillaje con luz 3 tonos Naipa</t>
  </si>
  <si>
    <t>espejo maquillaje con luz 3 tonos YB-005 Tasbel Naipa</t>
  </si>
  <si>
    <t>espejo maquillaje con luz 3 tonos Comercializadora Oriente</t>
  </si>
  <si>
    <t>espejo maquillaje con luz rectangular rosado JS-52</t>
  </si>
  <si>
    <t>espejo maquillaje con luz JG-003 con soporte celular Javier</t>
  </si>
  <si>
    <t>espejo maquillaje con luz JG-003 con soporte celular</t>
  </si>
  <si>
    <t>espejo maquillaje con luz y soporte simple Naipa</t>
  </si>
  <si>
    <t>espejo portaretrato con reloj</t>
  </si>
  <si>
    <t>espejo corazon portaretrato con luz</t>
  </si>
  <si>
    <t>cosmetiquero neceser mediano Panama 24666-67</t>
  </si>
  <si>
    <t>colette de genero diseños Naipa</t>
  </si>
  <si>
    <t>colette de genero diseños Keke</t>
  </si>
  <si>
    <t>colette de genero diseños</t>
  </si>
  <si>
    <t>colette de colores</t>
  </si>
  <si>
    <t>set colette de colores</t>
  </si>
  <si>
    <t xml:space="preserve">mini colette blanco y negro </t>
  </si>
  <si>
    <t>mini colette colores surtidos</t>
  </si>
  <si>
    <t>set colette negro</t>
  </si>
  <si>
    <t>set colette de colores display Keke</t>
  </si>
  <si>
    <t>set colette colores en caja OK Accesories</t>
  </si>
  <si>
    <t>set colette mini estuche corazon Keke</t>
  </si>
  <si>
    <t>set colette cartera mariposa Keke</t>
  </si>
  <si>
    <t>set colette cartera flor Keke</t>
  </si>
  <si>
    <t>cortina de cumpleaños Naipa</t>
  </si>
  <si>
    <t>cortina de cumpleaños con ondas Super Feliz</t>
  </si>
  <si>
    <t>cortina de cumpleaños diseños Super Feliz</t>
  </si>
  <si>
    <t>vela cumpleaños flor de loto</t>
  </si>
  <si>
    <t>vela cumpleaños fluor</t>
  </si>
  <si>
    <t>vela cumpleaños destellante</t>
  </si>
  <si>
    <t>vela cumpleaños cortas pastel 8 un Super Feliz</t>
  </si>
  <si>
    <t>vela cumpleaños largas pastel 8 un Super Feliz</t>
  </si>
  <si>
    <t>vela cumpleaños Feliz Cumpleaños 12 un Super Feliz</t>
  </si>
  <si>
    <t>vela cumpleaños verdes 10 un ShangriLa</t>
  </si>
  <si>
    <t>vela cumpleaños dorada pequeña 10 un Super Feliz</t>
  </si>
  <si>
    <t>vela cumpleaños negra pequeña 10 un Super Feliz</t>
  </si>
  <si>
    <t>vela cumpleaños Plin Plin Super Feliz</t>
  </si>
  <si>
    <t>plato cumpleaños Gatita Feliz</t>
  </si>
  <si>
    <t>plato cumpleaños diseño 10 un Tesco</t>
  </si>
  <si>
    <t>plato cumpleños carton blanco 18 cm 10 un</t>
  </si>
  <si>
    <t>tenedor desechable 20 un Hiper Asia</t>
  </si>
  <si>
    <t>cuchara desechable 36 un Gatita Feliz</t>
  </si>
  <si>
    <t>bocina para bicicleta  LY-16</t>
  </si>
  <si>
    <t xml:space="preserve">bombillas ecológicas colores </t>
  </si>
  <si>
    <t>bombillas plasticas transparente 100 un Panama 24100</t>
  </si>
  <si>
    <t>bombillas plasticas transparente 100 un Daka</t>
  </si>
  <si>
    <t>bombillas plasticas 100 un</t>
  </si>
  <si>
    <t>pincho molda dientes Jamila</t>
  </si>
  <si>
    <t>pincho molda dientes</t>
  </si>
  <si>
    <t>brochetas 20 cm BlueMix</t>
  </si>
  <si>
    <t>brochetas 25 cm Panama</t>
  </si>
  <si>
    <t>brochetas 25 cm 3mm 50 un Jamila</t>
  </si>
  <si>
    <t>brochetas 25 cm</t>
  </si>
  <si>
    <t>brochetas 30 cm Stgo</t>
  </si>
  <si>
    <t>brochetas 30 cm BlueMix</t>
  </si>
  <si>
    <t>brochetas 30 cm 3mm 50 un Jamila</t>
  </si>
  <si>
    <t>brochetas 30 cm 4mm 50 un Jamila</t>
  </si>
  <si>
    <t>brochetas 35 cm 4mm 50 un Jamila</t>
  </si>
  <si>
    <t>brochetas 40 cm 4mm 50 un Jamila</t>
  </si>
  <si>
    <t>brochetas 45 cm Panama</t>
  </si>
  <si>
    <t>flores a pila</t>
  </si>
  <si>
    <t>flor artificial diseño Rosa</t>
  </si>
  <si>
    <t xml:space="preserve">kit de bicicletas </t>
  </si>
  <si>
    <t>bombin metalico bicicletas Kolm</t>
  </si>
  <si>
    <t>bombin metalico bicicletas Panama 23041</t>
  </si>
  <si>
    <t>parches bicicleta chico</t>
  </si>
  <si>
    <t xml:space="preserve">parches bicicleta grande </t>
  </si>
  <si>
    <t>tubo pegamento bicicleta 2</t>
  </si>
  <si>
    <t>tubo pegamento bicicleta 20ml</t>
  </si>
  <si>
    <t>tubo pegamento 7ml</t>
  </si>
  <si>
    <t>tubo pegamento 3 gr Chemmer (Isben)</t>
  </si>
  <si>
    <t>tubo pegamento 3 gr Chemmer (Comercial Oriente)</t>
  </si>
  <si>
    <t>detector de billetes falsos</t>
  </si>
  <si>
    <t xml:space="preserve">electroshok </t>
  </si>
  <si>
    <t xml:space="preserve">tortugas decoración </t>
  </si>
  <si>
    <t>adaptador de auto</t>
  </si>
  <si>
    <t>tripode articulado celular</t>
  </si>
  <si>
    <t>porta celular bicicleta Comercializadora Oriente</t>
  </si>
  <si>
    <t>porta celulares auto articulado</t>
  </si>
  <si>
    <t>porta celulares auto fijo</t>
  </si>
  <si>
    <t>porta celulares auto fijo (lado Gato Felix)</t>
  </si>
  <si>
    <t>porta celulares auto articulado Naipa</t>
  </si>
  <si>
    <t>porta celulares auto articulado Naipa 2</t>
  </si>
  <si>
    <t>porta celulares auto con iman Naipa 1</t>
  </si>
  <si>
    <t>porta celulares auto con iman Naipa 2</t>
  </si>
  <si>
    <t>porta celular flexible cuello</t>
  </si>
  <si>
    <t>llaveros tralalero Ottimo</t>
  </si>
  <si>
    <t xml:space="preserve">llaveros astronauta </t>
  </si>
  <si>
    <t>llaveros Hello Kitty y Kuromi</t>
  </si>
  <si>
    <t>llaveros muñeca bebe</t>
  </si>
  <si>
    <t>llaveros con brillo OK Accesories</t>
  </si>
  <si>
    <t>pulsera con brillo diseños Keke</t>
  </si>
  <si>
    <t xml:space="preserve">porta lapices metalico </t>
  </si>
  <si>
    <t>led para casco de moto</t>
  </si>
  <si>
    <t>pinzas para cejas Chillan</t>
  </si>
  <si>
    <t xml:space="preserve">guantes de vinilo </t>
  </si>
  <si>
    <t>guantes de vinilo 1 unidad</t>
  </si>
  <si>
    <t>guantes de vinilo par</t>
  </si>
  <si>
    <t>cinta doble faz</t>
  </si>
  <si>
    <t>cinta doble faz 18mm Lavoro</t>
  </si>
  <si>
    <t>cinta doble faz 24mm Lavoro</t>
  </si>
  <si>
    <t>cinta doble faz (Matias)</t>
  </si>
  <si>
    <t>cinta doble faz (Isben) 1era compra</t>
  </si>
  <si>
    <t>cinta doble faz (Isben) 2da compra</t>
  </si>
  <si>
    <t>agua oxigenada 10 vol  55cc</t>
  </si>
  <si>
    <t>alcohol 60 ml</t>
  </si>
  <si>
    <t>acetona 60 ml</t>
  </si>
  <si>
    <t>acetona 60 ml Imp. Gabriela</t>
  </si>
  <si>
    <t>quita esmalte 40 cc Imp. Gabriela</t>
  </si>
  <si>
    <t>quita esmalte 40 cc</t>
  </si>
  <si>
    <t>algodon petalos 50un Hiper Asia</t>
  </si>
  <si>
    <t>algodon petalos 80 un</t>
  </si>
  <si>
    <t>algodon petalos 80 un Imp. Gabriela</t>
  </si>
  <si>
    <t>algodon prensado</t>
  </si>
  <si>
    <t>algodon prensado 50 g Topcare</t>
  </si>
  <si>
    <t>algodon 250 gr Javier Farias</t>
  </si>
  <si>
    <t>talco con oxido de zinc</t>
  </si>
  <si>
    <t>talco pies 200 gr FamSet</t>
  </si>
  <si>
    <t>jeringa 3 ml</t>
  </si>
  <si>
    <t>jeringa 10 ml</t>
  </si>
  <si>
    <t>gasas5 x 5 cm</t>
  </si>
  <si>
    <t>gasas5 x 5 cm caja 50 un</t>
  </si>
  <si>
    <t>gasas 7,5 x 7,5 cm unidad</t>
  </si>
  <si>
    <t>gasas 7,5 x 7,5 cm caja 24 un</t>
  </si>
  <si>
    <t>ketoprofeno 50 mg 20 un (Laboratorio Milab)</t>
  </si>
  <si>
    <t>ketoprofeno 50 mg 1 un</t>
  </si>
  <si>
    <t>ketoprofeno 50 mg 20 un. (Laboratorio Chile)</t>
  </si>
  <si>
    <t>clonixinato de lisina Colmax 125 mg 10 un</t>
  </si>
  <si>
    <t>pastilla carbon 10 un</t>
  </si>
  <si>
    <t>pastilla carbon 1 un</t>
  </si>
  <si>
    <t>oblea china (resfrios) 1 un</t>
  </si>
  <si>
    <t>oblea china (resfrios) 5 un</t>
  </si>
  <si>
    <t>mentolatum 12 gr</t>
  </si>
  <si>
    <t xml:space="preserve">agua micelar garnier 100 ml </t>
  </si>
  <si>
    <t>bloqueador leblon 50 gr</t>
  </si>
  <si>
    <t>protector Simonds 50 ml</t>
  </si>
  <si>
    <t>bloqueador Simonds 190 ml</t>
  </si>
  <si>
    <t>bloqueador Rayito de Sol 190 ml</t>
  </si>
  <si>
    <t>tapsin limonada dia</t>
  </si>
  <si>
    <t>tapsin limonada noche</t>
  </si>
  <si>
    <t>pomada wira sasha blanca</t>
  </si>
  <si>
    <t>pomada cervicales anestecico local</t>
  </si>
  <si>
    <t>pomada eucalipto</t>
  </si>
  <si>
    <t>pomada tos bronquial</t>
  </si>
  <si>
    <t>pomada cannabis</t>
  </si>
  <si>
    <t>pomada vitaminica VitaPovin 20 gr</t>
  </si>
  <si>
    <t>pomada Nenegloss 20 gr</t>
  </si>
  <si>
    <t>cinta huincha aisladora Isben</t>
  </si>
  <si>
    <t>cinta huincha aisladora Matias</t>
  </si>
  <si>
    <t>toldo 3 x 3 10 un</t>
  </si>
  <si>
    <t>toldo 3 x 3 (Comercial Oriente) 6 un 15-11-25</t>
  </si>
  <si>
    <t>toldo 3 x 3 Filtro UV (Comercial Oriente) 3 un 14-02-25</t>
  </si>
  <si>
    <t>toldo 3 x 3 Filtro UV (Comercial Oriente) 3 un 21-11-24</t>
  </si>
  <si>
    <t>toldo 3 x 3 (Comercial Oriente) 5 un 28-8-24</t>
  </si>
  <si>
    <t>toldo 3 x 3 (Comercial Oriente) 7 un</t>
  </si>
  <si>
    <t>toldo 3 x 3 (Comercial Oriente) 3 un</t>
  </si>
  <si>
    <t>toldo 3 x 3 Filtro UV (Comercial Oriente) 5 un</t>
  </si>
  <si>
    <t>toldo 3 x 3 (Naipa Talca) 2 un</t>
  </si>
  <si>
    <t>techo toldo UV 3 x 3</t>
  </si>
  <si>
    <t>techo toldo UV 3 x 3 Naipa</t>
  </si>
  <si>
    <t>techo toldo 3 x 3</t>
  </si>
  <si>
    <t>lateral toldo cerrado 3 x 3</t>
  </si>
  <si>
    <t>lateral toldo ventana 3 x 3</t>
  </si>
  <si>
    <t>lona 3x4 Comerc. Oriente</t>
  </si>
  <si>
    <t>lona 5x6 Comerc. Oriente</t>
  </si>
  <si>
    <t>quitasol UV 2,10 mt 2024</t>
  </si>
  <si>
    <t>quitasol UV 2,10 mt 2023</t>
  </si>
  <si>
    <t>antena hd tv digital 5 mt</t>
  </si>
  <si>
    <t>antena hd tv digital 5 mt (Comercializadora Oriente)</t>
  </si>
  <si>
    <t>soporte TV articulado 14" a 55"</t>
  </si>
  <si>
    <t xml:space="preserve">soporte TV fijo 26" a 63" </t>
  </si>
  <si>
    <t>perfilador 6 un ShangriLa</t>
  </si>
  <si>
    <t>perfilador de cejas x 2un</t>
  </si>
  <si>
    <t>set perfilador 2 un Keke</t>
  </si>
  <si>
    <t>set perfilador 3 un Romantic Beauty</t>
  </si>
  <si>
    <t>set perfilador y pinza Panama</t>
  </si>
  <si>
    <t>set perfilador y pinza</t>
  </si>
  <si>
    <t>pastillero plastico hexagonal</t>
  </si>
  <si>
    <t>pastillero triple mañana-mediodia-tarde</t>
  </si>
  <si>
    <t>pastillero 4 divisiones semanal</t>
  </si>
  <si>
    <t>set 6 mini fuentes redondas plasticas Panama</t>
  </si>
  <si>
    <t>caja organizadora transparente</t>
  </si>
  <si>
    <t>caja organizadora transparente 14 lt</t>
  </si>
  <si>
    <t>bolso lonchera</t>
  </si>
  <si>
    <t>bombitas de agua con adaptador 100 un Jamila</t>
  </si>
  <si>
    <t>bombitas de agua 37 pzas</t>
  </si>
  <si>
    <t>bombitas de agua 37 pzas Com.Orte. 22-12-24</t>
  </si>
  <si>
    <t>bombitas de agua 111 pzas</t>
  </si>
  <si>
    <t>rodillo saca pelo</t>
  </si>
  <si>
    <t>vaso plastico color 4 un</t>
  </si>
  <si>
    <t>set vaso plastico color cara feliz 4 un</t>
  </si>
  <si>
    <t>vaso plastico color cara feliz</t>
  </si>
  <si>
    <t>labial brillo Hello Kitty</t>
  </si>
  <si>
    <t>labial brillo Hello Kitty tipo paleta helado</t>
  </si>
  <si>
    <t>sombras Sanrio (Kuromi-My Melody-Cinnamoroll-Pompompurin)</t>
  </si>
  <si>
    <t>sombras con espejo Romantic Beauty</t>
  </si>
  <si>
    <t>sombras maquillaje Naipa</t>
  </si>
  <si>
    <t>set brocha maquillaje Keke</t>
  </si>
  <si>
    <t>set labiales 4 un mariposa Romantic Beauty (12 set)</t>
  </si>
  <si>
    <t>Set labiales 12 un</t>
  </si>
  <si>
    <t>sombrilla</t>
  </si>
  <si>
    <t>revolvedor cafe a pilas</t>
  </si>
  <si>
    <t>revolvedor cafe doble recargable</t>
  </si>
  <si>
    <t>parasol aluminio grande</t>
  </si>
  <si>
    <t>cepillo secador 5 en 1 Ale Store CD2810 AS 660</t>
  </si>
  <si>
    <t>mini alisador ondulador</t>
  </si>
  <si>
    <t>rositas regalo pequeña</t>
  </si>
  <si>
    <t>rositas regalo grande</t>
  </si>
  <si>
    <t>cinta rosita regalo con borde dorado Isben</t>
  </si>
  <si>
    <t>cinta de regalo 1,8 cm</t>
  </si>
  <si>
    <t>cinta de regalo Jamila</t>
  </si>
  <si>
    <t>camara go pro 4k con carcasa</t>
  </si>
  <si>
    <t>pantys nylon chinos</t>
  </si>
  <si>
    <t>pantys nylon Caffarena corriente</t>
  </si>
  <si>
    <t>pantys nylon elasticada Fanny</t>
  </si>
  <si>
    <t>pantys blanca niña</t>
  </si>
  <si>
    <t>balde plastico con manilla</t>
  </si>
  <si>
    <t>toma presion digital</t>
  </si>
  <si>
    <t>pita 50 gr colores</t>
  </si>
  <si>
    <t>set 10 ganchos colgador ropa Shangrila</t>
  </si>
  <si>
    <t>set 10 ganchos colgador ropa</t>
  </si>
  <si>
    <t>set 10 ganchos colgador ropa Isben</t>
  </si>
  <si>
    <t>set 10 ganchos ropa</t>
  </si>
  <si>
    <t>cuerda soga 10 mt delgada</t>
  </si>
  <si>
    <t>cuerda soga 10 mt gruesa</t>
  </si>
  <si>
    <t>aspiradora de mano 3 en 1</t>
  </si>
  <si>
    <t>candado normal 32 mm</t>
  </si>
  <si>
    <t>candado normal 38 mm</t>
  </si>
  <si>
    <t>candado seguridad 40 mm</t>
  </si>
  <si>
    <t>candado seguridad 40 mm ShangriLa</t>
  </si>
  <si>
    <t>candado seguridad 50 mm ShangriLa</t>
  </si>
  <si>
    <t>candado seguridad 50 mm</t>
  </si>
  <si>
    <t>candado seguridad 50 mm Naipa</t>
  </si>
  <si>
    <t>candado seguridad 60 mm</t>
  </si>
  <si>
    <t>paraguas cartera 90 cm</t>
  </si>
  <si>
    <t>ruleta chupistica</t>
  </si>
  <si>
    <t>chispero con extension Naipa</t>
  </si>
  <si>
    <t>chispero retractil grande Naipa</t>
  </si>
  <si>
    <t>chispero retractil grande Don Remate</t>
  </si>
  <si>
    <t>chip prepago Entel</t>
  </si>
  <si>
    <t>guatero funda polar 2 lt ShangriLa</t>
  </si>
  <si>
    <t>guatero funda polar 2 lt</t>
  </si>
  <si>
    <t>poruña grande plastica</t>
  </si>
  <si>
    <t>laser puntero verde Naipa</t>
  </si>
  <si>
    <t>laser puntero verde Javier</t>
  </si>
  <si>
    <t>cable bateria 800 amp.</t>
  </si>
  <si>
    <t>monedero doble cierre Liuyi</t>
  </si>
  <si>
    <t>monedero doble cierre tornasol Liuyi</t>
  </si>
  <si>
    <t>monedero y billetera corazon Liuyi</t>
  </si>
  <si>
    <t>monedero hombre</t>
  </si>
  <si>
    <t>monedero brillante</t>
  </si>
  <si>
    <t>chupete mamadera</t>
  </si>
  <si>
    <t>mamadera 150 ml</t>
  </si>
  <si>
    <t>mamadera 250 ml</t>
  </si>
  <si>
    <t>argolla llavero c/cadena 30 mm</t>
  </si>
  <si>
    <t>porta credencial astronauta</t>
  </si>
  <si>
    <t>guirnalda Feliz Cumpleaños negro-dorado Super Feliz</t>
  </si>
  <si>
    <t>guirnalda Feliz Cumpleaños colores Super Feliz</t>
  </si>
  <si>
    <t>guirnalda Feliz Cumpleaños colores niño Super Feliz</t>
  </si>
  <si>
    <t>guirnalda Feliz Cumpleaños colores con brillo Super Feliz</t>
  </si>
  <si>
    <t>bolsa de cubo 100 un</t>
  </si>
  <si>
    <t>set 6 potes plasticos colores</t>
  </si>
  <si>
    <t>set fuentes plasticas</t>
  </si>
  <si>
    <t>guante pelo mascota</t>
  </si>
  <si>
    <t>cuadro foto 15x20 (café-plomo)</t>
  </si>
  <si>
    <t>cuadro foto 20x30 (café-plomo)</t>
  </si>
  <si>
    <t>cuadro foto A4 café tradicional</t>
  </si>
  <si>
    <t>cuadro foto A4 café tradicional Shangrila</t>
  </si>
  <si>
    <t>cuadro foto A4 plateado 21x29,7</t>
  </si>
  <si>
    <t>cuadro foto diseños colores (corazon)</t>
  </si>
  <si>
    <t>cuadro foto diseños colores (mariposa)</t>
  </si>
  <si>
    <t>cuadro foto diseños colores (familia)</t>
  </si>
  <si>
    <t>alarma de puerta y ventana ShangriLa</t>
  </si>
  <si>
    <t>set tintura de pelo Comerc. Oriente</t>
  </si>
  <si>
    <t>set tintura de pelo</t>
  </si>
  <si>
    <t>jarro plastico medidor</t>
  </si>
  <si>
    <t>pinta caritas tipo lapiz 6 un (Chillan)</t>
  </si>
  <si>
    <t>pinta caritas tipo lapiz 12 un ShangriLa</t>
  </si>
  <si>
    <t>rejilla lavaplatos 5 un</t>
  </si>
  <si>
    <t>vaso starbucks chico colores con bombilla Javier</t>
  </si>
  <si>
    <t>vaso starbucks mediano colores con bombilla Comerc. Oriente</t>
  </si>
  <si>
    <t>vaso starbucks grande colores con bombilla Javier</t>
  </si>
  <si>
    <t>bastidor 40x40</t>
  </si>
  <si>
    <t>set cautin soldador 60 watt</t>
  </si>
  <si>
    <t>abanico Shangrila</t>
  </si>
  <si>
    <t>abanico con brillo Naipa</t>
  </si>
  <si>
    <t>ampolleta H7 Kolm</t>
  </si>
  <si>
    <t>ballast repuesto 9 a 18 watt Kolm</t>
  </si>
  <si>
    <t>jockey caballos Modalina</t>
  </si>
  <si>
    <t>jockey niño Imp. Conejo</t>
  </si>
  <si>
    <t>jockey adulto Imp. Conejo</t>
  </si>
  <si>
    <t>banano Imp. Conejo</t>
  </si>
  <si>
    <t>bolso hombre Imp. Conejo</t>
  </si>
  <si>
    <t>bolso mujer Imp. Conejo</t>
  </si>
  <si>
    <t>azucarero vidrio con tapa osito y cuchara Don Remate</t>
  </si>
  <si>
    <t>amarra plastica 3 x 150 mm Comerc. Oriente</t>
  </si>
  <si>
    <t>juego 6 vasos vidrio 296 ml G-Horse Javier Farias</t>
  </si>
  <si>
    <t>multimetro tester Naipa</t>
  </si>
  <si>
    <t>posa vaso tortuga tik tok Comerc. Oriente</t>
  </si>
  <si>
    <t>conejo</t>
  </si>
  <si>
    <t>Estacas solares</t>
  </si>
  <si>
    <t>pajaro azul</t>
  </si>
  <si>
    <t>buho</t>
  </si>
  <si>
    <t xml:space="preserve">gorrion </t>
  </si>
  <si>
    <t xml:space="preserve">ardilla </t>
  </si>
  <si>
    <t>loro</t>
  </si>
  <si>
    <t>flores solares</t>
  </si>
  <si>
    <t>estaca palmera / esfera</t>
  </si>
  <si>
    <t xml:space="preserve">lampara de gatos </t>
  </si>
  <si>
    <t>unicornio luna</t>
  </si>
  <si>
    <t>colgantes solares</t>
  </si>
  <si>
    <t>colgantes solares colibri y libelula</t>
  </si>
  <si>
    <t>colgantes solares hoja blanca</t>
  </si>
  <si>
    <t>corchos hada solares blanca y color</t>
  </si>
  <si>
    <t xml:space="preserve">colgante elefante  campana </t>
  </si>
  <si>
    <t>piña solar</t>
  </si>
  <si>
    <t>antorcha solar Naipa</t>
  </si>
  <si>
    <t>planeta</t>
  </si>
  <si>
    <t>humidificadores</t>
  </si>
  <si>
    <t xml:space="preserve">espanta cuco ballena </t>
  </si>
  <si>
    <t xml:space="preserve">infantil </t>
  </si>
  <si>
    <t xml:space="preserve">tipo diamante </t>
  </si>
  <si>
    <t xml:space="preserve">esencias para humidificador </t>
  </si>
  <si>
    <t xml:space="preserve">velas chicas aromáticas </t>
  </si>
  <si>
    <t>audifonos zapatillas Nike Liquidadora Popin</t>
  </si>
  <si>
    <t>electrónica menor</t>
  </si>
  <si>
    <t>audifonos M10</t>
  </si>
  <si>
    <t>audifonos M10 Don Balato</t>
  </si>
  <si>
    <t>audifonos M20 Don Balato</t>
  </si>
  <si>
    <t>audifonos M20</t>
  </si>
  <si>
    <t>audifonos M25</t>
  </si>
  <si>
    <t>audifonos M27 Don Balato</t>
  </si>
  <si>
    <t>audifonos M88 Plus con cargador</t>
  </si>
  <si>
    <t>audifonos MZ14</t>
  </si>
  <si>
    <t>audifonos F20</t>
  </si>
  <si>
    <t>audifonos G11</t>
  </si>
  <si>
    <t>audifonos ultrapods Don Balato</t>
  </si>
  <si>
    <t>audifonos i12 FG-33 colores Comerc. Oriente (entrada Iphone)</t>
  </si>
  <si>
    <t>audifono OWS T2 (tipo bola) Pichong</t>
  </si>
  <si>
    <t>audifono SL-E5S Solma Don Remate</t>
  </si>
  <si>
    <t>audifono con cable Naipa</t>
  </si>
  <si>
    <t>audifono con cable amarillo Kolm</t>
  </si>
  <si>
    <t>audifono P47</t>
  </si>
  <si>
    <t>audifono P47 orejas con luz</t>
  </si>
  <si>
    <t>audifono Billboard</t>
  </si>
  <si>
    <t>audifono sport con orejera rojo Billboard</t>
  </si>
  <si>
    <t>audifono con carcasa infantil (Spiderman-Mickey-Kuromi-Mario Bros) Facturador</t>
  </si>
  <si>
    <t>tarjeta memoria SD 4 GB c/adaptador Don Remate</t>
  </si>
  <si>
    <t>pendrive Kingston 32GB PC Factory</t>
  </si>
  <si>
    <t>pendrive Maxell 16 GB</t>
  </si>
  <si>
    <t>pendrive 4 gb Kolm</t>
  </si>
  <si>
    <t>pendrive 8 GB diseños Kolm</t>
  </si>
  <si>
    <t>pendrive llavero 64 GB en caja plateado</t>
  </si>
  <si>
    <t>cable auxiliar audio 3,5</t>
  </si>
  <si>
    <t>cable auxiliar</t>
  </si>
  <si>
    <t>cable auxiliar 1,5 mt Kolm</t>
  </si>
  <si>
    <t>cable auxiliar 1,5 mt Kouvolsen stereo M2-070 Don Remate</t>
  </si>
  <si>
    <t>cable C a Iphone Dong Xu (Freddy)</t>
  </si>
  <si>
    <t>cable de C a C Solma SL-C232 1 mt 80 w Ale Store 1258</t>
  </si>
  <si>
    <t>cable de C a C 60w Solma A2795 Don Remate</t>
  </si>
  <si>
    <t>cable de C a C 68w Solma SL-C 195 Don Remate</t>
  </si>
  <si>
    <t>cable tipo C</t>
  </si>
  <si>
    <t>cable tipo C Kolm</t>
  </si>
  <si>
    <t>cable tipo C 1mt 6A Don Remate</t>
  </si>
  <si>
    <t>cable tipo C en bolsa 6A Solma SL-C214 Naipa</t>
  </si>
  <si>
    <t>cable USB a C 6A Solma SL-C255 Don Remate</t>
  </si>
  <si>
    <t>cable para Iphone Tasbel Don Remate</t>
  </si>
  <si>
    <t>cable para Iphone Don Remate</t>
  </si>
  <si>
    <t>cable Iphone tipo C Kolm 5A</t>
  </si>
  <si>
    <t>cable iPhone blanco Kolm en caja</t>
  </si>
  <si>
    <t>cable iPhone blanco</t>
  </si>
  <si>
    <t>cable iPhone colores carga rapida</t>
  </si>
  <si>
    <t>cable iPhone retractil</t>
  </si>
  <si>
    <t>cable Iphone USB Mana Electronica</t>
  </si>
  <si>
    <t>cable 5 pin cable plano Don Remate</t>
  </si>
  <si>
    <t>cable 5 pin 1 mt</t>
  </si>
  <si>
    <t>cable 5 pin 3 mt</t>
  </si>
  <si>
    <t>cable 5 pin Duracell Kolm</t>
  </si>
  <si>
    <t>cable 5 pin espiral Kolm</t>
  </si>
  <si>
    <t>cable HDMI 1,5 mt negro y rojo</t>
  </si>
  <si>
    <t xml:space="preserve">bateria multicargador con linterna </t>
  </si>
  <si>
    <t>bateria emergencia 2 USB y 1 tipo C</t>
  </si>
  <si>
    <t>cargador solar multiple 3 watt</t>
  </si>
  <si>
    <t>cargador solar y linterna (rincon solar)</t>
  </si>
  <si>
    <t>cargador solar y linterna con brujula Naipa (azul)</t>
  </si>
  <si>
    <t>cargador inalambrico 3 puertos USB c/linterna</t>
  </si>
  <si>
    <t>cargador para pilas 18650 solar</t>
  </si>
  <si>
    <t>cinta led bluetooth 5 mt control remoto Tasbel Ale Store 21152</t>
  </si>
  <si>
    <t>cinta led bluetooth</t>
  </si>
  <si>
    <t>enchufe USB tipo C (color)</t>
  </si>
  <si>
    <t>cargador con enchufe tipo  color</t>
  </si>
  <si>
    <t>cargador con enchufe tipo C cargador color</t>
  </si>
  <si>
    <t>cargador con enchufe tipo C cable color</t>
  </si>
  <si>
    <t>cargador solo caja blanca</t>
  </si>
  <si>
    <t>cargador solo caja blanca Comercializadora Oriente</t>
  </si>
  <si>
    <t>cargador solo caja colores Naipa</t>
  </si>
  <si>
    <t>cargador solo caja C 60w Solma 14 Pro Max  MHJE3ZM/A Don Remate</t>
  </si>
  <si>
    <t>mouse gamer V01 con luz con cable Comerc. Oriente 1</t>
  </si>
  <si>
    <t>mouse gamer V01 con luz con cable Comerc. Oriente 2</t>
  </si>
  <si>
    <t>mouse optico MOG-200 white Bluemix con cable</t>
  </si>
  <si>
    <t>mouse optico inalambrico</t>
  </si>
  <si>
    <t>mouse inalambrico BT GMJ Comerc. Oriente</t>
  </si>
  <si>
    <t>teclado standard USB silencioso</t>
  </si>
  <si>
    <t>cable cargador taladro Total</t>
  </si>
  <si>
    <t>cable 3 en 1</t>
  </si>
  <si>
    <t>adaptador enchufe americano</t>
  </si>
  <si>
    <t>triple enchufe</t>
  </si>
  <si>
    <t>aro de luz con tripode</t>
  </si>
  <si>
    <t>mini aro de luz</t>
  </si>
  <si>
    <t>cargador celular y bluetooth digital tipo cenicero Don Remate</t>
  </si>
  <si>
    <t>cargador celular para auto 4 puertos Kolm</t>
  </si>
  <si>
    <t>cargador celular triple para auto</t>
  </si>
  <si>
    <t>cargador celular doble para auto Don Balato</t>
  </si>
  <si>
    <t>cargador con cable tipo C y 2 puertos USB</t>
  </si>
  <si>
    <t>cargador caja y cable iphone 60 w Solma en caja Naipa</t>
  </si>
  <si>
    <t>cargador caja y cable tipo de C a C 50 w Solma en caja Naipa</t>
  </si>
  <si>
    <t>cargador caja y cable tipo de C y USB 120 w Solma en caja Naipa</t>
  </si>
  <si>
    <t>cargador caja y cable tipo de C y USB 120 w Solma SL-181 Don Remate</t>
  </si>
  <si>
    <t>cargador caja y cable tipo de C a C 25 w Solma en caja Don Remate</t>
  </si>
  <si>
    <t>cargador doble caja USB y C y cable C a C 100w Solma SL-CH200 Don Remate</t>
  </si>
  <si>
    <t>cargador caja C y cable C a C 120w Solma SL-120w Don Remate</t>
  </si>
  <si>
    <t>cargador doble caja USB y cable USB-V8 5,8A Solma SL-172 Don Remate</t>
  </si>
  <si>
    <t>cargador caja C y cable C a Iphone 60w Solma SL-179 Don Remate</t>
  </si>
  <si>
    <t>arpillera 33 x 33</t>
  </si>
  <si>
    <t xml:space="preserve">Escolares </t>
  </si>
  <si>
    <t>arpillera 50 x 50 colores</t>
  </si>
  <si>
    <t>arpillera 50 x 50 natural</t>
  </si>
  <si>
    <t>arpillera 50 x 50</t>
  </si>
  <si>
    <t>arpillera 50 x 100</t>
  </si>
  <si>
    <t>arpillera 100 x 100</t>
  </si>
  <si>
    <t>lija escolar 4 un Jamila</t>
  </si>
  <si>
    <t>set billetes y monedas Chile Jamila</t>
  </si>
  <si>
    <t>paja de pascua Super Feliz</t>
  </si>
  <si>
    <t xml:space="preserve">ojitos 12 unidades blanco y negro </t>
  </si>
  <si>
    <t>ojitos locos Kami Jamila</t>
  </si>
  <si>
    <t>ojos colores 76 un Torre</t>
  </si>
  <si>
    <t>ojos blancos y negros 150 un</t>
  </si>
  <si>
    <t>ojitos negro Super Feliz</t>
  </si>
  <si>
    <t>ojos con pestañas 3 medidas Super Feliz</t>
  </si>
  <si>
    <t xml:space="preserve">pistola de silicona negra </t>
  </si>
  <si>
    <t>pistola de silicona azul</t>
  </si>
  <si>
    <t>pistola de silicona azul Naipa</t>
  </si>
  <si>
    <t>pistola de silicona azul Tasbel Don Remate</t>
  </si>
  <si>
    <t>pistola de silicona azul Tesco</t>
  </si>
  <si>
    <t>papel lustre fajo pequeño BlueMIx</t>
  </si>
  <si>
    <t>papel lustre fajo pequeño Halley Jamila ($2,170 25 un)</t>
  </si>
  <si>
    <t>papel lustre fajo grande 16x16 24 hjs Arte Top Jamila</t>
  </si>
  <si>
    <t>papel lustre grande Block 16x16</t>
  </si>
  <si>
    <t>set papel lustre 24 pliegos Halley</t>
  </si>
  <si>
    <t>set papel lustre 24 pliegos Fultons</t>
  </si>
  <si>
    <t>lupa</t>
  </si>
  <si>
    <t>greda</t>
  </si>
  <si>
    <t>greda Jamila 1</t>
  </si>
  <si>
    <t>greda Jamila 2</t>
  </si>
  <si>
    <t>greda Jamila 3</t>
  </si>
  <si>
    <t>arcilla Jamila</t>
  </si>
  <si>
    <t>arcilla Jamila 2</t>
  </si>
  <si>
    <t xml:space="preserve">arcilla </t>
  </si>
  <si>
    <t>masa Das 1/2 kg blanca BlueMix</t>
  </si>
  <si>
    <t>cinta reflectante amarilla Naipa</t>
  </si>
  <si>
    <t>cinta ploma multiproposito mediana</t>
  </si>
  <si>
    <t>cinta ploma multiproposito grande</t>
  </si>
  <si>
    <t xml:space="preserve">cinta embalaje transparente </t>
  </si>
  <si>
    <t>cinta embalaje transparente 30 mt Jamila 3</t>
  </si>
  <si>
    <t>cinta embalaje transparente 30 mt Jamila 2</t>
  </si>
  <si>
    <t>cinta embalaje transparente 30 mt Jamila 1</t>
  </si>
  <si>
    <t>cinta embalaje transparente 40 mt Jamila</t>
  </si>
  <si>
    <t>cinta embalaje transparente 100 mt Jamila</t>
  </si>
  <si>
    <t>cinta embalaje grande Naipa</t>
  </si>
  <si>
    <t>cinta embalaje grande 200 mt Comerc. Oriente</t>
  </si>
  <si>
    <t>cinta masking tape delgada 12x20 Directo Chile</t>
  </si>
  <si>
    <t>cinta masking tape delgada Isben Talca</t>
  </si>
  <si>
    <t>cinta masking tape delgada</t>
  </si>
  <si>
    <t>cinta masking tape pequeña</t>
  </si>
  <si>
    <t>cinta masking tape mediana</t>
  </si>
  <si>
    <t>cinta masking tape mediana 18x20 Directo Chile</t>
  </si>
  <si>
    <t>cinta masking tape mediana 24x20 Directo Chile</t>
  </si>
  <si>
    <t>cinta masking tape mediana Isben</t>
  </si>
  <si>
    <t>cinta masking tape mediana Naipa</t>
  </si>
  <si>
    <t>cinta masking tape mediana 36x20 Ottimo</t>
  </si>
  <si>
    <t>cinta masking tape mediana 36x40 BlueMix</t>
  </si>
  <si>
    <t xml:space="preserve">cinta masking tape grande </t>
  </si>
  <si>
    <t>cinta masking tape grande 48x30 Meidi Make</t>
  </si>
  <si>
    <t>cinta masking tape grande 48x20 Directo Chile</t>
  </si>
  <si>
    <t>cinta masking tape grande 48x40 BlueMix</t>
  </si>
  <si>
    <t>cinta satin 0,7cm 1mt</t>
  </si>
  <si>
    <t>cinta satin 0,7 cm 50 mt</t>
  </si>
  <si>
    <t>cinta satin 1 cm 1 mt</t>
  </si>
  <si>
    <t>cinta satin 1 cm 50 mt</t>
  </si>
  <si>
    <t>cinta satin 1 cm c/borde dorado 1 mt</t>
  </si>
  <si>
    <t>cinta satin 1 cm c/borde dorado 22 mt lila</t>
  </si>
  <si>
    <t>cinta satin 1 cm c/borde dorado 50 mt</t>
  </si>
  <si>
    <t>cinta satin 1,6 cm 10 mt</t>
  </si>
  <si>
    <t>cinta satin 1,6 cm 1 mt</t>
  </si>
  <si>
    <t>cinta satin 1,8 cm 10 mt</t>
  </si>
  <si>
    <t>cinta satin 1,8 cm con borde dorado 1 mt</t>
  </si>
  <si>
    <t>cinta satin 1,8 cm con borde dorado 50 mt</t>
  </si>
  <si>
    <t>cinta satin 2 cm 10 mt</t>
  </si>
  <si>
    <t>cinta satin 2 cm damasco con rayas 1 mt</t>
  </si>
  <si>
    <t>cinta satin 2 cm 22 mt lila</t>
  </si>
  <si>
    <t>cinta satin 2 cm damasco con rayas 50 mt</t>
  </si>
  <si>
    <t>cinta satin 2,5 cm 22 mt Super Feliz</t>
  </si>
  <si>
    <t>cinta satin 2,5 cm 25 mt</t>
  </si>
  <si>
    <t>cinta satin 3,8 cm 10 mt (blanco-negro)</t>
  </si>
  <si>
    <t>cinta satin 3,8 cm 22 mt Super Feliz</t>
  </si>
  <si>
    <t>cinta satin 4 cm 20 mt</t>
  </si>
  <si>
    <t>cinta satin 4 cm 10 mt Rojo</t>
  </si>
  <si>
    <t>cinta satin 4 cm 10 mt</t>
  </si>
  <si>
    <t>cinta satin 4 cm 50 mt rojo</t>
  </si>
  <si>
    <t>cinta satin 5 cm 10 mt</t>
  </si>
  <si>
    <t>cinta satin 5 cm 1 mt</t>
  </si>
  <si>
    <t>cinta satin 5 cm 20 mt</t>
  </si>
  <si>
    <t>cinta satin lurex 10 mt</t>
  </si>
  <si>
    <t>cinta satin lurex 1 mt</t>
  </si>
  <si>
    <t>cinta tricolor 1,5 cm</t>
  </si>
  <si>
    <t>cinta tricolor N°9 - 4cm 10 mts</t>
  </si>
  <si>
    <t>velcro adhesivo 1 mt</t>
  </si>
  <si>
    <t>velcro 1 mt</t>
  </si>
  <si>
    <t>velcro 1/2 mt</t>
  </si>
  <si>
    <t>silicona liquida 100ml</t>
  </si>
  <si>
    <t>silicona liquida 100ml JM</t>
  </si>
  <si>
    <t>silicona liquida 100ml Arte Top</t>
  </si>
  <si>
    <t>silicona liquida 100ml Fultons</t>
  </si>
  <si>
    <t>silicona liquida 30cc Fultons</t>
  </si>
  <si>
    <t xml:space="preserve">silicona en barra transparente </t>
  </si>
  <si>
    <t>silicona en barra blanca Naipa</t>
  </si>
  <si>
    <t>silicona en barra blanca Stgo</t>
  </si>
  <si>
    <t>silicona en barra con brillo</t>
  </si>
  <si>
    <t>acuarela 12 colores</t>
  </si>
  <si>
    <t>tempera 6 colores con pincel ArteTop Jamila</t>
  </si>
  <si>
    <t>tempera 6 colores Proarte Jamila</t>
  </si>
  <si>
    <t>tempera 6 colores</t>
  </si>
  <si>
    <t>tempera 12 colores</t>
  </si>
  <si>
    <t>tempera 12 colores XL</t>
  </si>
  <si>
    <t>tempera 12 colores 20 ml + pincel Arte Top Jamila</t>
  </si>
  <si>
    <t>tempera 12+2 colores</t>
  </si>
  <si>
    <t>tempera 6 colores tela</t>
  </si>
  <si>
    <t>tempera 6 colores tela metalico</t>
  </si>
  <si>
    <t>tempera 6 colores tela pastel</t>
  </si>
  <si>
    <t>tempera 6 colores fluor</t>
  </si>
  <si>
    <t>tempera 6 colores metalica</t>
  </si>
  <si>
    <t>tempera 6 colores acrilica Artel Directo Chile</t>
  </si>
  <si>
    <t>tempera 6 colores acrilica brillante Gato Felix</t>
  </si>
  <si>
    <t>tempera 6 colores acrilica brillante</t>
  </si>
  <si>
    <t xml:space="preserve">kit electrico pequeño </t>
  </si>
  <si>
    <t xml:space="preserve">kit electrico mediano </t>
  </si>
  <si>
    <t>circuito electrico Kolm 2</t>
  </si>
  <si>
    <t>circuito electrico Kolm 1</t>
  </si>
  <si>
    <t>circuito electrico doble</t>
  </si>
  <si>
    <t>pasto para maqueta</t>
  </si>
  <si>
    <t>pasto para maqueta BlueMix</t>
  </si>
  <si>
    <t>pasto sintetico 20 x 25,5 Giorgio</t>
  </si>
  <si>
    <t>pasto sintetico 20 x 30</t>
  </si>
  <si>
    <t>palo maqueta redondo 6 mm 50 cm 4 un Jamila</t>
  </si>
  <si>
    <t>palo maqueta redondo 8 mm 50 cm 3 un Jamila</t>
  </si>
  <si>
    <t>palo maqueta 4x4 50 cm 7 un</t>
  </si>
  <si>
    <t>palo maqueta 4x4 50 cm 6 un</t>
  </si>
  <si>
    <t>palo maqueta 5x5 50 cm 5 un</t>
  </si>
  <si>
    <t>palo maqueta 7x7 50 cm 3 un</t>
  </si>
  <si>
    <t>palo maqueta 8x8 50 cm 3 un</t>
  </si>
  <si>
    <t>palillo maqueta mediano 4x4 mm (sin bolsa)</t>
  </si>
  <si>
    <t>palillo maqueta grande 6x6 mm 4 un</t>
  </si>
  <si>
    <t>palillo maqueta mediano 2x4 mm 8 un</t>
  </si>
  <si>
    <t>elastico 6mm 1 mt</t>
  </si>
  <si>
    <t>elastico 8mm 10 mts</t>
  </si>
  <si>
    <t>elastico 8mm 1 mt</t>
  </si>
  <si>
    <t>elastico 12mm 10 mts</t>
  </si>
  <si>
    <t>elastico 12mm 1 mt</t>
  </si>
  <si>
    <t>elastico 25 mm 1 mt</t>
  </si>
  <si>
    <t>elastico 30 mm 1 mt</t>
  </si>
  <si>
    <t>elastico 50 mm 1 mt</t>
  </si>
  <si>
    <t>set elastico cintura 1,5 x 90 cm 3 unidades (blanco y negro)</t>
  </si>
  <si>
    <t>elastico 50 gr BlueMix</t>
  </si>
  <si>
    <t>elastico 50 gr Jamila</t>
  </si>
  <si>
    <t>elastico 1/2 kg blanco Fultons Jamila</t>
  </si>
  <si>
    <t>perforador PM-20 silver 20 hj Isofit Jamila</t>
  </si>
  <si>
    <t>perforador mediano S-507 10 hj Selloffice</t>
  </si>
  <si>
    <t>perforador 20 hj 7445 MisterOffice</t>
  </si>
  <si>
    <t>perforador chico</t>
  </si>
  <si>
    <t>perforador 1 orificio ShangriLa</t>
  </si>
  <si>
    <t>huincha costurera 150 cm</t>
  </si>
  <si>
    <t>hilo economico</t>
  </si>
  <si>
    <t>hilo normal</t>
  </si>
  <si>
    <t>hilo caja 12 colores</t>
  </si>
  <si>
    <t>hilo caja 12 colores 1 un</t>
  </si>
  <si>
    <t>hilo caja 12 colores (Claudia)</t>
  </si>
  <si>
    <t>hilo caja 12 colores 1 un (Claudia)</t>
  </si>
  <si>
    <t>hilo bordar 8 mt 8 unidades</t>
  </si>
  <si>
    <t>hilo dorado-plateado Directo Chile</t>
  </si>
  <si>
    <t>set pompon rojo-lila Jamila</t>
  </si>
  <si>
    <t>set pompon negro-gris Jamila</t>
  </si>
  <si>
    <t>set pompon colores 25mm 36un Jamila</t>
  </si>
  <si>
    <t>set pompon pequeño brillante Super Feliz</t>
  </si>
  <si>
    <t>set pompon grande semi brillante Super Feliz</t>
  </si>
  <si>
    <t>set pompon grande brillante Super Feliz</t>
  </si>
  <si>
    <t>set pompon colores surtidos Super Feliz</t>
  </si>
  <si>
    <t>set lana con aguja lana</t>
  </si>
  <si>
    <t>set lana 5 colores + aguja lana plastica</t>
  </si>
  <si>
    <t>set lana 4 un</t>
  </si>
  <si>
    <t>set agujas happy home</t>
  </si>
  <si>
    <t>set 3 agujas metal de lana Giorgio</t>
  </si>
  <si>
    <t>set 4 agujas metal de lana Bluemix</t>
  </si>
  <si>
    <t>1 aguja plastica lana Directo Chile</t>
  </si>
  <si>
    <t>1 aguja plastica lana</t>
  </si>
  <si>
    <t>set 6 agujas plasticas lana</t>
  </si>
  <si>
    <t>set 10 agujas con enhebrador sobre rosado 1</t>
  </si>
  <si>
    <t>set 10 agujas con enhebrador sobre rosado 2</t>
  </si>
  <si>
    <t>set 10 agujas de maquina</t>
  </si>
  <si>
    <t>carrete plastico maquina coser</t>
  </si>
  <si>
    <t>carrete metal maquina coser</t>
  </si>
  <si>
    <t xml:space="preserve">dispensador cinta adhesiva </t>
  </si>
  <si>
    <t>cola fria 40 gr</t>
  </si>
  <si>
    <t>cola fria 120 gr</t>
  </si>
  <si>
    <t>cola fria 110 gr Fultons Jamila</t>
  </si>
  <si>
    <t>cola fria 225 gr Fultons Jamila</t>
  </si>
  <si>
    <t>cola fria 225 gr Fultons Blue Mix</t>
  </si>
  <si>
    <t>mini corchetera</t>
  </si>
  <si>
    <t>mini corchetera + corchetes Naipa</t>
  </si>
  <si>
    <t>mini corchetera + corchetes Shangrila</t>
  </si>
  <si>
    <t>mini corchetera + corchetes Ottimo</t>
  </si>
  <si>
    <t>corchetes 26/6 1000 un</t>
  </si>
  <si>
    <t>corchetes 26/6 1000 un Fultons</t>
  </si>
  <si>
    <t>corchetes 26/6 5000 un Fultons</t>
  </si>
  <si>
    <t>corchetes 26/6 5000 un Nuovo</t>
  </si>
  <si>
    <t>corchetes 26/6 5000 un</t>
  </si>
  <si>
    <t>set corchetera y corchetes Panama</t>
  </si>
  <si>
    <t>corchetera mediana metal 20 hjs Fultons Jamila</t>
  </si>
  <si>
    <t>corchetera grande 105-c</t>
  </si>
  <si>
    <t>alfileres de cabeza 50 uds</t>
  </si>
  <si>
    <t>alfileres de cabeza grande 40 uds (redondo) BlueMix</t>
  </si>
  <si>
    <t>alfileres sin cabeza 33 mm 50 gr</t>
  </si>
  <si>
    <t>alfiler de gancho numero 1</t>
  </si>
  <si>
    <t>alfiler de gancho numero 2</t>
  </si>
  <si>
    <t>alfiler de gancho</t>
  </si>
  <si>
    <t>pincel proArte 10.6.2</t>
  </si>
  <si>
    <t>pincel krearte 2.6.10</t>
  </si>
  <si>
    <t>pincel krearte 2.4.8</t>
  </si>
  <si>
    <t>pincel punta fina</t>
  </si>
  <si>
    <t>pincel punta fina 12 un</t>
  </si>
  <si>
    <t>set pincel punta fina 6 un (La Estrella)</t>
  </si>
  <si>
    <t>pincel numero 0</t>
  </si>
  <si>
    <t>pincel numero 2</t>
  </si>
  <si>
    <t>pincel numero 4</t>
  </si>
  <si>
    <t>pincel numero 6</t>
  </si>
  <si>
    <t>pincel numero 6 espatulado</t>
  </si>
  <si>
    <t>pincel numero 8</t>
  </si>
  <si>
    <t>pincel numero 10 espatulado</t>
  </si>
  <si>
    <t>pincel numero 10</t>
  </si>
  <si>
    <t>pincel numero 12 espatulado</t>
  </si>
  <si>
    <t>pincel numero 12</t>
  </si>
  <si>
    <t>pincel brocha 1" BlueMix</t>
  </si>
  <si>
    <t>set post it Kuromi BlueMix</t>
  </si>
  <si>
    <t>post it pequeño 25x50 mm</t>
  </si>
  <si>
    <t>post it banderitas fluorescentes 100hjs</t>
  </si>
  <si>
    <t>post it banderitas flechas Lavoro</t>
  </si>
  <si>
    <t>post it banderitas index Lavoro</t>
  </si>
  <si>
    <t>post it amarillo 76 x 76</t>
  </si>
  <si>
    <t>post it amarillo 76 x 76 Jamila</t>
  </si>
  <si>
    <t>post it 38 x 51</t>
  </si>
  <si>
    <t>post it 38 x 50</t>
  </si>
  <si>
    <t>post it gatitos</t>
  </si>
  <si>
    <t>set post it</t>
  </si>
  <si>
    <t>set post it world BlueMix</t>
  </si>
  <si>
    <t>set etiqueta escolar autoadhesiva</t>
  </si>
  <si>
    <t>etiqueta escolar autoadhesiva unidad</t>
  </si>
  <si>
    <t xml:space="preserve">corrector líquido </t>
  </si>
  <si>
    <t>corrector tipo lapiz Artel</t>
  </si>
  <si>
    <t>corrector tipo lapiz Fultons 1</t>
  </si>
  <si>
    <t>corrector tipo lapiz Fultons 2</t>
  </si>
  <si>
    <t>corrector tipo lapiz Huanyang Ottimo</t>
  </si>
  <si>
    <t>corrector cinta Sanrio Naipa</t>
  </si>
  <si>
    <t>repuesto portaminas 0.5</t>
  </si>
  <si>
    <t>minas 0.5 Fultons</t>
  </si>
  <si>
    <t>minas 0.5 Isofit</t>
  </si>
  <si>
    <t>repuesto portaminas 0.7</t>
  </si>
  <si>
    <t>minas 0.7 Fultons</t>
  </si>
  <si>
    <t>minas 0.7 Isofit</t>
  </si>
  <si>
    <t>minas 2.0</t>
  </si>
  <si>
    <t>minas 2.0 Lavoro</t>
  </si>
  <si>
    <t>portaminas 0.5</t>
  </si>
  <si>
    <t>portaminas 0.5 Lavoro</t>
  </si>
  <si>
    <t>portaminas 0.7</t>
  </si>
  <si>
    <t>portaminas 0.7 Lavoro</t>
  </si>
  <si>
    <t>portaminas 2.0</t>
  </si>
  <si>
    <t>portaminas 2.0 Lavoro</t>
  </si>
  <si>
    <t>broches metálicos 50 uds</t>
  </si>
  <si>
    <t>broches metálicos dorados 50 un</t>
  </si>
  <si>
    <t>broches metálicos dorados 50 un Fultons Jamila</t>
  </si>
  <si>
    <t>clips punta triángulo 100uds</t>
  </si>
  <si>
    <t>clips punta redonda 100uds</t>
  </si>
  <si>
    <t>clips punta redonda 100uds chinos</t>
  </si>
  <si>
    <t>clips colores 100uds</t>
  </si>
  <si>
    <t>accoclips plasticos colores y blanco 50 un</t>
  </si>
  <si>
    <t>accoclips metalico plateado 50 un</t>
  </si>
  <si>
    <t>push pins colores 50 un (carton) BlueMix</t>
  </si>
  <si>
    <t>push pins 50 un (carton) Fultons BlueMix</t>
  </si>
  <si>
    <t>push pins 50 un (carton) Fultons Jamila</t>
  </si>
  <si>
    <t>push pins colores 50 un (plastica)</t>
  </si>
  <si>
    <t>push pins colores pastel 40 un Ottimo</t>
  </si>
  <si>
    <t>chinches plateados</t>
  </si>
  <si>
    <t>chinches metalicos dorados 100 un Fultons Jamila</t>
  </si>
  <si>
    <t>goma de borrar pequeña pastel Giotto</t>
  </si>
  <si>
    <t>goma de borrar pequeña fluor Giotto</t>
  </si>
  <si>
    <t>goma de borrar pequeña animales-jungla Arte Top Jamila</t>
  </si>
  <si>
    <t>goma de borrar miga grande Fultons Jamila</t>
  </si>
  <si>
    <t>goma de borrar Factis 36R Directo Chile</t>
  </si>
  <si>
    <t>goma de borrar Factis S20 Directo Chile ($8,200 caja 20 un)</t>
  </si>
  <si>
    <t>goma de borrar Factis S20 Imp. Gabriela ($3,500 caja 20 un)</t>
  </si>
  <si>
    <t xml:space="preserve">goma de borrar 209-20 krearte </t>
  </si>
  <si>
    <t xml:space="preserve">goma de borrar 209-36 krearte </t>
  </si>
  <si>
    <t>goma de borrar miga 36</t>
  </si>
  <si>
    <t>goma de borrar miga mediana Adix</t>
  </si>
  <si>
    <t xml:space="preserve">termometro digital </t>
  </si>
  <si>
    <t>termometro digital tipo pistola</t>
  </si>
  <si>
    <t>mezclador pequeño 4 espacios Jamila</t>
  </si>
  <si>
    <t>mezclador pequeño 4 espacios</t>
  </si>
  <si>
    <t>mezclador 6 espacios BlueMix</t>
  </si>
  <si>
    <t>mezclador grande acuarela 10 espacios</t>
  </si>
  <si>
    <t>sacapunta Sanrio Kuromi-My Melody  Don Balato</t>
  </si>
  <si>
    <t>sacapunta metálico Comerc. Oriente</t>
  </si>
  <si>
    <t xml:space="preserve">sacapunta metálico </t>
  </si>
  <si>
    <t>sacapunta simple con tapa</t>
  </si>
  <si>
    <t>sacapunta doble con tapa color pastel Ale Store 2150</t>
  </si>
  <si>
    <t>sacapunta doble con tapa diseño dado Ale Store 1210/2105</t>
  </si>
  <si>
    <t>sacapunta doble con tapa Pax Jamila</t>
  </si>
  <si>
    <t>sacapunta doble con tapa Fultons Jamila</t>
  </si>
  <si>
    <t>sacapunta doble con tapa Bluemix</t>
  </si>
  <si>
    <t>sacapunta triple Comercial Unsport</t>
  </si>
  <si>
    <t>sacapunta triangular con deposito ProArte</t>
  </si>
  <si>
    <t>sacapunta con deposito ProArte</t>
  </si>
  <si>
    <t>sacapunta Jumbo Lyra</t>
  </si>
  <si>
    <t>sacapunta lego</t>
  </si>
  <si>
    <t>sacapunta doble simple y Jumbo con tapa Isben</t>
  </si>
  <si>
    <t>palos de helado color Krearte</t>
  </si>
  <si>
    <t>palos de helado color Proarte</t>
  </si>
  <si>
    <t>palos de helado color Fultons</t>
  </si>
  <si>
    <t>palos de helado color ArteTop</t>
  </si>
  <si>
    <t xml:space="preserve">palos de helado natural </t>
  </si>
  <si>
    <t>palos de helado natural Bluemix liquidacion</t>
  </si>
  <si>
    <t>palos de helado natural Fultons Jamila</t>
  </si>
  <si>
    <t>palos de helado natural Arte Top Jamila</t>
  </si>
  <si>
    <t>palos de helado natural Proarte Jamila</t>
  </si>
  <si>
    <t>palos de goma eva Glitter 48 un Arte Top</t>
  </si>
  <si>
    <t>palos de goma eva Jumbo 2x15cm Hiper Asia</t>
  </si>
  <si>
    <t>figuras goma eva numeros-dinosaurio-corazon-estrella Super Feliz</t>
  </si>
  <si>
    <t>figuras goma eva brillante Estrella-Flor Super Feliz</t>
  </si>
  <si>
    <t xml:space="preserve">stick fix barra 21 krearte </t>
  </si>
  <si>
    <t>stick fix barra 21 gr Lavoro Jamila 1</t>
  </si>
  <si>
    <t>stick fix barra 21 gr Lavoro Jamila 2</t>
  </si>
  <si>
    <t>stick fix barra 36 gr Lavoro</t>
  </si>
  <si>
    <t>timbres motivacionales</t>
  </si>
  <si>
    <t>timbres motivacional y entretenido Jamila</t>
  </si>
  <si>
    <t>lapices 6 colores corto Jumbo Lyra</t>
  </si>
  <si>
    <t>lapices 12 colores pastel graso</t>
  </si>
  <si>
    <t>lapices 12 colores pastel (La Estrella)</t>
  </si>
  <si>
    <t>lapices 12 colores pastel Lavoro Jamila</t>
  </si>
  <si>
    <t>lapices 12 colores metalicos</t>
  </si>
  <si>
    <t>lapices 12 colores largos Fultons Jamila</t>
  </si>
  <si>
    <t xml:space="preserve">lapices 12 colores largos Krearte </t>
  </si>
  <si>
    <t>lapices 12 colores largos + 2 grafito Isben</t>
  </si>
  <si>
    <t>lapices 12 colores largos + 3 grafito Faber Castell Jamila</t>
  </si>
  <si>
    <t>lapices 12 colores largos Jumbo</t>
  </si>
  <si>
    <t>lapices 12 colores largo triangular Jumbo + regalo</t>
  </si>
  <si>
    <t>lapices 12 colores cortos fluorescente</t>
  </si>
  <si>
    <t>lapices 24 colores largos fluorescente</t>
  </si>
  <si>
    <t>lapices scripto 12 colores Jumbo Krearte Bluemix</t>
  </si>
  <si>
    <t>lapices scripto 12 colores Jumbo Shangrila</t>
  </si>
  <si>
    <t>lapices scripto 12 colores Fultons</t>
  </si>
  <si>
    <t>lapices scripto 12 colores Ross</t>
  </si>
  <si>
    <t>lapices scripto 18 colores Dunamis Ragnar</t>
  </si>
  <si>
    <t>lapices scripto 12 colores estuche plastico</t>
  </si>
  <si>
    <t>lapices scripto 18 colores estuche plastico</t>
  </si>
  <si>
    <t>lapices scripto 12 colores estuche plastico Naipa</t>
  </si>
  <si>
    <t>lapices grafito Jumbo N2 Krearte</t>
  </si>
  <si>
    <t>lapices grafito Jumbo set 3 unidades</t>
  </si>
  <si>
    <t>set 8 lapiz grafito + 3 gomas borrar + sacapunta Lucero</t>
  </si>
  <si>
    <t xml:space="preserve">lapices bicolor </t>
  </si>
  <si>
    <t>lapices bicolor Jamila</t>
  </si>
  <si>
    <t>lapices bicolor Jumbo Isben</t>
  </si>
  <si>
    <t>lapiz grafito N2 fultons</t>
  </si>
  <si>
    <t>lapiz grafito hexagonal N2 c/goma</t>
  </si>
  <si>
    <t>lapiz grafito Ross</t>
  </si>
  <si>
    <t>lapiz grafito Fultons</t>
  </si>
  <si>
    <t>lapiz grafito carbon 701</t>
  </si>
  <si>
    <t>lapiz grafito carbon suave-medio-hard Hand Jamila</t>
  </si>
  <si>
    <t>lapiz pasta en caja Panama</t>
  </si>
  <si>
    <t>lapiz pasta BIC Jamila ($9.500 caja) 1</t>
  </si>
  <si>
    <t>lapiz pasta BIC Jamila ($7.980 caja) 2</t>
  </si>
  <si>
    <t>set lapiz pasta rojo-negro-azul</t>
  </si>
  <si>
    <t>lapiz pasta fino Doms Jamila</t>
  </si>
  <si>
    <t>lapiz pasta fino Inkjoy</t>
  </si>
  <si>
    <t>lapiz pasta medio Kilometrico</t>
  </si>
  <si>
    <t>lapiz pasta medio Jamila</t>
  </si>
  <si>
    <t>lapiz pasta rojo BlueMix</t>
  </si>
  <si>
    <t>lapiz pasta 4 colores Kuromi con luz</t>
  </si>
  <si>
    <t>lapiz pasta 10 colores Kuromi</t>
  </si>
  <si>
    <t>lapiz pasta neon 12 un Ragnar</t>
  </si>
  <si>
    <t>lapiz pasta gel glitters y neon 24 un</t>
  </si>
  <si>
    <t>lapiz pasta gel glitters 6 un Ottimo</t>
  </si>
  <si>
    <t>lapiz pasta gel glitters 6 un ShangriLa</t>
  </si>
  <si>
    <t>lapiz pasta tatuaje 6 un Shangrila</t>
  </si>
  <si>
    <t>lapiz pasta gel metalico 6 un 1era compra Isben</t>
  </si>
  <si>
    <t>lapiz pasta gel fluor 6 un 1era compra Isben</t>
  </si>
  <si>
    <t>lapiz pasta gel metalico 6 un 2da compra Isben</t>
  </si>
  <si>
    <t>lapiz pasta gel fluor 6 un 2da compra Isben</t>
  </si>
  <si>
    <t>lapiz pasta vintage gordo Comerc. Oriente</t>
  </si>
  <si>
    <t>lapiz magico 12 un outlinepen Ragnar</t>
  </si>
  <si>
    <t>lapiz acrilico 18 un Yulin Ragnar</t>
  </si>
  <si>
    <t>plumon oleo blanco Lavoro</t>
  </si>
  <si>
    <t>plumon pizarra pta redonda</t>
  </si>
  <si>
    <t>plumon pizarra pta redonda Fultons Jamila</t>
  </si>
  <si>
    <t>plumon pizarra pta redonda Isofit Jamila</t>
  </si>
  <si>
    <t>plumon pizarra pta biselada</t>
  </si>
  <si>
    <t>plumon permanente pta redonda</t>
  </si>
  <si>
    <t>plumon permanente pta redonda Jamila</t>
  </si>
  <si>
    <t>plumon permanente pta biselada</t>
  </si>
  <si>
    <t>plumon permanente fino</t>
  </si>
  <si>
    <t>plumon permanente fino BlueMix</t>
  </si>
  <si>
    <t>plumon permanente fino Lavoro Jamila</t>
  </si>
  <si>
    <t>plumon permanente fino doble punta Comerc. Oriente</t>
  </si>
  <si>
    <t>set plumon permanente fino 2 un</t>
  </si>
  <si>
    <t>set 12 plumones permanentes</t>
  </si>
  <si>
    <t>set 24 plumones permanentes ShangriLa</t>
  </si>
  <si>
    <t>tiralineas 0,4 negro Proarte</t>
  </si>
  <si>
    <t>tiralineas 0,5 negro Proarte</t>
  </si>
  <si>
    <t>tiralineas 12 colores Proarte</t>
  </si>
  <si>
    <t>tiralineas 0,4 color pastel Lavoro</t>
  </si>
  <si>
    <t>lapiz de cera jumbo</t>
  </si>
  <si>
    <t>lapiz de cera 12 colores Jumbo Fultons Jamila</t>
  </si>
  <si>
    <t>plasticina 10 colores Fultons</t>
  </si>
  <si>
    <t>plasticina redonda 12 colores Arte Top</t>
  </si>
  <si>
    <t>plasticina triangular 12 colores Ross</t>
  </si>
  <si>
    <t>plasticina 12 colores</t>
  </si>
  <si>
    <t>plasticina triangular 12 colores Isben</t>
  </si>
  <si>
    <t>cinta scotch 18mm 30mts (1era compra)</t>
  </si>
  <si>
    <t>cinta scotch 18mm 30mts</t>
  </si>
  <si>
    <t>cinta scotch 18mm 30mts Directo Chile</t>
  </si>
  <si>
    <t>cinta scotch 18mm 30mts PALA Jamila 3</t>
  </si>
  <si>
    <t>cinta scotch 18mm 30mts Jamila 2</t>
  </si>
  <si>
    <t>cinta scotch 18mm 30mts Jamila 1</t>
  </si>
  <si>
    <t>cinta scotch (Isben) 12mm 30 mts 2024</t>
  </si>
  <si>
    <t>cinta scotch (Isben) 12mm 30 mts 2023</t>
  </si>
  <si>
    <t>destacadores</t>
  </si>
  <si>
    <t>destacador amarillo tipo lapiz Jamila</t>
  </si>
  <si>
    <t>destacadores verdes</t>
  </si>
  <si>
    <t>destacador mini pastel y fluor Nuovo Comerc. Oriente ($2,990 12 un)</t>
  </si>
  <si>
    <t>set destacador</t>
  </si>
  <si>
    <t>set destacador 4 un garrita Ottimo</t>
  </si>
  <si>
    <t>set destacador pastel 4 un Ottimo</t>
  </si>
  <si>
    <t>set destacador neon 4 un Ottimo</t>
  </si>
  <si>
    <t>set destacador 4 un ShangriLa</t>
  </si>
  <si>
    <t>set destacador neon 4 un ShangriLa</t>
  </si>
  <si>
    <t>set destacador pastel 6 un ShangriLa</t>
  </si>
  <si>
    <t>set destacador pequeño Kawai Isben</t>
  </si>
  <si>
    <t>set destacador pequeño dobles Don Balato</t>
  </si>
  <si>
    <t>dedales</t>
  </si>
  <si>
    <t>papel volantin blanco, azul y rojo (x 100)</t>
  </si>
  <si>
    <t>papel volantin Gato Felix</t>
  </si>
  <si>
    <t>papel volantin BlueMix</t>
  </si>
  <si>
    <t>papelografo kraft BlueMix</t>
  </si>
  <si>
    <t>papelografo kraft</t>
  </si>
  <si>
    <t xml:space="preserve">papel mantequilla </t>
  </si>
  <si>
    <t>papel mantequilla BlueMix (Oct-25)</t>
  </si>
  <si>
    <t>papel crepe</t>
  </si>
  <si>
    <t>papel crepe Jamila</t>
  </si>
  <si>
    <t xml:space="preserve">set papel celofan </t>
  </si>
  <si>
    <t>papel celofan pliego</t>
  </si>
  <si>
    <t>papel celofan pliego Jamila</t>
  </si>
  <si>
    <t>papel diamante</t>
  </si>
  <si>
    <t>papel diamante vegetal 6 un Jamila</t>
  </si>
  <si>
    <t>papel diamante Arte Top Jamila</t>
  </si>
  <si>
    <t>paño lenci 6 un</t>
  </si>
  <si>
    <t>paño lenci 6 un Jamila</t>
  </si>
  <si>
    <t xml:space="preserve">set carton piedra </t>
  </si>
  <si>
    <t>carton piedra 55 x 77 2.0mm PLIEGO</t>
  </si>
  <si>
    <t>carton piedra 55 x 77 1,5mm PLIEGO</t>
  </si>
  <si>
    <t>carton piedra 55 x 77 1,5mm PLIEGO Jamila 1</t>
  </si>
  <si>
    <t>carton piedra 55 x 77 1,5mm PLIEGO Jamila 2</t>
  </si>
  <si>
    <t>carton piedra 38 x 55 1.5 mm MEDIO PLIEGO</t>
  </si>
  <si>
    <t>carton piedra 38 x 55 1.5 mm MEDIO PLIEGO Jamila 1ra compra</t>
  </si>
  <si>
    <t>carton piedra 38 x 55 1.5 mm MEDIO PLIEGO Jamila</t>
  </si>
  <si>
    <t>carton piedra 27 x 38 1.5mm UN CUARTO PLIEGO Jamila 3</t>
  </si>
  <si>
    <t>carton piedra 27 x 38 1.5mm UN CUARTO PLIEGO Jamila 2</t>
  </si>
  <si>
    <t>carton piedra 27 x 38 1.5mm UN CUARTO PLIEGO Jamila 1</t>
  </si>
  <si>
    <t>carton forrado blanco 55 x 77</t>
  </si>
  <si>
    <t>carton forrado blanco 55 x 77 (sublimacion)</t>
  </si>
  <si>
    <t>carton forrado blanco 55 x 77 - 350 gr  Jamila</t>
  </si>
  <si>
    <t>carton forrado blanco pliego</t>
  </si>
  <si>
    <t>carton forrado blanco pliego 77x110 (sublimacion)</t>
  </si>
  <si>
    <t>carton forrado blanco pliego 77x110 Giorgio</t>
  </si>
  <si>
    <t>carton corrugado</t>
  </si>
  <si>
    <t>carton micro corrugado 6 un Fultons</t>
  </si>
  <si>
    <t>carton micro corrugado 6 un Arte Top</t>
  </si>
  <si>
    <t>carton micro corrugado 6 un Arte Top Jamila</t>
  </si>
  <si>
    <t>cartulina blanca</t>
  </si>
  <si>
    <t>cartulina color</t>
  </si>
  <si>
    <t>cartulina color Jamila</t>
  </si>
  <si>
    <t>cartulina color Jamila 4</t>
  </si>
  <si>
    <t>cartulina color Jamila 3</t>
  </si>
  <si>
    <t>cartulina española</t>
  </si>
  <si>
    <t>cartulina española Jamila</t>
  </si>
  <si>
    <t>cartulina metalica pliego</t>
  </si>
  <si>
    <t>cartulina metalica pliego Jamila</t>
  </si>
  <si>
    <t>set cartulina 14 pliegos Fultons</t>
  </si>
  <si>
    <t>set cartulina 14 pliegos Ross</t>
  </si>
  <si>
    <t>set cartulina 14 pliegos Arte Top</t>
  </si>
  <si>
    <t>set cartulina española PASTEL Arte Top Jamila</t>
  </si>
  <si>
    <t>set cartulina española Fultons</t>
  </si>
  <si>
    <t>set cartulina española 15 hjs Halley</t>
  </si>
  <si>
    <t>set cartulina española</t>
  </si>
  <si>
    <t>set cartulina española 10 hjs Fultons</t>
  </si>
  <si>
    <t>set cartulina fluorescente 6 un</t>
  </si>
  <si>
    <t>set cartulina fluorescente 6 un Jamila</t>
  </si>
  <si>
    <t>set cartulina metalizada 10 un</t>
  </si>
  <si>
    <t>set cartulina metalizada 10 un Jamila</t>
  </si>
  <si>
    <t>set cartulina tornasol 6 hj Fultons</t>
  </si>
  <si>
    <t>set papel holografico 6 un</t>
  </si>
  <si>
    <t>set papel holografico 10 un Jamila</t>
  </si>
  <si>
    <t>set papel entretenido 15x16 cm Paredones BlueMix</t>
  </si>
  <si>
    <t>set papel entretenido</t>
  </si>
  <si>
    <t>set papel entretenido 9 hj 18 diseños Fultons Jamila</t>
  </si>
  <si>
    <t>set papel entretenido 10 hj 20 diseños Arte Top BlueMix</t>
  </si>
  <si>
    <t>set papel entretenido 9 hj 18 diseños Torre BlueMix</t>
  </si>
  <si>
    <t>set papel maqueta 6 pliegos Torre BlueMix</t>
  </si>
  <si>
    <t>set papel maqueta 6 pliegos Torre</t>
  </si>
  <si>
    <t>set papel maqueta 6 pliegos Fultons Jamila</t>
  </si>
  <si>
    <t>set animales safari 18 diseños Torre BlueMix</t>
  </si>
  <si>
    <t>set animales vida salvaje 8 un</t>
  </si>
  <si>
    <t>set papel gamuza 12 colores Fultons</t>
  </si>
  <si>
    <t>goma Eva colores unidad</t>
  </si>
  <si>
    <t>set goma Eva colores 10 un</t>
  </si>
  <si>
    <t>set goma Eva colores 10 un Jamila</t>
  </si>
  <si>
    <t>set goma Eva colores 10 un Isben</t>
  </si>
  <si>
    <t>set goma Eva adhesiva colores 10 un Arte Top Jamila</t>
  </si>
  <si>
    <t>set goma Eva adhesiva Glitters 10 un Arte Top Jamila</t>
  </si>
  <si>
    <t>set goma Eva Glitters 10 un</t>
  </si>
  <si>
    <t>set goma Eva Glitters 6 un Jamila</t>
  </si>
  <si>
    <t>set goma Eva Glitters 1 un Jamila</t>
  </si>
  <si>
    <t>set goma Eva metalica adhesiva 6 un Jamila</t>
  </si>
  <si>
    <t>goma Eva Glitters unidad</t>
  </si>
  <si>
    <t xml:space="preserve">set goma Eva pastel </t>
  </si>
  <si>
    <t>set goma Eva Estriada</t>
  </si>
  <si>
    <t xml:space="preserve">goma Eva pliego 40*60 </t>
  </si>
  <si>
    <t>goma Eva pliego 40*60 Jamila</t>
  </si>
  <si>
    <t>goma Eva pliego 40*60 Jamila (x color)</t>
  </si>
  <si>
    <t>goma Eva pliego glitters 40*60 Jamila (x color)</t>
  </si>
  <si>
    <t>goma Eva pliego glitters 40*60 Jamila</t>
  </si>
  <si>
    <t>goma Eva pliego glitters 40*60</t>
  </si>
  <si>
    <t>papel milimetrado</t>
  </si>
  <si>
    <t xml:space="preserve">cuadernillos 7mm matemáticas </t>
  </si>
  <si>
    <t>cuadernillos 7mm matemáticas Jamila 1</t>
  </si>
  <si>
    <t>cuadernillos 7mm matemáticas Jamila 2</t>
  </si>
  <si>
    <t>cuadernillos 7mm matemáticas BlueMix</t>
  </si>
  <si>
    <t>tijeras 7 "</t>
  </si>
  <si>
    <t>tijeras 7 "  17,7 cm (liquidacion)</t>
  </si>
  <si>
    <t>tijeras 7 "  17,7 cm</t>
  </si>
  <si>
    <t xml:space="preserve">tijeras 5 3/4 krearte </t>
  </si>
  <si>
    <t>tijera chica</t>
  </si>
  <si>
    <t>tijera chica mango negro Fultons Jamila</t>
  </si>
  <si>
    <t>tijera chica Proarte</t>
  </si>
  <si>
    <t>tijera escolar 12 cm mango soft BlueMix</t>
  </si>
  <si>
    <t>tijera zigzag Feliz Group</t>
  </si>
  <si>
    <t>tijera zig zag</t>
  </si>
  <si>
    <t>tijera zigzag 6 1/2 Lavoro</t>
  </si>
  <si>
    <t>tijera para zurdos Fultons</t>
  </si>
  <si>
    <t>set tijera 4 un</t>
  </si>
  <si>
    <t>set tijera 3 un</t>
  </si>
  <si>
    <t>set tijera 3 un Importadora Gabriela</t>
  </si>
  <si>
    <t>transportador 1/2 180</t>
  </si>
  <si>
    <t>transportador 180° Jamila</t>
  </si>
  <si>
    <t>transportador circular 360</t>
  </si>
  <si>
    <t>escuadra</t>
  </si>
  <si>
    <t>escuadra 60°  22 cm Fultons Jamila</t>
  </si>
  <si>
    <t>set 2 reglas Ottimo</t>
  </si>
  <si>
    <t>set 4 reglas acrilicas Ale Store 180434</t>
  </si>
  <si>
    <t>set 4 reglas acrilicas BlueMix</t>
  </si>
  <si>
    <t>set 4 reglas acrilicas (Comercializadora Oriente)</t>
  </si>
  <si>
    <t>set 4 reglas plantillas Arte Top Jamila</t>
  </si>
  <si>
    <t>regla 20cm Jamila</t>
  </si>
  <si>
    <t>regla 20cm</t>
  </si>
  <si>
    <t>regla 20cm (Comercializadora Oriente)</t>
  </si>
  <si>
    <t>regla 30cm</t>
  </si>
  <si>
    <t>regla 30cm Jamila</t>
  </si>
  <si>
    <t>regla 50cm</t>
  </si>
  <si>
    <t>regla metalica 30 cm</t>
  </si>
  <si>
    <t>regla metalica 30 cm Jamila</t>
  </si>
  <si>
    <t>regla metalica 40 cm</t>
  </si>
  <si>
    <t>regla metalica 50 cm</t>
  </si>
  <si>
    <t>block liceo 60 pequeño 10 hj Ross</t>
  </si>
  <si>
    <t>block liceo 60 pequeño 20 hj Arte Top</t>
  </si>
  <si>
    <t>block liceo 60 Artel pequeño 20 hj</t>
  </si>
  <si>
    <t>block medium 99 Colon 20 hj</t>
  </si>
  <si>
    <t>block medium 99 1/8 Ross 10 hj</t>
  </si>
  <si>
    <t>block medium 99 1/8 ArteTop 20 hj Jamila</t>
  </si>
  <si>
    <t>block medium 99 1/8 20 hj Fultons</t>
  </si>
  <si>
    <t>block medium 99 1/8 20 hj ProArte</t>
  </si>
  <si>
    <t>block doble faz 99 1/8 20 hj ProArte</t>
  </si>
  <si>
    <t>block medium 99 1/4 Artel grande</t>
  </si>
  <si>
    <t>block medium 99 1/4 20 hj Proarte grande</t>
  </si>
  <si>
    <t>block acuarela Artel</t>
  </si>
  <si>
    <t>funda transparente carta</t>
  </si>
  <si>
    <t>funda transparente oficio Jamila</t>
  </si>
  <si>
    <t>funda transparente oficio</t>
  </si>
  <si>
    <t>carpeta con elastico 35x24 cm Ale Store 9464</t>
  </si>
  <si>
    <t xml:space="preserve">carpeta con elástico </t>
  </si>
  <si>
    <t>carpeta con elástico Jamila</t>
  </si>
  <si>
    <t xml:space="preserve">carpeta plastificada </t>
  </si>
  <si>
    <t>carpeta plastificada BlueMix</t>
  </si>
  <si>
    <t>carpeta plastificada Naipa</t>
  </si>
  <si>
    <t>carpeta plastificada Jamila</t>
  </si>
  <si>
    <t>carpeta plastificada Giorgio</t>
  </si>
  <si>
    <t>carpeta plastificada c/accoclip Jamila</t>
  </si>
  <si>
    <t>carpeta con 20 fundas plasticas oficio Selloffice Jamila</t>
  </si>
  <si>
    <t>carpeta portafolio acordeon c/elastico</t>
  </si>
  <si>
    <t>carpeta portafolio acordeon c/broche Ottimo</t>
  </si>
  <si>
    <t>archivador burdeo ancho oficio Isofit Jamila</t>
  </si>
  <si>
    <t>forro autoadhesivo transparente 0,33 x 1,50</t>
  </si>
  <si>
    <t>forro plastico doblez transparente</t>
  </si>
  <si>
    <t>forro plastico college transparente</t>
  </si>
  <si>
    <t>forro plastico college transparente BlueMix</t>
  </si>
  <si>
    <t>forro plastico college transparente Jamila</t>
  </si>
  <si>
    <t>forro plastico college color Jamila</t>
  </si>
  <si>
    <t>forro plastico universitario color Jamila</t>
  </si>
  <si>
    <t>forro plastico universitario transparente Jamila</t>
  </si>
  <si>
    <t>forro plastico universitario transparente Gato Felix</t>
  </si>
  <si>
    <t>forro plastico universitario transparente</t>
  </si>
  <si>
    <t>forro plastico libro transparente</t>
  </si>
  <si>
    <t>forro plastico libro transparente Jamila</t>
  </si>
  <si>
    <t>forro plastico libro colores Jamila</t>
  </si>
  <si>
    <t>forro plastico libro colores</t>
  </si>
  <si>
    <t>forro plastico libro colores Blue Mix</t>
  </si>
  <si>
    <t>cuaderno musica pauta entera</t>
  </si>
  <si>
    <t>cuaderno musica media pauta</t>
  </si>
  <si>
    <t>cuaderno caligrafix 1ero y 2do basico</t>
  </si>
  <si>
    <t>cuaderno caligrafix 2do basico Torre BlueMix</t>
  </si>
  <si>
    <t>cuaderno doblez 7 mm 40 hj</t>
  </si>
  <si>
    <t>cuaderno doblez 7 mm 60 hj</t>
  </si>
  <si>
    <t>cuaderno college matemáticas 7mm 100 HOJAS Ross Jamila</t>
  </si>
  <si>
    <t>cuaderno college matemáticas 7mm 80 hj</t>
  </si>
  <si>
    <t>cuaderno college matemáticas 7mm 80 hj Isben</t>
  </si>
  <si>
    <t>cuaderno college matemáticas 7mm 80 hj Ross</t>
  </si>
  <si>
    <t>cuaderno college matemáticas 5mm 80 hj Ross</t>
  </si>
  <si>
    <t>cuaderno college matemáticas 5mm 80 hj</t>
  </si>
  <si>
    <t>cuaderno college dibujo 80 hj</t>
  </si>
  <si>
    <t>cuaderno college dibujo Ross 80 hj</t>
  </si>
  <si>
    <t>cuaderno college composición 80 hj</t>
  </si>
  <si>
    <t>cuaderno college composición 80 hj Ross</t>
  </si>
  <si>
    <t>cuaderno college caligrafia horizontal 80 hj</t>
  </si>
  <si>
    <t>cuaderno college caligrafia vertical 80 hj</t>
  </si>
  <si>
    <t>cuaderno college ciencias 80 hj</t>
  </si>
  <si>
    <t>cuaderno universitario croquis Colon (Gato Felix)</t>
  </si>
  <si>
    <t>cuaderno universitario croquis ProArte Jamila</t>
  </si>
  <si>
    <t>cuaderno universitarios matemáticas 5mm</t>
  </si>
  <si>
    <t>cuaderno universitarios matemáticas 5mm ProArte Jamila</t>
  </si>
  <si>
    <t>cuaderno universitarios matemáticas 7mm</t>
  </si>
  <si>
    <t>cuaderno universitarios matemáticas 7mm Stgo</t>
  </si>
  <si>
    <t>cuaderno universitarios matemáticas 7mm JORE tapa extra dura</t>
  </si>
  <si>
    <t>cuaderno universitarios matemáticas 7mm AVATAR</t>
  </si>
  <si>
    <t>cuaderno universitarios matemáticas 7mm NATURE</t>
  </si>
  <si>
    <t>cuaderno universitarios matemáticas 7mm CACHORROS</t>
  </si>
  <si>
    <t>cuaderno universitarios matemáticas 7mm MICKEY</t>
  </si>
  <si>
    <t>cuaderno universitarios matemáticas 7mm WINNIE THE POOH</t>
  </si>
  <si>
    <t>cuaderno universitarios matemáticas 7mm MANDALAS</t>
  </si>
  <si>
    <t>cuaderno universitarios matemáticas 7mm HELLO KITTY</t>
  </si>
  <si>
    <t>cuaderno universitarios matemáticas 7mm KUROMI</t>
  </si>
  <si>
    <t>cuaderno universitarios matemáticas 7mm CINNAMOROL</t>
  </si>
  <si>
    <t>cuaderno universitarios matemáticas 7mm MY MELODY</t>
  </si>
  <si>
    <t>cuaderno universitarios matemáticas 7mm SPIDERMAN</t>
  </si>
  <si>
    <t>cuaderno universitarios matemáticas 7mm CARTON NETWORK</t>
  </si>
  <si>
    <t>cuaderno universitarios matemáticas 7mm ESCOCES</t>
  </si>
  <si>
    <t>cuaderno universitarios matemáticas 7mm RIDER DEPORTES</t>
  </si>
  <si>
    <t>cuaderno universitarios matemáticas 7mm ANIMALES ADORABLES</t>
  </si>
  <si>
    <t>cuaderno universitarios matemáticas 7mm Jamila 2026 (Nov-25)</t>
  </si>
  <si>
    <t>libreta octava Hello Kitty 12x14,8 cm 120 hj Proarte</t>
  </si>
  <si>
    <t>libreta esquela Winnie The Pooh</t>
  </si>
  <si>
    <t>cuaderno pocket pequeño (libreta) 10x15 mujer 100 hj Lavoro</t>
  </si>
  <si>
    <t>cuaderno pocket 10x15 hombre 100 hj Lavoro</t>
  </si>
  <si>
    <t>cuaderno classic premium Lavoro color pastel triple</t>
  </si>
  <si>
    <t>cuaderno classic premium Lavoro color pastel triple 16,5 x 12,3 cm</t>
  </si>
  <si>
    <t>cuaderno triple materia 120 hj mujer ProArte Naipa</t>
  </si>
  <si>
    <t>cuaderno triple materia 150 hj animales ProArte Jamila</t>
  </si>
  <si>
    <t>cuaderno triple materia 150 hj Chile Nuovo Jamila</t>
  </si>
  <si>
    <t>cuaderno espiral con separadores</t>
  </si>
  <si>
    <t>croquera espiral 1/2 oficio 16x21 cm 100 hjs 80 gr ArteTop</t>
  </si>
  <si>
    <t>croquera espiral 1/2 oficio (Isben)</t>
  </si>
  <si>
    <t>croquera espiral carta (Isben)</t>
  </si>
  <si>
    <t>croquera espiral oficio (Isben)</t>
  </si>
  <si>
    <t>croquera doble faz medio oficio 50 hj ArteTop Jamila</t>
  </si>
  <si>
    <t>croquera doble faz carta 50 hj ArteTop Jamila</t>
  </si>
  <si>
    <t>croquera doble faz oficio 50 hj ArteTop Jamila</t>
  </si>
  <si>
    <t>croquera espiral carta Jamila</t>
  </si>
  <si>
    <t>croquera espiral oficio Jamila</t>
  </si>
  <si>
    <t xml:space="preserve">croqueras carta artel dibujo </t>
  </si>
  <si>
    <t xml:space="preserve">croqueras oficio artel dibujo </t>
  </si>
  <si>
    <t>croquera carta Hello Kitty - Kuromi</t>
  </si>
  <si>
    <t>block prepicado carta Auca 7mm</t>
  </si>
  <si>
    <t>block prepicado carta Nuovo 7mm</t>
  </si>
  <si>
    <t>block prepicado oficio Nuovo 7mm</t>
  </si>
  <si>
    <t>block prepicado oficio Auca 7mm</t>
  </si>
  <si>
    <t>block anillado universitario7mm Colon</t>
  </si>
  <si>
    <t>block anillado escolar 7mm Colon</t>
  </si>
  <si>
    <t>block anillado escolar 7 mm Nuovo</t>
  </si>
  <si>
    <t>cuaderno libreta 7 mm escoces</t>
  </si>
  <si>
    <t>cuaderno libreta pocket 5 mm 90 hj Color Torre BlueMix</t>
  </si>
  <si>
    <t>libreta comunicaciones pequeña</t>
  </si>
  <si>
    <t>libreta comunicaciones grande Proarte Jamila</t>
  </si>
  <si>
    <t>libreta comunicaciones grande Proarte Bluemix</t>
  </si>
  <si>
    <t>libreta magica negra Ottimo</t>
  </si>
  <si>
    <t>libreta espiral 7,6 x 12,7 azul 80 hjs display BlueMix</t>
  </si>
  <si>
    <t>libreta espiral 7x12 60 hjs con forro Nuovo</t>
  </si>
  <si>
    <t>libreta espiral Labubu con brillos Ragnar</t>
  </si>
  <si>
    <t>ibreta espiral Sanrio Ragnar</t>
  </si>
  <si>
    <t>libreta espiral Tralalero Ottimo</t>
  </si>
  <si>
    <t>libreta mariposas con glitters Panama</t>
  </si>
  <si>
    <t>diario de vida ositos 3D Panama 107114</t>
  </si>
  <si>
    <t>diario de vida unicornio 3D Panama 106009</t>
  </si>
  <si>
    <t>diario de vida</t>
  </si>
  <si>
    <t>set escolar Sanrio (Kuromi-My Melody-Cinnamoroll)</t>
  </si>
  <si>
    <t>estuche escolar Cinnamoroll Comerc. Oriente</t>
  </si>
  <si>
    <t xml:space="preserve">estuche escolar impermeable </t>
  </si>
  <si>
    <t>estuche escolar impermeable grande</t>
  </si>
  <si>
    <t>estuche escolar economico tela diseños</t>
  </si>
  <si>
    <t>estuche escolar en display Comercial Unsport</t>
  </si>
  <si>
    <t>estuche peluche cosmetiquero</t>
  </si>
  <si>
    <t>cuchillos cartonero</t>
  </si>
  <si>
    <t>cuchillos cartonero Fultons</t>
  </si>
  <si>
    <t>cuchillo cartonero mini escolar</t>
  </si>
  <si>
    <t>cuchillo cartonero pequeño Panama</t>
  </si>
  <si>
    <t>cuchillo cartonero grande Panama</t>
  </si>
  <si>
    <t>cuchillo cartonero Naipa Talca</t>
  </si>
  <si>
    <t>cuchillo cartonero grande 18 mm</t>
  </si>
  <si>
    <t>repuesto cuchillos cartonero grande Krearte BlueMix</t>
  </si>
  <si>
    <t>repuesto cuchillos cartonero</t>
  </si>
  <si>
    <t>repuesto cuchillos cartonero Hand</t>
  </si>
  <si>
    <t>set escolar  sea animals</t>
  </si>
  <si>
    <t>set escolar stationery</t>
  </si>
  <si>
    <t>set escolar colour pencils</t>
  </si>
  <si>
    <t>set escolar Disney Kawai Naipa HLL-009</t>
  </si>
  <si>
    <t>set escolar portamina Kawai</t>
  </si>
  <si>
    <t>pizarra digital 8,5"</t>
  </si>
  <si>
    <t>pizarra digital 12"</t>
  </si>
  <si>
    <t xml:space="preserve">abaco multifuncional </t>
  </si>
  <si>
    <t>crochet 3,0 silicona</t>
  </si>
  <si>
    <t>crochet 4,0 silicona</t>
  </si>
  <si>
    <t>crochet 5,0 silicona</t>
  </si>
  <si>
    <t>crochet 3.4 metal</t>
  </si>
  <si>
    <t>crochet 5.6 metal</t>
  </si>
  <si>
    <t>crochet 3.7 metal</t>
  </si>
  <si>
    <t>palillo doble punta 4,5 mm bambu</t>
  </si>
  <si>
    <t>palillo doble punta 6,0 mm bambu</t>
  </si>
  <si>
    <t>palillo circular 80 cm 3,5 mm</t>
  </si>
  <si>
    <t>palillo circular 80 cm 4,0 mm</t>
  </si>
  <si>
    <t>palillo circular 80 cm 4,5 mm</t>
  </si>
  <si>
    <t>palillos tejer grandes 3.0mm</t>
  </si>
  <si>
    <t>palillos tejer grandes 3.5</t>
  </si>
  <si>
    <t>palillos tejer grandes 4.0</t>
  </si>
  <si>
    <t>palillos tejer grandes 4.5</t>
  </si>
  <si>
    <t>palillos tejer grandes 5.0</t>
  </si>
  <si>
    <t>calco oficio negro Fultons</t>
  </si>
  <si>
    <t>calco oficio azul Fultons 2</t>
  </si>
  <si>
    <t>calco oficio azul Fultons 1</t>
  </si>
  <si>
    <t>calco oficio negro</t>
  </si>
  <si>
    <t>calco oficio negro unidad</t>
  </si>
  <si>
    <t>papel fotografico A4 20 hjs</t>
  </si>
  <si>
    <t>papel fotografico A4 Unidad</t>
  </si>
  <si>
    <t>papel fotografico A4 Naipa</t>
  </si>
  <si>
    <t>papel fotografico A4 Naipa 20 un 1</t>
  </si>
  <si>
    <t>papel fotografico A4 Naipa 20 un 2</t>
  </si>
  <si>
    <t>papel fotografico A4 135 gr 50 un ProGraficos</t>
  </si>
  <si>
    <t>papel fotografico A4 135 gr ProGraficos 1 unidad</t>
  </si>
  <si>
    <t>papel fotografico A4 180 gr Nuovo 20 un Jamila</t>
  </si>
  <si>
    <t>papel fotografico A4 180 gr Nuovo Jamila 1 unidad</t>
  </si>
  <si>
    <r>
      <rPr>
        <rFont val="Arial"/>
        <color theme="1"/>
        <sz val="10.0"/>
      </rPr>
      <t xml:space="preserve">papel fotografico </t>
    </r>
    <r>
      <rPr>
        <rFont val="Arial"/>
        <b/>
        <color rgb="FFC55A11"/>
        <sz val="10.0"/>
      </rPr>
      <t>adhesivo</t>
    </r>
    <r>
      <rPr>
        <rFont val="Arial"/>
        <color theme="1"/>
        <sz val="10.0"/>
      </rPr>
      <t xml:space="preserve"> A4 150 gr Nuovo 20 un Jamila</t>
    </r>
  </si>
  <si>
    <r>
      <rPr>
        <rFont val="Arial"/>
        <color theme="1"/>
        <sz val="10.0"/>
      </rPr>
      <t xml:space="preserve">papel fotografico </t>
    </r>
    <r>
      <rPr>
        <rFont val="Arial"/>
        <b/>
        <color rgb="FFC55A11"/>
        <sz val="10.0"/>
      </rPr>
      <t>adhesivo</t>
    </r>
    <r>
      <rPr>
        <rFont val="Arial"/>
        <color theme="1"/>
        <sz val="10.0"/>
      </rPr>
      <t xml:space="preserve"> A4 150 gr Nuovo Jamila 1 unidad</t>
    </r>
  </si>
  <si>
    <t>mini impresora portatil termica diseño gato Naipa</t>
  </si>
  <si>
    <t>rollo impresora portatil 1 un.</t>
  </si>
  <si>
    <t>rollo impresora portatil 5 un.</t>
  </si>
  <si>
    <t>rollo impresora portatil 1 un Naipa</t>
  </si>
  <si>
    <t>rollo impresora portatil 10 un Naipa</t>
  </si>
  <si>
    <t>lapiz doble punta blanco 48 pzs</t>
  </si>
  <si>
    <t>lapiz doble punta negro 48 pzs</t>
  </si>
  <si>
    <t>lapiz doble punta negro 80 pzs</t>
  </si>
  <si>
    <t>lapiz doble punta negro 120 pzs</t>
  </si>
  <si>
    <t>flauta dulce</t>
  </si>
  <si>
    <t>flauta dulce Fultons Jamila</t>
  </si>
  <si>
    <t>talonario vale votos</t>
  </si>
  <si>
    <t>formulario vale por</t>
  </si>
  <si>
    <t>formulario vale por 100 hj Halley Gato Felix</t>
  </si>
  <si>
    <t>formulario vale por 100 hj Halley Jamila</t>
  </si>
  <si>
    <t>compas metalico con lapiz JM</t>
  </si>
  <si>
    <t>compas metalico con lapiz Fultons</t>
  </si>
  <si>
    <t>compas metalico azul con lapiz Fultons Jamila</t>
  </si>
  <si>
    <t>set compas escolar con reglas y portamina Ottimo</t>
  </si>
  <si>
    <t>set compas escolar Arte Top (2 escuadras,1 transportador y 1 regla 20 cm)</t>
  </si>
  <si>
    <t>agenda libreta Disney</t>
  </si>
  <si>
    <t>agenda resortes 2025 ShangriLa</t>
  </si>
  <si>
    <t>agenda Pop It</t>
  </si>
  <si>
    <t>agenda Kawai</t>
  </si>
  <si>
    <t>libreta acolchada diseño flores ShangriLa</t>
  </si>
  <si>
    <t>libreta diseño juvenil ShangriLa</t>
  </si>
  <si>
    <t>agenda mini mariposa Gato Felix</t>
  </si>
  <si>
    <t>agenda mini osito - unicornios ShangriLa</t>
  </si>
  <si>
    <t>agenda mini Kawai (ositos) 1era compra</t>
  </si>
  <si>
    <t>agenda mini Kawai (ositos) 2da compra</t>
  </si>
  <si>
    <t>agenda libreta Hello Kitty Naipa</t>
  </si>
  <si>
    <t>agenda libreta Hello Kitty Daka</t>
  </si>
  <si>
    <t>agenda libreta Capibara Naipa</t>
  </si>
  <si>
    <t>agenda libreta Tralalero Ottimo</t>
  </si>
  <si>
    <t>libreta mini esquela Sanrio con separadores y espiral Ragnar</t>
  </si>
  <si>
    <t>libreta mini esquela Labubu con separadores y espiral Ragnar</t>
  </si>
  <si>
    <t>libreta esquela en display Sanrio con agua Naipa</t>
  </si>
  <si>
    <t>libreta con calculadora 18,5x12 cm ShangriLa</t>
  </si>
  <si>
    <t>libreta grande peluche Shangrila</t>
  </si>
  <si>
    <t>libreta notebook con elastico Feliz Group (Freddy)</t>
  </si>
  <si>
    <t>calculadora solar mediana colores Ottimo</t>
  </si>
  <si>
    <t>calculadora solar bolsillo colores</t>
  </si>
  <si>
    <t>calculadora solar bolsillo colores Mana Electronica</t>
  </si>
  <si>
    <t>calculadora solar bolsillo 10 digitos Bluemix</t>
  </si>
  <si>
    <t>calculadora Hello Kitty solar pequeña</t>
  </si>
  <si>
    <t>calculadora Hello Kitty solar grande</t>
  </si>
  <si>
    <t>calculadora cientifica Nuovo</t>
  </si>
  <si>
    <t>calculadora color pastel Nuovo</t>
  </si>
  <si>
    <t>resma papel fotocopia carta Premier</t>
  </si>
  <si>
    <t>resma papel fotocopia carta Equalit Giorgio 1</t>
  </si>
  <si>
    <t>resma papel fotocopia oficio Equalit Giorgio 1</t>
  </si>
  <si>
    <t>resma papel fotocopia carta Equalit 2</t>
  </si>
  <si>
    <t>resma papel fotocopia carta Equalit 3</t>
  </si>
  <si>
    <t>resma papel fotocopia carta Equalit 4</t>
  </si>
  <si>
    <t>resma papel fotocopia carta PIX Jamila</t>
  </si>
  <si>
    <t>resma papel fotocopia oficio Equalit 2</t>
  </si>
  <si>
    <t>resma papel fotocopia oficio Equalit 3</t>
  </si>
  <si>
    <t>resma papel fotocopia oficio Equalit 4</t>
  </si>
  <si>
    <t>opalina gofrada 200 gr blanca Jamila 3</t>
  </si>
  <si>
    <t>opalina gofrada 200 gr blanca Jamila 2</t>
  </si>
  <si>
    <t>opalina gofrada 200 gr blanca Jamila 1</t>
  </si>
  <si>
    <t>tiza blanca 12 un</t>
  </si>
  <si>
    <t>tiza colores 12 un</t>
  </si>
  <si>
    <t>tinta china azul Stephens</t>
  </si>
  <si>
    <t>tinta tampon 24 ml Fultons</t>
  </si>
  <si>
    <t>tampon negro 9x5,5 Nuovo</t>
  </si>
  <si>
    <t>huellero dactilar Nuovo</t>
  </si>
  <si>
    <t>sobre americano 22,9x11,4 cm ($5,900 caja)</t>
  </si>
  <si>
    <t>sobre 1/4 oficio 19x12,5 cm ($1,225 25 un)</t>
  </si>
  <si>
    <t>sobre cuadrado 15,4x12,4 cm ($1,500 25 un)</t>
  </si>
  <si>
    <t>sobre correo pequeño 15,5x12,5 cm ($990 25 un)</t>
  </si>
  <si>
    <t>sobre visita blanco 8x11,5 cm Jamila ($1,400 50 un)</t>
  </si>
  <si>
    <t>sobre tarjeta invitacion 13,5x9,2 cm ($1,300 25un)</t>
  </si>
  <si>
    <t>sobre saco oficio 25x35 ($3,760 25 un)</t>
  </si>
  <si>
    <t>anotador reciclado Rhein</t>
  </si>
  <si>
    <t>set gubias 3 un</t>
  </si>
  <si>
    <t>papel coreano Stgo</t>
  </si>
  <si>
    <t>papel coreano Gato Felix (promedio $185,-)</t>
  </si>
  <si>
    <t>papel coreano Tesco Ltda (promedio $185,-)</t>
  </si>
  <si>
    <t>papel coreano Todo Envases Parral (promedio $185,-)</t>
  </si>
  <si>
    <t>mini perritos de madera natural</t>
  </si>
  <si>
    <t>mini perritos de madera colores</t>
  </si>
  <si>
    <t>mini perritos de madera corazon-estrella Motarro</t>
  </si>
  <si>
    <t>limpia pipas morado unidad Bluemix</t>
  </si>
  <si>
    <t>limpia pipas unidad</t>
  </si>
  <si>
    <t>limpia pipas colores surtidos 30 unidades</t>
  </si>
  <si>
    <t>limpia pipas fluor</t>
  </si>
  <si>
    <t>limpia pipas metalicas</t>
  </si>
  <si>
    <t>limpia pipas 1 color metalica Motarro</t>
  </si>
  <si>
    <t>plumas blancas y colores</t>
  </si>
  <si>
    <t>plumas blancas y colores 50 un</t>
  </si>
  <si>
    <t>amarra metalica alambre forrado 10 mt</t>
  </si>
  <si>
    <t>set letras y numeros con iman Panama</t>
  </si>
  <si>
    <t>banderas plásticas rollo 10 mt Jamila 2024</t>
  </si>
  <si>
    <t xml:space="preserve">Fiestas Patrias </t>
  </si>
  <si>
    <t>banderas plásticas rollo 10 mt Jamila 2025</t>
  </si>
  <si>
    <t>banderas plásticas rollo 10 mt BlueMix</t>
  </si>
  <si>
    <t>adornos campana copihue</t>
  </si>
  <si>
    <t>adornos flor</t>
  </si>
  <si>
    <t>adornos estrella</t>
  </si>
  <si>
    <t xml:space="preserve">adornos rectangular </t>
  </si>
  <si>
    <t>adornos diamante</t>
  </si>
  <si>
    <t xml:space="preserve">adornos circular </t>
  </si>
  <si>
    <t>adorno copihue 25 cm</t>
  </si>
  <si>
    <t>adorno globo 25 cm</t>
  </si>
  <si>
    <t>adorno trompo 25 cm</t>
  </si>
  <si>
    <t>adorno sol 40 cm</t>
  </si>
  <si>
    <t>guirnalda cuadrada con hilo 2 mt</t>
  </si>
  <si>
    <t>guirnalda copihue 2 mt</t>
  </si>
  <si>
    <t>guirnalda flor 2 mt</t>
  </si>
  <si>
    <t>guirnalda trebol con bandera 2 mt</t>
  </si>
  <si>
    <t>bandera chilena 60*90</t>
  </si>
  <si>
    <t>bandera chilena genero 90 x 135</t>
  </si>
  <si>
    <t>bandera tela bordada 90 x 135 (Stgo)</t>
  </si>
  <si>
    <t>bandera tela bordada 100x150 Doral Panama</t>
  </si>
  <si>
    <t>bandera tela bordada 60x90 Panama</t>
  </si>
  <si>
    <t>vasos plasticos 300 ml 10 un Todo Envases</t>
  </si>
  <si>
    <t>vasos plasticos 300 ml 50 un Todo Envases</t>
  </si>
  <si>
    <t>vasos plasticos 300cc</t>
  </si>
  <si>
    <t>vasos plasticos 500ml blanco 10 un</t>
  </si>
  <si>
    <t>vasos plasticos 500ml transparente 10 un</t>
  </si>
  <si>
    <t>vasos plasticos 500ml transparente 50 un</t>
  </si>
  <si>
    <t>vasos plasticos 200ml</t>
  </si>
  <si>
    <t>vasos plasticos de color 290cc</t>
  </si>
  <si>
    <t>vaso plumavit 240 cc 25 un</t>
  </si>
  <si>
    <t>vaso plumavit 240 cc 6 un</t>
  </si>
  <si>
    <t>vaso plumavit 240 cc 3 un</t>
  </si>
  <si>
    <t>vaso plumavit 296 cc 25 un</t>
  </si>
  <si>
    <t>pitilla hilo algodón Directo Chile 1</t>
  </si>
  <si>
    <t>pitilla hilo algodón Directo Chile 2</t>
  </si>
  <si>
    <t>pitilla hilo algodón  gr</t>
  </si>
  <si>
    <t>cañamo plastico colores 80 gr</t>
  </si>
  <si>
    <t>cañamo sisal 50 gr</t>
  </si>
  <si>
    <t>yute natural 50 gr</t>
  </si>
  <si>
    <t>yute colores 50 gr (morado-naranjo-pistacho-fucsia)</t>
  </si>
  <si>
    <t xml:space="preserve">pegatinas </t>
  </si>
  <si>
    <t>set escarchas envase 12 un Motarro</t>
  </si>
  <si>
    <t>escarchas con glitters 12 un</t>
  </si>
  <si>
    <t>escarchas con glitters 1 un</t>
  </si>
  <si>
    <t>lentejuela/escarcha Art &amp; Craft Jamila</t>
  </si>
  <si>
    <t>escarcha Kami Jamila</t>
  </si>
  <si>
    <t>escarchas</t>
  </si>
  <si>
    <t>lentejuelas</t>
  </si>
  <si>
    <t>escarcha y lentejuela multicolor dosificador</t>
  </si>
  <si>
    <t>feston tricolor set</t>
  </si>
  <si>
    <t>feston tricolor unidad</t>
  </si>
  <si>
    <t xml:space="preserve">flores besitos  </t>
  </si>
  <si>
    <t>flor rosa grande colores para el pelo</t>
  </si>
  <si>
    <t>cometa plastico bandera chilena Stgo</t>
  </si>
  <si>
    <t>cometa plastico bandera chilena Naipa</t>
  </si>
  <si>
    <t>cometa plastico Panama</t>
  </si>
  <si>
    <t>volantin papel</t>
  </si>
  <si>
    <t>hilo volantin 200 yds</t>
  </si>
  <si>
    <t>hilo color volantin 100 yds</t>
  </si>
  <si>
    <t>bandera chilena para auto c/ventosa</t>
  </si>
  <si>
    <t>banderin capot auto con varilla</t>
  </si>
  <si>
    <t>llavero Chile (destapador-sacacorcho-lima)</t>
  </si>
  <si>
    <t>mantel plastico dieciochero 108x180 Super Feliz</t>
  </si>
  <si>
    <t>mantel dieciochero tela antimancha 150*220</t>
  </si>
  <si>
    <t>jarro lorito Comercializadora Oriente</t>
  </si>
  <si>
    <t>carnet</t>
  </si>
  <si>
    <t xml:space="preserve">Plastificado </t>
  </si>
  <si>
    <t>doble carnet</t>
  </si>
  <si>
    <t>media carta</t>
  </si>
  <si>
    <t>carta</t>
  </si>
  <si>
    <t>A4</t>
  </si>
  <si>
    <t>oficio</t>
  </si>
  <si>
    <t>mica A4</t>
  </si>
  <si>
    <t>mica A4 100 un</t>
  </si>
  <si>
    <t>mica acetato oficio</t>
  </si>
  <si>
    <t>mica acetato oficio 30 un</t>
  </si>
  <si>
    <t>pañuelos cueca Naipa</t>
  </si>
  <si>
    <t xml:space="preserve">pañuelos Cueca hombre </t>
  </si>
  <si>
    <t>pañuelos Cueca mujer</t>
  </si>
  <si>
    <t>pelotas de plumavit 2.5 cm</t>
  </si>
  <si>
    <t>pelotas de plumavit 2.5 cm Jamila</t>
  </si>
  <si>
    <t>pelotas de plumavit 3.5 cm</t>
  </si>
  <si>
    <t>pelotas de plumavit 3.5 cm Jamila 1era compra</t>
  </si>
  <si>
    <t>pelotas de plumavit 3.5 cm Jamila 2da compra</t>
  </si>
  <si>
    <t>pelotas de plumavit 4.0 cm</t>
  </si>
  <si>
    <t>pelotas de plumavit 4.0 cm Jamila</t>
  </si>
  <si>
    <t>pelotas de plumavit 5.0 cm</t>
  </si>
  <si>
    <t>pelotas de plumavit 5.0 cm Jamila</t>
  </si>
  <si>
    <t>pelotas de plumavit 6.0 cm</t>
  </si>
  <si>
    <t>pelotas de plumavit 6.0 cm Jamila 2da compra</t>
  </si>
  <si>
    <t>pelotas de plumavit 6.0 cm Jamila 1era compra</t>
  </si>
  <si>
    <t>pelotas de plumavit 7.0 cm</t>
  </si>
  <si>
    <t>pelotas de plumavit 7.0 cm Jamila 1era compra</t>
  </si>
  <si>
    <t>pelotas de plumavit 7.0 cm Jamila 2da compra</t>
  </si>
  <si>
    <t>pelotas de plumavit 8.0 cm Jamila 2</t>
  </si>
  <si>
    <t>pelotas de plumavit 8.0 cm Jamila 1</t>
  </si>
  <si>
    <t>pelotas de plumavit 8.5 cm</t>
  </si>
  <si>
    <t>pelotas de plumavit 9,0 cm Jamila</t>
  </si>
  <si>
    <t>pelotas de plumavit 10 Jamila 2</t>
  </si>
  <si>
    <t>pelotas de plumavit 10 Jamila 1</t>
  </si>
  <si>
    <t>pelotas de plumavit 12.5 cm Jamila</t>
  </si>
  <si>
    <t>pelotas de plumavit 15 cm Jamila</t>
  </si>
  <si>
    <t>pelotas de plumavit 17.5 cm Jamila</t>
  </si>
  <si>
    <t>pelotas de plumavit 20 cm Jamila</t>
  </si>
  <si>
    <t>pelotas de plumavit 20 cm</t>
  </si>
  <si>
    <t>plancha plumavit 10 mm 50 x 50</t>
  </si>
  <si>
    <t>plancha plumavit 20 mm 50 x 50</t>
  </si>
  <si>
    <t>plancha plumavit 30 mm 50 x 50</t>
  </si>
  <si>
    <t>sistema solar plumavit Arte Top</t>
  </si>
  <si>
    <t>sistema solar plumavit Ray Fen</t>
  </si>
  <si>
    <t>tiburones con brillo Keke</t>
  </si>
  <si>
    <t>tiburones un color Keke</t>
  </si>
  <si>
    <t>tiburones mariposa degrade Keke</t>
  </si>
  <si>
    <t xml:space="preserve">tiburones grande </t>
  </si>
  <si>
    <t>tiburones medianos</t>
  </si>
  <si>
    <t>pinches horquilla negro set</t>
  </si>
  <si>
    <t>pinche horquilla set pequeño</t>
  </si>
  <si>
    <t>pinche horquilla set mediano</t>
  </si>
  <si>
    <t>pinche horquilla pequeño unidad</t>
  </si>
  <si>
    <t>pinche horquilla mediano unidad</t>
  </si>
  <si>
    <t>pinche horquilla grande unidad</t>
  </si>
  <si>
    <t>pinche horquilla negro Keke</t>
  </si>
  <si>
    <t>pinche horquilla negro</t>
  </si>
  <si>
    <t>pinche horquilla plateado</t>
  </si>
  <si>
    <t>pinche horquilla colores</t>
  </si>
  <si>
    <t>feliz cumpleaños 🎊🎊</t>
  </si>
  <si>
    <t xml:space="preserve">feliz cumple </t>
  </si>
  <si>
    <t>car Bluetooth Kolm</t>
  </si>
  <si>
    <t xml:space="preserve">car Bluetooth </t>
  </si>
  <si>
    <t xml:space="preserve">lampara camping </t>
  </si>
  <si>
    <t>virutilla diseño pulpo Don Balato</t>
  </si>
  <si>
    <t>virutilla para olla x 4</t>
  </si>
  <si>
    <t>virutilla para olla x 5</t>
  </si>
  <si>
    <t>virutilla para olla x 6 Naipa</t>
  </si>
  <si>
    <t>virutilla fina para olla x 12 Virutex</t>
  </si>
  <si>
    <t>tostador Comerc. Oriente</t>
  </si>
  <si>
    <t>tostador Naipa</t>
  </si>
  <si>
    <t>tostador Isben</t>
  </si>
  <si>
    <t xml:space="preserve">lavatorio </t>
  </si>
  <si>
    <t>canasto ropa con tapa</t>
  </si>
  <si>
    <t>pinzas</t>
  </si>
  <si>
    <t>pinzas Jamila</t>
  </si>
  <si>
    <t>pinzas diseños Keke</t>
  </si>
  <si>
    <t>velas blancas 4 un Aruba Super 8</t>
  </si>
  <si>
    <t>velas blancas Teddy 4 un.</t>
  </si>
  <si>
    <t>velas blancasGaby</t>
  </si>
  <si>
    <t>picador de verduras Naipa</t>
  </si>
  <si>
    <t xml:space="preserve">centrifuga de verduras </t>
  </si>
  <si>
    <t>incienso Panama</t>
  </si>
  <si>
    <t>incienso</t>
  </si>
  <si>
    <t>manguera retractil 30 mt</t>
  </si>
  <si>
    <t>esmalte de uñas Naipa</t>
  </si>
  <si>
    <t>esmalte de uñas Imp. Gabriela</t>
  </si>
  <si>
    <t>escobilla ropa</t>
  </si>
  <si>
    <t>escobilla ropa suave Comerc. Oriente</t>
  </si>
  <si>
    <t>escobilla ropa suave Panama</t>
  </si>
  <si>
    <t>escobilla ropa suave</t>
  </si>
  <si>
    <t>escobilla ropa suave ovalada</t>
  </si>
  <si>
    <t xml:space="preserve">etiqueta autoadhesiva </t>
  </si>
  <si>
    <t>Navidad</t>
  </si>
  <si>
    <t>tarjeta navidad colgante 2025 Tesco</t>
  </si>
  <si>
    <t>tarjeta navidad colgante 2024</t>
  </si>
  <si>
    <t>tarjeta navidad colgante 2023</t>
  </si>
  <si>
    <t>set tarjeta navidad colgante 2023</t>
  </si>
  <si>
    <t>pendon puerta 2 un</t>
  </si>
  <si>
    <t>esferas de colores</t>
  </si>
  <si>
    <t>esferas de colores en caja Panama 2024</t>
  </si>
  <si>
    <t>esferas de colores en caja Mundo Papel 2025</t>
  </si>
  <si>
    <t>set campanas 6 un</t>
  </si>
  <si>
    <t>estrella punta de arbol dorada</t>
  </si>
  <si>
    <t>guirnalda navideña verde 5 mt Ale Store AS538</t>
  </si>
  <si>
    <t>guirnalda navideña nevada 5 mt Ale Store AS539</t>
  </si>
  <si>
    <t>guirnalda navideña verde y con nieve 5 mt 2025 Meiggs</t>
  </si>
  <si>
    <t>guirnalda navideña verde 5 mt 2024</t>
  </si>
  <si>
    <t>guirnalda navideña con nieve 5 mt 2023</t>
  </si>
  <si>
    <t>arbol 50 cm</t>
  </si>
  <si>
    <t>bolso regalo pequeño Navidad Isben</t>
  </si>
  <si>
    <t>bolsa regalo 40 x 31 - 2024 Naipa</t>
  </si>
  <si>
    <t>bolsa regalo 40 x 31 - 2023 Naipa</t>
  </si>
  <si>
    <t>cascanueces 4 un</t>
  </si>
  <si>
    <t>mono de nieve con luz</t>
  </si>
  <si>
    <t>vela x 3 2024</t>
  </si>
  <si>
    <t>vela x 3 2023</t>
  </si>
  <si>
    <t>mantel navidad</t>
  </si>
  <si>
    <t>individual navidad</t>
  </si>
  <si>
    <t>bandeja grande plastica 2023</t>
  </si>
  <si>
    <t>bandeja chica plastica 2023</t>
  </si>
  <si>
    <t>monos patas largas 60 cm</t>
  </si>
  <si>
    <t>ampolleta proyector navidad Don Balato</t>
  </si>
  <si>
    <t>luces colgante ventana Javier</t>
  </si>
  <si>
    <t>luces arroz enchufe 200 led 15 mt multicolor Ale Store AS590-1</t>
  </si>
  <si>
    <t>luces arroz solar calida 12 mt Isben</t>
  </si>
  <si>
    <t>luces navidad Don Balato 2024</t>
  </si>
  <si>
    <t>luces navidad Libelula Don Balato 2024</t>
  </si>
  <si>
    <t>luces navidad Comercializadora Oriente 2024</t>
  </si>
  <si>
    <t>luces navidad Daka 2025</t>
  </si>
  <si>
    <t>luces navidad 100 led</t>
  </si>
  <si>
    <t>luces navidad bolitas 10 mt</t>
  </si>
  <si>
    <t>luces meteoro azul 8 un Comerc. Oriente</t>
  </si>
  <si>
    <t>luces meteoro 8 un</t>
  </si>
  <si>
    <t>luces navidad solar gota calida y color 2023</t>
  </si>
  <si>
    <t>luces navidad solar estrella 2023</t>
  </si>
  <si>
    <t>luces navidad solar mariposa 2023</t>
  </si>
  <si>
    <t>luces navidad solar campana 2023</t>
  </si>
  <si>
    <t>luces navidad solar reno 2023</t>
  </si>
  <si>
    <t>luces navidad solar flor doble 2023</t>
  </si>
  <si>
    <t>luces navidad abeja y flor 2023</t>
  </si>
  <si>
    <t>luces navidad mariposa libélula colibrí 2023</t>
  </si>
  <si>
    <t>luces navidad libelula (Isben) 2023</t>
  </si>
  <si>
    <t>luces cortina luna y estrellas 2023</t>
  </si>
  <si>
    <t>luces cortina luna y estrellas</t>
  </si>
  <si>
    <t>luces cortina estrellas</t>
  </si>
  <si>
    <t>luces cortina para arbol 200 led 2 mt multicolor Ale Store AS588</t>
  </si>
  <si>
    <t>luces forma arbol 2023</t>
  </si>
  <si>
    <t>luces guirnalda 10 ampolletas redondas 5 mt</t>
  </si>
  <si>
    <t>luces guirnalda ampolletas colores redondas 5 mt</t>
  </si>
  <si>
    <t>luces guirnalda vintage 10 ampolletas 5 mt</t>
  </si>
  <si>
    <t>luces perritos led colgar fotos 3mt</t>
  </si>
  <si>
    <t>luces hada 200 led 20 mt Comerc. Oriente</t>
  </si>
  <si>
    <t>luces enchufe malla colores 50 cm  x 3 mt Comerc. Oriente</t>
  </si>
  <si>
    <t>corona navideña</t>
  </si>
  <si>
    <t>campana doble plateada-dorada</t>
  </si>
  <si>
    <t>letrero colgante navidad</t>
  </si>
  <si>
    <t>letrero feliz navidad</t>
  </si>
  <si>
    <t>gorro navidad con luz ShangriLa 2024</t>
  </si>
  <si>
    <t>cinta adorno led decorativa dorada 5 mt  pilas incluidas Ale Store AS088</t>
  </si>
  <si>
    <t>luz manguera led solar 10 mt multicolor Ale Store AS065</t>
  </si>
  <si>
    <t>confeti 80 cm</t>
  </si>
  <si>
    <t>Cotillon</t>
  </si>
  <si>
    <t>mini confeti (3 x $1.000)</t>
  </si>
  <si>
    <t>nieve (caja 48 $15,500) 2024</t>
  </si>
  <si>
    <t>nieve (3 x $1.000) 2023</t>
  </si>
  <si>
    <t>serpentina (caja 48 $16,500) 2024</t>
  </si>
  <si>
    <t>serpentina (5 x $2.000) 2023</t>
  </si>
  <si>
    <t>lentes (12 x $7,000) 2024</t>
  </si>
  <si>
    <t>lentes (2 x $1.000) 2023</t>
  </si>
  <si>
    <t>corbatas (12 x $3.300)</t>
  </si>
  <si>
    <t>gorro con flecos colores (12 x 2,990) 2025 Comerc. Oriente</t>
  </si>
  <si>
    <t>gorro con flecos diseños (12 x 4.800) 2024 Isben</t>
  </si>
  <si>
    <t>vaso magico luces</t>
  </si>
  <si>
    <t>cortina 80 cm</t>
  </si>
  <si>
    <t>Roller</t>
  </si>
  <si>
    <t>cortina 100 cm</t>
  </si>
  <si>
    <t>cortina 120 cm (13-09-25)</t>
  </si>
  <si>
    <t>cortina 120 cm (14-02-25)</t>
  </si>
  <si>
    <t>cortina 120 cm</t>
  </si>
  <si>
    <t>cortina 150 cm</t>
  </si>
  <si>
    <t>cortina 165 cm</t>
  </si>
  <si>
    <t>cortina 180 cm</t>
  </si>
  <si>
    <t>paleta chica (bolsa 3.000)</t>
  </si>
  <si>
    <t>Dulces</t>
  </si>
  <si>
    <t>dulce trululu (bolsa 3.000)</t>
  </si>
  <si>
    <t>dulce topo gigio (20 un $3,000)</t>
  </si>
  <si>
    <t>bombones</t>
  </si>
  <si>
    <t>bombones 1 unidad</t>
  </si>
  <si>
    <t>bombones (100 un caja $7,000)</t>
  </si>
  <si>
    <t>chicle Dos en Uno (caja 4.500)</t>
  </si>
  <si>
    <t>chicle Dos en Uno (64 un caja $5,000)</t>
  </si>
  <si>
    <t>chicle Dos en Uno platano (64 un $4,190) Punto Prat 1</t>
  </si>
  <si>
    <t>chicle Dos en Uno platano (64 un $4,390) Punto Prat 2</t>
  </si>
  <si>
    <t>chicle Dos en Uno (64 un caja $5,890) El Globo</t>
  </si>
  <si>
    <t>chicle Bigtime (20 un $5,990)</t>
  </si>
  <si>
    <t>chicle Bigtime (19 un caja $5000)</t>
  </si>
  <si>
    <t>mentitas gomitas (caja $4,000)</t>
  </si>
  <si>
    <t>mentitas (caja 3.700)</t>
  </si>
  <si>
    <t>calugones La Vaca Lechera (80 un $4,390) Punto Prat</t>
  </si>
  <si>
    <t>calugones IOB (84 un $4,490) Punto Prat</t>
  </si>
  <si>
    <t>calugones leche-manjar (45 un $3,000)</t>
  </si>
  <si>
    <t>calugones con nuez (80 un $5,000)</t>
  </si>
  <si>
    <t>calugones leche (3.000)</t>
  </si>
  <si>
    <t>calugones manjar (3.000)</t>
  </si>
  <si>
    <t>calugones leche la vaquita Job El Globo</t>
  </si>
  <si>
    <t>bon bon bum (2.200)</t>
  </si>
  <si>
    <t>coyak bon bon bum (2,000)</t>
  </si>
  <si>
    <t>coyak bon bon bum con exhibidor (100 un $10,000)</t>
  </si>
  <si>
    <t>coyak bon bon bum sabores (24 un $1,690) Punto Prat</t>
  </si>
  <si>
    <t>coyak bolifru futbol Fruna (20 un $1,510) Punto Prat</t>
  </si>
  <si>
    <t>coyak Bowling pinta boca (25 un $1,890) Punto Prat</t>
  </si>
  <si>
    <t>coyak vampiro (bolsa 2.000)</t>
  </si>
  <si>
    <t>media hora (100 un $1,850) Punto Prat</t>
  </si>
  <si>
    <t>media hora (100 un $2.500)</t>
  </si>
  <si>
    <t>helado de invierno (3.500)</t>
  </si>
  <si>
    <t>frutos secos</t>
  </si>
  <si>
    <t>cuchufli bañado chocolate (40 un caja $5,000)</t>
  </si>
  <si>
    <t>cuchufli bañado chocolate (45 un caja $5,000)</t>
  </si>
  <si>
    <t>oblea bañada chocolate (20 un caja $3,500)</t>
  </si>
  <si>
    <t>sapito (7 un $1,200)</t>
  </si>
  <si>
    <t>sapito (29 un $4,200)</t>
  </si>
  <si>
    <t>sapito (33 un $5,000) logo 80´S</t>
  </si>
  <si>
    <t>sapito (30 un $4,690) logo 80´S</t>
  </si>
  <si>
    <t>sapito mini oblea fiesta (24 un $3,290)</t>
  </si>
  <si>
    <t>doblon (30 un $3,390) Punto Prat</t>
  </si>
  <si>
    <t>doblon (30 un $4,000)</t>
  </si>
  <si>
    <t>lanza bola candy robot (20 un $3,100)</t>
  </si>
  <si>
    <t>alka con centro relleno menta (99 un $3,000)</t>
  </si>
  <si>
    <t>galleta carioca-serranita-coco chip (32 un $6,000)</t>
  </si>
  <si>
    <t>chocolate verona negro-blanco (100 un $2090)</t>
  </si>
  <si>
    <t>chocolate verona negro-blanco (100 un $2,190)</t>
  </si>
  <si>
    <t>chocolate 80´s blanco-negro (100 un $2,500)</t>
  </si>
  <si>
    <t>chocolate Top Nuss 80´s El Globo</t>
  </si>
  <si>
    <t>date date (20 un $2,190)</t>
  </si>
  <si>
    <t>petazeta (30 un $4,460)</t>
  </si>
  <si>
    <t>gomitas eucaliptus Fruna Serrano (10 un $1,940)</t>
  </si>
  <si>
    <t>chicle grosso (40 un $2,890)</t>
  </si>
  <si>
    <t>manichoc fruna (20 un $3,890)</t>
  </si>
  <si>
    <t>cri cri (24 un $2,190)</t>
  </si>
  <si>
    <t>chubi (24 un $4,990)</t>
  </si>
  <si>
    <t>golpe (30 un $5,990)</t>
  </si>
  <si>
    <t>turron de mani 45 gr (28 un $6,990)</t>
  </si>
  <si>
    <t>gomitas masticrunch amberries (10 un $7,190) Punto Prat</t>
  </si>
  <si>
    <t>gomitas amberries (20 un $3,590)</t>
  </si>
  <si>
    <t>tigreton vainilla (48 un $4,590)</t>
  </si>
  <si>
    <t>tigreton vainilla (48 un $4,190)</t>
  </si>
  <si>
    <t>nikolo (20 un $5,100) Punto Prat</t>
  </si>
  <si>
    <t>nikolo (20 un $4,490)</t>
  </si>
  <si>
    <t>trencito 24 gr (30 un $10,470)</t>
  </si>
  <si>
    <t>oba oba (30 un $6,990)</t>
  </si>
  <si>
    <t>alka set 9 un (12 set (3,100) Punto Prat</t>
  </si>
  <si>
    <t>alka set 9 un (12 set (2,890)</t>
  </si>
  <si>
    <t>tifanys (20 un $ 4,150)</t>
  </si>
  <si>
    <t>golazo (24 un $4,390)</t>
  </si>
  <si>
    <t>ricolate (18 un $3,790)</t>
  </si>
  <si>
    <t>super coco xxl (24 un $5,970) Punto Prat</t>
  </si>
  <si>
    <t>super coco xxl (24 un $8,490)</t>
  </si>
  <si>
    <t>peseta (20 un $1,790) Punto Prat</t>
  </si>
  <si>
    <t>paleta (20 un $1,990) Punto Prat</t>
  </si>
  <si>
    <t>cañonazo (20 un $2,590) Punto Prat</t>
  </si>
  <si>
    <t>chocolate rico (48 un $4,990) Punto Prat</t>
  </si>
  <si>
    <t>chocman (32 un $5,290) Punto Prat</t>
  </si>
  <si>
    <t>galleta en caja metalica mediana Punto Prat</t>
  </si>
  <si>
    <t>CODIGO</t>
  </si>
  <si>
    <t>ARTICULO</t>
  </si>
  <si>
    <t>CANTIDAD</t>
  </si>
  <si>
    <t>PRECIO UNIDAD</t>
  </si>
  <si>
    <t>TOTAL</t>
  </si>
  <si>
    <t>UNIDAD</t>
  </si>
  <si>
    <t>VENTA</t>
  </si>
  <si>
    <t>GANANCIA</t>
  </si>
  <si>
    <t>Ganancia Total</t>
  </si>
  <si>
    <t>Venta Total</t>
  </si>
  <si>
    <t>PEGAMENTO EN BARRA 21 GRAMOS 24 UNIDADES LAVORO</t>
  </si>
  <si>
    <t>PEGAMENTO EN BARRA 36GR 12 UNIDADES LAVORO</t>
  </si>
  <si>
    <t>GEL ADHESIVO 100 ML 12 UN ARTE TOP</t>
  </si>
  <si>
    <t>PALOS DE HELADO COLOR 50 UN PROARTE</t>
  </si>
  <si>
    <t>GOMA EVA GLITTER 20X30CM 6 HOJAS COLORES SURTIDOS ART&amp;CRAFT</t>
  </si>
  <si>
    <t>MARCADOR PERMANENTE BISELADO AZUL 12 UNIDADES FULTONS</t>
  </si>
  <si>
    <t>MARCADOR PERMANENTE BISELADO NEGRO 12 UNIDADES FULTONS</t>
  </si>
  <si>
    <t>CARTON PIEDRA GRIS 1.5MM 38.5X55CM MEDIANO 25 UNIDADES WALTER</t>
  </si>
  <si>
    <t>CAJA MINAS 0.7MM HB 24 UNIDADES FULTONS</t>
  </si>
  <si>
    <t>CAJA MINAS 0.5MM HB 24 UNIDADES FULTONS</t>
  </si>
  <si>
    <t>PORTAMINA 0.7MM 12 UNIDADES COLORES LAVORO</t>
  </si>
  <si>
    <t>PORTAMINA NEON 0.5MM 12 UNIDADES LAVORO</t>
  </si>
  <si>
    <t>PORTAMINA 2.0MM SURTIDOS 12 UNIDADES LAVORO</t>
  </si>
  <si>
    <t>LAPIZ CORRECTOR 7ML 12UN FULTONS</t>
  </si>
  <si>
    <t>CUCHILLO CARTONERO GRANDE NARANJO 1 UNIDAD FULTONS</t>
  </si>
  <si>
    <t>REPUESTO CUCHILLO CARTONERO GRANDE 10 UNIDADES HAND</t>
  </si>
  <si>
    <t>BLOCK MATEMÁTICAS 7 MM 19,7 X 15,6 CM 802 HOJAS NUOVO</t>
  </si>
  <si>
    <t>BLOCK MATEMATICAS 7MM 26,5X20,5 80HJS NUOVO</t>
  </si>
  <si>
    <t>BLOCK PREPICADO OFICIO 7MM NUOVO</t>
  </si>
  <si>
    <t>BLOCK LICEO 10 HOJAS ROSS</t>
  </si>
  <si>
    <t>BLOCK N°99 1/8 10 HOJAS ROSS</t>
  </si>
  <si>
    <t>COMPAS METALICO ESCOLAR 1 UNIDAD FULTONS</t>
  </si>
  <si>
    <t>CUADERNO COLLEGE 7MM 80 HOJAS 10 UNIDADES ROSS</t>
  </si>
  <si>
    <t>CUADERNO COLLEGE 80 HOJAS COMPOSICION 10 UNIDADES ROSS</t>
  </si>
  <si>
    <t>CUADERNO COLLEGE 80 HOJAS CROQUIS 10 UNIDADES ROSS</t>
  </si>
  <si>
    <t>CUADERNO COLLEGE 80 HOJAS 5MM 10 UNIDADES ROSS</t>
  </si>
  <si>
    <t>CUADERNO UNIVERSITARIO NATURE 100 HOJAS 10 UNIDADES PROARTE</t>
  </si>
  <si>
    <t>CUADERNO UNIVERSITARIO ANIMALES ADORABLES 100 HOJAS 10 UNIDADES PROARTE</t>
  </si>
  <si>
    <t>CAJA GOMA DE BORRAR MIGA 20 UNIDADES FULTONS</t>
  </si>
  <si>
    <t>LAPIZ GRAFITO REDONDO N°2 HB 12 UNIDADES ROSS</t>
  </si>
  <si>
    <t>BOLIGRAFOS FX2 NEGRO 1.0MM 50 UNIDADES ARTEL</t>
  </si>
  <si>
    <t>GOMA EVA GLITTER 40X60CM COLORES SURTIDOS 10 UNIDADES ARTE TOP</t>
  </si>
  <si>
    <t>TEMPERA 12+2 COLORES PROARTE</t>
  </si>
  <si>
    <t>SACAPUNTA SOLO SIRVE PARA LAPIZ JUMBO GROOVE CORTO 1 UNIDAD LYRA</t>
  </si>
  <si>
    <t>LAPICES DE COLORES JUMBO CORTOS GROOVE 6 COLORES LYRA</t>
  </si>
  <si>
    <t>CALCULADORA CIENTIFICA 15.5X8CM NUOVO</t>
  </si>
  <si>
    <t>CALCULADORA DE ESCRITORIO 15X12CM COLOR PASTEL SURTIDO 1 UNIDAD NUOVO</t>
  </si>
  <si>
    <t>CAJA 10 GREDAS ESCOLARES 750 GRAMOS ARTEL</t>
  </si>
  <si>
    <t>CARTON PIEDRA GRIS 1.5MM 27.5X38.5CM PEQUEÑO 25 UNIDADES WALTER</t>
  </si>
  <si>
    <t>LAPIZ PASTA AZUL 1.0MM 50 UNIDADES FULTONS</t>
  </si>
  <si>
    <t>CUADERNO COLLEGE 80 HOJAS CALIGRAFIA HORIZONTAL 10 UNIDADES ROSS</t>
  </si>
  <si>
    <t>CUADERNO COLLEGE 80 HOJAS CALIGRAFIA VERTICAL 10 UNIDADES ROSS</t>
  </si>
  <si>
    <t>PALOS DE HELADO NATURAL 50 UNIDADES APROX FULTONS</t>
  </si>
  <si>
    <t>LIBRO DE STICKERS 6 PAGINAS MASCOTAS/GRANJA ART&amp;CRAFT</t>
  </si>
  <si>
    <t>FORRO COLLEGE TRANSPARENTE 10 UNIDADES ESPINOZA</t>
  </si>
  <si>
    <t>SET 4 CUADERNOS 16.5X12.3CMS CLASSIC PREMIUM LAVORO</t>
  </si>
  <si>
    <t>LIBRETA ESPIRAL 7X12CM 60 HJS N°2 NUOVO</t>
  </si>
  <si>
    <t>PAPEL FOTOCOPIA CARTA 500 HOJAS PREMIER</t>
  </si>
  <si>
    <t>ADHESIVO MULTIUSO 100CC 12 UNIDADES FULTONS</t>
  </si>
  <si>
    <t>GOMA EVA 40X60CM 10 COLORES SURTIDOS ARTE TOP</t>
  </si>
  <si>
    <t>CARTULINA COLOR AMARILLO 53X77 CMS HALLEY</t>
  </si>
  <si>
    <t>CARTULINA COLOR CAFE 53X77 CMS HALLEY</t>
  </si>
  <si>
    <t>CARTULINA COLOR ROSADO 53X77 CMS HALLEY</t>
  </si>
  <si>
    <t>CARTULINA COLOR ROJO 53X77 CMS HALLEY</t>
  </si>
  <si>
    <t>CARTULINA COLOR NEGRO 53X77 CMS HALLEY</t>
  </si>
  <si>
    <t>CARTULINA COLOR VERDE CLARO 53X77 CMS HALLEY</t>
  </si>
  <si>
    <t>CARTULINA COLOR BLANCO 140GRS 55X77CM 1 PLIEGO WALTER LUND</t>
  </si>
  <si>
    <t>CARTULINA CREMA 53X77CM 25UN ARTE TOP</t>
  </si>
  <si>
    <t>CARTULINA CALYPSO 53X77CM 25UN ARTE TOP</t>
  </si>
  <si>
    <t>CARTULINA FUCSIA 53X77CM 25UN ARTE TOP</t>
  </si>
  <si>
    <t>CARTULINA MORADO 53X77CM 25 UN ARTE TOP</t>
  </si>
  <si>
    <t>CARTULINA VERDE OSCURO 53X77CM 25UN ARTE TOP</t>
  </si>
  <si>
    <t>CARTULINA LILA 53X77CM 25UN ARTE TOP</t>
  </si>
  <si>
    <t>CARTULINA GRIS 53X77CM 25UN ARTE TOP</t>
  </si>
  <si>
    <t>CARTULINA PIEL 53X77CM 25UN ARTE TOP</t>
  </si>
  <si>
    <t>CARTULINA COLOR CELESTE 53X77 CMS HALLEY</t>
  </si>
  <si>
    <t>CARTULINA ESPAÑOLA ROJA 180GRS 50X65CM 20 UNIDADES ART&amp;CRAFT</t>
  </si>
  <si>
    <t>CARTULINA ESPAÑOLA ROSADO 180GRS 50X65CM 20 UNIDADES ART&amp;CRAFT</t>
  </si>
  <si>
    <t>CARTULINA ESPAÑOLA VERDE CLARO 180GRS 50X65CM 20 UNIDADES ART&amp;CRAFT</t>
  </si>
  <si>
    <t>CARTULINA ESPAÑOLA VERDE OSCURO 180GRS 50X65CM 20 UNIDADES ART&amp;CRAFT</t>
  </si>
  <si>
    <t>CARTULINA ESPAÑOLA AMARILLO 180GRS 50X65CM 20 UNIDADES ART&amp;CRAFT</t>
  </si>
  <si>
    <t>CARTULINA ESPAÑOLA AZUL 180GRS 50X65CM 20 UNIDADES ART&amp;CRAFT</t>
  </si>
  <si>
    <t>CARTULINA ESPAÑOLA CAFE 180GRS 50X65CM 20 UNIDADES ART&amp;CRAFT</t>
  </si>
  <si>
    <t>CARTULINA ESPAÑOLA CELESTE 180GRS 50X65CM 20 UNIDADES ART&amp;CRAFT</t>
  </si>
  <si>
    <t>CARTULINA ESPAÑOLA FUCSIA 180GRS 50X65CM 20 UNIDADES ART&amp;CRAFT</t>
  </si>
  <si>
    <t>CARTULINA ESPAÑOLA LILA 180GRS 50X65CM 20 UNIDADES ART&amp;CRAFT</t>
  </si>
  <si>
    <t>CARTULINA ESPAÑOLA MORADO 180GRS 50X65CM 20 UNIDADES ART&amp;CRAFT</t>
  </si>
  <si>
    <t>CARTULINA ESPAÑOLA NARANJO 180GRS 50X65CM 20 UNIDADES ART&amp;CRAFT</t>
  </si>
  <si>
    <t>CARTULINA ESPAÑOLA NEGRO 180GRS 50X65CM 20 UNIDADES ART&amp;CRAFT</t>
  </si>
  <si>
    <t>CARTULINA METALICA 50X70 AZUL PRONOBEL</t>
  </si>
  <si>
    <t>CARTULINA METALICA 50X70 ROJO PRONOBEL</t>
  </si>
  <si>
    <t>CARTULINA METALICA 50X70 PLATA PRONOBEL</t>
  </si>
  <si>
    <t>CARTULINA METALICA 50X70 DORADO PRONOBEL</t>
  </si>
  <si>
    <t>CARTULINA METALICA 50X70 FUCSIA PRONOBEL</t>
  </si>
  <si>
    <t>CARTULINA METALICA 50X70 VERDE PRONOBEL</t>
  </si>
  <si>
    <t>PAPEL DE REGALO MUJER 70X100CM 1 PLIEGO LIBESA</t>
  </si>
  <si>
    <t>PAPEL DE REGALO CUMPLEAÑOS TORTA 70X100CM 1 PLIEGO LIBESA</t>
  </si>
  <si>
    <t>PAPEL DE REGALO HAPPY 70X100CM 1 PLIEGO LIBESA</t>
  </si>
  <si>
    <t>PAPEL DE REGALO HOMBRE 70X100CM 1 PLIEGO LIBESA</t>
  </si>
  <si>
    <t>GLOBO N°9 SURTIDO 50 UNIDADES KIKO</t>
  </si>
  <si>
    <t>CINTA ADHESIVA CRISTAL 18MMX30MTS 8 UNIDADES SELLOCINTA</t>
  </si>
  <si>
    <t>SET 10 ESFERAS DE PLUMAVIT 5 CM DIAMETRO RAY FEN</t>
  </si>
  <si>
    <t>SET 10 ESFERAS DE PLUMAVIT 6 CM DIAMETRO RAY FEN</t>
  </si>
  <si>
    <t>SET 5 ESFERAS DE PLUMAVIT 7 CM DIÁMETRO RAY FEN</t>
  </si>
  <si>
    <t>SET 5 ESFERAS 8 CM DIÁMETRO RAY FEN</t>
  </si>
  <si>
    <t>SET 5 ESFERAS 9 CM DIÁMETRO RAY FEN</t>
  </si>
  <si>
    <t>SET 5 ESFERAS DE PLUMAVIT 10 CM DIÁMETRO RAY FEN</t>
  </si>
  <si>
    <t>SET 5 ESFERAS 12.5 CM DIAMETRO RAY FEN</t>
  </si>
  <si>
    <t>SET 5 ESFERAS DE PLUMAVIT 15 CM RAY FEN</t>
  </si>
  <si>
    <t>SET 5 ESFERAS DE PLUMAVIT 17.5 CM DIAMETRO RAY FEN</t>
  </si>
  <si>
    <t>SET 1 ESFERA DE PLUMAVIT 20 CM RAY FEN</t>
  </si>
  <si>
    <t>PAPEL CELOFAN AMARILLO 70X100CM 1 UNIDAD ART&amp;CRAFT</t>
  </si>
  <si>
    <t>PAPEL CELOFAN VERDE 70X100CM 1 UNIDAD ART&amp;CRAFT</t>
  </si>
  <si>
    <t>PAPEL CELOFAN AZUL 70X100CM 1 UNIDAD ART&amp;CRAFT</t>
  </si>
  <si>
    <t>PAPEL CELOFAN ROJO 70X100CM 1 UNIDAD ART&amp;CRAFT</t>
  </si>
  <si>
    <t>PAPEL CELOFAN TRANSPARENTE 70X100CM 1 UNIDAD ART&amp;CRAFT</t>
  </si>
  <si>
    <t>LIBRO DE STICKER 6 PAGINAS ANIMALITOS ART&amp;CRAFT</t>
  </si>
  <si>
    <t>LIBRO DE STICKERS 6 PAGINAS CORAZONES Y ESTRELLAS ART&amp;CRAFT</t>
  </si>
  <si>
    <t>LIBRO DE STICKERS 6 PAG MONSTRUOS Y ROBOT ART&amp;CRAFT</t>
  </si>
  <si>
    <t>LIBRO DE STICKERS 6 PAG PRINCESAS Y HADAS ART&amp;CRAFT</t>
  </si>
  <si>
    <t>CINTA DE EMBALAJE 48MMX40MTS TRANSPARENTE 6 UNIDADES FULTONS</t>
  </si>
  <si>
    <t>ESTUCHE PAPEL DIAMANTE 6HJS PROARTE</t>
  </si>
  <si>
    <t>CARPETA PAÑO LENCI 6 COLORES ARTE TOP</t>
  </si>
  <si>
    <t>CARPETA CARTON MICROCORRUGADO ARTE TOP</t>
  </si>
  <si>
    <t>CARPETA CARTULINA ESPAÑOLA 10 HJS FULTONS</t>
  </si>
  <si>
    <t>CARPETA CARTULINA METALICA ARTE TOP</t>
  </si>
  <si>
    <t>CARTULINA FLUORESCENTE 25 X 35 CM 6 UNIDADES ARTE TOP</t>
  </si>
  <si>
    <t>CARPETA PAPEL ENTRETENIDO 9 HJS 18 DISEÑOS FULTONS</t>
  </si>
  <si>
    <t>CARPETA PAPEL MAQUETA FULTONS</t>
  </si>
  <si>
    <t>CARPETA PAPEL HOLOGRAFICO 10 COLORES ARTE TOP</t>
  </si>
  <si>
    <t>CARPETA SIMPLE SIN ACCO CLIP OFICIO AZUL JRF</t>
  </si>
  <si>
    <t>CARPETA C/ACCO AZUL JRF</t>
  </si>
  <si>
    <t>CARPETA CON ELASTICO PASTEL CELESTE NUOVO</t>
  </si>
  <si>
    <t>BLOCK DE DIBUJO MEDIO 99 1/8 ARTE TOP</t>
  </si>
  <si>
    <t>GOMA EVA 20X30CM COLORES SURTIDOS 10 UNIDADES ART &amp; CRAFT</t>
  </si>
  <si>
    <t>OPALINA GOFRADA 200 GRAMOS BLANCA CARTA 100 UNIDADES WALTER</t>
  </si>
  <si>
    <t>12 CAJITAS TIZA 12 COLORES ART&amp;CRAFT</t>
  </si>
  <si>
    <t>12 CAJITAS TIZA BLANCA ART&amp;CRAFT</t>
  </si>
  <si>
    <t>LAPIZ BICOLOR ROJO-AZUL 12 UNIDADES ARTE TOP</t>
  </si>
  <si>
    <t>LAPICES DE COLORES TRIANGULARJUMBO ARTE TOP</t>
  </si>
  <si>
    <t>FLAUTA DULCE PLASTICA ART&amp;CRAFT</t>
  </si>
  <si>
    <t>TIJERA ESCOLAR 13CMS NEGRO PUNTA ROMA FULTONS</t>
  </si>
  <si>
    <t>TAMPON NEGRO 9X5.5CM NUOVO</t>
  </si>
  <si>
    <t>SET 4 PLANTILLAS ARTE TOP</t>
  </si>
  <si>
    <t>SACAPUNTA PLAST C/DEP TRIANG 24 UN PROARTE</t>
  </si>
  <si>
    <t>LAPICES DE CERA 12 COLORES JUMBO FULTONS</t>
  </si>
  <si>
    <t>CORCHETERA MEDIANA METAL NEGRA P/20 HOJAS FULTONS</t>
  </si>
  <si>
    <t>CORCHETERA MEDIANA METAL AZUL P/20 HOJAS FULTONS</t>
  </si>
  <si>
    <t>CORCHETES 26/6 5000UN NUOVO</t>
  </si>
  <si>
    <t>CHINCHES METALICOS DORADOS 10 CAJITAS DE 100 UNIDADES FULTONS</t>
  </si>
  <si>
    <t>CARPETA DE GOMA EVA METALICA ADHESIVA 20X30CMS 6 HJS ART&amp;CRAFT</t>
  </si>
  <si>
    <t>TINTA PARA TAMPON 24ML NEGRA FULTONS</t>
  </si>
  <si>
    <t>HUELLERO DACTILAR NUOVO</t>
  </si>
  <si>
    <t>REGLA PLASTICA 30 CM ARTE TOP</t>
  </si>
  <si>
    <t>LAPICES CARBON 12 UNDS 4 SOFT - 4 MEDIUM - 4 HARD HAND</t>
  </si>
  <si>
    <t>PUSH PIN 50 UNIDADES FULTONS</t>
  </si>
  <si>
    <t>BROCHES METALICOS DORADOS 50 UNIDADES 1 CAJITA FULTONS</t>
  </si>
  <si>
    <t>FORRO COLLEGE MORADO 10 UNIDADES ESPINOZA</t>
  </si>
  <si>
    <t>FORRO COLLEGE AMARILLO 10 UNIDADES ESPINOZA</t>
  </si>
  <si>
    <t>FORRO COLLEGE AZUL 10 UNIDADES ESPINOZA</t>
  </si>
  <si>
    <t>FORRO COLLEGE CAFE 10 UNIDADES ESPINOZA</t>
  </si>
  <si>
    <t>FORRO COLLEGE ROJO 10 UNIDADES ESPINOZA</t>
  </si>
  <si>
    <t>FORRO COLLEGE BLANCO 10 UNIDADES ESPINOZA</t>
  </si>
  <si>
    <t>FORRO COLLEGE CELESTE 10 UNIDADES ESPINOZA</t>
  </si>
  <si>
    <t>FORRO COLLEGE ROSADO 10 UNIDADES ESPINOZA</t>
  </si>
  <si>
    <t>FORRO UNIVERSITARIO ROSADO 10 UNIDADES ESPINOZA</t>
  </si>
  <si>
    <t>FORRO UNIVERSITARIO AZUL 10 UNIDADES ESPINOZA</t>
  </si>
  <si>
    <t>FORRO UNIVERSITARIO CAFE 10 UNIDADES ESPINOZA</t>
  </si>
  <si>
    <t>FORRO UNIVERSITARIO LILA 10 UNIDADES ESPINOZA</t>
  </si>
  <si>
    <t>FORRO UNIVERSITARIO AMARILLO 10 UNIDADES ESPINOZA</t>
  </si>
  <si>
    <t>FORRO UNIVERSITARIO VERDE 10 UNIDADES ESPINOZA</t>
  </si>
  <si>
    <t>FORRO UNIVERSITARIO BLANCO 10 UNIDADES ESPINOZA</t>
  </si>
  <si>
    <t>PLASTICINA TRIANGULAR 12 UN ROSS</t>
  </si>
  <si>
    <t>FORRO UNIVERSITARIO TRANSPARENTE 10 UNIDADES ESPINOZA</t>
  </si>
  <si>
    <t>LAPICES 12 COLORES LARGOS HEXAGONALES FULTONS</t>
  </si>
  <si>
    <t>SACAPUNTA PLAST C/DEP ELIPSE 24 UN PROARTE</t>
  </si>
  <si>
    <t>MARCADOR PERMANENTE REDONDO AZUL 12 UNIDADES FULTONS</t>
  </si>
  <si>
    <t>MARCADOR PERMANENTE REDONDO NEGRO 12 UNIDADES FULTONS</t>
  </si>
  <si>
    <t>MARCADOR PERMANENTE REDONDO ROJO 12 UNIDADES FULTONS</t>
  </si>
  <si>
    <t>MARCADOR PERMANENTE REDONDO VERDE 12 UNIDADES FULTONS</t>
  </si>
  <si>
    <t>FORRO COLLEGE VERDE CLARO 10 UNIDADES ESPINOZA</t>
  </si>
  <si>
    <t>FORRO COLLEGE VERDE OSCURO 10 UNIDADES ESPINOZA</t>
  </si>
  <si>
    <t>FORRO COLLEGE GRIS 10 UNIDADES ESPINOZA</t>
  </si>
  <si>
    <t>FORRO COLLEGE NEGRO 10 UNIDADES ESPINOZA</t>
  </si>
  <si>
    <t>FORRO UNIVERSITARIO NEGRO 10 UNIDADES ESPINOZA</t>
  </si>
  <si>
    <t>FORRO UNIVERSITARIO GRIS 10 UNIDADES ESPINOZA</t>
  </si>
  <si>
    <t>FORRO UNIVERSITARIO NARANJA 10 UNIDADES ESPINOZA</t>
  </si>
  <si>
    <t>PINCEL N°2 ESPATULADO 12 UNIDADES ART&amp;CRAFT</t>
  </si>
  <si>
    <t>PINCEL N°4 ESPATULADO 12 UNIDADES ART&amp;CRAFT</t>
  </si>
  <si>
    <t>PINCEL N°6 PELO CAMELLO 12 UNIDADES ART&amp;CRAFT</t>
  </si>
  <si>
    <t>PINCEL N°8 ESPATULADO 12 UNIDADES ART&amp;CRAFT</t>
  </si>
  <si>
    <t>PINCEL N°10 ESPATULADO 6 UNIDADES ART&amp;CRAFT</t>
  </si>
  <si>
    <t>PINCEL N°12 ESPATULADO 6 UNIDADES ART&amp;CRAFT</t>
  </si>
  <si>
    <t>ESTUCHE CARTULINA PINTADA 14 HOJAS ROSS</t>
  </si>
  <si>
    <t>LIBRETA DE COMUNICACIONES 9X13CM ESPINOZA</t>
  </si>
  <si>
    <t>CUADERNO COLLEGE 80 HOJAS CIENCIAS 10 UNIDADES ROSS</t>
  </si>
  <si>
    <t>CUADERNO UNIVERSITARIO MICKEY NIÑO 100 HOJAS 10 UNIDADES PROARTE</t>
  </si>
  <si>
    <t>CUADERNO UNIVERSITARIO MANDALAS 100 HOJAS 10 UNIDADES PROARTE</t>
  </si>
  <si>
    <t>CUADERNO UNIVERSITARIO WINNIE THE POOH 100 HOJAS 10 UNIDADES PROARTE</t>
  </si>
  <si>
    <t>FORRO AUTOADHESIVO 0.33X1.50 TRANSPARENTE PROARTE</t>
  </si>
  <si>
    <t>TIMBRE MOTIVACIONAL 12 UNIDADES ART&amp;CRAFT</t>
  </si>
  <si>
    <t>TIMBRE ENTRETENIDO MODELO N°1 12UN ART &amp; CRAFT</t>
  </si>
  <si>
    <t>CUADERNO DOBLEZ (CHICO) LISO 40 HOJAS 7MM 15 UNIDADES PROARTE</t>
  </si>
  <si>
    <t>CUADERNO DOBLEZ (CHICO) LISO 60 HOJAS 7MM 20 UNIDADES PROARTE</t>
  </si>
  <si>
    <t>SET ACCOCLIP PLASTICOS COLORES SURTIDOS 50 UNIDADES FULTONS</t>
  </si>
  <si>
    <t>SET ACCOCLIPS PLASTICOS BLANCOS 50 UNIDADES FULTONS</t>
  </si>
  <si>
    <t>SET ACCOCLIP METALICOS PLATEADO 50 UNIDADES FULTONS</t>
  </si>
  <si>
    <t>CARPETA PAPEL LUSTRE HALLEY</t>
  </si>
  <si>
    <t>PLUMONES 12 COLORES ROSS</t>
  </si>
  <si>
    <t>MARCADOR MULTIUSO NEGRO PTA MEDIA 12 UNIDADES LAVORO</t>
  </si>
  <si>
    <t>DISPLAY PINZAS DE CEJAS 12 UNIDADES MERHEJE</t>
  </si>
  <si>
    <t>ESTUCHE CARTULINA ESPAÑOLA HALLEY</t>
  </si>
  <si>
    <t>CARPETA CARTULINA 14 COLORES 26.5X36.5CM ARTE TOP</t>
  </si>
  <si>
    <t>CARPETA CARTULINA TORNASOL 6HJS 6COL FULTONS</t>
  </si>
  <si>
    <t>CARPETA PAPEL GAMUZA 12 HJS 12 COLORES FULTONS</t>
  </si>
  <si>
    <t>BLOCK MEDIO Nº 99 1/4 20HJS PROARTE</t>
  </si>
  <si>
    <t>BLOCK DE DIBUJO LICEO 60 ARTE TOP</t>
  </si>
  <si>
    <t>PALITO DE HELADO GOMA EVA GLITTER ARTE TOP</t>
  </si>
  <si>
    <t>PALOS DE HELADO MADERA 50 UNIDADES PROARTE</t>
  </si>
  <si>
    <t>PALOS DE HELADO SURTIDOS 50 UNIDADES APROX FULTONS</t>
  </si>
  <si>
    <t>TIJERA ZIG ZAG DISENOS SURTIDOS 1 UNIDAD LAVORO</t>
  </si>
  <si>
    <t>TIJERA 4 1/4 ESCOLAR PROARTE</t>
  </si>
  <si>
    <t>NOTAS ADHESIVAS 75X75MM AMARILLA FULTON</t>
  </si>
  <si>
    <t>NOTA ADHESIVA COLOR SURTIDO 25X50MM 1 UNIDAD</t>
  </si>
  <si>
    <t>ANOTADOR RECICLADO KRAFT C/TAPA 1 UNIDAD COLOR SURTIDO RHEIN</t>
  </si>
  <si>
    <t>SOBRE SACO OFICIO 25X35CM 90 GRS BLANCO 25 UNIDADES FULTON´S</t>
  </si>
  <si>
    <t>CINTA DE REGALO 2CMX40MTS APROX NEGRO PRONOBEL</t>
  </si>
  <si>
    <t>CAJA MINAS 0.5MM HB 24 UNIDADES ISOFIT</t>
  </si>
  <si>
    <t>CAJA MINAS 0.7MM HB 24 UNIDADES ISOFIT</t>
  </si>
  <si>
    <t>CAJA MINAS 2.0MM 5B 12 UNIDADES LAVORO</t>
  </si>
  <si>
    <t>TEMPERA 12+2  COLORES PROARTE</t>
  </si>
  <si>
    <t>PLASTICINA 10 COLORES REDONDO FULTONS</t>
  </si>
  <si>
    <t>PLASTICINA 12 COLORES ROSS</t>
  </si>
  <si>
    <t>PORTADA MICA OFICIO TRANSPARENTE 200 MICRONES 30 UNIDADES LAVORO</t>
  </si>
  <si>
    <t>CARTON PIEDRA GRIS 1.5MM 55X77CM GRANDE 25 UNIDADES WALTER</t>
  </si>
  <si>
    <t>FORRO LIBRO TRANSPARENTE 10 UNIDADES ESPINOZA</t>
  </si>
  <si>
    <t>COLA FRIA 110 GRAMOS 12 UNIDADES FULTONS</t>
  </si>
  <si>
    <t>TINTA CHINA AZUL 1 UNIDAD STEPHENS</t>
  </si>
  <si>
    <t>PLUMON PIZARRA ROJO 12 UNIDADES ISOFIT</t>
  </si>
  <si>
    <t>PLUMON PIZARRA AZUL 12 UNIDADES ISOFIT</t>
  </si>
  <si>
    <t>SET 10 ESFERAS 3,5 CM RAYFEN</t>
  </si>
  <si>
    <t>SET 10 ESFERAS 2,5 CM RAYFEN</t>
  </si>
  <si>
    <t>SET 10 ESFERAS 4 CM RAYFEN</t>
  </si>
  <si>
    <t>ADHESIVO MULTIUSO 30CC 24 UNIDADES FULTONS</t>
  </si>
  <si>
    <t>PINCEL N°6 ESPATULADO 12 UNIDADES ART&amp;CRAFT</t>
  </si>
  <si>
    <t>PINCEL N°10 ESPATULADO 12 UNIDADES PROARTE</t>
  </si>
  <si>
    <t>PINCEL N°12 ESPATULADO 12 UNIDADES PROARTE</t>
  </si>
  <si>
    <t>CARPETA CARTÓN MICROCORRUGADO ARTE TOP</t>
  </si>
  <si>
    <t>GOMA EVA 40X60CM 2MM AMARILLO 10 UNIDADES ART&amp;CRAFT</t>
  </si>
  <si>
    <t>GOMA EVA 40X60CM 2MM AZUL 10 UNIDADES ART&amp;CRAFT</t>
  </si>
  <si>
    <t>GOMA EVA 40X60CM 2MM BLANCO 10 UNIDADES ART&amp;CRAFT</t>
  </si>
  <si>
    <t>GOMA EVA 40X60CM 2MM CAFE 10 UNIDADES ART&amp;CRAFT</t>
  </si>
  <si>
    <t>GOMA EVA 40X60CM 2MM CELESTE 10 UNIDADES ART&amp;CRAFT</t>
  </si>
  <si>
    <t>GOMA EVA 40X60CM 2MM FUCSIA 10 UNIDADES ART&amp;CRAFT</t>
  </si>
  <si>
    <t>GOMA EVA 40X60CM 2MM GRIS 10 UNIDADES ART&amp;CRAFT</t>
  </si>
  <si>
    <t>GOMA EVA 40X60CM 2MM MORADO 10 UNIDADES ART&amp;CRAFT</t>
  </si>
  <si>
    <t>GOMA EVA 40X60CM 2MM NARANJA 10 UNIDADES ART&amp;CRAFT</t>
  </si>
  <si>
    <t>GOMA EVA 40X60CM 2MM NEGRO 10 UNIDADES ART&amp;CRAFT</t>
  </si>
  <si>
    <t>GOMA EVA 40X60CM 2MM PIEL 10 UNIDADES ART&amp;CRAFT</t>
  </si>
  <si>
    <t>GOMA EVA 40X60CM 2MM ROJO 10 UNIDADES ART&amp;CRAFT</t>
  </si>
  <si>
    <t>GOMA EVA 40X60CM 2MM ROSADO 10 UNIDADES ART&amp;CRAFT</t>
  </si>
  <si>
    <t>GOMA EVA 40X60CM 2MM VERDE CLARO 10 UNIDADES ART&amp;CRAFT</t>
  </si>
  <si>
    <t>EVA-013</t>
  </si>
  <si>
    <t>GOMA EVA 40X60CM VERDE OSCURO 10 UNIDADES RAYARTE</t>
  </si>
  <si>
    <t>GOMA EVA GLITTER 40X60CM AZUL 10 UNIDADES ART&amp;CRAFT</t>
  </si>
  <si>
    <t>GOMA EVA GLITTER 40X60CM BLANCO 10 UNIDADES ART&amp;CRAFT</t>
  </si>
  <si>
    <t>GOMA EVA GLITTER 40X60CM CAFE 10 UNIDADES ART&amp;CRAFT</t>
  </si>
  <si>
    <t>GOMA EVA GLITTER 40X60CM CALIPSO 10 UNIDADES ART&amp;CRAFT</t>
  </si>
  <si>
    <t>GOMA EVA GLITTER 40X60CM DORADO 10 UNIDADES ART&amp;CRAFT</t>
  </si>
  <si>
    <t>GOMA EVA GLITTER 40X60CM LILA 10 UNIDADES ART&amp;CRAFT</t>
  </si>
  <si>
    <t>GOMA EVA GLITTER 40X60CM FUCSIA 10 UNIDADES ART&amp;CRAFT</t>
  </si>
  <si>
    <t>GOMA EVA GLITTER 40X60CM MORADO 10 UNIDADES ART&amp;CRAFT</t>
  </si>
  <si>
    <t>GOMA EVA GLITTER 40X60CM NARANJA 10 UNIDADES ART&amp;CRAFT</t>
  </si>
  <si>
    <t>GOMA EVA GLITTER 40X60CM PLATA 10 UNIDADES ART&amp;CRAFT</t>
  </si>
  <si>
    <t>GOMA EVA GLITTER 40X60CM ROJO 10 UNIDADES ART&amp;CRAFT</t>
  </si>
  <si>
    <t>GOMA EVA GLITTER 40X60CM ROSADO 10 UNIDADES ART&amp;CRAFT</t>
  </si>
  <si>
    <t>GOMA EVA GLITTER 40X60CM VERDE CLARO 10 UNIDADES ART&amp;CRAFT</t>
  </si>
  <si>
    <t>GOMA EVA GLITTER 40X60CM VERDE 10 UNIDADES ART&amp;CRAFT</t>
  </si>
  <si>
    <t>CARTULINA COLOR AZUL 53X77 CMS HALLEY</t>
  </si>
  <si>
    <t>CARTULINA COLOR NARANJO 53X77 CMS HALLEY</t>
  </si>
  <si>
    <t>CARTULINA COLOR GRIS 53X77 CMS HALLEY</t>
  </si>
  <si>
    <t>CARTULINA COLOR MORADO 53X77 CMS HALLEY</t>
  </si>
  <si>
    <t>CARTULINA COLOR PIEL 53X77 CMS HALLEY</t>
  </si>
  <si>
    <t>TALONARIO VALE VOTOS HALLEY</t>
  </si>
  <si>
    <t>VALE POR FOLIADO 100 HOJAS HALLEY</t>
  </si>
  <si>
    <t>CROQUERA TAMAÑO CARTA DISEÑO SURTIDO 1 UNIDAD ESPINOZA</t>
  </si>
  <si>
    <t>CROQUERA TAMAÑO OFICIO DISEÑO SURTIDO 1 UNIDAD ESPINOZA</t>
  </si>
  <si>
    <t>PAPEL COREANO 58X58CM CORAZONES ROJOS 20 PLIEGOS</t>
  </si>
  <si>
    <t>PAPEL DE REGALO BEBE GLOBO 70X100CM 1 PLIEGO LIBESA</t>
  </si>
  <si>
    <t>SET 10 ESFERAS DE PLUMAVIT 2.5 CM DIAMETRO RAY FEN</t>
  </si>
  <si>
    <t>SET 10 ESFERAS DE PLUMAVIT 3.5 CM DIAMETRO RAY FEN</t>
  </si>
  <si>
    <t>SET 10 ESFERAS DE PLUMAVIT 4 CM DIÁMETRO RAY FEN</t>
  </si>
  <si>
    <t>PAPEL DE REGALO MARIPOSA 70X100CM 1 PLIEGO LIBESA</t>
  </si>
  <si>
    <t>PAPEL DE REGALO OSOS CORAZON 70X100CM 1 PLIEGO LIBESA</t>
  </si>
  <si>
    <t>PLUMON SCRIPTO 12 COLORES FULTONS</t>
  </si>
  <si>
    <t>TIRALINEAS 0.5 NEGRO 12 UN PROARTE</t>
  </si>
  <si>
    <t>FINELINER 12 COLORES PROARTE</t>
  </si>
  <si>
    <t>FINELINER TRIANGULAR 0.4 12 COLORES PASTEL LAVORO</t>
  </si>
  <si>
    <t>LAPIZ PASTA NEGRO 1.0MM 50 UNIDADES FULTONS</t>
  </si>
  <si>
    <t>CARPETA SIMPLE SIN ACCO CLIP OFICIO VERDE CLARO JRF</t>
  </si>
  <si>
    <t>CARPETA SIMPLE SIN ACCO CLIP OFICIO MORADO JRF</t>
  </si>
  <si>
    <t>CARPETA SIMPLE SIN ACCO CLIP OFICIO NARANJA JRF</t>
  </si>
  <si>
    <t>CARPETA SIMPLE SIN ACCO CLIP OFICIO ROJO JRF</t>
  </si>
  <si>
    <t>CARPETA SIMPLE SIN ACCO CLIP OFICIO ROSADA JRF</t>
  </si>
  <si>
    <t>BLOCK DE DIBUJO MEDIO 99 1/8 20HJS FULTONS</t>
  </si>
  <si>
    <t>CUADERNILLO CUADRO GRANDE 7MM OFICIO 5 HOJAS 25 UNIDADES PROARTE</t>
  </si>
  <si>
    <t>CUADERNO UNIVERSITARIO NUEVO HELLO KITTY 100 HOJAS 10 UNIDADES PROARTE</t>
  </si>
  <si>
    <t>FUNDAS TRANSPARENTE OFICIO 100UN FULTONS</t>
  </si>
  <si>
    <t>CARPETA CARTULINA 14 HJS FULTONS</t>
  </si>
  <si>
    <t>CARPETA SIMPLE SIN ACCO CLIP OFICIO NEGRA JRF</t>
  </si>
  <si>
    <t>LIMPIA PIPAS SURTIDAS 30 PCS ART &amp; CRAFT</t>
  </si>
  <si>
    <t>BROCHETAS 4MM 50 UNIDADES APROX 30CM ARTE TOP</t>
  </si>
  <si>
    <t>BROCHETAS 4MM 50 UNIDADES APROX 35CM ARTE TOP</t>
  </si>
  <si>
    <t>BROCHETAS 4MM 50 UNIDADES APROX 40CM ARTE TOP</t>
  </si>
  <si>
    <t>DUPLEX350</t>
  </si>
  <si>
    <t>CARTON DUPLEX REVERSO BLANCO 55X77CMS 350 GRAMOS</t>
  </si>
  <si>
    <t>TEMPERA 6 COLORES 15ML PROARTE</t>
  </si>
  <si>
    <t>CARPETA CARTULINA CON ELASTICO AZUL LAVORO</t>
  </si>
  <si>
    <t>CARPETA CARTULINA CON ELASTICO FUCSIA LAVORO</t>
  </si>
  <si>
    <t>CARPETA CARTULINA CON ELASTICO VERDE OSCURO LAVORO</t>
  </si>
  <si>
    <t>CARPETA CARTULINA CON ELASTICO VERDE FULTONS</t>
  </si>
  <si>
    <t>SISTEMA SOLAR COMPLETO RAY FEN</t>
  </si>
  <si>
    <t>SET LANAS 5 COLORES 1 AGUJA PLAST ART &amp; CRAFT</t>
  </si>
  <si>
    <t>SET LANA 5 COLORES BASICOS 1 AGUJA PLAST ART &amp; CRAFT</t>
  </si>
  <si>
    <t>POMPON MIX ROJO VIERI</t>
  </si>
  <si>
    <t>POMPON MIX LILA VIERI</t>
  </si>
  <si>
    <t>POMPON MIX NEGRO VIERI</t>
  </si>
  <si>
    <t>POMPONES COLORES SURTIDOS 25MM 36 UNIDADES ART&amp;CRAFT</t>
  </si>
  <si>
    <t>PLUMON PIZARRA NEGRO 12 UNIDADES FULTONS</t>
  </si>
  <si>
    <t>PLUMON PIZARRA AZUL 12 UNIDADES FULTONS</t>
  </si>
  <si>
    <t>PLUMON PIZARRA ROJO 12 UNIDADES FULTONS</t>
  </si>
  <si>
    <t>PLUMON PIZARRA VERDE 12 UNIDADES FULTONS</t>
  </si>
  <si>
    <t>POTE MINI GOMA PASTEL 120 UNIDADES GIOTTO</t>
  </si>
  <si>
    <t>SACAPUNTA DOBLE PLASTICO 12 UNIDADES FULTONS</t>
  </si>
  <si>
    <t>CUADERNO UNIVERSITARIO 5MM 100 HOJAS 10 UNIDADES PROARTE</t>
  </si>
  <si>
    <t>CUADERNO UNIVERSITARIO CROQUIS 10 UNIDADES PROARTE</t>
  </si>
  <si>
    <t>GLOBO TRICOLOR 25 UNIDADES BIG PARTY</t>
  </si>
  <si>
    <t>PAPEL SEDA BLANCO 22GRS 50X75CM 100 UNIDADES ART&amp;CRAFT</t>
  </si>
  <si>
    <t>PAPEL SEDA AZUL BANDERA 50X75CM 100 UNIDADES 22GRS ART&amp;CRAFT</t>
  </si>
  <si>
    <t>PAPEL SEDA ROJO BANDERA 50X75CM 100 UNIDADES 22GRS ART&amp;CRAFT</t>
  </si>
  <si>
    <t>BANDERA PLASTICA CHILENA 10MTS 1UN PRONOBEL</t>
  </si>
  <si>
    <t>ADORNO COPIHUE CHICO 25CM 10 UNIDADES BIG PARTY</t>
  </si>
  <si>
    <t>ADORNO GLOBO CHICO 25CM 10 UNIDADES BIGPARTY</t>
  </si>
  <si>
    <t>ADORNO TROMPO CHICO 25CM 10 UNIDADES BIG PARTY</t>
  </si>
  <si>
    <t>ADORNO DIECIOCHERO SOL CHICO 40CM 10 UNIDADES BIG PARTY</t>
  </si>
  <si>
    <t>SET 50 HOJAS ETIQUETAS NAVIDEÑAS AUTOADHESIVAS 2 DISEÑOS SURTIDOS</t>
  </si>
  <si>
    <t>PAPEL DE REGALO NAVIDEÑO 70X100CM 1 PLIEGO LIBESA</t>
  </si>
  <si>
    <t>PAPEL DE REGALO NAVIDEÑO 70X100CMS 1 PLIEGO LIBESA</t>
  </si>
  <si>
    <t>PAPEL DE REGALO NAVIDAD 70X100CM 1 PLIEGO LIBESA</t>
  </si>
  <si>
    <t>LIBRO DE STICKERS 6 PAGINAS MOTIVACIONALES ART&amp;CRAFT</t>
  </si>
  <si>
    <t>LAPIZ GRAFITO N°2 HB REDONDO 12 UNIDADES FULTONS</t>
  </si>
  <si>
    <t>SET DE 10 FRASOS DE MONDADIENTES 100 UNIDADES APROX BIG PARTY</t>
  </si>
  <si>
    <t>POTE MINI GOMA FLUO 120 UNIDADES GIOTTO</t>
  </si>
  <si>
    <t>GUIRNALDA TREBOL CON BANDERA 2MTS 10 UNIDADES BIG PARTY</t>
  </si>
  <si>
    <t>MARCADOR MULTIUSO NEGRO PUNTA MEDIA 12 UNIDADES LAVORO</t>
  </si>
  <si>
    <t>PERFORADORA PM-20 SILVER PARA 20 HOJAS CON GUIA ISOFIT</t>
  </si>
  <si>
    <t>ARCHIVADOR BURDEO LOMO ANCHO OFICIO 10 UNIDADES ISOFIT</t>
  </si>
  <si>
    <t>PAPEL CALCO TAMAÑO OFICIO 25 HOJAS NEGRO FULTONS</t>
  </si>
  <si>
    <t>PAPEL CALCO TAMAÑO OFICIO 25 HOJAS AZUL FULTONS</t>
  </si>
  <si>
    <t>CARTULINA COLOR BLANCO 53X77 CMS HALLEY</t>
  </si>
  <si>
    <t>CUADERNO ANIMALES CARTA (TRIPLE) 150 HOJAS 1 UNIDAD SURTIDO PROARTE</t>
  </si>
  <si>
    <t>PAPEL CREPE 50X200CM AMARILLO 10 UNIDADES ART&amp;CRAFT</t>
  </si>
  <si>
    <t>PAPEL CREPE 50X200CM AZUL 10 UNIDADES ART&amp;CRAFT</t>
  </si>
  <si>
    <t>PAPEL CREPE 50X200CM AZUL REY 10 UNIDADES ART&amp;CRAFT</t>
  </si>
  <si>
    <t>PAPEL CREPE 50X200CM CALIPSO 10 UNIDADES ART&amp;CRAFT</t>
  </si>
  <si>
    <t>PAPEL CREPE 50X200CM FUCSIA 10 UNIDADES ART&amp;CRAFT</t>
  </si>
  <si>
    <t>PAPEL CREPE 50X200CM GRIS 10 UNIDADES ART&amp;CRAFT</t>
  </si>
  <si>
    <t>PAPEL CREPE 50X200CM LILA 10 UNIDADES ART&amp;CRAFT</t>
  </si>
  <si>
    <t>PAPEL CREPE 50X200CM MORADO 10 UNIDADES ART&amp;CRAFT</t>
  </si>
  <si>
    <t>PAPEL CREPE 50X200CM NARANJA 10 UNIDADES ART&amp;CRAFT</t>
  </si>
  <si>
    <t>PAPEL CREPE 50X200CM ROSADO 10 UNIDADES ART&amp;CRAFT</t>
  </si>
  <si>
    <t>PAPEL CREPE 50X200CM ROSADO OSCURO 10 UNIDADES ART&amp;CRAFT</t>
  </si>
  <si>
    <t>PAPEL CREPE 50X200CM VERDE CLARO 10 UNIDADES ART&amp;CRAFT</t>
  </si>
  <si>
    <t>PAPEL CREPE 50X200CM VERDE 10 UNIDADES ART&amp;CRAFT</t>
  </si>
  <si>
    <t>PALO DE MAQUETA RAULI 4X4MM 50CMS 7 UNIDADES</t>
  </si>
  <si>
    <t>PALO DE MAQUETA RAULI 5X5MM 50CMS 5 UNIDADES</t>
  </si>
  <si>
    <t>PALO DE MAQUETA RAULI 7X7MM 50CMS 3 UNIDADES</t>
  </si>
  <si>
    <t>37532-2</t>
  </si>
  <si>
    <t>CUADERNO UNIVERSITARIO KUROMI 100 HOJAS 10 UNIDADES PROARTE</t>
  </si>
  <si>
    <t>22155-4</t>
  </si>
  <si>
    <t>31928-7</t>
  </si>
  <si>
    <t>CUADERNO UNIVERSITARIO SPIDERMAN 100 HOJAS 10 UNIDADES PROARTE</t>
  </si>
  <si>
    <t>36926-8</t>
  </si>
  <si>
    <t>CUADERNO UNIVERSITARIO CARTOON NETWORK 100 HOJAS 10 UNIDADES PROARTE</t>
  </si>
  <si>
    <t>36891-1</t>
  </si>
  <si>
    <t>CUADERNO UNIVERSITARIO ESCOCES 100 HOJAS 10 UNIDADES PROARTE</t>
  </si>
  <si>
    <t>32062-5</t>
  </si>
  <si>
    <t>CUADERNO UNIVERSITARIO RIDERS 100 HOJAS 10 UNIDADES PROARTE</t>
  </si>
  <si>
    <t>23417-6</t>
  </si>
  <si>
    <t>CUADERNO UNIVERSITARIO ANIMALES ADOR 100 HOJAS 10 UNIDADES PROARTE</t>
  </si>
  <si>
    <t>LIBRETA OCTAVA HELLO KITTY 12X14.8CM 120 HOJAS 1 UNIDAD SURTIDO PROARTE</t>
  </si>
  <si>
    <t>CARPETA PAPEL LUSTRE 14 HJS FULTONS</t>
  </si>
  <si>
    <t>CUADERNO POCKET PEQUEÑO (LIBRETA) 10X15CM MUJER 100HJS 3 UNIDADES LAVORO</t>
  </si>
  <si>
    <t>CUADERNO POCKET 10x15CM HOMBRE 100HJS 4 UNIDADES LAVORO</t>
  </si>
  <si>
    <t>COLA FRIA 225 GRS 6 UNIDADES FULTON</t>
  </si>
  <si>
    <t>NOTAS ADHESIVAS 76X76MM 4 COLORES PASTEL LAVORO</t>
  </si>
  <si>
    <t>LIMPIA PIPAS METÁLICAS ART &amp; CRAFT</t>
  </si>
  <si>
    <t>LIMPIA PIPAS COLORES FLOUR ART &amp; CRAFT</t>
  </si>
  <si>
    <t>PLUMAS BLANCAS 10 A 15CM 50 PIEZAS ART&amp;CRAFT</t>
  </si>
  <si>
    <t>PLUMAS LARGAS 10-15 CMS 50 UNIDADES ART &amp; CRAFT</t>
  </si>
  <si>
    <t>SET 100 ROSITAS PEQUEÑAS</t>
  </si>
  <si>
    <t>SET 100 ROSITAS GRANDES</t>
  </si>
  <si>
    <t>ELASTICOS 1/2 KILO BLANCO FULTONS</t>
  </si>
  <si>
    <t>SOBRE VISITA BLANCO 80GRS 50 UNIDADES FULTONS</t>
  </si>
  <si>
    <t>CROQUERA DOBLE FAZ ESPIRAL MEDIO OFICIO 50 HOJAS ARTE TOP</t>
  </si>
  <si>
    <t>GOMA EVA GLITTER 40X60CM NEGRO 10 UNIDADES ART&amp;CRAFT</t>
  </si>
  <si>
    <t>CARTULINA PISTACHO 53X77CM 25UN ARTE TOP</t>
  </si>
  <si>
    <t>CARTULINA AZUL OSCURO 53X77CM 25UN ARTE TOP</t>
  </si>
  <si>
    <t>SET 20 BOLSITAS ESTRELLA Y LENTEJUELAS ART&amp;CRAFT</t>
  </si>
  <si>
    <t>SET 20 BOLSITAS CON LENTEJUELAS COLORES ESPECIALES ART&amp;CRAFT</t>
  </si>
  <si>
    <t>SET 20 BOLSITAS LENTEJUELAS COLORES ART &amp; CRAFT</t>
  </si>
  <si>
    <t>SET 20 BOLSITAS CONFETI ART &amp; CRAFT</t>
  </si>
  <si>
    <t>CINTA DOBLE CONTACTO 18MMX13.7MTS 1 UNIDAD LAVORO</t>
  </si>
  <si>
    <t>CINTA DOBLE CONTACTO 24MMX13.7MTS 1 UNIDAD LAVORO</t>
  </si>
  <si>
    <t>LIBRO COLOREAR MANDALAS ART&amp;CRAFT</t>
  </si>
  <si>
    <t>ARCILLA 1 KILO APROX BLANCA MAYJA</t>
  </si>
  <si>
    <t>LAPIZ PASTA CRISTAL NEGRO PUNTA MEDIA 50 UNIDADES BIC</t>
  </si>
  <si>
    <t>LAPIZ PASTA CRISTAL ROJO PUNTA MEDIA 50 UNIDADES BIC</t>
  </si>
  <si>
    <t>LAPIZ PASTA CRISTAL AZUL PUNTA MEDIA 50 UNIDADES BIC</t>
  </si>
  <si>
    <t>PAPEL CREPE 50X200CM ROJO 10 UNIDADES ART&amp;CRAFT</t>
  </si>
  <si>
    <t>PAPEL CREPE 50X200CM BLANCO 10 UNIDADES ART&amp;CRAFT</t>
  </si>
  <si>
    <t>PAPEL CREPE 50X200CM NEGRO 10 UNIDADES ART&amp;CRAFT</t>
  </si>
  <si>
    <t>PAPEL CREPE 50X200CM CAFÉ 10 UNIDADES ART&amp;CRAFT</t>
  </si>
  <si>
    <t>TIRALINEAS 0.4 NEGRO 12 UNIDADES PROARTE</t>
  </si>
  <si>
    <t>CINTA DE EMBALAJE TRANSPARENTE 48MMX30MTS 6 UNIDADES FULTONS</t>
  </si>
  <si>
    <t>3786662A</t>
  </si>
  <si>
    <t>BOLIGRAFO PUNTA 0.6MM 12 UNIDADES AZUL DOMS</t>
  </si>
  <si>
    <t>LIBRO COLOREAR CIUDADES ART&amp;CRAFT</t>
  </si>
  <si>
    <t>LIBRO COLOREAR ANIMALES MANDALA 48 PAGINAS ART&amp;CRAFT</t>
  </si>
  <si>
    <t>CARTULINA AMARILLO 53X77CM 25UN ARTE TOP</t>
  </si>
  <si>
    <t>CARTULINA CELESTE 53X77CM 25UN ARTE TOP</t>
  </si>
  <si>
    <t>CARTULINA NARANJA 53X77CM 25UN ARTE TOP</t>
  </si>
  <si>
    <t>CARTULINA ROJO 53X77CM 25UN ARTE TOP</t>
  </si>
  <si>
    <t>CARTULINA NEGRO 53X77CM 25UN ARTE TOP</t>
  </si>
  <si>
    <t>CARTULINA BLANCA 53X77CM 25UN ARTE TOP</t>
  </si>
  <si>
    <t>CARTULINA AZUL 53X77CM 25UN ARTE TOP</t>
  </si>
  <si>
    <t>FORRO UNIVERSITARIO ROJO 10 UNIDADES ESPINOZA</t>
  </si>
  <si>
    <t>FORRO UNIVERSITARIO MORADO 10 UNIDADES ESPINOZA</t>
  </si>
  <si>
    <t>FORRO UNIVERSITARIO CELESTE 10 UNIDADES ESPINOZA</t>
  </si>
  <si>
    <t>FORRO COLLEGE NARANJA 10 UNIDADES ESPINOZA</t>
  </si>
  <si>
    <t>GREDA 1 KILO APROX MAYJA</t>
  </si>
  <si>
    <t>TIJERA ESCOLAR PARA ZURDOS BLISTER FULTONS</t>
  </si>
  <si>
    <t>TRANSPORTADOR 10 CMS 180° PROARTE</t>
  </si>
  <si>
    <t>REGLA PLASTICA 20CMS FULTONS</t>
  </si>
  <si>
    <t>REGLA PLASTICA 30CMS FULTONS</t>
  </si>
  <si>
    <t>REGLA METALICA 30CMS FULTONS</t>
  </si>
  <si>
    <t>FORRO UNIVERSITARIO VERDE CLARO 10 UNIDADES ESPINOZA</t>
  </si>
  <si>
    <t>CARPETA CARTON MICROCORRUGADO 6 HOJAS FULTONS</t>
  </si>
  <si>
    <t>FORRO LIBRO MORADO 10 UNIDADES ESPINOZA</t>
  </si>
  <si>
    <t>PLASTICINA REDONDA 12 COLORES ARTE TOP</t>
  </si>
  <si>
    <t>CARPETA CARTULINA CON ELASTICO CELESTE PASTEL LAVORO</t>
  </si>
  <si>
    <t>CARPETA OFICIO CON ACCO CLIP PLASTICO NARANJA 1 UNIDAD JRF</t>
  </si>
  <si>
    <t>CARPETA SIMPLE SIN ACCO CLIP OFICIO AMARILLO JRF</t>
  </si>
  <si>
    <t>CARPETA SIMPLE SIN ACCO CLIP OFICIO CELESTE JRF</t>
  </si>
  <si>
    <t>BLOCK DIBUJO MEDIO N°99 1/8 20 HOJAS PROARTE</t>
  </si>
  <si>
    <t>TEE1500137</t>
  </si>
  <si>
    <t>CINTA DE EMBAJALE TRANSPARENTE 44MMX30MTS USATAPE</t>
  </si>
  <si>
    <t>PALO DE MAQUETA REDONDO 6MM 50CMS 4 UNIDADES</t>
  </si>
  <si>
    <t>PALO DE MAQUETA REDONDO 8MM 50CMS 3 UNIDADES</t>
  </si>
  <si>
    <t>PALO DE MAQUETA RAULI 4X4MM 50CMS 6 UNIDADES</t>
  </si>
  <si>
    <t>PALO DE MAQUETA 8X8MM RAULI 50CMS 3 UNIDADES</t>
  </si>
  <si>
    <t>MARCADOR PERMANENTE BISELADO ROJO 12 UNIDADES FULTONS</t>
  </si>
  <si>
    <t>CUADERNO TRIPLE 150HJS CHILE 1 UNIDAD DISEÑO SURTIDO NUOVO</t>
  </si>
  <si>
    <t>MINI POTE DE GOMA DE BORRAR ANIMALES 12 UNIDADES ARTE TOP</t>
  </si>
  <si>
    <t>MINI POTE DE GOMA DE BORRAR JUNGLA 12 UNIDADES ARTE TOP</t>
  </si>
  <si>
    <t>LIBRO COLOREAR DOODLES MANDALA 48 PAGINAS ART&amp;CRAFT</t>
  </si>
  <si>
    <t>LIBRO DE COLOREAR FLORES MANDALA ART&amp;CRAFT</t>
  </si>
  <si>
    <t>LIBRO DE COLOREAR ALIMENTOS MANDALA ART&amp;CRAFT</t>
  </si>
  <si>
    <t>TEMPERA 6 COLORES CON PINCEL ARTE TOP</t>
  </si>
  <si>
    <t>DESTACADOR LAPIZ AMARILLO 12 UNIDADES ISOFIT</t>
  </si>
  <si>
    <t>CROQUERA DOBLE FAZ ESPIRAL CARTA 50 HOJAS ARTE TOP</t>
  </si>
  <si>
    <t>CUADERNO COLLEGE 5MM 80 HOJAS 10 UNIDADES ROSS</t>
  </si>
  <si>
    <t>SACAPUNTAS DOBLE 12 UNIDADES PAX</t>
  </si>
  <si>
    <t>MEZCLADOR 4 DIVISIONES 1 UNIDAD FULTON</t>
  </si>
  <si>
    <t>CROQUERA DOBLE FAZ ESPIRAL OFICIO 50 HOJAS ARTE TOP</t>
  </si>
  <si>
    <t>BLOCK DIBUJO DOBLE FAZ N°99 1/8 PROARTE</t>
  </si>
  <si>
    <t>35763-4</t>
  </si>
  <si>
    <t>CUADERNO UNIVERSITARIO HELLO KITTY 100 HOJAS 10 UNIDADES PROARTE</t>
  </si>
  <si>
    <t>SEPARADOR VINIL 12 DIVISORES TAMAÑO CARTA LAVORO</t>
  </si>
  <si>
    <t>CORCHETES 26/6 5000 UNIDADES FULTONS</t>
  </si>
  <si>
    <t>CORCHETES 26/6 1000 UNIDADES 10 CAJAS FULTONS</t>
  </si>
  <si>
    <t>3786662N</t>
  </si>
  <si>
    <t>BOLIGRAFO PUNTA 0.6MM 12 UNIDADES NEGRO DOMS</t>
  </si>
  <si>
    <t>3786662R</t>
  </si>
  <si>
    <t>BOLIGRAFO PUNTA 0.6MM 12 UNIDADES ROJO DOMS</t>
  </si>
  <si>
    <t>CUADERNILLO CUADRO GRANDE 7MM OFICIO 50 UNIDADES 10 HOJAS NUOVO</t>
  </si>
  <si>
    <t>CARPETA PAPEL VEGETAL 90/95 GR 6 HOJAS FULTONS</t>
  </si>
  <si>
    <t>PORTAMINAS 0.7MM COLOR SURTIDO 12 UNIDADES LAVORO</t>
  </si>
  <si>
    <t>PORTAMINAS 0.5MM COLOR SURTIDO TRANSPARENTES 12 UNIDADES LAVORO</t>
  </si>
  <si>
    <t>SET SISTEMA SOLAR 10 PIEZAS ARTE TOP</t>
  </si>
  <si>
    <t>LAPICES 12 COLORES PASTEL LAVORO</t>
  </si>
  <si>
    <t>PAPEL FOTOGRAFICO 180GRS GLOSSY A4 20 HOJAS NUOVO</t>
  </si>
  <si>
    <t>PAPEL FOTOGRAFICO ADHESIVO 150GRS GLOSSY A4 20 HOJAS NUOVO</t>
  </si>
  <si>
    <t>COMPAS ESCOLAR METALICO AZUL FULTONS</t>
  </si>
  <si>
    <t>PALOS DE HELADO NATURAL ARTE TOP</t>
  </si>
  <si>
    <t>PINCEL N°0 PELO CAMELLO 12 UNIDADES ART&amp;CRAFT</t>
  </si>
  <si>
    <t>BOMBITAS DE AGUA CON ADAPTADOR 100 UNIDADES BALLOONS</t>
  </si>
  <si>
    <t>GOMA EVA 40X60CM 2MM LILA 10 UNIDADES ART&amp;CRAFT</t>
  </si>
  <si>
    <t>GOMA EVA MIX DE 10 COLORES 20X30CM ARTE TOP</t>
  </si>
  <si>
    <t>CART3</t>
  </si>
  <si>
    <t>CARTON PIEDRA 1.5MM 55X77CM 25 UNIDADES ROKA</t>
  </si>
  <si>
    <t>BOLIGRAFO PLATEADO LUSSO</t>
  </si>
  <si>
    <t>MARCADOR OLEO BLANCO 12 UNIDADES LAVORO</t>
  </si>
  <si>
    <t>GOMA EVA AUTOADHESIVA 20X30CM 10 COLORES ARTE TOP</t>
  </si>
  <si>
    <t>GOMA EVA AUTOADHESIVA GLITTER 20X30CM 10 UNIDADES ARTE TOP</t>
  </si>
  <si>
    <t>ESCARCHA</t>
  </si>
  <si>
    <t>SET 20 BOLSITAS ESCARCHAS COLORES BASICOS KAMI</t>
  </si>
  <si>
    <t>FLUORESCARCHA</t>
  </si>
  <si>
    <t>SET 20 BOLSITAS ESCARCHAS COLORES FLUOR KAMI</t>
  </si>
  <si>
    <t>OJOS</t>
  </si>
  <si>
    <t>SET 20 BOLSITAS OJITOS LOCOS TAMAÑOS VARIOS KAMI</t>
  </si>
  <si>
    <t>SET LIJA ESCOLAR ARTE TOP</t>
  </si>
  <si>
    <t>SET BILLETES Y MONEDAS DE CHILE ARTE TOP</t>
  </si>
  <si>
    <t>ETIQUETA VERDE NEON SATO 1 LINEA IMPRESION 500UN 10 ROLLOS FULTONS</t>
  </si>
  <si>
    <t>SET BANDERITAS FLECHAS 12X44MM LAVORO</t>
  </si>
  <si>
    <t>SET BANDERITAS INDEX 12X44MM LAVORO</t>
  </si>
  <si>
    <t>BLOCK PREPICADO CARTA 7MM NUOVO</t>
  </si>
  <si>
    <t>PAPEL DE REGALO COUCHE HOMBRE DISEÑOS SURTIDOS 100 UNIDADES 70X100CM NUOVO</t>
  </si>
  <si>
    <t>PAPEL DE REGALO COUCHE MUJER DISEÑOS SURTIDOS 100 UNIDADES 70X100CM NUOVO</t>
  </si>
  <si>
    <t>PAPEL DE REGALO COUCHE ENAMORADOS DISEÑOS SURTIDOS 100 UNIDADES 70X100CM NUOVO</t>
  </si>
  <si>
    <t>PAPEL DE REGALO BEBE OSO 70X100CM 1 PLIEGO LIBESA</t>
  </si>
  <si>
    <t>CARPETA CON FUNDAS PLASTICA NEGRA 20 FUNDAS OFICIO SELLOFFICE</t>
  </si>
  <si>
    <t>CARPETA OFICIO CON ACCO CLIP PLASTICO VERDE CLARO 1 UNIDAD JRF</t>
  </si>
  <si>
    <t>LAPICES 12 COLORES + 3 GRAFITOS ECO FABER CASTELL</t>
  </si>
  <si>
    <t>MI PRIMER KIT ESCOLAR DOMS</t>
  </si>
  <si>
    <t>LAPICES GRAFITO HB Nº2 TRIANGULAR 12 UNIDADES FABER CASTELL</t>
  </si>
  <si>
    <t>LAPIZ GRAFITO HB N°2 HEXAGONAL 12 UNIDADES FABER CASTELL</t>
  </si>
  <si>
    <t>LAPICES GRAFITOS HB #2 CON GOMA 12 UNIDADES DOMS</t>
  </si>
  <si>
    <t>LAPIZ GRAFITO HEXAGONAL 12 UNIDADES LYRA</t>
  </si>
  <si>
    <t>GUIRNALDA CUADRADA CON HILO 2MTS 10 UNIDADES BIG PARTY</t>
  </si>
  <si>
    <t>GUIRNALDA COPIHUE 200CM 10 UNIDADES BIG PARTY</t>
  </si>
  <si>
    <t>GUIRNALDA FLOR 2MTS 10 UNIDADES BIG PARTY</t>
  </si>
  <si>
    <t>ARCILLA</t>
  </si>
  <si>
    <t>ARCILLA 1 KILO APROX USO ESCOLAR Y PROFESIONAL</t>
  </si>
  <si>
    <t>PAPEL DE REGALO NAVIDAD 70X100CMS 1 PLIEGO LIBESA</t>
  </si>
  <si>
    <t>CARPETA PAPEL DIAMANTE GRANDE 29.7X42CM 6 HOJAS ARTE TOP</t>
  </si>
  <si>
    <t>CARPETA CARTULINA ESPAÑOLA PASTEL 10 HOJAS ARTE TOP</t>
  </si>
  <si>
    <t>25 FAJOS DE PAPEL LUSTRE HALLEY</t>
  </si>
  <si>
    <t>SET COMPAS ESCOLAR ARTE TOP</t>
  </si>
  <si>
    <t>37708-2</t>
  </si>
  <si>
    <t>CUADERNO UNIVERSITARIO CINNAMOROLL 100 HOJAS 10 UNIDADES PROARTE</t>
  </si>
  <si>
    <t>37533-0</t>
  </si>
  <si>
    <t>CUADERNO UNIVERSITARIO MY MELODY 100 HOJAS 10 UNIDADES PROARTE</t>
  </si>
  <si>
    <t>33853-2</t>
  </si>
  <si>
    <t>BANDERIN CHILE PAPEL VOLANTIN 360CM APROX BIG PARTY</t>
  </si>
  <si>
    <t>ESCUADRA ACRILICA 60° 22CM FULTONS</t>
  </si>
  <si>
    <t>TEMPERA DE 12 COL 20ML + PINCEL ARTE TOP</t>
  </si>
  <si>
    <t>SET BROCHETAS BAMBU 3MMX25CM 50 UNIDADES APROX BIG PARTY</t>
  </si>
  <si>
    <t>SET BROCHETAS BAMBU 3MMx30CM 50 UNIDADES APROX BIG PARTY</t>
  </si>
  <si>
    <t>SET DE 10 PAPEL LUSTRE 16X16CM 24 HOJAS ARTE TOP</t>
  </si>
  <si>
    <t>LAPICERA SILVER GOLD LUSSO</t>
  </si>
  <si>
    <t>PALOS DE HELADOS DE COLORES ARTE TOP</t>
  </si>
  <si>
    <t>LIMPIA PIPAS SURTIDAS 30 UNIDADES APROX ART&amp;CRAFT</t>
  </si>
  <si>
    <t>LIMPIA PIPAS METÁLICAS 30 UNIDADES APROX ART&amp;CRAFT</t>
  </si>
  <si>
    <t>CUADERNO COLLEGE 7MM 100 HOJAS 10 UNIDADES ROSS</t>
  </si>
  <si>
    <t>39149-2</t>
  </si>
  <si>
    <t>CUADERNO UNIVERSITARIO MY MELODY Y KUROMI 100 HOJAS 10 UNIDADES PROARTE</t>
  </si>
  <si>
    <t>CARPETA OFICIO CON ACCO CLIP PLASTICO AZUL JRF</t>
  </si>
  <si>
    <t>CARPETA OFICIO CON ACCO CLIP PLASTICO AMARILLO 1 UNIDAD JRF</t>
  </si>
  <si>
    <t>CINTA ADHESIVA CRISTAL 18MMX30MTS 8 UNIDADES PALA</t>
  </si>
  <si>
    <t>CART1</t>
  </si>
  <si>
    <t>CARTON PIEDRA 1.5MM 27.5X38.5CM 25 UNIDADES ROKA</t>
  </si>
  <si>
    <t>GREDA 1 KILO APROX</t>
  </si>
  <si>
    <t>LIBRETA DE COMUNICACIONES PROARTE</t>
  </si>
  <si>
    <t>RESMA CARTA 75GRS PIX</t>
  </si>
  <si>
    <t>Parlante Karaoke Portable Modelo BT-8102 De 8” Con Microfono</t>
  </si>
  <si>
    <t>Microfono Alambrico Dinamico, SM-338. En Caja</t>
  </si>
  <si>
    <t>Kit Electrico Escolar De 18 Piezas En Colores A Elegir</t>
  </si>
  <si>
    <t>Ampolleta LED Marca PILA, E-27, 10W=65W, 220V De Luz Fria</t>
  </si>
  <si>
    <t>Audifono True Wireless Bluetooth Modelo G11 Gamer Con Luz Y Cargador Magnetico</t>
  </si>
  <si>
    <t>Pila Marca TOMAS Modelo 18650 De Punta A 3.7 Volt, 8000 Mah Recargable</t>
  </si>
  <si>
    <t>Cable USB A TYPE-C De 1 Metro, Suelto, Disponible En 2 Colores</t>
  </si>
  <si>
    <t>Cable 1X1 Plug 3,5Mm 1,5 Metros</t>
  </si>
  <si>
    <t>Cable USB Micro 5 Pin 1M Punta Metalica 5 Colores</t>
  </si>
  <si>
    <t>Audifono Cintillo BILLBOARD Bluetooth, Producto En Caja, De Alta Calidad</t>
  </si>
  <si>
    <t>Proyector Solar LED De 200 Watt Duo Color Con Baliza, Power Bank Y 264 LED</t>
  </si>
  <si>
    <t>Proyector Solar LED Con Panel, De 100 Watts Y 688 LED Con Control</t>
  </si>
  <si>
    <t>Parlante Karaoke Portable Modelo NDR-P55 De 8” Con Bluetooth, Microfono, RGB, USB Y TF</t>
  </si>
  <si>
    <t>11 de Enero de 2024</t>
  </si>
  <si>
    <t>Foco Solar Para Poste, 200 W, 144 LED, Con Control Remoto</t>
  </si>
  <si>
    <t>Foco Solar Para Poste, 300 W, 180 LED, Con Control Remoto</t>
  </si>
  <si>
    <t>Foco Con Brazo Solar De 400 Watt 216 LED En 18 Placas Y Control Remoto</t>
  </si>
  <si>
    <t>Foco Solar Con Brazo Doble Con 202 LED COB, Modelo KXK-988, Con Control</t>
  </si>
  <si>
    <t>Foco Con Brazo Solar De 200 Watt Con 160 LED En 8 Placas</t>
  </si>
  <si>
    <t>Foco Con Brazo Solar De 300 Watt Con 240 LED En 12 Placas</t>
  </si>
  <si>
    <t>02 de Abril de 2024</t>
  </si>
  <si>
    <t>Foco Halogeno LED 50Watt, Megabright Luz Fria, Certificado</t>
  </si>
  <si>
    <t>Linterna Minero 1 LED+ LED COB De 80 Watt Con Bateria Externa. En Caja</t>
  </si>
  <si>
    <t>Pendrive De 4GB Flash Drive, USB 2.0.</t>
  </si>
  <si>
    <t>Ampolleta LED Marca PILA, E-27, 10W=65W, 220V De Luz Fria.</t>
  </si>
  <si>
    <t>Proyector Solar LED De 100 Watt Con 140 LED, Control Remoto. En Metal E Indicador De Carga.</t>
  </si>
  <si>
    <t>27 de Mayo de 2024</t>
  </si>
  <si>
    <t>Cable USB Micro 5 Pin, Duracell, Datos Y Carga, 1 Metro, Colores</t>
  </si>
  <si>
    <t>Cable USB Type-C Iphone, 100Cm</t>
  </si>
  <si>
    <t>Cable USB Micro 5 Pin, Espiral, 1.2 Metros, 3 Amp, Datos Y Carga. Colores</t>
  </si>
  <si>
    <t>Ampolleta LED PHILIPS E-27 9W=65W De Luz Fria</t>
  </si>
  <si>
    <t>Pendrive De 8 GB Con 15 Motivos, USB 2.0 En Caja De Cristal</t>
  </si>
  <si>
    <t>22 de Junio de 2024</t>
  </si>
  <si>
    <t>Pila SUDGU 23A, 12 Volt, Set X 5</t>
  </si>
  <si>
    <t>Triangulo LED Solar, HB-7709 3 LED+Baliza</t>
  </si>
  <si>
    <t>Kit De Reparacion De Parabrisas De Auto, Visbella</t>
  </si>
  <si>
    <t>Foco LED Solar, Busca Camino, 1+30 LED, Baliza, Lentes</t>
  </si>
  <si>
    <t>Foco Para Poste Solar De1000 Watt, 420 LED En 15 Placas, 1000Watt, Con Control</t>
  </si>
  <si>
    <t>ok 2-4</t>
  </si>
  <si>
    <t>ok 3-4</t>
  </si>
  <si>
    <t>ok 4-4</t>
  </si>
  <si>
    <t>ok 7-4</t>
  </si>
  <si>
    <t>ok 8-4</t>
  </si>
  <si>
    <t>ok 9-4</t>
  </si>
  <si>
    <t>ok 10-4</t>
  </si>
  <si>
    <t>ok 11-4</t>
  </si>
  <si>
    <t>ok 14-4</t>
  </si>
  <si>
    <t>ok 15-4</t>
  </si>
  <si>
    <t>ok 16-4</t>
  </si>
  <si>
    <t>ok 17-4</t>
  </si>
  <si>
    <t>ok 22-4</t>
  </si>
  <si>
    <t>ok 23-4</t>
  </si>
  <si>
    <t>ok 25-4</t>
  </si>
  <si>
    <t>ok 28-4</t>
  </si>
  <si>
    <t>ok 29-4</t>
  </si>
  <si>
    <t>ok 30-4</t>
  </si>
  <si>
    <t>ok 3-3</t>
  </si>
  <si>
    <t>ok 5-3</t>
  </si>
  <si>
    <t>ok 6-3</t>
  </si>
  <si>
    <t>ok 7-3</t>
  </si>
  <si>
    <t>ok 10-3</t>
  </si>
  <si>
    <t>ok 11-3</t>
  </si>
  <si>
    <t>ok 12-3</t>
  </si>
  <si>
    <t>ok 13-3</t>
  </si>
  <si>
    <t>ok 14-3</t>
  </si>
  <si>
    <t>ok 17-3</t>
  </si>
  <si>
    <t>ok 18-3</t>
  </si>
  <si>
    <t>ok 19-3</t>
  </si>
  <si>
    <t>ok 20-3</t>
  </si>
  <si>
    <t>ok 21-3</t>
  </si>
  <si>
    <t>ok 24-3</t>
  </si>
  <si>
    <t>ok 25-3</t>
  </si>
  <si>
    <t>ok 26-3</t>
  </si>
  <si>
    <t>ok 27-3</t>
  </si>
  <si>
    <t>ok 28-3</t>
  </si>
  <si>
    <t>ok 1-4</t>
  </si>
  <si>
    <t>ok 3-2</t>
  </si>
  <si>
    <t>ok 4-2</t>
  </si>
  <si>
    <t>ok 5-2</t>
  </si>
  <si>
    <t>ok 6-2</t>
  </si>
  <si>
    <t>ok 7-2</t>
  </si>
  <si>
    <t>ok 10-2</t>
  </si>
  <si>
    <t>ok 11-2</t>
  </si>
  <si>
    <t>ok 12-2</t>
  </si>
  <si>
    <t>ok 13-2</t>
  </si>
  <si>
    <t>ok 17-2</t>
  </si>
  <si>
    <t>ok 18-2</t>
  </si>
  <si>
    <t>ok 19-2</t>
  </si>
  <si>
    <t>ok 20-2</t>
  </si>
  <si>
    <t>ok 21-2</t>
  </si>
  <si>
    <t>ok 24-2</t>
  </si>
  <si>
    <t>ok 25-2</t>
  </si>
  <si>
    <t>ok 27-2</t>
  </si>
  <si>
    <t>ok 28-2</t>
  </si>
  <si>
    <t>Comisión TUU</t>
  </si>
  <si>
    <t>ok 6-1</t>
  </si>
  <si>
    <t>ok 8-1</t>
  </si>
  <si>
    <t>ok 9-1</t>
  </si>
  <si>
    <t>ok 10-1</t>
  </si>
  <si>
    <t>ok 13-1</t>
  </si>
  <si>
    <t>ok 14-1</t>
  </si>
  <si>
    <t>ok 15-1</t>
  </si>
  <si>
    <t>ok 16-1</t>
  </si>
  <si>
    <t>ok 17-1</t>
  </si>
  <si>
    <t>ok 20-1</t>
  </si>
  <si>
    <t>ok 27-1</t>
  </si>
  <si>
    <t>ok 28-1</t>
  </si>
  <si>
    <t>ok 29-1</t>
  </si>
  <si>
    <t>ok 30-1</t>
  </si>
  <si>
    <t>ok 31-1</t>
  </si>
  <si>
    <t>ok 2-12</t>
  </si>
  <si>
    <t>ok 3-12</t>
  </si>
  <si>
    <t>ok 4-12</t>
  </si>
  <si>
    <t>ok 5-12</t>
  </si>
  <si>
    <t>ok 6-12</t>
  </si>
  <si>
    <t>ok 9-12</t>
  </si>
  <si>
    <t>ok 10-12</t>
  </si>
  <si>
    <t>ok 11-12</t>
  </si>
  <si>
    <t>ok 12-12</t>
  </si>
  <si>
    <t>ok 13-12</t>
  </si>
  <si>
    <t>ok 16-12</t>
  </si>
  <si>
    <t>ok 17-12</t>
  </si>
  <si>
    <t>ok 18-12</t>
  </si>
  <si>
    <t>ok 19-12</t>
  </si>
  <si>
    <t>ok 20-12</t>
  </si>
  <si>
    <t>ok 23-12</t>
  </si>
  <si>
    <t>ok 24-12</t>
  </si>
  <si>
    <t>ok 26-12</t>
  </si>
  <si>
    <t>ok 27-12</t>
  </si>
  <si>
    <t>ok 30-12</t>
  </si>
  <si>
    <t>ok 3-1</t>
  </si>
  <si>
    <t>ok 5-11</t>
  </si>
  <si>
    <t>ok 6-11</t>
  </si>
  <si>
    <t>ok 7-11</t>
  </si>
  <si>
    <t>ok 8-11</t>
  </si>
  <si>
    <t>ok 11-11</t>
  </si>
  <si>
    <t>ok 12-11</t>
  </si>
  <si>
    <t>ok 13-11</t>
  </si>
  <si>
    <t>ok 14-11</t>
  </si>
  <si>
    <t>ok 15-11</t>
  </si>
  <si>
    <t>ok 18-11</t>
  </si>
  <si>
    <t>ok 19-11</t>
  </si>
  <si>
    <t>ok 20-11</t>
  </si>
  <si>
    <t>ok 21-11</t>
  </si>
  <si>
    <t>ok 22-11</t>
  </si>
  <si>
    <t>ok 25-11</t>
  </si>
  <si>
    <t>ok 26-11</t>
  </si>
  <si>
    <t>ok 27-11</t>
  </si>
  <si>
    <t>ok 28-11</t>
  </si>
  <si>
    <t>ok 29-11</t>
  </si>
  <si>
    <t>ok 2-10</t>
  </si>
  <si>
    <t>ok 3-10</t>
  </si>
  <si>
    <t>ok 4-10</t>
  </si>
  <si>
    <t>ok 7-10</t>
  </si>
  <si>
    <t>ok 8-10</t>
  </si>
  <si>
    <t>ok 9-10</t>
  </si>
  <si>
    <t>ok 10-10</t>
  </si>
  <si>
    <t>ok 11-10</t>
  </si>
  <si>
    <t>ok 14-10</t>
  </si>
  <si>
    <t>ok 15-10</t>
  </si>
  <si>
    <t>ok 16-10</t>
  </si>
  <si>
    <t>ok 17-10</t>
  </si>
  <si>
    <t>ok 18-10</t>
  </si>
  <si>
    <t>ok 21-10</t>
  </si>
  <si>
    <t>ok 22-10</t>
  </si>
  <si>
    <t>ok 23-10</t>
  </si>
  <si>
    <t>ok 24-10</t>
  </si>
  <si>
    <t>ok 25-10</t>
  </si>
  <si>
    <t>ok 28-10</t>
  </si>
  <si>
    <t>ok 29-10</t>
  </si>
  <si>
    <t>ok 3-9</t>
  </si>
  <si>
    <t>ok 4-9</t>
  </si>
  <si>
    <t>ok 5-9</t>
  </si>
  <si>
    <t>ok 6-9</t>
  </si>
  <si>
    <t>ok 9-9</t>
  </si>
  <si>
    <t>ok 10-9</t>
  </si>
  <si>
    <t>ok 11-9</t>
  </si>
  <si>
    <t>ok 12-9</t>
  </si>
  <si>
    <t>ok 13-9</t>
  </si>
  <si>
    <t>ok 16-9</t>
  </si>
  <si>
    <t>ok 17-9</t>
  </si>
  <si>
    <t>ok 23-9</t>
  </si>
  <si>
    <t>ok 24-9</t>
  </si>
  <si>
    <t>ok 25-9</t>
  </si>
  <si>
    <t>ok 27-9</t>
  </si>
  <si>
    <t>ok 30-9</t>
  </si>
  <si>
    <t>ok 1-10</t>
  </si>
  <si>
    <t>ok 5-8</t>
  </si>
  <si>
    <t>ok 6-8</t>
  </si>
  <si>
    <t>ok 7-8</t>
  </si>
  <si>
    <t>ok 8-8</t>
  </si>
  <si>
    <t>ok 9-8</t>
  </si>
  <si>
    <t>ok 13-8</t>
  </si>
  <si>
    <t>ok 14-8</t>
  </si>
  <si>
    <t>ok 16-8</t>
  </si>
  <si>
    <t>ok 20-8</t>
  </si>
  <si>
    <t>Total $32,560 abono $43,299,-</t>
  </si>
  <si>
    <t>Diferencia $10,739,-</t>
  </si>
  <si>
    <t>ok 21-8</t>
  </si>
  <si>
    <t>ok 22-8</t>
  </si>
  <si>
    <t>ok 23-8</t>
  </si>
  <si>
    <t>ok 26-8</t>
  </si>
  <si>
    <t>ok 27-8</t>
  </si>
  <si>
    <t>ok 28-8</t>
  </si>
  <si>
    <t>ok 30-8</t>
  </si>
  <si>
    <t>ok 2-7</t>
  </si>
  <si>
    <t>??</t>
  </si>
  <si>
    <t>ok 5-7</t>
  </si>
  <si>
    <t>ok 8-7</t>
  </si>
  <si>
    <t>ok 9-7</t>
  </si>
  <si>
    <t>ok 10-7</t>
  </si>
  <si>
    <t>ok 11-7</t>
  </si>
  <si>
    <t>ok 12-7</t>
  </si>
  <si>
    <t>ok 15-7</t>
  </si>
  <si>
    <t>ok 17-7</t>
  </si>
  <si>
    <t>ok 18-7</t>
  </si>
  <si>
    <t>ok 19-7</t>
  </si>
  <si>
    <t>ok 22-7</t>
  </si>
  <si>
    <t>ok 23-7</t>
  </si>
  <si>
    <t>ok 24-7 $45,934</t>
  </si>
  <si>
    <t>ok 25-7</t>
  </si>
  <si>
    <t>ok 29-7</t>
  </si>
  <si>
    <t>ok 30-7</t>
  </si>
  <si>
    <t>ok 4-6</t>
  </si>
  <si>
    <t>ok 5-6</t>
  </si>
  <si>
    <t>ok 6-6</t>
  </si>
  <si>
    <t>ok 7-6</t>
  </si>
  <si>
    <t>ok 10-6</t>
  </si>
  <si>
    <t>ok 11-6</t>
  </si>
  <si>
    <t>ok 12-6</t>
  </si>
  <si>
    <t>ok 13-6</t>
  </si>
  <si>
    <t>ok 14-6</t>
  </si>
  <si>
    <t>ok 18-6</t>
  </si>
  <si>
    <t>ok 19-6</t>
  </si>
  <si>
    <t>ok 21-6</t>
  </si>
  <si>
    <t>ok 24-6</t>
  </si>
  <si>
    <t>ok 26-6</t>
  </si>
  <si>
    <t>ok 28-6</t>
  </si>
  <si>
    <t>ok 2-5</t>
  </si>
  <si>
    <t>ok 3-5</t>
  </si>
  <si>
    <t>ok 7-5</t>
  </si>
  <si>
    <t>ok 8-5</t>
  </si>
  <si>
    <t>ok 9-5</t>
  </si>
  <si>
    <t>ok 10-5</t>
  </si>
  <si>
    <t>ok 13-5</t>
  </si>
  <si>
    <t>ok 14-5</t>
  </si>
  <si>
    <t>ok 15-5</t>
  </si>
  <si>
    <t>ok 16-5</t>
  </si>
  <si>
    <t>ok 17-5</t>
  </si>
  <si>
    <t>ok 20-5</t>
  </si>
  <si>
    <t>ok 22-5</t>
  </si>
  <si>
    <t>ok 24-5</t>
  </si>
  <si>
    <t>ok 28-5</t>
  </si>
  <si>
    <t>ok 29-5</t>
  </si>
  <si>
    <t>ok 30-5</t>
  </si>
  <si>
    <t>ok 3-6</t>
  </si>
  <si>
    <t>ok 26-4</t>
  </si>
  <si>
    <t>Iva</t>
  </si>
  <si>
    <t>ok 22-3</t>
  </si>
  <si>
    <t>ok 23-2</t>
  </si>
  <si>
    <t>ok</t>
  </si>
  <si>
    <t>ok 24-1</t>
  </si>
  <si>
    <t>Nota Credito</t>
  </si>
  <si>
    <t>Neto</t>
  </si>
  <si>
    <t>Total</t>
  </si>
  <si>
    <t>Aplica NCR</t>
  </si>
  <si>
    <t>AÑO 2023</t>
  </si>
  <si>
    <t>VENTAS</t>
  </si>
  <si>
    <t>COMPRAS</t>
  </si>
  <si>
    <t>SALDO</t>
  </si>
  <si>
    <t>Septiembre</t>
  </si>
  <si>
    <t>Octubre</t>
  </si>
  <si>
    <t>Noviembre</t>
  </si>
  <si>
    <t>Diciembre</t>
  </si>
  <si>
    <t>AÑO 2024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</si>
  <si>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</si>
  <si>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</si>
  <si>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</si>
  <si>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</si>
  <si>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</si>
  <si>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</si>
  <si>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</si>
  <si>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</si>
  <si>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compra</t>
  </si>
  <si>
    <t>cantidad</t>
  </si>
  <si>
    <t>compra total</t>
  </si>
  <si>
    <t>venta</t>
  </si>
  <si>
    <t>ganancia unidad</t>
  </si>
  <si>
    <t>ganancia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</si>
</sst>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;[Red]&quot;$&quot;\-#,##0"/>
    <numFmt numFmtId="166" formatCode="[$-340A]d&quot; de &quot;mmmm&quot; de &quot;yyyy"/>
    <numFmt numFmtId="167" formatCode="[$$-340A]#,##0"/>
  </numFmts>
  <fonts count="2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FF0000"/>
      <name val="Arial"/>
    </font>
    <font>
      <sz val="10.0"/>
      <color theme="1"/>
      <name val="Arial"/>
    </font>
    <font>
      <sz val="10.0"/>
      <color rgb="FFEE0000"/>
      <name val="Arial"/>
    </font>
    <font>
      <b/>
      <sz val="10.0"/>
      <color rgb="FF000000"/>
      <name val="Arial"/>
    </font>
    <font>
      <b/>
      <i/>
      <sz val="10.0"/>
      <color rgb="FF000000"/>
      <name val="Arial"/>
    </font>
    <font>
      <sz val="9.0"/>
      <color rgb="FF777777"/>
      <name val="Arial"/>
    </font>
    <font>
      <sz val="10.0"/>
      <color rgb="FF444444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sz val="10.0"/>
      <color rgb="FF333333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sz val="12.0"/>
      <color rgb="FFEE0000"/>
      <name val="Arial"/>
    </font>
    <font>
      <b/>
      <i/>
      <sz val="12.0"/>
      <color rgb="FF000000"/>
      <name val="Arial"/>
    </font>
    <font>
      <sz val="10.0"/>
      <color rgb="FF0A0A0A"/>
      <name val="Arial"/>
    </font>
    <font>
      <b/>
      <sz val="11.0"/>
      <color rgb="FF000000"/>
      <name val="Arial"/>
    </font>
    <font>
      <sz val="10.0"/>
      <color rgb="FFC55A11"/>
      <name val="Arial"/>
    </font>
    <font>
      <b/>
      <sz val="10.0"/>
      <color rgb="FF00206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</fills>
  <borders count="3">
    <border/>
    <border>
      <left/>
      <right/>
      <top/>
      <bottom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1" fillId="3" fontId="4" numFmtId="164" xfId="0" applyAlignment="1" applyBorder="1" applyFill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3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/>
    </xf>
    <xf borderId="1" fillId="4" fontId="8" numFmtId="164" xfId="0" applyAlignment="1" applyBorder="1" applyFill="1" applyFont="1" applyNumberFormat="1">
      <alignment horizontal="center"/>
    </xf>
    <xf borderId="0" fillId="0" fontId="8" numFmtId="0" xfId="0" applyFont="1"/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0" fillId="0" fontId="2" numFmtId="14" xfId="0" applyAlignment="1" applyFont="1" applyNumberFormat="1">
      <alignment horizontal="center" vertical="center"/>
    </xf>
    <xf borderId="0" fillId="0" fontId="2" numFmtId="15" xfId="0" applyFont="1" applyNumberFormat="1"/>
    <xf borderId="0" fillId="0" fontId="13" numFmtId="0" xfId="0" applyFont="1"/>
    <xf borderId="0" fillId="0" fontId="2" numFmtId="0" xfId="0" applyFont="1"/>
    <xf borderId="0" fillId="0" fontId="14" numFmtId="164" xfId="0" applyAlignment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3" numFmtId="0" xfId="0" applyFont="1"/>
    <xf borderId="1" fillId="4" fontId="11" numFmtId="164" xfId="0" applyAlignment="1" applyBorder="1" applyFont="1" applyNumberFormat="1">
      <alignment horizontal="center"/>
    </xf>
    <xf borderId="0" fillId="0" fontId="13" numFmtId="0" xfId="0" applyAlignment="1" applyFont="1">
      <alignment horizontal="right"/>
    </xf>
    <xf borderId="2" fillId="0" fontId="13" numFmtId="0" xfId="0" applyAlignment="1" applyBorder="1" applyFont="1">
      <alignment shrinkToFit="0" vertical="top" wrapText="1"/>
    </xf>
    <xf borderId="0" fillId="0" fontId="16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0" fontId="2" numFmtId="166" xfId="0" applyAlignment="1" applyFont="1" applyNumberFormat="1">
      <alignment horizontal="left" vertical="top"/>
    </xf>
    <xf borderId="0" fillId="0" fontId="18" numFmtId="0" xfId="0" applyFont="1"/>
    <xf borderId="0" fillId="0" fontId="19" numFmtId="164" xfId="0" applyAlignment="1" applyFont="1" applyNumberFormat="1">
      <alignment horizontal="center"/>
    </xf>
    <xf borderId="1" fillId="4" fontId="19" numFmtId="164" xfId="0" applyAlignment="1" applyBorder="1" applyFont="1" applyNumberFormat="1">
      <alignment horizontal="center"/>
    </xf>
    <xf borderId="0" fillId="0" fontId="2" numFmtId="164" xfId="0" applyFont="1" applyNumberFormat="1"/>
    <xf borderId="0" fillId="0" fontId="7" numFmtId="164" xfId="0" applyAlignment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/>
    </xf>
    <xf borderId="0" fillId="0" fontId="7" numFmtId="0" xfId="0" applyFont="1"/>
    <xf borderId="0" fillId="0" fontId="15" numFmtId="164" xfId="0" applyFont="1" applyNumberFormat="1"/>
    <xf borderId="0" fillId="0" fontId="7" numFmtId="164" xfId="0" applyFont="1" applyNumberFormat="1"/>
    <xf borderId="0" fillId="0" fontId="2" numFmtId="3" xfId="0" applyFont="1" applyNumberFormat="1"/>
    <xf borderId="0" fillId="0" fontId="7" numFmtId="3" xfId="0" applyFont="1" applyNumberFormat="1"/>
    <xf borderId="1" fillId="5" fontId="7" numFmtId="164" xfId="0" applyBorder="1" applyFill="1" applyFont="1" applyNumberFormat="1"/>
    <xf borderId="0" fillId="0" fontId="20" numFmtId="0" xfId="0" applyFont="1"/>
    <xf borderId="0" fillId="0" fontId="20" numFmtId="164" xfId="0" applyFont="1" applyNumberFormat="1"/>
    <xf borderId="0" fillId="0" fontId="2" numFmtId="16" xfId="0" applyFont="1" applyNumberFormat="1"/>
    <xf borderId="1" fillId="6" fontId="21" numFmtId="164" xfId="0" applyBorder="1" applyFill="1" applyFont="1" applyNumberFormat="1"/>
    <xf borderId="0" fillId="0" fontId="2" numFmtId="1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/>
    </xf>
    <xf borderId="1" fillId="6" fontId="21" numFmtId="167" xfId="0" applyBorder="1" applyFont="1" applyNumberFormat="1"/>
    <xf borderId="1" fillId="2" fontId="2" numFmtId="164" xfId="0" applyBorder="1" applyFont="1" applyNumberFormat="1"/>
    <xf borderId="0" fillId="0" fontId="7" numFmtId="0" xfId="0" applyAlignment="1" applyFont="1">
      <alignment horizontal="center" vertical="center"/>
    </xf>
    <xf borderId="1" fillId="7" fontId="7" numFmtId="164" xfId="0" applyBorder="1" applyFill="1" applyFont="1" applyNumberFormat="1"/>
    <xf borderId="0" fillId="0" fontId="1" numFmtId="0" xfId="0" applyFont="1"/>
    <xf borderId="0" fillId="0" fontId="1" numFmtId="164" xfId="0" applyFont="1" applyNumberFormat="1"/>
    <xf borderId="0" fillId="0" fontId="7" numFmtId="0" xfId="0" applyAlignment="1" applyFont="1">
      <alignment horizontal="center"/>
    </xf>
    <xf borderId="0" fillId="0" fontId="15" numFmtId="0" xfId="0" applyFont="1"/>
    <xf borderId="1" fillId="8" fontId="7" numFmtId="0" xfId="0" applyAlignment="1" applyBorder="1" applyFill="1" applyFont="1">
      <alignment horizontal="center"/>
    </xf>
    <xf borderId="1" fillId="7" fontId="7" numFmtId="167" xfId="0" applyBorder="1" applyFont="1" applyNumberFormat="1"/>
    <xf borderId="1" fillId="7" fontId="7" numFmtId="0" xfId="0" applyBorder="1" applyFont="1"/>
    <xf borderId="0" fillId="0" fontId="2" numFmtId="167" xfId="0" applyFont="1" applyNumberFormat="1"/>
    <xf borderId="0" fillId="0" fontId="15" numFmtId="167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ec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659" displayName="Tabla_1" name="Tabla_1" id="1">
  <autoFilter ref="$A$1:$E$2659"/>
  <tableColumns count="5">
    <tableColumn name="Articulo" id="1"/>
    <tableColumn name="Compra" id="2"/>
    <tableColumn name="Venta" id="3"/>
    <tableColumn name="Disponibilidad" id="4"/>
    <tableColumn name="Categoria" id="5"/>
  </tableColumns>
  <tableStyleInfo name="Prec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38"/>
    <col customWidth="1" min="2" max="2" width="15.13"/>
    <col customWidth="1" min="3" max="3" width="13.25"/>
    <col customWidth="1" min="4" max="4" width="17.0"/>
    <col customWidth="1" min="5" max="5" width="25.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5.75" customHeight="1">
      <c r="A2" s="5" t="s">
        <v>5</v>
      </c>
      <c r="B2" s="6">
        <v>350.0</v>
      </c>
      <c r="C2" s="6">
        <v>2000.0</v>
      </c>
      <c r="D2" s="7" t="b">
        <f t="shared" ref="D2:D5" si="1">true</f>
        <v>1</v>
      </c>
      <c r="E2" s="8" t="s">
        <v>6</v>
      </c>
    </row>
    <row r="3" ht="15.75" customHeight="1">
      <c r="A3" s="5" t="s">
        <v>7</v>
      </c>
      <c r="B3" s="6">
        <v>8000.0</v>
      </c>
      <c r="C3" s="6">
        <v>20000.0</v>
      </c>
      <c r="D3" s="7" t="b">
        <f t="shared" si="1"/>
        <v>1</v>
      </c>
      <c r="E3" s="8" t="s">
        <v>6</v>
      </c>
    </row>
    <row r="4" ht="15.75" customHeight="1">
      <c r="A4" s="7" t="s">
        <v>8</v>
      </c>
      <c r="B4" s="6">
        <v>15000.0</v>
      </c>
      <c r="C4" s="6">
        <v>23000.0</v>
      </c>
      <c r="D4" s="7" t="b">
        <f t="shared" si="1"/>
        <v>1</v>
      </c>
      <c r="E4" s="8" t="s">
        <v>6</v>
      </c>
    </row>
    <row r="5" ht="15.75" customHeight="1">
      <c r="A5" s="7" t="s">
        <v>9</v>
      </c>
      <c r="B5" s="6">
        <v>15000.0</v>
      </c>
      <c r="C5" s="6">
        <v>20000.0</v>
      </c>
      <c r="D5" s="7" t="b">
        <f t="shared" si="1"/>
        <v>1</v>
      </c>
      <c r="E5" s="8" t="s">
        <v>6</v>
      </c>
    </row>
    <row r="6" ht="15.75" customHeight="1">
      <c r="A6" s="9" t="s">
        <v>10</v>
      </c>
      <c r="B6" s="10">
        <v>10000.0</v>
      </c>
      <c r="C6" s="10">
        <v>15000.0</v>
      </c>
      <c r="D6" s="9" t="b">
        <f t="shared" ref="D6:D7" si="2">false</f>
        <v>0</v>
      </c>
      <c r="E6" s="8" t="s">
        <v>6</v>
      </c>
    </row>
    <row r="7" ht="15.75" customHeight="1">
      <c r="A7" s="9" t="s">
        <v>11</v>
      </c>
      <c r="B7" s="10">
        <v>7000.0</v>
      </c>
      <c r="C7" s="10">
        <v>15000.0</v>
      </c>
      <c r="D7" s="9" t="b">
        <f t="shared" si="2"/>
        <v>0</v>
      </c>
      <c r="E7" s="8" t="s">
        <v>6</v>
      </c>
    </row>
    <row r="8" ht="15.75" customHeight="1">
      <c r="A8" s="5" t="s">
        <v>12</v>
      </c>
      <c r="B8" s="6">
        <v>5500.0</v>
      </c>
      <c r="C8" s="6">
        <v>15000.0</v>
      </c>
      <c r="D8" s="7" t="b">
        <f t="shared" ref="D8:D18" si="3">true</f>
        <v>1</v>
      </c>
      <c r="E8" s="8" t="s">
        <v>6</v>
      </c>
    </row>
    <row r="9" ht="15.75" customHeight="1">
      <c r="A9" s="5" t="s">
        <v>13</v>
      </c>
      <c r="B9" s="6">
        <v>4000.0</v>
      </c>
      <c r="C9" s="6">
        <v>10000.0</v>
      </c>
      <c r="D9" s="7" t="b">
        <f t="shared" si="3"/>
        <v>1</v>
      </c>
      <c r="E9" s="8" t="s">
        <v>6</v>
      </c>
    </row>
    <row r="10" ht="15.75" customHeight="1">
      <c r="A10" s="7" t="s">
        <v>14</v>
      </c>
      <c r="B10" s="6">
        <v>3300.0</v>
      </c>
      <c r="C10" s="6">
        <v>6000.0</v>
      </c>
      <c r="D10" s="7" t="b">
        <f t="shared" si="3"/>
        <v>1</v>
      </c>
      <c r="E10" s="8" t="s">
        <v>6</v>
      </c>
    </row>
    <row r="11" ht="15.75" customHeight="1">
      <c r="A11" s="7" t="s">
        <v>15</v>
      </c>
      <c r="B11" s="6">
        <v>15000.0</v>
      </c>
      <c r="C11" s="6">
        <v>20000.0</v>
      </c>
      <c r="D11" s="7" t="b">
        <f t="shared" si="3"/>
        <v>1</v>
      </c>
      <c r="E11" s="8" t="s">
        <v>6</v>
      </c>
    </row>
    <row r="12" ht="15.75" customHeight="1">
      <c r="A12" s="7" t="s">
        <v>16</v>
      </c>
      <c r="B12" s="6">
        <v>3500.0</v>
      </c>
      <c r="C12" s="6">
        <v>7500.0</v>
      </c>
      <c r="D12" s="7" t="b">
        <f t="shared" si="3"/>
        <v>1</v>
      </c>
      <c r="E12" s="8" t="s">
        <v>6</v>
      </c>
    </row>
    <row r="13" ht="15.75" customHeight="1">
      <c r="A13" s="7" t="s">
        <v>17</v>
      </c>
      <c r="B13" s="6">
        <v>9000.0</v>
      </c>
      <c r="C13" s="6">
        <v>25000.0</v>
      </c>
      <c r="D13" s="7" t="b">
        <f t="shared" si="3"/>
        <v>1</v>
      </c>
      <c r="E13" s="8" t="s">
        <v>6</v>
      </c>
    </row>
    <row r="14" ht="15.75" customHeight="1">
      <c r="A14" s="5" t="s">
        <v>18</v>
      </c>
      <c r="B14" s="6">
        <v>2000.0</v>
      </c>
      <c r="C14" s="6">
        <v>3500.0</v>
      </c>
      <c r="D14" s="7" t="b">
        <f t="shared" si="3"/>
        <v>1</v>
      </c>
      <c r="E14" s="8" t="s">
        <v>6</v>
      </c>
    </row>
    <row r="15" ht="15.75" customHeight="1">
      <c r="A15" s="5" t="s">
        <v>19</v>
      </c>
      <c r="B15" s="6">
        <v>3500.0</v>
      </c>
      <c r="C15" s="6">
        <v>5000.0</v>
      </c>
      <c r="D15" s="7" t="b">
        <f t="shared" si="3"/>
        <v>1</v>
      </c>
      <c r="E15" s="8" t="s">
        <v>6</v>
      </c>
    </row>
    <row r="16" ht="15.75" customHeight="1">
      <c r="A16" s="5" t="s">
        <v>20</v>
      </c>
      <c r="B16" s="6">
        <v>950.0</v>
      </c>
      <c r="C16" s="6">
        <v>2500.0</v>
      </c>
      <c r="D16" s="7" t="b">
        <f t="shared" si="3"/>
        <v>1</v>
      </c>
      <c r="E16" s="8" t="s">
        <v>6</v>
      </c>
    </row>
    <row r="17" ht="15.75" customHeight="1">
      <c r="A17" s="5" t="s">
        <v>21</v>
      </c>
      <c r="B17" s="6">
        <v>2500.0</v>
      </c>
      <c r="C17" s="6">
        <v>5800.0</v>
      </c>
      <c r="D17" s="7" t="b">
        <f t="shared" si="3"/>
        <v>1</v>
      </c>
      <c r="E17" s="8" t="s">
        <v>6</v>
      </c>
    </row>
    <row r="18" ht="15.75" customHeight="1">
      <c r="A18" s="7" t="s">
        <v>22</v>
      </c>
      <c r="B18" s="6">
        <v>6000.0</v>
      </c>
      <c r="C18" s="6">
        <v>9000.0</v>
      </c>
      <c r="D18" s="7" t="b">
        <f t="shared" si="3"/>
        <v>1</v>
      </c>
      <c r="E18" s="8" t="s">
        <v>6</v>
      </c>
    </row>
    <row r="19" ht="15.75" customHeight="1">
      <c r="A19" s="9" t="s">
        <v>23</v>
      </c>
      <c r="B19" s="10">
        <v>10000.0</v>
      </c>
      <c r="C19" s="10">
        <v>14000.0</v>
      </c>
      <c r="D19" s="9" t="b">
        <f>false</f>
        <v>0</v>
      </c>
      <c r="E19" s="8" t="s">
        <v>6</v>
      </c>
    </row>
    <row r="20" ht="15.75" customHeight="1">
      <c r="A20" s="11" t="s">
        <v>24</v>
      </c>
      <c r="B20" s="12">
        <v>12800.0</v>
      </c>
      <c r="C20" s="12">
        <v>17500.0</v>
      </c>
      <c r="D20" s="11" t="b">
        <f t="shared" ref="D20:D23" si="4">true</f>
        <v>1</v>
      </c>
      <c r="E20" s="8" t="s">
        <v>6</v>
      </c>
    </row>
    <row r="21" ht="15.75" customHeight="1">
      <c r="A21" s="11" t="s">
        <v>25</v>
      </c>
      <c r="B21" s="12">
        <v>17200.0</v>
      </c>
      <c r="C21" s="12">
        <v>28000.0</v>
      </c>
      <c r="D21" s="11" t="b">
        <f t="shared" si="4"/>
        <v>1</v>
      </c>
      <c r="E21" s="8" t="s">
        <v>6</v>
      </c>
    </row>
    <row r="22" ht="15.75" customHeight="1">
      <c r="A22" s="11" t="s">
        <v>26</v>
      </c>
      <c r="B22" s="12">
        <v>6000.0</v>
      </c>
      <c r="C22" s="12">
        <v>13000.0</v>
      </c>
      <c r="D22" s="11" t="b">
        <f t="shared" si="4"/>
        <v>1</v>
      </c>
      <c r="E22" s="8" t="s">
        <v>6</v>
      </c>
    </row>
    <row r="23" ht="15.75" customHeight="1">
      <c r="A23" s="11" t="s">
        <v>27</v>
      </c>
      <c r="B23" s="12">
        <v>11900.0</v>
      </c>
      <c r="C23" s="12">
        <v>20000.0</v>
      </c>
      <c r="D23" s="11" t="b">
        <f t="shared" si="4"/>
        <v>1</v>
      </c>
      <c r="E23" s="8" t="s">
        <v>6</v>
      </c>
    </row>
    <row r="24" ht="15.75" customHeight="1">
      <c r="A24" s="9" t="s">
        <v>28</v>
      </c>
      <c r="B24" s="10">
        <v>15000.0</v>
      </c>
      <c r="C24" s="10">
        <v>20000.0</v>
      </c>
      <c r="D24" s="9" t="b">
        <f>false</f>
        <v>0</v>
      </c>
      <c r="E24" s="8" t="s">
        <v>6</v>
      </c>
    </row>
    <row r="25" ht="15.75" customHeight="1">
      <c r="A25" s="7" t="s">
        <v>29</v>
      </c>
      <c r="B25" s="6">
        <v>18000.0</v>
      </c>
      <c r="C25" s="6">
        <v>20000.0</v>
      </c>
      <c r="D25" s="7" t="b">
        <f t="shared" ref="D25:D34" si="5">true</f>
        <v>1</v>
      </c>
      <c r="E25" s="8" t="s">
        <v>6</v>
      </c>
    </row>
    <row r="26" ht="15.75" customHeight="1">
      <c r="A26" s="5" t="s">
        <v>30</v>
      </c>
      <c r="B26" s="6">
        <v>2000.0</v>
      </c>
      <c r="C26" s="6">
        <v>3500.0</v>
      </c>
      <c r="D26" s="7" t="b">
        <f t="shared" si="5"/>
        <v>1</v>
      </c>
      <c r="E26" s="8" t="s">
        <v>6</v>
      </c>
    </row>
    <row r="27" ht="15.75" customHeight="1">
      <c r="A27" s="5" t="s">
        <v>31</v>
      </c>
      <c r="B27" s="6">
        <v>2000.0</v>
      </c>
      <c r="C27" s="6">
        <v>4000.0</v>
      </c>
      <c r="D27" s="7" t="b">
        <f t="shared" si="5"/>
        <v>1</v>
      </c>
      <c r="E27" s="8" t="s">
        <v>6</v>
      </c>
    </row>
    <row r="28" ht="15.75" customHeight="1">
      <c r="A28" s="5" t="s">
        <v>32</v>
      </c>
      <c r="B28" s="6">
        <v>1500.0</v>
      </c>
      <c r="C28" s="6">
        <v>3000.0</v>
      </c>
      <c r="D28" s="7" t="b">
        <f t="shared" si="5"/>
        <v>1</v>
      </c>
      <c r="E28" s="8" t="s">
        <v>6</v>
      </c>
    </row>
    <row r="29" ht="15.75" customHeight="1">
      <c r="A29" s="5" t="s">
        <v>33</v>
      </c>
      <c r="B29" s="6">
        <v>1000.0</v>
      </c>
      <c r="C29" s="6">
        <v>3000.0</v>
      </c>
      <c r="D29" s="7" t="b">
        <f t="shared" si="5"/>
        <v>1</v>
      </c>
      <c r="E29" s="8" t="s">
        <v>6</v>
      </c>
    </row>
    <row r="30" ht="15.0" customHeight="1">
      <c r="A30" s="5" t="s">
        <v>34</v>
      </c>
      <c r="B30" s="6">
        <v>5500.0</v>
      </c>
      <c r="C30" s="6">
        <v>9500.0</v>
      </c>
      <c r="D30" s="7" t="b">
        <f t="shared" si="5"/>
        <v>1</v>
      </c>
      <c r="E30" s="8" t="s">
        <v>6</v>
      </c>
    </row>
    <row r="31" ht="15.0" customHeight="1">
      <c r="A31" s="5" t="s">
        <v>35</v>
      </c>
      <c r="B31" s="6">
        <v>3990.0</v>
      </c>
      <c r="C31" s="6">
        <v>8500.0</v>
      </c>
      <c r="D31" s="7" t="b">
        <f t="shared" si="5"/>
        <v>1</v>
      </c>
      <c r="E31" s="8" t="s">
        <v>6</v>
      </c>
    </row>
    <row r="32" ht="15.0" customHeight="1">
      <c r="A32" s="5" t="s">
        <v>36</v>
      </c>
      <c r="B32" s="6">
        <v>3000.0</v>
      </c>
      <c r="C32" s="6">
        <v>6000.0</v>
      </c>
      <c r="D32" s="7" t="b">
        <f t="shared" si="5"/>
        <v>1</v>
      </c>
      <c r="E32" s="8" t="s">
        <v>6</v>
      </c>
    </row>
    <row r="33" ht="15.75" customHeight="1">
      <c r="A33" s="5" t="s">
        <v>37</v>
      </c>
      <c r="B33" s="6">
        <v>7500.0</v>
      </c>
      <c r="C33" s="6">
        <v>9000.0</v>
      </c>
      <c r="D33" s="7" t="b">
        <f t="shared" si="5"/>
        <v>1</v>
      </c>
      <c r="E33" s="8" t="s">
        <v>38</v>
      </c>
    </row>
    <row r="34" ht="15.75" customHeight="1">
      <c r="A34" s="5" t="s">
        <v>39</v>
      </c>
      <c r="B34" s="6">
        <v>12000.0</v>
      </c>
      <c r="C34" s="6">
        <v>14000.0</v>
      </c>
      <c r="D34" s="7" t="b">
        <f t="shared" si="5"/>
        <v>1</v>
      </c>
      <c r="E34" s="8" t="s">
        <v>38</v>
      </c>
    </row>
    <row r="35" ht="15.75" customHeight="1">
      <c r="A35" s="9" t="s">
        <v>40</v>
      </c>
      <c r="B35" s="10">
        <v>9850.0</v>
      </c>
      <c r="C35" s="10">
        <v>15000.0</v>
      </c>
      <c r="D35" s="9" t="b">
        <f t="shared" ref="D35:D36" si="6">false</f>
        <v>0</v>
      </c>
      <c r="E35" s="8" t="s">
        <v>38</v>
      </c>
    </row>
    <row r="36" ht="15.75" customHeight="1">
      <c r="A36" s="9" t="s">
        <v>41</v>
      </c>
      <c r="B36" s="10">
        <v>16000.0</v>
      </c>
      <c r="C36" s="10">
        <v>20000.0</v>
      </c>
      <c r="D36" s="9" t="b">
        <f t="shared" si="6"/>
        <v>0</v>
      </c>
      <c r="E36" s="8" t="s">
        <v>38</v>
      </c>
    </row>
    <row r="37" ht="15.75" customHeight="1">
      <c r="A37" s="11" t="s">
        <v>42</v>
      </c>
      <c r="B37" s="12">
        <v>13500.0</v>
      </c>
      <c r="C37" s="12">
        <v>20000.0</v>
      </c>
      <c r="D37" s="11" t="b">
        <f t="shared" ref="D37:D42" si="7">true</f>
        <v>1</v>
      </c>
      <c r="E37" s="8" t="s">
        <v>38</v>
      </c>
    </row>
    <row r="38" ht="15.75" customHeight="1">
      <c r="A38" s="11" t="s">
        <v>43</v>
      </c>
      <c r="B38" s="12">
        <v>16500.0</v>
      </c>
      <c r="C38" s="12">
        <v>23000.0</v>
      </c>
      <c r="D38" s="11" t="b">
        <f t="shared" si="7"/>
        <v>1</v>
      </c>
      <c r="E38" s="8" t="s">
        <v>38</v>
      </c>
    </row>
    <row r="39" ht="15.75" customHeight="1">
      <c r="A39" s="11" t="s">
        <v>44</v>
      </c>
      <c r="B39" s="12">
        <v>10950.0</v>
      </c>
      <c r="C39" s="12">
        <v>18000.0</v>
      </c>
      <c r="D39" s="11" t="b">
        <f t="shared" si="7"/>
        <v>1</v>
      </c>
      <c r="E39" s="8" t="s">
        <v>38</v>
      </c>
    </row>
    <row r="40" ht="15.75" customHeight="1">
      <c r="A40" s="11" t="s">
        <v>45</v>
      </c>
      <c r="B40" s="12">
        <v>13800.0</v>
      </c>
      <c r="C40" s="12">
        <v>21000.0</v>
      </c>
      <c r="D40" s="11" t="b">
        <f t="shared" si="7"/>
        <v>1</v>
      </c>
      <c r="E40" s="8" t="s">
        <v>38</v>
      </c>
    </row>
    <row r="41" ht="15.75" customHeight="1">
      <c r="A41" s="11" t="s">
        <v>46</v>
      </c>
      <c r="B41" s="12">
        <v>16350.0</v>
      </c>
      <c r="C41" s="12">
        <v>24500.0</v>
      </c>
      <c r="D41" s="11" t="b">
        <f t="shared" si="7"/>
        <v>1</v>
      </c>
      <c r="E41" s="8" t="s">
        <v>38</v>
      </c>
    </row>
    <row r="42" ht="15.75" customHeight="1">
      <c r="A42" s="5" t="s">
        <v>47</v>
      </c>
      <c r="B42" s="6">
        <v>27000.0</v>
      </c>
      <c r="C42" s="6">
        <v>29000.0</v>
      </c>
      <c r="D42" s="11" t="b">
        <f t="shared" si="7"/>
        <v>1</v>
      </c>
      <c r="E42" s="8" t="s">
        <v>38</v>
      </c>
    </row>
    <row r="43" ht="15.75" customHeight="1">
      <c r="A43" s="9" t="s">
        <v>48</v>
      </c>
      <c r="B43" s="10">
        <v>20000.0</v>
      </c>
      <c r="C43" s="10">
        <v>32000.0</v>
      </c>
      <c r="D43" s="9" t="b">
        <f>false</f>
        <v>0</v>
      </c>
      <c r="E43" s="8" t="s">
        <v>38</v>
      </c>
    </row>
    <row r="44" ht="15.75" customHeight="1">
      <c r="A44" s="11" t="s">
        <v>49</v>
      </c>
      <c r="B44" s="12">
        <v>22900.0</v>
      </c>
      <c r="C44" s="12">
        <v>33000.0</v>
      </c>
      <c r="D44" s="11" t="b">
        <f t="shared" ref="D44:D47" si="8">true</f>
        <v>1</v>
      </c>
      <c r="E44" s="8" t="s">
        <v>38</v>
      </c>
    </row>
    <row r="45" ht="15.75" customHeight="1">
      <c r="A45" s="5" t="s">
        <v>50</v>
      </c>
      <c r="B45" s="6">
        <v>20000.0</v>
      </c>
      <c r="C45" s="6">
        <v>35000.0</v>
      </c>
      <c r="D45" s="11" t="b">
        <f t="shared" si="8"/>
        <v>1</v>
      </c>
      <c r="E45" s="8" t="s">
        <v>38</v>
      </c>
    </row>
    <row r="46" ht="15.75" customHeight="1">
      <c r="A46" s="5" t="s">
        <v>51</v>
      </c>
      <c r="B46" s="6">
        <v>23000.0</v>
      </c>
      <c r="C46" s="6">
        <v>38000.0</v>
      </c>
      <c r="D46" s="11" t="b">
        <f t="shared" si="8"/>
        <v>1</v>
      </c>
      <c r="E46" s="8" t="s">
        <v>38</v>
      </c>
    </row>
    <row r="47" ht="15.75" customHeight="1">
      <c r="A47" s="5" t="s">
        <v>52</v>
      </c>
      <c r="B47" s="6">
        <v>10000.0</v>
      </c>
      <c r="C47" s="6">
        <v>10000.0</v>
      </c>
      <c r="D47" s="11" t="b">
        <f t="shared" si="8"/>
        <v>1</v>
      </c>
      <c r="E47" s="8" t="s">
        <v>38</v>
      </c>
    </row>
    <row r="48" ht="15.75" customHeight="1">
      <c r="A48" s="9" t="s">
        <v>53</v>
      </c>
      <c r="B48" s="10">
        <v>5000.0</v>
      </c>
      <c r="C48" s="10">
        <v>8500.0</v>
      </c>
      <c r="D48" s="9" t="b">
        <f>false</f>
        <v>0</v>
      </c>
      <c r="E48" s="8" t="s">
        <v>38</v>
      </c>
    </row>
    <row r="49" ht="15.75" customHeight="1">
      <c r="A49" s="5" t="s">
        <v>54</v>
      </c>
      <c r="B49" s="6">
        <v>3300.0</v>
      </c>
      <c r="C49" s="6">
        <v>6500.0</v>
      </c>
      <c r="D49" s="11" t="b">
        <f t="shared" ref="D49:D54" si="9">true</f>
        <v>1</v>
      </c>
      <c r="E49" s="8" t="s">
        <v>38</v>
      </c>
    </row>
    <row r="50" ht="15.75" customHeight="1">
      <c r="A50" s="5" t="s">
        <v>55</v>
      </c>
      <c r="B50" s="6">
        <v>3300.0</v>
      </c>
      <c r="C50" s="6">
        <v>6500.0</v>
      </c>
      <c r="D50" s="11" t="b">
        <f t="shared" si="9"/>
        <v>1</v>
      </c>
      <c r="E50" s="8" t="s">
        <v>38</v>
      </c>
    </row>
    <row r="51" ht="15.75" customHeight="1">
      <c r="A51" s="7" t="s">
        <v>56</v>
      </c>
      <c r="B51" s="6">
        <v>6000.0</v>
      </c>
      <c r="C51" s="6">
        <v>9000.0</v>
      </c>
      <c r="D51" s="11" t="b">
        <f t="shared" si="9"/>
        <v>1</v>
      </c>
      <c r="E51" s="8" t="s">
        <v>38</v>
      </c>
    </row>
    <row r="52" ht="15.75" customHeight="1">
      <c r="A52" s="7" t="s">
        <v>57</v>
      </c>
      <c r="B52" s="6">
        <v>7000.0</v>
      </c>
      <c r="C52" s="6">
        <v>10000.0</v>
      </c>
      <c r="D52" s="11" t="b">
        <f t="shared" si="9"/>
        <v>1</v>
      </c>
      <c r="E52" s="8" t="s">
        <v>38</v>
      </c>
    </row>
    <row r="53" ht="15.75" customHeight="1">
      <c r="A53" s="5" t="s">
        <v>58</v>
      </c>
      <c r="B53" s="6">
        <v>3333.0</v>
      </c>
      <c r="C53" s="6">
        <v>7000.0</v>
      </c>
      <c r="D53" s="11" t="b">
        <f t="shared" si="9"/>
        <v>1</v>
      </c>
      <c r="E53" s="8" t="s">
        <v>38</v>
      </c>
    </row>
    <row r="54" ht="15.75" customHeight="1">
      <c r="A54" s="5" t="s">
        <v>59</v>
      </c>
      <c r="B54" s="6">
        <v>6900.0</v>
      </c>
      <c r="C54" s="6">
        <v>8500.0</v>
      </c>
      <c r="D54" s="11" t="b">
        <f t="shared" si="9"/>
        <v>1</v>
      </c>
      <c r="E54" s="8" t="s">
        <v>38</v>
      </c>
    </row>
    <row r="55" ht="15.75" customHeight="1">
      <c r="A55" s="9" t="s">
        <v>60</v>
      </c>
      <c r="B55" s="10">
        <v>20000.0</v>
      </c>
      <c r="C55" s="10">
        <v>28000.0</v>
      </c>
      <c r="D55" s="9" t="b">
        <f t="shared" ref="D55:D57" si="10">false</f>
        <v>0</v>
      </c>
      <c r="E55" s="8" t="s">
        <v>38</v>
      </c>
    </row>
    <row r="56" ht="15.75" customHeight="1">
      <c r="A56" s="9" t="s">
        <v>61</v>
      </c>
      <c r="B56" s="10">
        <v>14900.0</v>
      </c>
      <c r="C56" s="10">
        <v>22000.0</v>
      </c>
      <c r="D56" s="9" t="b">
        <f t="shared" si="10"/>
        <v>0</v>
      </c>
      <c r="E56" s="8" t="s">
        <v>38</v>
      </c>
    </row>
    <row r="57" ht="15.75" customHeight="1">
      <c r="A57" s="9" t="s">
        <v>61</v>
      </c>
      <c r="B57" s="10">
        <v>13900.0</v>
      </c>
      <c r="C57" s="10">
        <v>25000.0</v>
      </c>
      <c r="D57" s="9" t="b">
        <f t="shared" si="10"/>
        <v>0</v>
      </c>
      <c r="E57" s="8" t="s">
        <v>38</v>
      </c>
    </row>
    <row r="58" ht="15.75" customHeight="1">
      <c r="A58" s="11" t="s">
        <v>62</v>
      </c>
      <c r="B58" s="12">
        <v>13450.0</v>
      </c>
      <c r="C58" s="12">
        <v>20000.0</v>
      </c>
      <c r="D58" s="11" t="b">
        <f>true</f>
        <v>1</v>
      </c>
      <c r="E58" s="8" t="s">
        <v>38</v>
      </c>
    </row>
    <row r="59" ht="15.75" customHeight="1">
      <c r="A59" s="9" t="s">
        <v>63</v>
      </c>
      <c r="B59" s="10">
        <v>17800.0</v>
      </c>
      <c r="C59" s="10">
        <v>30000.0</v>
      </c>
      <c r="D59" s="9" t="b">
        <f>false</f>
        <v>0</v>
      </c>
      <c r="E59" s="8" t="s">
        <v>38</v>
      </c>
    </row>
    <row r="60" ht="15.75" customHeight="1">
      <c r="A60" s="11" t="s">
        <v>64</v>
      </c>
      <c r="B60" s="12">
        <v>17990.0</v>
      </c>
      <c r="C60" s="12">
        <v>30000.0</v>
      </c>
      <c r="D60" s="11" t="b">
        <f t="shared" ref="D60:D62" si="11">true</f>
        <v>1</v>
      </c>
      <c r="E60" s="8" t="s">
        <v>38</v>
      </c>
    </row>
    <row r="61" ht="15.75" customHeight="1">
      <c r="A61" s="11" t="s">
        <v>65</v>
      </c>
      <c r="B61" s="12">
        <v>6000.0</v>
      </c>
      <c r="C61" s="12">
        <v>14000.0</v>
      </c>
      <c r="D61" s="11" t="b">
        <f t="shared" si="11"/>
        <v>1</v>
      </c>
      <c r="E61" s="8" t="s">
        <v>38</v>
      </c>
    </row>
    <row r="62" ht="15.75" customHeight="1">
      <c r="A62" s="11" t="s">
        <v>66</v>
      </c>
      <c r="B62" s="12">
        <v>3500.0</v>
      </c>
      <c r="C62" s="12">
        <v>7000.0</v>
      </c>
      <c r="D62" s="11" t="b">
        <f t="shared" si="11"/>
        <v>1</v>
      </c>
      <c r="E62" s="8" t="s">
        <v>38</v>
      </c>
    </row>
    <row r="63" ht="15.75" customHeight="1">
      <c r="A63" s="9" t="s">
        <v>67</v>
      </c>
      <c r="B63" s="10">
        <v>7550.0</v>
      </c>
      <c r="C63" s="10">
        <v>13500.0</v>
      </c>
      <c r="D63" s="9" t="b">
        <f t="shared" ref="D63:D64" si="12">false</f>
        <v>0</v>
      </c>
      <c r="E63" s="8" t="s">
        <v>38</v>
      </c>
    </row>
    <row r="64" ht="15.75" customHeight="1">
      <c r="A64" s="9" t="s">
        <v>68</v>
      </c>
      <c r="B64" s="10">
        <v>7850.0</v>
      </c>
      <c r="C64" s="10">
        <v>13000.0</v>
      </c>
      <c r="D64" s="9" t="b">
        <f t="shared" si="12"/>
        <v>0</v>
      </c>
      <c r="E64" s="8" t="s">
        <v>38</v>
      </c>
    </row>
    <row r="65" ht="15.75" customHeight="1">
      <c r="A65" s="5" t="s">
        <v>69</v>
      </c>
      <c r="B65" s="6">
        <v>6000.0</v>
      </c>
      <c r="C65" s="6">
        <v>10000.0</v>
      </c>
      <c r="D65" s="11" t="b">
        <f t="shared" ref="D65:D67" si="13">true</f>
        <v>1</v>
      </c>
      <c r="E65" s="8" t="s">
        <v>38</v>
      </c>
    </row>
    <row r="66" ht="15.75" customHeight="1">
      <c r="A66" s="5" t="s">
        <v>70</v>
      </c>
      <c r="B66" s="6">
        <v>8500.0</v>
      </c>
      <c r="C66" s="6">
        <v>13000.0</v>
      </c>
      <c r="D66" s="11" t="b">
        <f t="shared" si="13"/>
        <v>1</v>
      </c>
      <c r="E66" s="8" t="s">
        <v>38</v>
      </c>
    </row>
    <row r="67" ht="15.75" customHeight="1">
      <c r="A67" s="5" t="s">
        <v>71</v>
      </c>
      <c r="B67" s="6">
        <v>19800.0</v>
      </c>
      <c r="C67" s="6">
        <v>23000.0</v>
      </c>
      <c r="D67" s="11" t="b">
        <f t="shared" si="13"/>
        <v>1</v>
      </c>
      <c r="E67" s="8" t="s">
        <v>38</v>
      </c>
    </row>
    <row r="68" ht="15.75" customHeight="1">
      <c r="A68" s="5" t="s">
        <v>72</v>
      </c>
      <c r="B68" s="6">
        <v>5000.0</v>
      </c>
      <c r="C68" s="6">
        <v>7500.0</v>
      </c>
      <c r="D68" s="5" t="b">
        <f>false</f>
        <v>0</v>
      </c>
      <c r="E68" s="8" t="s">
        <v>38</v>
      </c>
    </row>
    <row r="69" ht="15.75" customHeight="1">
      <c r="A69" s="5" t="s">
        <v>73</v>
      </c>
      <c r="B69" s="6">
        <v>4000.0</v>
      </c>
      <c r="C69" s="6">
        <v>7000.0</v>
      </c>
      <c r="D69" s="11" t="b">
        <f t="shared" ref="D69:D72" si="14">true</f>
        <v>1</v>
      </c>
      <c r="E69" s="8" t="s">
        <v>38</v>
      </c>
    </row>
    <row r="70" ht="15.75" customHeight="1">
      <c r="A70" s="5" t="s">
        <v>74</v>
      </c>
      <c r="B70" s="6">
        <v>3000.0</v>
      </c>
      <c r="C70" s="6">
        <v>7500.0</v>
      </c>
      <c r="D70" s="11" t="b">
        <f t="shared" si="14"/>
        <v>1</v>
      </c>
      <c r="E70" s="8" t="s">
        <v>38</v>
      </c>
    </row>
    <row r="71" ht="15.75" customHeight="1">
      <c r="A71" s="7" t="s">
        <v>75</v>
      </c>
      <c r="B71" s="6">
        <v>9000.0</v>
      </c>
      <c r="C71" s="6">
        <v>12500.0</v>
      </c>
      <c r="D71" s="11" t="b">
        <f t="shared" si="14"/>
        <v>1</v>
      </c>
      <c r="E71" s="8" t="s">
        <v>76</v>
      </c>
    </row>
    <row r="72" ht="15.75" customHeight="1">
      <c r="A72" s="5" t="s">
        <v>77</v>
      </c>
      <c r="B72" s="6">
        <v>7900.0</v>
      </c>
      <c r="C72" s="6">
        <v>15000.0</v>
      </c>
      <c r="D72" s="11" t="b">
        <f t="shared" si="14"/>
        <v>1</v>
      </c>
      <c r="E72" s="8" t="s">
        <v>76</v>
      </c>
    </row>
    <row r="73" ht="15.75" customHeight="1">
      <c r="A73" s="9" t="s">
        <v>78</v>
      </c>
      <c r="B73" s="10">
        <v>4000.0</v>
      </c>
      <c r="C73" s="10">
        <v>8500.0</v>
      </c>
      <c r="D73" s="9" t="b">
        <f t="shared" ref="D73:D74" si="15">false</f>
        <v>0</v>
      </c>
      <c r="E73" s="8" t="s">
        <v>76</v>
      </c>
    </row>
    <row r="74" ht="15.75" customHeight="1">
      <c r="A74" s="9" t="s">
        <v>79</v>
      </c>
      <c r="B74" s="10">
        <v>4000.0</v>
      </c>
      <c r="C74" s="10">
        <v>8000.0</v>
      </c>
      <c r="D74" s="9" t="b">
        <f t="shared" si="15"/>
        <v>0</v>
      </c>
      <c r="E74" s="8" t="s">
        <v>76</v>
      </c>
    </row>
    <row r="75" ht="15.75" customHeight="1">
      <c r="A75" s="5" t="s">
        <v>80</v>
      </c>
      <c r="B75" s="6">
        <v>4000.0</v>
      </c>
      <c r="C75" s="6">
        <v>8000.0</v>
      </c>
      <c r="D75" s="11" t="b">
        <f t="shared" ref="D75:D79" si="16">true</f>
        <v>1</v>
      </c>
      <c r="E75" s="8" t="s">
        <v>76</v>
      </c>
    </row>
    <row r="76" ht="15.75" customHeight="1">
      <c r="A76" s="7" t="s">
        <v>81</v>
      </c>
      <c r="B76" s="6">
        <v>2300.0</v>
      </c>
      <c r="C76" s="6">
        <v>3500.0</v>
      </c>
      <c r="D76" s="11" t="b">
        <f t="shared" si="16"/>
        <v>1</v>
      </c>
      <c r="E76" s="8" t="s">
        <v>76</v>
      </c>
    </row>
    <row r="77" ht="15.75" customHeight="1">
      <c r="A77" s="7" t="s">
        <v>82</v>
      </c>
      <c r="B77" s="6">
        <v>5000.0</v>
      </c>
      <c r="C77" s="6">
        <v>6500.0</v>
      </c>
      <c r="D77" s="11" t="b">
        <f t="shared" si="16"/>
        <v>1</v>
      </c>
      <c r="E77" s="8" t="s">
        <v>76</v>
      </c>
    </row>
    <row r="78" ht="15.75" customHeight="1">
      <c r="A78" s="7" t="s">
        <v>83</v>
      </c>
      <c r="B78" s="6">
        <v>7000.0</v>
      </c>
      <c r="C78" s="6">
        <v>9000.0</v>
      </c>
      <c r="D78" s="11" t="b">
        <f t="shared" si="16"/>
        <v>1</v>
      </c>
      <c r="E78" s="8" t="s">
        <v>76</v>
      </c>
    </row>
    <row r="79" ht="15.75" customHeight="1">
      <c r="A79" s="5" t="s">
        <v>84</v>
      </c>
      <c r="B79" s="6">
        <v>2500.0</v>
      </c>
      <c r="C79" s="6">
        <v>5000.0</v>
      </c>
      <c r="D79" s="11" t="b">
        <f t="shared" si="16"/>
        <v>1</v>
      </c>
      <c r="E79" s="8" t="s">
        <v>76</v>
      </c>
    </row>
    <row r="80" ht="15.75" customHeight="1">
      <c r="A80" s="9" t="s">
        <v>85</v>
      </c>
      <c r="B80" s="10">
        <v>4000.0</v>
      </c>
      <c r="C80" s="10">
        <v>7000.0</v>
      </c>
      <c r="D80" s="9" t="b">
        <f>false</f>
        <v>0</v>
      </c>
      <c r="E80" s="8" t="s">
        <v>76</v>
      </c>
    </row>
    <row r="81" ht="15.75" customHeight="1">
      <c r="A81" s="7" t="s">
        <v>86</v>
      </c>
      <c r="B81" s="6">
        <v>5000.0</v>
      </c>
      <c r="C81" s="6">
        <v>6000.0</v>
      </c>
      <c r="D81" s="11" t="b">
        <f>true</f>
        <v>1</v>
      </c>
      <c r="E81" s="8" t="s">
        <v>76</v>
      </c>
    </row>
    <row r="82" ht="15.75" customHeight="1">
      <c r="A82" s="9" t="s">
        <v>87</v>
      </c>
      <c r="B82" s="10">
        <v>20000.0</v>
      </c>
      <c r="C82" s="10">
        <v>28000.0</v>
      </c>
      <c r="D82" s="9" t="b">
        <f t="shared" ref="D82:D83" si="17">false</f>
        <v>0</v>
      </c>
      <c r="E82" s="8" t="s">
        <v>76</v>
      </c>
    </row>
    <row r="83" ht="15.75" customHeight="1">
      <c r="A83" s="9" t="s">
        <v>88</v>
      </c>
      <c r="B83" s="10">
        <v>7350.0</v>
      </c>
      <c r="C83" s="10">
        <v>12000.0</v>
      </c>
      <c r="D83" s="9" t="b">
        <f t="shared" si="17"/>
        <v>0</v>
      </c>
      <c r="E83" s="8" t="s">
        <v>76</v>
      </c>
    </row>
    <row r="84" ht="15.75" customHeight="1">
      <c r="A84" s="11" t="s">
        <v>89</v>
      </c>
      <c r="B84" s="12">
        <v>9500.0</v>
      </c>
      <c r="C84" s="12">
        <v>15000.0</v>
      </c>
      <c r="D84" s="11" t="b">
        <f t="shared" ref="D84:D87" si="18">true</f>
        <v>1</v>
      </c>
      <c r="E84" s="8" t="s">
        <v>76</v>
      </c>
    </row>
    <row r="85" ht="15.75" customHeight="1">
      <c r="A85" s="11" t="s">
        <v>90</v>
      </c>
      <c r="B85" s="12">
        <v>6450.0</v>
      </c>
      <c r="C85" s="12">
        <v>12500.0</v>
      </c>
      <c r="D85" s="11" t="b">
        <f t="shared" si="18"/>
        <v>1</v>
      </c>
      <c r="E85" s="8" t="s">
        <v>76</v>
      </c>
    </row>
    <row r="86" ht="15.75" customHeight="1">
      <c r="A86" s="11" t="s">
        <v>91</v>
      </c>
      <c r="B86" s="12">
        <v>5750.0</v>
      </c>
      <c r="C86" s="12">
        <v>10500.0</v>
      </c>
      <c r="D86" s="11" t="b">
        <f t="shared" si="18"/>
        <v>1</v>
      </c>
      <c r="E86" s="8" t="s">
        <v>76</v>
      </c>
    </row>
    <row r="87" ht="15.75" customHeight="1">
      <c r="A87" s="7" t="s">
        <v>92</v>
      </c>
      <c r="B87" s="6">
        <v>2000.0</v>
      </c>
      <c r="C87" s="6">
        <v>3500.0</v>
      </c>
      <c r="D87" s="11" t="b">
        <f t="shared" si="18"/>
        <v>1</v>
      </c>
      <c r="E87" s="8" t="s">
        <v>93</v>
      </c>
    </row>
    <row r="88" ht="15.75" customHeight="1">
      <c r="A88" s="9" t="s">
        <v>94</v>
      </c>
      <c r="B88" s="10">
        <v>590.0</v>
      </c>
      <c r="C88" s="10">
        <v>1000.0</v>
      </c>
      <c r="D88" s="9" t="b">
        <f t="shared" ref="D88:D89" si="19">false</f>
        <v>0</v>
      </c>
      <c r="E88" s="8" t="s">
        <v>93</v>
      </c>
    </row>
    <row r="89" ht="15.75" customHeight="1">
      <c r="A89" s="9" t="s">
        <v>95</v>
      </c>
      <c r="B89" s="10">
        <v>690.0</v>
      </c>
      <c r="C89" s="10">
        <v>1350.0</v>
      </c>
      <c r="D89" s="9" t="b">
        <f t="shared" si="19"/>
        <v>0</v>
      </c>
      <c r="E89" s="8" t="s">
        <v>93</v>
      </c>
    </row>
    <row r="90" ht="15.75" customHeight="1">
      <c r="A90" s="5" t="s">
        <v>96</v>
      </c>
      <c r="B90" s="6">
        <v>600.0</v>
      </c>
      <c r="C90" s="6">
        <v>1000.0</v>
      </c>
      <c r="D90" s="11" t="b">
        <f t="shared" ref="D90:D92" si="20">true</f>
        <v>1</v>
      </c>
      <c r="E90" s="8" t="s">
        <v>93</v>
      </c>
    </row>
    <row r="91" ht="15.75" customHeight="1">
      <c r="A91" s="5" t="s">
        <v>97</v>
      </c>
      <c r="B91" s="6">
        <v>900.0</v>
      </c>
      <c r="C91" s="6">
        <v>1500.0</v>
      </c>
      <c r="D91" s="11" t="b">
        <f t="shared" si="20"/>
        <v>1</v>
      </c>
      <c r="E91" s="8" t="s">
        <v>93</v>
      </c>
    </row>
    <row r="92" ht="15.75" customHeight="1">
      <c r="A92" s="5" t="s">
        <v>98</v>
      </c>
      <c r="B92" s="6">
        <v>2500.0</v>
      </c>
      <c r="C92" s="6">
        <v>4000.0</v>
      </c>
      <c r="D92" s="11" t="b">
        <f t="shared" si="20"/>
        <v>1</v>
      </c>
      <c r="E92" s="8" t="s">
        <v>93</v>
      </c>
    </row>
    <row r="93" ht="15.75" customHeight="1">
      <c r="A93" s="9" t="s">
        <v>99</v>
      </c>
      <c r="B93" s="10">
        <v>1500.0</v>
      </c>
      <c r="C93" s="10">
        <v>3000.0</v>
      </c>
      <c r="D93" s="9" t="b">
        <f t="shared" ref="D93:D94" si="21">false</f>
        <v>0</v>
      </c>
      <c r="E93" s="8" t="s">
        <v>93</v>
      </c>
    </row>
    <row r="94" ht="15.75" customHeight="1">
      <c r="A94" s="9" t="s">
        <v>100</v>
      </c>
      <c r="B94" s="10">
        <v>2000.0</v>
      </c>
      <c r="C94" s="10">
        <v>3800.0</v>
      </c>
      <c r="D94" s="9" t="b">
        <f t="shared" si="21"/>
        <v>0</v>
      </c>
      <c r="E94" s="8" t="s">
        <v>93</v>
      </c>
    </row>
    <row r="95" ht="15.75" customHeight="1">
      <c r="A95" s="7" t="s">
        <v>101</v>
      </c>
      <c r="B95" s="6">
        <v>2500.0</v>
      </c>
      <c r="C95" s="6">
        <v>5000.0</v>
      </c>
      <c r="D95" s="11" t="b">
        <f>true</f>
        <v>1</v>
      </c>
      <c r="E95" s="8" t="s">
        <v>93</v>
      </c>
    </row>
    <row r="96" ht="15.75" customHeight="1">
      <c r="A96" s="9" t="s">
        <v>102</v>
      </c>
      <c r="B96" s="10">
        <v>6000.0</v>
      </c>
      <c r="C96" s="10">
        <v>12000.0</v>
      </c>
      <c r="D96" s="9" t="b">
        <f>false</f>
        <v>0</v>
      </c>
      <c r="E96" s="8" t="s">
        <v>93</v>
      </c>
    </row>
    <row r="97" ht="15.75" customHeight="1">
      <c r="A97" s="11" t="s">
        <v>103</v>
      </c>
      <c r="B97" s="12">
        <v>3990.0</v>
      </c>
      <c r="C97" s="12">
        <v>7000.0</v>
      </c>
      <c r="D97" s="11" t="b">
        <f>true</f>
        <v>1</v>
      </c>
      <c r="E97" s="8" t="s">
        <v>93</v>
      </c>
    </row>
    <row r="98" ht="15.75" customHeight="1">
      <c r="A98" s="9" t="s">
        <v>104</v>
      </c>
      <c r="B98" s="10">
        <v>2500.0</v>
      </c>
      <c r="C98" s="10">
        <v>6000.0</v>
      </c>
      <c r="D98" s="9" t="b">
        <f t="shared" ref="D98:D99" si="22">false</f>
        <v>0</v>
      </c>
      <c r="E98" s="8" t="s">
        <v>93</v>
      </c>
    </row>
    <row r="99" ht="15.75" customHeight="1">
      <c r="A99" s="9" t="s">
        <v>104</v>
      </c>
      <c r="B99" s="10">
        <v>3000.0</v>
      </c>
      <c r="C99" s="10">
        <v>6000.0</v>
      </c>
      <c r="D99" s="9" t="b">
        <f t="shared" si="22"/>
        <v>0</v>
      </c>
      <c r="E99" s="8" t="s">
        <v>93</v>
      </c>
    </row>
    <row r="100" ht="15.75" customHeight="1">
      <c r="A100" s="11" t="s">
        <v>105</v>
      </c>
      <c r="B100" s="12">
        <v>2990.0</v>
      </c>
      <c r="C100" s="12">
        <v>5500.0</v>
      </c>
      <c r="D100" s="11" t="b">
        <f t="shared" ref="D100:D103" si="23">true</f>
        <v>1</v>
      </c>
      <c r="E100" s="8" t="s">
        <v>93</v>
      </c>
    </row>
    <row r="101" ht="15.75" customHeight="1">
      <c r="A101" s="5" t="s">
        <v>106</v>
      </c>
      <c r="B101" s="6">
        <v>2480.0</v>
      </c>
      <c r="C101" s="6">
        <v>4000.0</v>
      </c>
      <c r="D101" s="11" t="b">
        <f t="shared" si="23"/>
        <v>1</v>
      </c>
      <c r="E101" s="8" t="s">
        <v>93</v>
      </c>
    </row>
    <row r="102" ht="15.75" customHeight="1">
      <c r="A102" s="7" t="s">
        <v>107</v>
      </c>
      <c r="B102" s="6">
        <v>5000.0</v>
      </c>
      <c r="C102" s="6">
        <v>6500.0</v>
      </c>
      <c r="D102" s="11" t="b">
        <f t="shared" si="23"/>
        <v>1</v>
      </c>
      <c r="E102" s="8" t="s">
        <v>93</v>
      </c>
    </row>
    <row r="103" ht="15.75" customHeight="1">
      <c r="A103" s="7" t="s">
        <v>108</v>
      </c>
      <c r="B103" s="6">
        <v>1500.0</v>
      </c>
      <c r="C103" s="6">
        <v>2000.0</v>
      </c>
      <c r="D103" s="11" t="b">
        <f t="shared" si="23"/>
        <v>1</v>
      </c>
      <c r="E103" s="8" t="s">
        <v>93</v>
      </c>
    </row>
    <row r="104" ht="15.75" customHeight="1">
      <c r="A104" s="9" t="s">
        <v>109</v>
      </c>
      <c r="B104" s="10">
        <v>10000.0</v>
      </c>
      <c r="C104" s="10">
        <v>15000.0</v>
      </c>
      <c r="D104" s="9" t="b">
        <f>false</f>
        <v>0</v>
      </c>
      <c r="E104" s="8" t="s">
        <v>110</v>
      </c>
    </row>
    <row r="105" ht="15.75" customHeight="1">
      <c r="A105" s="11" t="s">
        <v>111</v>
      </c>
      <c r="B105" s="12">
        <v>11500.0</v>
      </c>
      <c r="C105" s="12">
        <v>17000.0</v>
      </c>
      <c r="D105" s="11" t="b">
        <f>true</f>
        <v>1</v>
      </c>
      <c r="E105" s="8" t="s">
        <v>110</v>
      </c>
    </row>
    <row r="106" ht="15.75" customHeight="1">
      <c r="A106" s="9" t="s">
        <v>112</v>
      </c>
      <c r="B106" s="10">
        <v>10000.0</v>
      </c>
      <c r="C106" s="10">
        <v>15000.0</v>
      </c>
      <c r="D106" s="9" t="b">
        <f t="shared" ref="D106:D107" si="24">false</f>
        <v>0</v>
      </c>
      <c r="E106" s="8" t="s">
        <v>110</v>
      </c>
    </row>
    <row r="107" ht="15.75" customHeight="1">
      <c r="A107" s="9" t="s">
        <v>113</v>
      </c>
      <c r="B107" s="10">
        <v>10300.0</v>
      </c>
      <c r="C107" s="10">
        <v>15000.0</v>
      </c>
      <c r="D107" s="9" t="b">
        <f t="shared" si="24"/>
        <v>0</v>
      </c>
      <c r="E107" s="8" t="s">
        <v>110</v>
      </c>
    </row>
    <row r="108" ht="15.75" customHeight="1">
      <c r="A108" s="11" t="s">
        <v>114</v>
      </c>
      <c r="B108" s="12">
        <v>11000.0</v>
      </c>
      <c r="C108" s="12">
        <v>17000.0</v>
      </c>
      <c r="D108" s="11" t="b">
        <f>true</f>
        <v>1</v>
      </c>
      <c r="E108" s="8" t="s">
        <v>110</v>
      </c>
    </row>
    <row r="109" ht="12.75" customHeight="1">
      <c r="A109" s="9" t="s">
        <v>115</v>
      </c>
      <c r="B109" s="10">
        <v>8500.0</v>
      </c>
      <c r="C109" s="10">
        <v>15000.0</v>
      </c>
      <c r="D109" s="9" t="b">
        <f>false</f>
        <v>0</v>
      </c>
      <c r="E109" s="8" t="s">
        <v>110</v>
      </c>
    </row>
    <row r="110" ht="12.75" customHeight="1">
      <c r="A110" s="11" t="s">
        <v>116</v>
      </c>
      <c r="B110" s="12">
        <v>6500.0</v>
      </c>
      <c r="C110" s="12">
        <v>12000.0</v>
      </c>
      <c r="D110" s="11" t="b">
        <f>true</f>
        <v>1</v>
      </c>
      <c r="E110" s="8" t="s">
        <v>110</v>
      </c>
    </row>
    <row r="111" ht="12.75" customHeight="1">
      <c r="A111" s="9" t="s">
        <v>117</v>
      </c>
      <c r="B111" s="10">
        <v>5500.0</v>
      </c>
      <c r="C111" s="10">
        <v>10500.0</v>
      </c>
      <c r="D111" s="9" t="b">
        <f t="shared" ref="D111:D112" si="25">false</f>
        <v>0</v>
      </c>
      <c r="E111" s="8" t="s">
        <v>110</v>
      </c>
    </row>
    <row r="112" ht="15.75" customHeight="1">
      <c r="A112" s="9" t="s">
        <v>118</v>
      </c>
      <c r="B112" s="10">
        <v>11990.0</v>
      </c>
      <c r="C112" s="10">
        <v>18000.0</v>
      </c>
      <c r="D112" s="9" t="b">
        <f t="shared" si="25"/>
        <v>0</v>
      </c>
      <c r="E112" s="8" t="s">
        <v>110</v>
      </c>
    </row>
    <row r="113" ht="15.75" customHeight="1">
      <c r="A113" s="5" t="s">
        <v>119</v>
      </c>
      <c r="B113" s="6">
        <v>8500.0</v>
      </c>
      <c r="C113" s="6">
        <v>13000.0</v>
      </c>
      <c r="D113" s="11" t="b">
        <f>true</f>
        <v>1</v>
      </c>
      <c r="E113" s="8" t="s">
        <v>110</v>
      </c>
    </row>
    <row r="114" ht="15.75" customHeight="1">
      <c r="A114" s="9" t="s">
        <v>120</v>
      </c>
      <c r="B114" s="10">
        <v>12000.0</v>
      </c>
      <c r="C114" s="10">
        <v>22000.0</v>
      </c>
      <c r="D114" s="9" t="b">
        <f>false</f>
        <v>0</v>
      </c>
      <c r="E114" s="8" t="s">
        <v>110</v>
      </c>
    </row>
    <row r="115" ht="15.75" customHeight="1">
      <c r="A115" s="5" t="s">
        <v>121</v>
      </c>
      <c r="B115" s="6">
        <v>14900.0</v>
      </c>
      <c r="C115" s="6">
        <v>25000.0</v>
      </c>
      <c r="D115" s="11" t="b">
        <f t="shared" ref="D115:D122" si="26">true</f>
        <v>1</v>
      </c>
      <c r="E115" s="8" t="s">
        <v>110</v>
      </c>
    </row>
    <row r="116" ht="15.75" customHeight="1">
      <c r="A116" s="5" t="s">
        <v>122</v>
      </c>
      <c r="B116" s="6">
        <v>15800.0</v>
      </c>
      <c r="C116" s="6">
        <v>25000.0</v>
      </c>
      <c r="D116" s="11" t="b">
        <f t="shared" si="26"/>
        <v>1</v>
      </c>
      <c r="E116" s="8" t="s">
        <v>110</v>
      </c>
    </row>
    <row r="117" ht="15.75" customHeight="1">
      <c r="A117" s="5" t="s">
        <v>123</v>
      </c>
      <c r="B117" s="6">
        <v>9000.0</v>
      </c>
      <c r="C117" s="6">
        <v>16000.0</v>
      </c>
      <c r="D117" s="11" t="b">
        <f t="shared" si="26"/>
        <v>1</v>
      </c>
      <c r="E117" s="8" t="s">
        <v>110</v>
      </c>
    </row>
    <row r="118" ht="15.75" customHeight="1">
      <c r="A118" s="5" t="s">
        <v>124</v>
      </c>
      <c r="B118" s="6">
        <v>8500.0</v>
      </c>
      <c r="C118" s="6">
        <v>20000.0</v>
      </c>
      <c r="D118" s="11" t="b">
        <f t="shared" si="26"/>
        <v>1</v>
      </c>
      <c r="E118" s="8" t="s">
        <v>110</v>
      </c>
    </row>
    <row r="119" ht="15.75" customHeight="1">
      <c r="A119" s="5" t="s">
        <v>125</v>
      </c>
      <c r="B119" s="6">
        <v>1550.0</v>
      </c>
      <c r="C119" s="6">
        <v>4000.0</v>
      </c>
      <c r="D119" s="11" t="b">
        <f t="shared" si="26"/>
        <v>1</v>
      </c>
      <c r="E119" s="8" t="s">
        <v>110</v>
      </c>
    </row>
    <row r="120" ht="15.75" customHeight="1">
      <c r="A120" s="5" t="s">
        <v>126</v>
      </c>
      <c r="B120" s="6">
        <v>3500.0</v>
      </c>
      <c r="C120" s="6">
        <v>5500.0</v>
      </c>
      <c r="D120" s="11" t="b">
        <f t="shared" si="26"/>
        <v>1</v>
      </c>
      <c r="E120" s="8" t="s">
        <v>110</v>
      </c>
    </row>
    <row r="121" ht="15.75" customHeight="1">
      <c r="A121" s="5" t="s">
        <v>127</v>
      </c>
      <c r="B121" s="6">
        <v>8000.0</v>
      </c>
      <c r="C121" s="6">
        <v>12000.0</v>
      </c>
      <c r="D121" s="11" t="b">
        <f t="shared" si="26"/>
        <v>1</v>
      </c>
      <c r="E121" s="8" t="s">
        <v>110</v>
      </c>
    </row>
    <row r="122" ht="15.75" customHeight="1">
      <c r="A122" s="5" t="s">
        <v>128</v>
      </c>
      <c r="B122" s="6">
        <v>9000.0</v>
      </c>
      <c r="C122" s="6">
        <v>12000.0</v>
      </c>
      <c r="D122" s="11" t="b">
        <f t="shared" si="26"/>
        <v>1</v>
      </c>
      <c r="E122" s="8" t="s">
        <v>110</v>
      </c>
    </row>
    <row r="123" ht="15.75" customHeight="1">
      <c r="A123" s="9" t="s">
        <v>129</v>
      </c>
      <c r="B123" s="10">
        <v>5000.0</v>
      </c>
      <c r="C123" s="10">
        <v>7500.0</v>
      </c>
      <c r="D123" s="9" t="b">
        <f>false</f>
        <v>0</v>
      </c>
      <c r="E123" s="8" t="s">
        <v>110</v>
      </c>
    </row>
    <row r="124" ht="15.75" customHeight="1">
      <c r="A124" s="5" t="s">
        <v>130</v>
      </c>
      <c r="B124" s="6">
        <v>6500.0</v>
      </c>
      <c r="C124" s="6">
        <v>8500.0</v>
      </c>
      <c r="D124" s="11" t="b">
        <f>true</f>
        <v>1</v>
      </c>
      <c r="E124" s="8" t="s">
        <v>110</v>
      </c>
    </row>
    <row r="125" ht="12.75" customHeight="1">
      <c r="A125" s="9" t="s">
        <v>131</v>
      </c>
      <c r="B125" s="10">
        <v>3500.0</v>
      </c>
      <c r="C125" s="10">
        <v>6000.0</v>
      </c>
      <c r="D125" s="9" t="b">
        <f t="shared" ref="D125:D126" si="27">false</f>
        <v>0</v>
      </c>
      <c r="E125" s="8" t="s">
        <v>110</v>
      </c>
    </row>
    <row r="126" ht="12.75" customHeight="1">
      <c r="A126" s="9" t="s">
        <v>131</v>
      </c>
      <c r="B126" s="10">
        <v>3500.0</v>
      </c>
      <c r="C126" s="10">
        <v>6500.0</v>
      </c>
      <c r="D126" s="9" t="b">
        <f t="shared" si="27"/>
        <v>0</v>
      </c>
      <c r="E126" s="8" t="s">
        <v>110</v>
      </c>
    </row>
    <row r="127" ht="12.75" customHeight="1">
      <c r="A127" s="11" t="s">
        <v>131</v>
      </c>
      <c r="B127" s="12">
        <v>3000.0</v>
      </c>
      <c r="C127" s="12">
        <v>6500.0</v>
      </c>
      <c r="D127" s="11" t="b">
        <f t="shared" ref="D127:D131" si="28">true</f>
        <v>1</v>
      </c>
      <c r="E127" s="8" t="s">
        <v>110</v>
      </c>
    </row>
    <row r="128" ht="12.75" customHeight="1">
      <c r="A128" s="5" t="s">
        <v>132</v>
      </c>
      <c r="B128" s="6">
        <v>12990.0</v>
      </c>
      <c r="C128" s="6">
        <v>18000.0</v>
      </c>
      <c r="D128" s="11" t="b">
        <f t="shared" si="28"/>
        <v>1</v>
      </c>
      <c r="E128" s="8" t="s">
        <v>110</v>
      </c>
    </row>
    <row r="129" ht="12.75" customHeight="1">
      <c r="A129" s="5" t="s">
        <v>133</v>
      </c>
      <c r="B129" s="6">
        <v>2500.0</v>
      </c>
      <c r="C129" s="6">
        <v>5000.0</v>
      </c>
      <c r="D129" s="11" t="b">
        <f t="shared" si="28"/>
        <v>1</v>
      </c>
      <c r="E129" s="8" t="s">
        <v>110</v>
      </c>
    </row>
    <row r="130" ht="12.75" customHeight="1">
      <c r="A130" s="5" t="s">
        <v>134</v>
      </c>
      <c r="B130" s="6">
        <v>5500.0</v>
      </c>
      <c r="C130" s="6">
        <v>8500.0</v>
      </c>
      <c r="D130" s="11" t="b">
        <f t="shared" si="28"/>
        <v>1</v>
      </c>
      <c r="E130" s="8" t="s">
        <v>110</v>
      </c>
    </row>
    <row r="131" ht="12.75" customHeight="1">
      <c r="A131" s="5" t="s">
        <v>135</v>
      </c>
      <c r="B131" s="6">
        <v>3900.0</v>
      </c>
      <c r="C131" s="6">
        <v>7900.0</v>
      </c>
      <c r="D131" s="11" t="b">
        <f t="shared" si="28"/>
        <v>1</v>
      </c>
      <c r="E131" s="8" t="s">
        <v>110</v>
      </c>
    </row>
    <row r="132" ht="12.75" customHeight="1">
      <c r="A132" s="9" t="s">
        <v>136</v>
      </c>
      <c r="B132" s="10">
        <v>4000.0</v>
      </c>
      <c r="C132" s="10">
        <v>10000.0</v>
      </c>
      <c r="D132" s="9" t="b">
        <f>false</f>
        <v>0</v>
      </c>
      <c r="E132" s="8" t="s">
        <v>110</v>
      </c>
    </row>
    <row r="133" ht="12.75" customHeight="1">
      <c r="A133" s="5" t="s">
        <v>137</v>
      </c>
      <c r="B133" s="6">
        <v>6000.0</v>
      </c>
      <c r="C133" s="6">
        <v>10000.0</v>
      </c>
      <c r="D133" s="11" t="b">
        <f t="shared" ref="D133:D134" si="29">true</f>
        <v>1</v>
      </c>
      <c r="E133" s="8" t="s">
        <v>110</v>
      </c>
    </row>
    <row r="134" ht="12.75" customHeight="1">
      <c r="A134" s="5" t="s">
        <v>138</v>
      </c>
      <c r="B134" s="6">
        <v>4500.0</v>
      </c>
      <c r="C134" s="6">
        <v>8500.0</v>
      </c>
      <c r="D134" s="11" t="b">
        <f t="shared" si="29"/>
        <v>1</v>
      </c>
      <c r="E134" s="8" t="s">
        <v>110</v>
      </c>
    </row>
    <row r="135" ht="12.75" customHeight="1">
      <c r="A135" s="9" t="s">
        <v>139</v>
      </c>
      <c r="B135" s="10">
        <v>4000.0</v>
      </c>
      <c r="C135" s="10">
        <v>8500.0</v>
      </c>
      <c r="D135" s="9" t="b">
        <f>false</f>
        <v>0</v>
      </c>
      <c r="E135" s="8" t="s">
        <v>110</v>
      </c>
    </row>
    <row r="136" ht="12.75" customHeight="1">
      <c r="A136" s="5" t="s">
        <v>140</v>
      </c>
      <c r="B136" s="6">
        <v>8000.0</v>
      </c>
      <c r="C136" s="6">
        <v>18000.0</v>
      </c>
      <c r="D136" s="11" t="b">
        <f>true</f>
        <v>1</v>
      </c>
      <c r="E136" s="8" t="s">
        <v>110</v>
      </c>
    </row>
    <row r="137" ht="15.75" customHeight="1">
      <c r="A137" s="9" t="s">
        <v>141</v>
      </c>
      <c r="B137" s="10">
        <v>175.0</v>
      </c>
      <c r="C137" s="10">
        <v>250.0</v>
      </c>
      <c r="D137" s="9" t="b">
        <f t="shared" ref="D137:D138" si="30">false</f>
        <v>0</v>
      </c>
      <c r="E137" s="8" t="s">
        <v>142</v>
      </c>
    </row>
    <row r="138" ht="15.75" customHeight="1">
      <c r="A138" s="9" t="s">
        <v>143</v>
      </c>
      <c r="B138" s="10">
        <v>100.0</v>
      </c>
      <c r="C138" s="10">
        <v>150.0</v>
      </c>
      <c r="D138" s="9" t="b">
        <f t="shared" si="30"/>
        <v>0</v>
      </c>
      <c r="E138" s="8" t="s">
        <v>142</v>
      </c>
    </row>
    <row r="139" ht="15.75" customHeight="1">
      <c r="A139" s="5" t="s">
        <v>144</v>
      </c>
      <c r="B139" s="6">
        <v>70.0</v>
      </c>
      <c r="C139" s="6">
        <v>250.0</v>
      </c>
      <c r="D139" s="11" t="b">
        <f t="shared" ref="D139:D143" si="31">true</f>
        <v>1</v>
      </c>
      <c r="E139" s="8" t="s">
        <v>142</v>
      </c>
    </row>
    <row r="140" ht="15.75" customHeight="1">
      <c r="A140" s="5" t="s">
        <v>145</v>
      </c>
      <c r="B140" s="6">
        <v>63.0</v>
      </c>
      <c r="C140" s="6">
        <v>250.0</v>
      </c>
      <c r="D140" s="11" t="b">
        <f t="shared" si="31"/>
        <v>1</v>
      </c>
      <c r="E140" s="8" t="s">
        <v>142</v>
      </c>
    </row>
    <row r="141" ht="13.5" customHeight="1">
      <c r="A141" s="5" t="s">
        <v>146</v>
      </c>
      <c r="B141" s="6">
        <v>50.0</v>
      </c>
      <c r="C141" s="6">
        <v>250.0</v>
      </c>
      <c r="D141" s="11" t="b">
        <f t="shared" si="31"/>
        <v>1</v>
      </c>
      <c r="E141" s="8" t="s">
        <v>142</v>
      </c>
    </row>
    <row r="142" ht="15.75" customHeight="1">
      <c r="A142" s="5" t="s">
        <v>147</v>
      </c>
      <c r="B142" s="6">
        <v>70.0</v>
      </c>
      <c r="C142" s="6">
        <v>150.0</v>
      </c>
      <c r="D142" s="11" t="b">
        <f t="shared" si="31"/>
        <v>1</v>
      </c>
      <c r="E142" s="8" t="s">
        <v>142</v>
      </c>
    </row>
    <row r="143" ht="15.75" customHeight="1">
      <c r="A143" s="5" t="s">
        <v>148</v>
      </c>
      <c r="B143" s="6">
        <v>380.0</v>
      </c>
      <c r="C143" s="6">
        <v>750.0</v>
      </c>
      <c r="D143" s="11" t="b">
        <f t="shared" si="31"/>
        <v>1</v>
      </c>
      <c r="E143" s="8" t="s">
        <v>142</v>
      </c>
    </row>
    <row r="144" ht="15.75" customHeight="1">
      <c r="A144" s="9" t="s">
        <v>149</v>
      </c>
      <c r="B144" s="10">
        <v>550.0</v>
      </c>
      <c r="C144" s="10">
        <v>1300.0</v>
      </c>
      <c r="D144" s="9" t="b">
        <f t="shared" ref="D144:D148" si="32">false</f>
        <v>0</v>
      </c>
      <c r="E144" s="8" t="s">
        <v>142</v>
      </c>
    </row>
    <row r="145" ht="15.75" customHeight="1">
      <c r="A145" s="9" t="s">
        <v>150</v>
      </c>
      <c r="B145" s="10">
        <v>4499.0</v>
      </c>
      <c r="C145" s="10">
        <v>6000.0</v>
      </c>
      <c r="D145" s="9" t="b">
        <f t="shared" si="32"/>
        <v>0</v>
      </c>
      <c r="E145" s="8" t="s">
        <v>142</v>
      </c>
    </row>
    <row r="146" ht="15.75" customHeight="1">
      <c r="A146" s="9" t="s">
        <v>151</v>
      </c>
      <c r="B146" s="10">
        <v>3130.0</v>
      </c>
      <c r="C146" s="10">
        <v>6000.0</v>
      </c>
      <c r="D146" s="9" t="b">
        <f t="shared" si="32"/>
        <v>0</v>
      </c>
      <c r="E146" s="8" t="s">
        <v>142</v>
      </c>
    </row>
    <row r="147" ht="15.75" customHeight="1">
      <c r="A147" s="9" t="s">
        <v>152</v>
      </c>
      <c r="B147" s="10">
        <v>3580.0</v>
      </c>
      <c r="C147" s="10">
        <v>6000.0</v>
      </c>
      <c r="D147" s="9" t="b">
        <f t="shared" si="32"/>
        <v>0</v>
      </c>
      <c r="E147" s="8" t="s">
        <v>142</v>
      </c>
    </row>
    <row r="148" ht="15.75" customHeight="1">
      <c r="A148" s="9" t="s">
        <v>153</v>
      </c>
      <c r="B148" s="10">
        <v>3950.0</v>
      </c>
      <c r="C148" s="10">
        <v>6000.0</v>
      </c>
      <c r="D148" s="9" t="b">
        <f t="shared" si="32"/>
        <v>0</v>
      </c>
      <c r="E148" s="8" t="s">
        <v>142</v>
      </c>
    </row>
    <row r="149" ht="15.75" customHeight="1">
      <c r="A149" s="11" t="s">
        <v>154</v>
      </c>
      <c r="B149" s="12">
        <v>3950.0</v>
      </c>
      <c r="C149" s="12">
        <v>6000.0</v>
      </c>
      <c r="D149" s="11" t="b">
        <f>true</f>
        <v>1</v>
      </c>
      <c r="E149" s="8" t="s">
        <v>142</v>
      </c>
    </row>
    <row r="150" ht="15.75" customHeight="1">
      <c r="A150" s="9" t="s">
        <v>155</v>
      </c>
      <c r="B150" s="10">
        <v>789.0</v>
      </c>
      <c r="C150" s="10">
        <v>1200.0</v>
      </c>
      <c r="D150" s="9" t="b">
        <f t="shared" ref="D150:D153" si="33">false</f>
        <v>0</v>
      </c>
      <c r="E150" s="8" t="s">
        <v>142</v>
      </c>
    </row>
    <row r="151" ht="15.75" customHeight="1">
      <c r="A151" s="9" t="s">
        <v>156</v>
      </c>
      <c r="B151" s="10">
        <v>819.0</v>
      </c>
      <c r="C151" s="10">
        <v>1200.0</v>
      </c>
      <c r="D151" s="9" t="b">
        <f t="shared" si="33"/>
        <v>0</v>
      </c>
      <c r="E151" s="8" t="s">
        <v>142</v>
      </c>
    </row>
    <row r="152" ht="15.75" customHeight="1">
      <c r="A152" s="9" t="s">
        <v>157</v>
      </c>
      <c r="B152" s="10">
        <v>859.0</v>
      </c>
      <c r="C152" s="10">
        <v>1200.0</v>
      </c>
      <c r="D152" s="9" t="b">
        <f t="shared" si="33"/>
        <v>0</v>
      </c>
      <c r="E152" s="8" t="s">
        <v>142</v>
      </c>
    </row>
    <row r="153" ht="15.75" customHeight="1">
      <c r="A153" s="9" t="s">
        <v>158</v>
      </c>
      <c r="B153" s="10">
        <v>919.0</v>
      </c>
      <c r="C153" s="10">
        <v>1300.0</v>
      </c>
      <c r="D153" s="9" t="b">
        <f t="shared" si="33"/>
        <v>0</v>
      </c>
      <c r="E153" s="8" t="s">
        <v>142</v>
      </c>
    </row>
    <row r="154" ht="15.75" customHeight="1">
      <c r="A154" s="11" t="s">
        <v>159</v>
      </c>
      <c r="B154" s="12">
        <v>630.83</v>
      </c>
      <c r="C154" s="12">
        <v>1200.0</v>
      </c>
      <c r="D154" s="11" t="b">
        <f>true</f>
        <v>1</v>
      </c>
      <c r="E154" s="8" t="s">
        <v>142</v>
      </c>
    </row>
    <row r="155" ht="15.75" customHeight="1">
      <c r="A155" s="9" t="s">
        <v>160</v>
      </c>
      <c r="B155" s="10">
        <v>513.0</v>
      </c>
      <c r="C155" s="10">
        <v>1200.0</v>
      </c>
      <c r="D155" s="9" t="b">
        <f t="shared" ref="D155:D159" si="34">false</f>
        <v>0</v>
      </c>
      <c r="E155" s="8" t="s">
        <v>142</v>
      </c>
    </row>
    <row r="156" ht="15.75" customHeight="1">
      <c r="A156" s="9" t="s">
        <v>161</v>
      </c>
      <c r="B156" s="10">
        <v>789.0</v>
      </c>
      <c r="C156" s="10">
        <v>1200.0</v>
      </c>
      <c r="D156" s="9" t="b">
        <f t="shared" si="34"/>
        <v>0</v>
      </c>
      <c r="E156" s="8" t="s">
        <v>142</v>
      </c>
    </row>
    <row r="157" ht="15.75" customHeight="1">
      <c r="A157" s="9" t="s">
        <v>162</v>
      </c>
      <c r="B157" s="10">
        <v>700.0</v>
      </c>
      <c r="C157" s="10">
        <v>1200.0</v>
      </c>
      <c r="D157" s="9" t="b">
        <f t="shared" si="34"/>
        <v>0</v>
      </c>
      <c r="E157" s="8" t="s">
        <v>142</v>
      </c>
    </row>
    <row r="158" ht="15.75" customHeight="1">
      <c r="A158" s="9" t="s">
        <v>163</v>
      </c>
      <c r="B158" s="10">
        <v>819.0</v>
      </c>
      <c r="C158" s="10">
        <v>1200.0</v>
      </c>
      <c r="D158" s="9" t="b">
        <f t="shared" si="34"/>
        <v>0</v>
      </c>
      <c r="E158" s="8" t="s">
        <v>142</v>
      </c>
    </row>
    <row r="159" ht="15.75" customHeight="1">
      <c r="A159" s="9" t="s">
        <v>164</v>
      </c>
      <c r="B159" s="10">
        <v>859.0</v>
      </c>
      <c r="C159" s="10">
        <v>1200.0</v>
      </c>
      <c r="D159" s="9" t="b">
        <f t="shared" si="34"/>
        <v>0</v>
      </c>
      <c r="E159" s="8" t="s">
        <v>142</v>
      </c>
    </row>
    <row r="160" ht="15.75" customHeight="1">
      <c r="A160" s="11" t="s">
        <v>165</v>
      </c>
      <c r="B160" s="12">
        <v>630.83</v>
      </c>
      <c r="C160" s="12">
        <v>1200.0</v>
      </c>
      <c r="D160" s="11" t="b">
        <f>true</f>
        <v>1</v>
      </c>
      <c r="E160" s="8" t="s">
        <v>142</v>
      </c>
    </row>
    <row r="161" ht="15.75" customHeight="1">
      <c r="A161" s="9" t="s">
        <v>166</v>
      </c>
      <c r="B161" s="10">
        <v>513.0</v>
      </c>
      <c r="C161" s="10">
        <v>1200.0</v>
      </c>
      <c r="D161" s="9" t="b">
        <f>false</f>
        <v>0</v>
      </c>
      <c r="E161" s="8" t="s">
        <v>142</v>
      </c>
    </row>
    <row r="162" ht="15.75" customHeight="1">
      <c r="A162" s="7" t="s">
        <v>167</v>
      </c>
      <c r="B162" s="6">
        <v>500.0</v>
      </c>
      <c r="C162" s="6">
        <v>1000.0</v>
      </c>
      <c r="D162" s="11" t="b">
        <f t="shared" ref="D162:D181" si="35">true</f>
        <v>1</v>
      </c>
      <c r="E162" s="8" t="s">
        <v>142</v>
      </c>
    </row>
    <row r="163" ht="15.75" customHeight="1">
      <c r="A163" s="7" t="s">
        <v>168</v>
      </c>
      <c r="B163" s="6">
        <v>700.0</v>
      </c>
      <c r="C163" s="6">
        <v>2000.0</v>
      </c>
      <c r="D163" s="11" t="b">
        <f t="shared" si="35"/>
        <v>1</v>
      </c>
      <c r="E163" s="8" t="s">
        <v>142</v>
      </c>
    </row>
    <row r="164" ht="15.75" customHeight="1">
      <c r="A164" s="7" t="s">
        <v>169</v>
      </c>
      <c r="B164" s="6">
        <v>700.0</v>
      </c>
      <c r="C164" s="6">
        <v>1500.0</v>
      </c>
      <c r="D164" s="11" t="b">
        <f t="shared" si="35"/>
        <v>1</v>
      </c>
      <c r="E164" s="8" t="s">
        <v>142</v>
      </c>
    </row>
    <row r="165" ht="15.75" customHeight="1">
      <c r="A165" s="5" t="s">
        <v>170</v>
      </c>
      <c r="B165" s="6">
        <v>1000.0</v>
      </c>
      <c r="C165" s="6">
        <v>3000.0</v>
      </c>
      <c r="D165" s="11" t="b">
        <f t="shared" si="35"/>
        <v>1</v>
      </c>
      <c r="E165" s="8" t="s">
        <v>142</v>
      </c>
    </row>
    <row r="166" ht="15.75" customHeight="1">
      <c r="A166" s="5" t="s">
        <v>171</v>
      </c>
      <c r="B166" s="6">
        <v>1250.0</v>
      </c>
      <c r="C166" s="6">
        <v>3000.0</v>
      </c>
      <c r="D166" s="11" t="b">
        <f t="shared" si="35"/>
        <v>1</v>
      </c>
      <c r="E166" s="8" t="s">
        <v>142</v>
      </c>
    </row>
    <row r="167" ht="15.75" customHeight="1">
      <c r="A167" s="5" t="s">
        <v>172</v>
      </c>
      <c r="B167" s="6">
        <v>1980.0</v>
      </c>
      <c r="C167" s="6">
        <v>4000.0</v>
      </c>
      <c r="D167" s="11" t="b">
        <f t="shared" si="35"/>
        <v>1</v>
      </c>
      <c r="E167" s="8" t="s">
        <v>142</v>
      </c>
    </row>
    <row r="168" ht="15.75" customHeight="1">
      <c r="A168" s="5" t="s">
        <v>173</v>
      </c>
      <c r="B168" s="6">
        <v>570.0</v>
      </c>
      <c r="C168" s="6">
        <v>1500.0</v>
      </c>
      <c r="D168" s="11" t="b">
        <f t="shared" si="35"/>
        <v>1</v>
      </c>
      <c r="E168" s="8" t="s">
        <v>142</v>
      </c>
    </row>
    <row r="169" ht="15.75" customHeight="1">
      <c r="A169" s="5" t="s">
        <v>174</v>
      </c>
      <c r="B169" s="6">
        <v>610.0</v>
      </c>
      <c r="C169" s="6">
        <v>1500.0</v>
      </c>
      <c r="D169" s="11" t="b">
        <f t="shared" si="35"/>
        <v>1</v>
      </c>
      <c r="E169" s="8" t="s">
        <v>142</v>
      </c>
    </row>
    <row r="170" ht="15.75" customHeight="1">
      <c r="A170" s="5" t="s">
        <v>175</v>
      </c>
      <c r="B170" s="6">
        <v>70.0</v>
      </c>
      <c r="C170" s="6">
        <v>900.0</v>
      </c>
      <c r="D170" s="11" t="b">
        <f t="shared" si="35"/>
        <v>1</v>
      </c>
      <c r="E170" s="8" t="s">
        <v>142</v>
      </c>
    </row>
    <row r="171" ht="15.75" customHeight="1">
      <c r="A171" s="5" t="s">
        <v>176</v>
      </c>
      <c r="B171" s="6">
        <v>70.0</v>
      </c>
      <c r="C171" s="6">
        <v>900.0</v>
      </c>
      <c r="D171" s="11" t="b">
        <f t="shared" si="35"/>
        <v>1</v>
      </c>
      <c r="E171" s="8" t="s">
        <v>142</v>
      </c>
    </row>
    <row r="172" ht="15.75" customHeight="1">
      <c r="A172" s="5" t="s">
        <v>177</v>
      </c>
      <c r="B172" s="6">
        <v>80.0</v>
      </c>
      <c r="C172" s="6">
        <v>900.0</v>
      </c>
      <c r="D172" s="11" t="b">
        <f t="shared" si="35"/>
        <v>1</v>
      </c>
      <c r="E172" s="8" t="s">
        <v>142</v>
      </c>
    </row>
    <row r="173" ht="15.75" customHeight="1">
      <c r="A173" s="5" t="s">
        <v>178</v>
      </c>
      <c r="B173" s="6">
        <v>70.0</v>
      </c>
      <c r="C173" s="6">
        <v>900.0</v>
      </c>
      <c r="D173" s="11" t="b">
        <f t="shared" si="35"/>
        <v>1</v>
      </c>
      <c r="E173" s="8" t="s">
        <v>142</v>
      </c>
    </row>
    <row r="174" ht="15.75" customHeight="1">
      <c r="A174" s="7" t="s">
        <v>179</v>
      </c>
      <c r="B174" s="6">
        <v>40.0</v>
      </c>
      <c r="C174" s="6">
        <v>800.0</v>
      </c>
      <c r="D174" s="11" t="b">
        <f t="shared" si="35"/>
        <v>1</v>
      </c>
      <c r="E174" s="8" t="s">
        <v>142</v>
      </c>
    </row>
    <row r="175" ht="15.75" customHeight="1">
      <c r="A175" s="7" t="s">
        <v>180</v>
      </c>
      <c r="B175" s="6">
        <v>40.0</v>
      </c>
      <c r="C175" s="6">
        <v>800.0</v>
      </c>
      <c r="D175" s="11" t="b">
        <f t="shared" si="35"/>
        <v>1</v>
      </c>
      <c r="E175" s="8" t="s">
        <v>142</v>
      </c>
    </row>
    <row r="176" ht="15.75" customHeight="1">
      <c r="A176" s="5" t="s">
        <v>181</v>
      </c>
      <c r="B176" s="6">
        <v>400.0</v>
      </c>
      <c r="C176" s="6">
        <v>700.0</v>
      </c>
      <c r="D176" s="11" t="b">
        <f t="shared" si="35"/>
        <v>1</v>
      </c>
      <c r="E176" s="8" t="s">
        <v>142</v>
      </c>
    </row>
    <row r="177" ht="15.75" customHeight="1">
      <c r="A177" s="5" t="s">
        <v>182</v>
      </c>
      <c r="B177" s="6">
        <v>35.0</v>
      </c>
      <c r="C177" s="6">
        <v>700.0</v>
      </c>
      <c r="D177" s="11" t="b">
        <f t="shared" si="35"/>
        <v>1</v>
      </c>
      <c r="E177" s="8" t="s">
        <v>142</v>
      </c>
    </row>
    <row r="178" ht="15.75" customHeight="1">
      <c r="A178" s="7" t="s">
        <v>183</v>
      </c>
      <c r="B178" s="6">
        <v>40.0</v>
      </c>
      <c r="C178" s="6">
        <v>700.0</v>
      </c>
      <c r="D178" s="11" t="b">
        <f t="shared" si="35"/>
        <v>1</v>
      </c>
      <c r="E178" s="8" t="s">
        <v>142</v>
      </c>
    </row>
    <row r="179" ht="15.75" customHeight="1">
      <c r="A179" s="7" t="s">
        <v>184</v>
      </c>
      <c r="B179" s="6">
        <v>22.0</v>
      </c>
      <c r="C179" s="6">
        <v>700.0</v>
      </c>
      <c r="D179" s="11" t="b">
        <f t="shared" si="35"/>
        <v>1</v>
      </c>
      <c r="E179" s="8" t="s">
        <v>142</v>
      </c>
    </row>
    <row r="180" ht="15.75" customHeight="1">
      <c r="A180" s="7" t="s">
        <v>185</v>
      </c>
      <c r="B180" s="6">
        <v>500.0</v>
      </c>
      <c r="C180" s="6">
        <v>1000.0</v>
      </c>
      <c r="D180" s="11" t="b">
        <f t="shared" si="35"/>
        <v>1</v>
      </c>
      <c r="E180" s="8" t="s">
        <v>142</v>
      </c>
    </row>
    <row r="181" ht="15.75" customHeight="1">
      <c r="A181" s="5" t="s">
        <v>186</v>
      </c>
      <c r="B181" s="6">
        <v>170.0</v>
      </c>
      <c r="C181" s="6">
        <v>1000.0</v>
      </c>
      <c r="D181" s="11" t="b">
        <f t="shared" si="35"/>
        <v>1</v>
      </c>
      <c r="E181" s="8" t="s">
        <v>142</v>
      </c>
    </row>
    <row r="182" ht="15.75" customHeight="1">
      <c r="A182" s="9" t="s">
        <v>187</v>
      </c>
      <c r="B182" s="10">
        <v>500.0</v>
      </c>
      <c r="C182" s="10">
        <v>1000.0</v>
      </c>
      <c r="D182" s="9" t="b">
        <f>false</f>
        <v>0</v>
      </c>
      <c r="E182" s="8" t="s">
        <v>142</v>
      </c>
    </row>
    <row r="183" ht="15.75" customHeight="1">
      <c r="A183" s="5" t="s">
        <v>188</v>
      </c>
      <c r="B183" s="6">
        <v>278.0</v>
      </c>
      <c r="C183" s="6">
        <v>1000.0</v>
      </c>
      <c r="D183" s="11" t="b">
        <f>true</f>
        <v>1</v>
      </c>
      <c r="E183" s="8" t="s">
        <v>142</v>
      </c>
    </row>
    <row r="184" ht="12.75" customHeight="1">
      <c r="A184" s="9" t="s">
        <v>189</v>
      </c>
      <c r="B184" s="10">
        <v>1000.0</v>
      </c>
      <c r="C184" s="10">
        <v>2000.0</v>
      </c>
      <c r="D184" s="9" t="b">
        <f t="shared" ref="D184:D185" si="36">false</f>
        <v>0</v>
      </c>
      <c r="E184" s="8" t="s">
        <v>142</v>
      </c>
    </row>
    <row r="185" ht="15.75" customHeight="1">
      <c r="A185" s="9" t="s">
        <v>190</v>
      </c>
      <c r="B185" s="10">
        <v>7000.0</v>
      </c>
      <c r="C185" s="10">
        <v>9000.0</v>
      </c>
      <c r="D185" s="9" t="b">
        <f t="shared" si="36"/>
        <v>0</v>
      </c>
      <c r="E185" s="8" t="s">
        <v>191</v>
      </c>
    </row>
    <row r="186" ht="15.75" customHeight="1">
      <c r="A186" s="5" t="s">
        <v>192</v>
      </c>
      <c r="B186" s="6">
        <v>3000.0</v>
      </c>
      <c r="C186" s="6">
        <v>10000.0</v>
      </c>
      <c r="D186" s="11" t="b">
        <f t="shared" ref="D186:D187" si="37">true</f>
        <v>1</v>
      </c>
      <c r="E186" s="8" t="s">
        <v>191</v>
      </c>
    </row>
    <row r="187" ht="15.75" customHeight="1">
      <c r="A187" s="5" t="s">
        <v>193</v>
      </c>
      <c r="B187" s="6">
        <v>15000.0</v>
      </c>
      <c r="C187" s="6">
        <v>20000.0</v>
      </c>
      <c r="D187" s="11" t="b">
        <f t="shared" si="37"/>
        <v>1</v>
      </c>
      <c r="E187" s="8" t="s">
        <v>191</v>
      </c>
    </row>
    <row r="188" ht="15.75" customHeight="1">
      <c r="A188" s="9" t="s">
        <v>194</v>
      </c>
      <c r="B188" s="10">
        <v>5000.0</v>
      </c>
      <c r="C188" s="10">
        <v>7500.0</v>
      </c>
      <c r="D188" s="9" t="b">
        <f t="shared" ref="D188:D189" si="38">false</f>
        <v>0</v>
      </c>
      <c r="E188" s="8" t="s">
        <v>191</v>
      </c>
    </row>
    <row r="189" ht="15.75" customHeight="1">
      <c r="A189" s="9" t="s">
        <v>195</v>
      </c>
      <c r="B189" s="10">
        <v>10000.0</v>
      </c>
      <c r="C189" s="10">
        <v>15000.0</v>
      </c>
      <c r="D189" s="9" t="b">
        <f t="shared" si="38"/>
        <v>0</v>
      </c>
      <c r="E189" s="8" t="s">
        <v>191</v>
      </c>
    </row>
    <row r="190" ht="15.75" customHeight="1">
      <c r="A190" s="11" t="s">
        <v>196</v>
      </c>
      <c r="B190" s="12">
        <v>1900.0</v>
      </c>
      <c r="C190" s="12">
        <v>4200.0</v>
      </c>
      <c r="D190" s="11" t="b">
        <f t="shared" ref="D190:D196" si="39">true</f>
        <v>1</v>
      </c>
      <c r="E190" s="8" t="s">
        <v>191</v>
      </c>
    </row>
    <row r="191" ht="15.75" customHeight="1">
      <c r="A191" s="7" t="s">
        <v>197</v>
      </c>
      <c r="B191" s="6">
        <v>2500.0</v>
      </c>
      <c r="C191" s="6">
        <v>3500.0</v>
      </c>
      <c r="D191" s="11" t="b">
        <f t="shared" si="39"/>
        <v>1</v>
      </c>
      <c r="E191" s="8" t="s">
        <v>191</v>
      </c>
    </row>
    <row r="192" ht="15.75" customHeight="1">
      <c r="A192" s="11" t="s">
        <v>198</v>
      </c>
      <c r="B192" s="12">
        <v>15000.0</v>
      </c>
      <c r="C192" s="12">
        <v>20000.0</v>
      </c>
      <c r="D192" s="11" t="b">
        <f t="shared" si="39"/>
        <v>1</v>
      </c>
      <c r="E192" s="8" t="s">
        <v>191</v>
      </c>
    </row>
    <row r="193" ht="15.75" customHeight="1">
      <c r="A193" s="7" t="s">
        <v>199</v>
      </c>
      <c r="B193" s="6">
        <v>3200.0</v>
      </c>
      <c r="C193" s="6">
        <v>6500.0</v>
      </c>
      <c r="D193" s="11" t="b">
        <f t="shared" si="39"/>
        <v>1</v>
      </c>
      <c r="E193" s="8" t="s">
        <v>191</v>
      </c>
    </row>
    <row r="194" ht="15.75" customHeight="1">
      <c r="A194" s="5" t="s">
        <v>200</v>
      </c>
      <c r="B194" s="6">
        <v>7000.0</v>
      </c>
      <c r="C194" s="6">
        <v>9350.0</v>
      </c>
      <c r="D194" s="11" t="b">
        <f t="shared" si="39"/>
        <v>1</v>
      </c>
      <c r="E194" s="8" t="s">
        <v>191</v>
      </c>
    </row>
    <row r="195" ht="15.75" customHeight="1">
      <c r="A195" s="5" t="s">
        <v>201</v>
      </c>
      <c r="B195" s="6">
        <v>7000.0</v>
      </c>
      <c r="C195" s="6">
        <v>9350.0</v>
      </c>
      <c r="D195" s="11" t="b">
        <f t="shared" si="39"/>
        <v>1</v>
      </c>
      <c r="E195" s="8" t="s">
        <v>191</v>
      </c>
    </row>
    <row r="196" ht="15.75" customHeight="1">
      <c r="A196" s="7" t="s">
        <v>202</v>
      </c>
      <c r="B196" s="6">
        <v>14000.0</v>
      </c>
      <c r="C196" s="6">
        <v>20000.0</v>
      </c>
      <c r="D196" s="11" t="b">
        <f t="shared" si="39"/>
        <v>1</v>
      </c>
      <c r="E196" s="8" t="s">
        <v>191</v>
      </c>
    </row>
    <row r="197" ht="15.75" customHeight="1">
      <c r="A197" s="9" t="s">
        <v>203</v>
      </c>
      <c r="B197" s="10">
        <v>15000.0</v>
      </c>
      <c r="C197" s="10">
        <v>20000.0</v>
      </c>
      <c r="D197" s="9" t="b">
        <f t="shared" ref="D197:D198" si="40">false</f>
        <v>0</v>
      </c>
      <c r="E197" s="8" t="s">
        <v>191</v>
      </c>
    </row>
    <row r="198" ht="15.75" customHeight="1">
      <c r="A198" s="9" t="s">
        <v>204</v>
      </c>
      <c r="B198" s="10">
        <v>2000.0</v>
      </c>
      <c r="C198" s="10">
        <v>4000.0</v>
      </c>
      <c r="D198" s="9" t="b">
        <f t="shared" si="40"/>
        <v>0</v>
      </c>
      <c r="E198" s="8" t="s">
        <v>191</v>
      </c>
    </row>
    <row r="199" ht="15.75" customHeight="1">
      <c r="A199" s="11" t="s">
        <v>205</v>
      </c>
      <c r="B199" s="12">
        <v>3000.0</v>
      </c>
      <c r="C199" s="12">
        <v>5000.0</v>
      </c>
      <c r="D199" s="11" t="b">
        <f t="shared" ref="D199:D207" si="41">true</f>
        <v>1</v>
      </c>
      <c r="E199" s="8" t="s">
        <v>191</v>
      </c>
    </row>
    <row r="200" ht="15.75" customHeight="1">
      <c r="A200" s="5" t="s">
        <v>206</v>
      </c>
      <c r="B200" s="6">
        <v>1300.0</v>
      </c>
      <c r="C200" s="6">
        <v>2000.0</v>
      </c>
      <c r="D200" s="11" t="b">
        <f t="shared" si="41"/>
        <v>1</v>
      </c>
      <c r="E200" s="8" t="s">
        <v>191</v>
      </c>
    </row>
    <row r="201" ht="15.75" customHeight="1">
      <c r="A201" s="5" t="s">
        <v>207</v>
      </c>
      <c r="B201" s="6">
        <v>4500.0</v>
      </c>
      <c r="C201" s="6">
        <v>7500.0</v>
      </c>
      <c r="D201" s="11" t="b">
        <f t="shared" si="41"/>
        <v>1</v>
      </c>
      <c r="E201" s="8" t="s">
        <v>191</v>
      </c>
    </row>
    <row r="202" ht="15.75" customHeight="1">
      <c r="A202" s="5" t="s">
        <v>208</v>
      </c>
      <c r="B202" s="6">
        <v>5000.0</v>
      </c>
      <c r="C202" s="6">
        <v>10000.0</v>
      </c>
      <c r="D202" s="11" t="b">
        <f t="shared" si="41"/>
        <v>1</v>
      </c>
      <c r="E202" s="8" t="s">
        <v>191</v>
      </c>
    </row>
    <row r="203" ht="15.75" customHeight="1">
      <c r="A203" s="5" t="s">
        <v>209</v>
      </c>
      <c r="B203" s="6">
        <v>6990.0</v>
      </c>
      <c r="C203" s="6">
        <v>11500.0</v>
      </c>
      <c r="D203" s="11" t="b">
        <f t="shared" si="41"/>
        <v>1</v>
      </c>
      <c r="E203" s="8" t="s">
        <v>191</v>
      </c>
    </row>
    <row r="204" ht="15.75" customHeight="1">
      <c r="A204" s="5" t="s">
        <v>210</v>
      </c>
      <c r="B204" s="6">
        <v>4500.0</v>
      </c>
      <c r="C204" s="6">
        <v>10000.0</v>
      </c>
      <c r="D204" s="11" t="b">
        <f t="shared" si="41"/>
        <v>1</v>
      </c>
      <c r="E204" s="8" t="s">
        <v>191</v>
      </c>
    </row>
    <row r="205" ht="15.75" customHeight="1">
      <c r="A205" s="5" t="s">
        <v>211</v>
      </c>
      <c r="B205" s="6">
        <v>1500.0</v>
      </c>
      <c r="C205" s="6">
        <v>4500.0</v>
      </c>
      <c r="D205" s="11" t="b">
        <f t="shared" si="41"/>
        <v>1</v>
      </c>
      <c r="E205" s="8" t="s">
        <v>191</v>
      </c>
    </row>
    <row r="206" ht="15.75" customHeight="1">
      <c r="A206" s="5" t="s">
        <v>212</v>
      </c>
      <c r="B206" s="6">
        <v>3000.0</v>
      </c>
      <c r="C206" s="6">
        <v>5500.0</v>
      </c>
      <c r="D206" s="11" t="b">
        <f t="shared" si="41"/>
        <v>1</v>
      </c>
      <c r="E206" s="8" t="s">
        <v>191</v>
      </c>
    </row>
    <row r="207" ht="15.75" customHeight="1">
      <c r="A207" s="5" t="s">
        <v>213</v>
      </c>
      <c r="B207" s="6">
        <v>2975.0</v>
      </c>
      <c r="C207" s="6">
        <v>5500.0</v>
      </c>
      <c r="D207" s="11" t="b">
        <f t="shared" si="41"/>
        <v>1</v>
      </c>
      <c r="E207" s="8" t="s">
        <v>191</v>
      </c>
    </row>
    <row r="208" ht="15.75" customHeight="1">
      <c r="A208" s="13" t="s">
        <v>214</v>
      </c>
      <c r="B208" s="10">
        <v>1000.0</v>
      </c>
      <c r="C208" s="10">
        <v>2000.0</v>
      </c>
      <c r="D208" s="9" t="b">
        <f t="shared" ref="D208:D209" si="42">false</f>
        <v>0</v>
      </c>
      <c r="E208" s="14" t="s">
        <v>215</v>
      </c>
    </row>
    <row r="209" ht="15.75" customHeight="1">
      <c r="A209" s="9" t="s">
        <v>216</v>
      </c>
      <c r="B209" s="10">
        <v>10000.0</v>
      </c>
      <c r="C209" s="10">
        <v>10000.0</v>
      </c>
      <c r="D209" s="9" t="b">
        <f t="shared" si="42"/>
        <v>0</v>
      </c>
      <c r="E209" s="14" t="s">
        <v>215</v>
      </c>
    </row>
    <row r="210" ht="15.75" customHeight="1">
      <c r="A210" s="7" t="s">
        <v>217</v>
      </c>
      <c r="B210" s="6">
        <v>5990.0</v>
      </c>
      <c r="C210" s="6">
        <v>18000.0</v>
      </c>
      <c r="D210" s="11" t="b">
        <f t="shared" ref="D210:D213" si="43">true</f>
        <v>1</v>
      </c>
      <c r="E210" s="14" t="s">
        <v>215</v>
      </c>
    </row>
    <row r="211" ht="15.75" customHeight="1">
      <c r="A211" s="7" t="s">
        <v>218</v>
      </c>
      <c r="B211" s="6">
        <v>5990.0</v>
      </c>
      <c r="C211" s="6">
        <v>18000.0</v>
      </c>
      <c r="D211" s="11" t="b">
        <f t="shared" si="43"/>
        <v>1</v>
      </c>
      <c r="E211" s="14" t="s">
        <v>215</v>
      </c>
    </row>
    <row r="212" ht="15.75" customHeight="1">
      <c r="A212" s="7" t="s">
        <v>219</v>
      </c>
      <c r="B212" s="6">
        <v>8500.0</v>
      </c>
      <c r="C212" s="6">
        <v>18000.0</v>
      </c>
      <c r="D212" s="11" t="b">
        <f t="shared" si="43"/>
        <v>1</v>
      </c>
      <c r="E212" s="14" t="s">
        <v>215</v>
      </c>
    </row>
    <row r="213" ht="15.75" customHeight="1">
      <c r="A213" s="5" t="s">
        <v>220</v>
      </c>
      <c r="B213" s="6">
        <v>3000.0</v>
      </c>
      <c r="C213" s="6">
        <v>5000.0</v>
      </c>
      <c r="D213" s="11" t="b">
        <f t="shared" si="43"/>
        <v>1</v>
      </c>
      <c r="E213" s="14" t="s">
        <v>215</v>
      </c>
    </row>
    <row r="214" ht="15.75" customHeight="1">
      <c r="A214" s="9" t="s">
        <v>221</v>
      </c>
      <c r="B214" s="10">
        <v>800.0</v>
      </c>
      <c r="C214" s="10">
        <v>2500.0</v>
      </c>
      <c r="D214" s="9" t="b">
        <f t="shared" ref="D214:D215" si="44">false</f>
        <v>0</v>
      </c>
      <c r="E214" s="14" t="s">
        <v>215</v>
      </c>
    </row>
    <row r="215" ht="15.75" customHeight="1">
      <c r="A215" s="9" t="s">
        <v>222</v>
      </c>
      <c r="B215" s="10">
        <v>7000.0</v>
      </c>
      <c r="C215" s="10">
        <v>10000.0</v>
      </c>
      <c r="D215" s="9" t="b">
        <f t="shared" si="44"/>
        <v>0</v>
      </c>
      <c r="E215" s="14" t="s">
        <v>215</v>
      </c>
    </row>
    <row r="216" ht="15.75" customHeight="1">
      <c r="A216" s="5" t="s">
        <v>223</v>
      </c>
      <c r="B216" s="6">
        <v>2500.0</v>
      </c>
      <c r="C216" s="6">
        <v>4500.0</v>
      </c>
      <c r="D216" s="11" t="b">
        <f t="shared" ref="D216:D217" si="45">true</f>
        <v>1</v>
      </c>
      <c r="E216" s="14" t="s">
        <v>215</v>
      </c>
    </row>
    <row r="217" ht="15.75" customHeight="1">
      <c r="A217" s="5" t="s">
        <v>224</v>
      </c>
      <c r="B217" s="6">
        <v>3500.0</v>
      </c>
      <c r="C217" s="6">
        <v>5500.0</v>
      </c>
      <c r="D217" s="11" t="b">
        <f t="shared" si="45"/>
        <v>1</v>
      </c>
      <c r="E217" s="14" t="s">
        <v>215</v>
      </c>
    </row>
    <row r="218" ht="15.75" customHeight="1">
      <c r="A218" s="9" t="s">
        <v>225</v>
      </c>
      <c r="B218" s="10">
        <v>3500.0</v>
      </c>
      <c r="C218" s="10">
        <v>8500.0</v>
      </c>
      <c r="D218" s="9" t="b">
        <f t="shared" ref="D218:D220" si="46">false</f>
        <v>0</v>
      </c>
      <c r="E218" s="14" t="s">
        <v>215</v>
      </c>
    </row>
    <row r="219" ht="15.75" customHeight="1">
      <c r="A219" s="9" t="s">
        <v>226</v>
      </c>
      <c r="B219" s="10">
        <v>2980.0</v>
      </c>
      <c r="C219" s="10">
        <v>8000.0</v>
      </c>
      <c r="D219" s="9" t="b">
        <f t="shared" si="46"/>
        <v>0</v>
      </c>
      <c r="E219" s="14" t="s">
        <v>215</v>
      </c>
    </row>
    <row r="220" ht="15.75" customHeight="1">
      <c r="A220" s="9" t="s">
        <v>227</v>
      </c>
      <c r="B220" s="10">
        <v>1000.0</v>
      </c>
      <c r="C220" s="10">
        <v>2500.0</v>
      </c>
      <c r="D220" s="9" t="b">
        <f t="shared" si="46"/>
        <v>0</v>
      </c>
      <c r="E220" s="14" t="s">
        <v>215</v>
      </c>
    </row>
    <row r="221" ht="15.75" customHeight="1">
      <c r="A221" s="11" t="s">
        <v>228</v>
      </c>
      <c r="B221" s="12">
        <v>3500.0</v>
      </c>
      <c r="C221" s="12">
        <v>6500.0</v>
      </c>
      <c r="D221" s="11" t="b">
        <f>true</f>
        <v>1</v>
      </c>
      <c r="E221" s="14" t="s">
        <v>215</v>
      </c>
    </row>
    <row r="222" ht="15.75" customHeight="1">
      <c r="A222" s="9" t="s">
        <v>229</v>
      </c>
      <c r="B222" s="10">
        <v>2500.0</v>
      </c>
      <c r="C222" s="10">
        <v>6500.0</v>
      </c>
      <c r="D222" s="9" t="b">
        <f>false</f>
        <v>0</v>
      </c>
      <c r="E222" s="14" t="s">
        <v>215</v>
      </c>
    </row>
    <row r="223" ht="15.75" customHeight="1">
      <c r="A223" s="11" t="s">
        <v>230</v>
      </c>
      <c r="B223" s="12">
        <v>3990.0</v>
      </c>
      <c r="C223" s="12">
        <v>6500.0</v>
      </c>
      <c r="D223" s="11" t="b">
        <f t="shared" ref="D223:D224" si="47">true</f>
        <v>1</v>
      </c>
      <c r="E223" s="14" t="s">
        <v>215</v>
      </c>
    </row>
    <row r="224" ht="15.75" customHeight="1">
      <c r="A224" s="7" t="s">
        <v>231</v>
      </c>
      <c r="B224" s="6">
        <v>17450.0</v>
      </c>
      <c r="C224" s="6">
        <v>20000.0</v>
      </c>
      <c r="D224" s="11" t="b">
        <f t="shared" si="47"/>
        <v>1</v>
      </c>
      <c r="E224" s="8" t="s">
        <v>232</v>
      </c>
    </row>
    <row r="225" ht="15.75" customHeight="1">
      <c r="A225" s="9" t="s">
        <v>233</v>
      </c>
      <c r="B225" s="10">
        <v>18000.0</v>
      </c>
      <c r="C225" s="10">
        <v>20000.0</v>
      </c>
      <c r="D225" s="9" t="b">
        <f t="shared" ref="D225:D226" si="48">false</f>
        <v>0</v>
      </c>
      <c r="E225" s="8" t="s">
        <v>232</v>
      </c>
    </row>
    <row r="226" ht="15.75" customHeight="1">
      <c r="A226" s="9" t="s">
        <v>234</v>
      </c>
      <c r="B226" s="10">
        <v>6000.0</v>
      </c>
      <c r="C226" s="10">
        <v>10000.0</v>
      </c>
      <c r="D226" s="9" t="b">
        <f t="shared" si="48"/>
        <v>0</v>
      </c>
      <c r="E226" s="8" t="s">
        <v>232</v>
      </c>
    </row>
    <row r="227" ht="15.75" customHeight="1">
      <c r="A227" s="5" t="s">
        <v>235</v>
      </c>
      <c r="B227" s="6">
        <v>4990.0</v>
      </c>
      <c r="C227" s="6">
        <v>8000.0</v>
      </c>
      <c r="D227" s="11" t="b">
        <f t="shared" ref="D227:D230" si="49">true</f>
        <v>1</v>
      </c>
      <c r="E227" s="8" t="s">
        <v>232</v>
      </c>
    </row>
    <row r="228" ht="15.75" customHeight="1">
      <c r="A228" s="5" t="s">
        <v>236</v>
      </c>
      <c r="B228" s="6">
        <v>5990.0</v>
      </c>
      <c r="C228" s="6">
        <v>9000.0</v>
      </c>
      <c r="D228" s="11" t="b">
        <f t="shared" si="49"/>
        <v>1</v>
      </c>
      <c r="E228" s="8" t="s">
        <v>232</v>
      </c>
    </row>
    <row r="229" ht="15.75" customHeight="1">
      <c r="A229" s="5" t="s">
        <v>237</v>
      </c>
      <c r="B229" s="6">
        <v>16310.0</v>
      </c>
      <c r="C229" s="6">
        <v>20000.0</v>
      </c>
      <c r="D229" s="11" t="b">
        <f t="shared" si="49"/>
        <v>1</v>
      </c>
      <c r="E229" s="8" t="s">
        <v>232</v>
      </c>
    </row>
    <row r="230" ht="15.75" customHeight="1">
      <c r="A230" s="5" t="s">
        <v>238</v>
      </c>
      <c r="B230" s="6">
        <v>15350.0</v>
      </c>
      <c r="C230" s="6">
        <v>19000.0</v>
      </c>
      <c r="D230" s="11" t="b">
        <f t="shared" si="49"/>
        <v>1</v>
      </c>
      <c r="E230" s="8" t="s">
        <v>232</v>
      </c>
    </row>
    <row r="231" ht="15.75" customHeight="1">
      <c r="A231" s="9" t="s">
        <v>239</v>
      </c>
      <c r="B231" s="10">
        <v>8990.0</v>
      </c>
      <c r="C231" s="10">
        <v>12000.0</v>
      </c>
      <c r="D231" s="9" t="b">
        <f>false</f>
        <v>0</v>
      </c>
      <c r="E231" s="8" t="s">
        <v>232</v>
      </c>
    </row>
    <row r="232" ht="15.75" customHeight="1">
      <c r="A232" s="7" t="s">
        <v>239</v>
      </c>
      <c r="B232" s="6">
        <v>13000.0</v>
      </c>
      <c r="C232" s="6">
        <v>16500.0</v>
      </c>
      <c r="D232" s="11" t="b">
        <f>true</f>
        <v>1</v>
      </c>
      <c r="E232" s="8" t="s">
        <v>232</v>
      </c>
    </row>
    <row r="233" ht="15.75" customHeight="1">
      <c r="A233" s="9" t="s">
        <v>240</v>
      </c>
      <c r="B233" s="10">
        <v>9990.0</v>
      </c>
      <c r="C233" s="10">
        <v>14000.0</v>
      </c>
      <c r="D233" s="9" t="b">
        <f>false</f>
        <v>0</v>
      </c>
      <c r="E233" s="8" t="s">
        <v>232</v>
      </c>
    </row>
    <row r="234" ht="15.75" customHeight="1">
      <c r="A234" s="11" t="s">
        <v>241</v>
      </c>
      <c r="B234" s="12">
        <v>8500.0</v>
      </c>
      <c r="C234" s="12">
        <v>12000.0</v>
      </c>
      <c r="D234" s="11" t="b">
        <f t="shared" ref="D234:D235" si="50">true</f>
        <v>1</v>
      </c>
      <c r="E234" s="8" t="s">
        <v>232</v>
      </c>
    </row>
    <row r="235" ht="15.75" customHeight="1">
      <c r="A235" s="7" t="s">
        <v>242</v>
      </c>
      <c r="B235" s="6">
        <v>20845.0</v>
      </c>
      <c r="C235" s="6">
        <v>24000.0</v>
      </c>
      <c r="D235" s="11" t="b">
        <f t="shared" si="50"/>
        <v>1</v>
      </c>
      <c r="E235" s="8" t="s">
        <v>232</v>
      </c>
    </row>
    <row r="236" ht="15.75" customHeight="1">
      <c r="A236" s="9" t="s">
        <v>243</v>
      </c>
      <c r="B236" s="10">
        <v>17935.0</v>
      </c>
      <c r="C236" s="10">
        <v>22000.0</v>
      </c>
      <c r="D236" s="9" t="b">
        <f>false</f>
        <v>0</v>
      </c>
      <c r="E236" s="8" t="s">
        <v>232</v>
      </c>
    </row>
    <row r="237" ht="15.75" customHeight="1">
      <c r="A237" s="7" t="s">
        <v>244</v>
      </c>
      <c r="B237" s="6">
        <v>15025.0</v>
      </c>
      <c r="C237" s="6">
        <v>20000.0</v>
      </c>
      <c r="D237" s="11" t="b">
        <f t="shared" ref="D237:D238" si="51">true</f>
        <v>1</v>
      </c>
      <c r="E237" s="8" t="s">
        <v>232</v>
      </c>
    </row>
    <row r="238" ht="15.75" customHeight="1">
      <c r="A238" s="7" t="s">
        <v>245</v>
      </c>
      <c r="B238" s="6">
        <v>6780.0</v>
      </c>
      <c r="C238" s="6">
        <v>9000.0</v>
      </c>
      <c r="D238" s="11" t="b">
        <f t="shared" si="51"/>
        <v>1</v>
      </c>
      <c r="E238" s="8" t="s">
        <v>232</v>
      </c>
    </row>
    <row r="239" ht="15.75" customHeight="1">
      <c r="A239" s="9" t="s">
        <v>246</v>
      </c>
      <c r="B239" s="10">
        <v>8235.0</v>
      </c>
      <c r="C239" s="10">
        <v>10000.0</v>
      </c>
      <c r="D239" s="9" t="b">
        <f t="shared" ref="D239:D240" si="52">false</f>
        <v>0</v>
      </c>
      <c r="E239" s="8" t="s">
        <v>232</v>
      </c>
    </row>
    <row r="240" ht="15.75" customHeight="1">
      <c r="A240" s="9" t="s">
        <v>247</v>
      </c>
      <c r="B240" s="10">
        <v>8720.0</v>
      </c>
      <c r="C240" s="10">
        <v>10000.0</v>
      </c>
      <c r="D240" s="9" t="b">
        <f t="shared" si="52"/>
        <v>0</v>
      </c>
      <c r="E240" s="8" t="s">
        <v>232</v>
      </c>
    </row>
    <row r="241" ht="15.75" customHeight="1">
      <c r="A241" s="5" t="s">
        <v>248</v>
      </c>
      <c r="B241" s="6">
        <v>2500.0</v>
      </c>
      <c r="C241" s="6">
        <v>4500.0</v>
      </c>
      <c r="D241" s="11" t="b">
        <f>true</f>
        <v>1</v>
      </c>
      <c r="E241" s="8" t="s">
        <v>232</v>
      </c>
    </row>
    <row r="242" ht="15.75" customHeight="1">
      <c r="A242" s="9" t="s">
        <v>249</v>
      </c>
      <c r="B242" s="10">
        <v>1100.0</v>
      </c>
      <c r="C242" s="10">
        <v>1500.0</v>
      </c>
      <c r="D242" s="9" t="b">
        <f t="shared" ref="D242:D244" si="53">false</f>
        <v>0</v>
      </c>
      <c r="E242" s="8" t="s">
        <v>232</v>
      </c>
    </row>
    <row r="243" ht="15.75" customHeight="1">
      <c r="A243" s="9" t="s">
        <v>250</v>
      </c>
      <c r="B243" s="10">
        <v>1085.0</v>
      </c>
      <c r="C243" s="10">
        <v>1500.0</v>
      </c>
      <c r="D243" s="9" t="b">
        <f t="shared" si="53"/>
        <v>0</v>
      </c>
      <c r="E243" s="8" t="s">
        <v>232</v>
      </c>
    </row>
    <row r="244" ht="15.75" customHeight="1">
      <c r="A244" s="9" t="s">
        <v>250</v>
      </c>
      <c r="B244" s="10">
        <v>1085.0</v>
      </c>
      <c r="C244" s="10">
        <v>1500.0</v>
      </c>
      <c r="D244" s="9" t="b">
        <f t="shared" si="53"/>
        <v>0</v>
      </c>
      <c r="E244" s="8" t="s">
        <v>232</v>
      </c>
    </row>
    <row r="245" ht="15.75" customHeight="1">
      <c r="A245" s="5" t="s">
        <v>251</v>
      </c>
      <c r="B245" s="6">
        <v>1127.0</v>
      </c>
      <c r="C245" s="6">
        <v>1500.0</v>
      </c>
      <c r="D245" s="11" t="b">
        <f t="shared" ref="D245:D246" si="54">true</f>
        <v>1</v>
      </c>
      <c r="E245" s="8" t="s">
        <v>232</v>
      </c>
    </row>
    <row r="246" ht="15.75" customHeight="1">
      <c r="A246" s="11" t="s">
        <v>252</v>
      </c>
      <c r="B246" s="6">
        <v>899.0</v>
      </c>
      <c r="C246" s="6">
        <v>1500.0</v>
      </c>
      <c r="D246" s="11" t="b">
        <f t="shared" si="54"/>
        <v>1</v>
      </c>
      <c r="E246" s="8" t="s">
        <v>232</v>
      </c>
    </row>
    <row r="247" ht="15.75" customHeight="1">
      <c r="A247" s="9" t="s">
        <v>253</v>
      </c>
      <c r="B247" s="10">
        <v>904.0</v>
      </c>
      <c r="C247" s="10">
        <v>1600.0</v>
      </c>
      <c r="D247" s="9" t="b">
        <f>false</f>
        <v>0</v>
      </c>
      <c r="E247" s="8" t="s">
        <v>232</v>
      </c>
    </row>
    <row r="248" ht="15.75" customHeight="1">
      <c r="A248" s="11" t="s">
        <v>254</v>
      </c>
      <c r="B248" s="12">
        <v>850.0</v>
      </c>
      <c r="C248" s="12">
        <v>1500.0</v>
      </c>
      <c r="D248" s="11" t="b">
        <f t="shared" ref="D248:D251" si="55">true</f>
        <v>1</v>
      </c>
      <c r="E248" s="8" t="s">
        <v>232</v>
      </c>
    </row>
    <row r="249" ht="15.75" customHeight="1">
      <c r="A249" s="11" t="s">
        <v>255</v>
      </c>
      <c r="B249" s="12">
        <v>845.0</v>
      </c>
      <c r="C249" s="12">
        <v>1500.0</v>
      </c>
      <c r="D249" s="11" t="b">
        <f t="shared" si="55"/>
        <v>1</v>
      </c>
      <c r="E249" s="8" t="s">
        <v>232</v>
      </c>
    </row>
    <row r="250" ht="15.75" customHeight="1">
      <c r="A250" s="11" t="s">
        <v>256</v>
      </c>
      <c r="B250" s="12">
        <v>930.0</v>
      </c>
      <c r="C250" s="12">
        <v>1500.0</v>
      </c>
      <c r="D250" s="11" t="b">
        <f t="shared" si="55"/>
        <v>1</v>
      </c>
      <c r="E250" s="8" t="s">
        <v>232</v>
      </c>
    </row>
    <row r="251" ht="15.75" customHeight="1">
      <c r="A251" s="11" t="s">
        <v>257</v>
      </c>
      <c r="B251" s="12">
        <v>875.0</v>
      </c>
      <c r="C251" s="12">
        <v>1500.0</v>
      </c>
      <c r="D251" s="11" t="b">
        <f t="shared" si="55"/>
        <v>1</v>
      </c>
      <c r="E251" s="8" t="s">
        <v>232</v>
      </c>
    </row>
    <row r="252" ht="15.75" customHeight="1">
      <c r="A252" s="9" t="s">
        <v>258</v>
      </c>
      <c r="B252" s="10">
        <v>3000.0</v>
      </c>
      <c r="C252" s="10">
        <v>4000.0</v>
      </c>
      <c r="D252" s="9" t="b">
        <f>false</f>
        <v>0</v>
      </c>
      <c r="E252" s="8" t="s">
        <v>232</v>
      </c>
    </row>
    <row r="253" ht="15.75" customHeight="1">
      <c r="A253" s="7" t="s">
        <v>259</v>
      </c>
      <c r="B253" s="6">
        <v>5000.0</v>
      </c>
      <c r="C253" s="6">
        <v>7000.0</v>
      </c>
      <c r="D253" s="11" t="b">
        <f t="shared" ref="D253:D255" si="56">true</f>
        <v>1</v>
      </c>
      <c r="E253" s="8" t="s">
        <v>232</v>
      </c>
    </row>
    <row r="254" ht="15.75" customHeight="1">
      <c r="A254" s="7" t="s">
        <v>260</v>
      </c>
      <c r="B254" s="6">
        <v>1500.0</v>
      </c>
      <c r="C254" s="6">
        <v>2000.0</v>
      </c>
      <c r="D254" s="11" t="b">
        <f t="shared" si="56"/>
        <v>1</v>
      </c>
      <c r="E254" s="8" t="s">
        <v>232</v>
      </c>
    </row>
    <row r="255" ht="15.75" customHeight="1">
      <c r="A255" s="11" t="s">
        <v>261</v>
      </c>
      <c r="B255" s="12">
        <v>1500.0</v>
      </c>
      <c r="C255" s="12">
        <v>3500.0</v>
      </c>
      <c r="D255" s="11" t="b">
        <f t="shared" si="56"/>
        <v>1</v>
      </c>
      <c r="E255" s="8" t="s">
        <v>232</v>
      </c>
    </row>
    <row r="256" ht="15.75" customHeight="1">
      <c r="A256" s="9" t="s">
        <v>261</v>
      </c>
      <c r="B256" s="10">
        <v>3000.0</v>
      </c>
      <c r="C256" s="10">
        <v>4000.0</v>
      </c>
      <c r="D256" s="9" t="b">
        <f>false</f>
        <v>0</v>
      </c>
      <c r="E256" s="8" t="s">
        <v>232</v>
      </c>
    </row>
    <row r="257" ht="15.75" customHeight="1">
      <c r="A257" s="11" t="s">
        <v>262</v>
      </c>
      <c r="B257" s="12">
        <v>3300.0</v>
      </c>
      <c r="C257" s="12">
        <v>5000.0</v>
      </c>
      <c r="D257" s="11" t="b">
        <f t="shared" ref="D257:D258" si="57">true</f>
        <v>1</v>
      </c>
      <c r="E257" s="8" t="s">
        <v>232</v>
      </c>
    </row>
    <row r="258" ht="15.75" customHeight="1">
      <c r="A258" s="7" t="s">
        <v>263</v>
      </c>
      <c r="B258" s="6">
        <v>6000.0</v>
      </c>
      <c r="C258" s="6">
        <v>7000.0</v>
      </c>
      <c r="D258" s="11" t="b">
        <f t="shared" si="57"/>
        <v>1</v>
      </c>
      <c r="E258" s="8" t="s">
        <v>232</v>
      </c>
    </row>
    <row r="259" ht="15.75" customHeight="1">
      <c r="A259" s="9" t="s">
        <v>264</v>
      </c>
      <c r="B259" s="10">
        <v>3000.0</v>
      </c>
      <c r="C259" s="10">
        <v>4000.0</v>
      </c>
      <c r="D259" s="9" t="b">
        <f>false</f>
        <v>0</v>
      </c>
      <c r="E259" s="8" t="s">
        <v>232</v>
      </c>
    </row>
    <row r="260" ht="15.75" customHeight="1">
      <c r="A260" s="5" t="s">
        <v>265</v>
      </c>
      <c r="B260" s="6">
        <v>3000.0</v>
      </c>
      <c r="C260" s="6">
        <v>4500.0</v>
      </c>
      <c r="D260" s="11" t="b">
        <f>true</f>
        <v>1</v>
      </c>
      <c r="E260" s="8" t="s">
        <v>232</v>
      </c>
    </row>
    <row r="261" ht="15.75" customHeight="1">
      <c r="A261" s="9" t="s">
        <v>265</v>
      </c>
      <c r="B261" s="10">
        <v>2800.0</v>
      </c>
      <c r="C261" s="10">
        <v>4500.0</v>
      </c>
      <c r="D261" s="9" t="b">
        <f>false</f>
        <v>0</v>
      </c>
      <c r="E261" s="8" t="s">
        <v>232</v>
      </c>
    </row>
    <row r="262" ht="15.75" customHeight="1">
      <c r="A262" s="5" t="s">
        <v>266</v>
      </c>
      <c r="B262" s="6">
        <v>3700.0</v>
      </c>
      <c r="C262" s="6">
        <v>5000.0</v>
      </c>
      <c r="D262" s="11" t="b">
        <f t="shared" ref="D262:D268" si="58">true</f>
        <v>1</v>
      </c>
      <c r="E262" s="8" t="s">
        <v>232</v>
      </c>
    </row>
    <row r="263" ht="15.75" customHeight="1">
      <c r="A263" s="5" t="s">
        <v>267</v>
      </c>
      <c r="B263" s="6">
        <v>1000.0</v>
      </c>
      <c r="C263" s="6">
        <v>1200.0</v>
      </c>
      <c r="D263" s="11" t="b">
        <f t="shared" si="58"/>
        <v>1</v>
      </c>
      <c r="E263" s="8" t="s">
        <v>232</v>
      </c>
    </row>
    <row r="264" ht="15.75" customHeight="1">
      <c r="A264" s="5" t="s">
        <v>268</v>
      </c>
      <c r="B264" s="6">
        <v>600.0</v>
      </c>
      <c r="C264" s="6">
        <v>1200.0</v>
      </c>
      <c r="D264" s="11" t="b">
        <f t="shared" si="58"/>
        <v>1</v>
      </c>
      <c r="E264" s="8" t="s">
        <v>232</v>
      </c>
    </row>
    <row r="265" ht="15.75" customHeight="1">
      <c r="A265" s="5" t="s">
        <v>269</v>
      </c>
      <c r="B265" s="6">
        <v>600.0</v>
      </c>
      <c r="C265" s="6">
        <v>1200.0</v>
      </c>
      <c r="D265" s="11" t="b">
        <f t="shared" si="58"/>
        <v>1</v>
      </c>
      <c r="E265" s="8" t="s">
        <v>232</v>
      </c>
    </row>
    <row r="266" ht="15.75" customHeight="1">
      <c r="A266" s="7" t="s">
        <v>270</v>
      </c>
      <c r="B266" s="6">
        <v>2500.0</v>
      </c>
      <c r="C266" s="6">
        <v>3500.0</v>
      </c>
      <c r="D266" s="11" t="b">
        <f t="shared" si="58"/>
        <v>1</v>
      </c>
      <c r="E266" s="8" t="s">
        <v>232</v>
      </c>
    </row>
    <row r="267" ht="15.75" customHeight="1">
      <c r="A267" s="5" t="s">
        <v>271</v>
      </c>
      <c r="B267" s="6">
        <v>1790.0</v>
      </c>
      <c r="C267" s="6">
        <v>3000.0</v>
      </c>
      <c r="D267" s="11" t="b">
        <f t="shared" si="58"/>
        <v>1</v>
      </c>
      <c r="E267" s="8" t="s">
        <v>232</v>
      </c>
    </row>
    <row r="268" ht="15.75" customHeight="1">
      <c r="A268" s="5" t="s">
        <v>272</v>
      </c>
      <c r="B268" s="6">
        <v>250.0</v>
      </c>
      <c r="C268" s="6">
        <v>600.0</v>
      </c>
      <c r="D268" s="11" t="b">
        <f t="shared" si="58"/>
        <v>1</v>
      </c>
      <c r="E268" s="8" t="s">
        <v>232</v>
      </c>
    </row>
    <row r="269" ht="15.75" customHeight="1">
      <c r="A269" s="9" t="s">
        <v>273</v>
      </c>
      <c r="B269" s="10">
        <v>4500.0</v>
      </c>
      <c r="C269" s="10">
        <v>5000.0</v>
      </c>
      <c r="D269" s="9" t="b">
        <f>false</f>
        <v>0</v>
      </c>
      <c r="E269" s="8" t="s">
        <v>232</v>
      </c>
    </row>
    <row r="270" ht="15.75" customHeight="1">
      <c r="A270" s="7" t="s">
        <v>274</v>
      </c>
      <c r="B270" s="6">
        <v>2000.0</v>
      </c>
      <c r="C270" s="6">
        <v>2500.0</v>
      </c>
      <c r="D270" s="11" t="b">
        <f t="shared" ref="D270:D271" si="59">true</f>
        <v>1</v>
      </c>
      <c r="E270" s="8" t="s">
        <v>232</v>
      </c>
    </row>
    <row r="271" ht="15.75" customHeight="1">
      <c r="A271" s="7" t="s">
        <v>275</v>
      </c>
      <c r="B271" s="6">
        <v>1000.0</v>
      </c>
      <c r="C271" s="6">
        <v>3000.0</v>
      </c>
      <c r="D271" s="11" t="b">
        <f t="shared" si="59"/>
        <v>1</v>
      </c>
      <c r="E271" s="8" t="s">
        <v>232</v>
      </c>
    </row>
    <row r="272" ht="15.75" customHeight="1">
      <c r="A272" s="9" t="s">
        <v>276</v>
      </c>
      <c r="B272" s="10">
        <v>3500.0</v>
      </c>
      <c r="C272" s="10">
        <v>5000.0</v>
      </c>
      <c r="D272" s="9" t="b">
        <f>false</f>
        <v>0</v>
      </c>
      <c r="E272" s="8" t="s">
        <v>232</v>
      </c>
    </row>
    <row r="273" ht="15.75" customHeight="1">
      <c r="A273" s="11" t="s">
        <v>277</v>
      </c>
      <c r="B273" s="12">
        <v>3500.0</v>
      </c>
      <c r="C273" s="12">
        <v>5000.0</v>
      </c>
      <c r="D273" s="11" t="b">
        <f>true</f>
        <v>1</v>
      </c>
      <c r="E273" s="8" t="s">
        <v>232</v>
      </c>
    </row>
    <row r="274" ht="15.75" customHeight="1">
      <c r="A274" s="9" t="s">
        <v>278</v>
      </c>
      <c r="B274" s="10">
        <v>2500.0</v>
      </c>
      <c r="C274" s="10">
        <v>5000.0</v>
      </c>
      <c r="D274" s="9" t="b">
        <f>false</f>
        <v>0</v>
      </c>
      <c r="E274" s="8" t="s">
        <v>232</v>
      </c>
    </row>
    <row r="275" ht="12.75" customHeight="1">
      <c r="A275" s="5" t="s">
        <v>279</v>
      </c>
      <c r="B275" s="6">
        <v>200.0</v>
      </c>
      <c r="C275" s="6">
        <v>400.0</v>
      </c>
      <c r="D275" s="11" t="b">
        <f>true</f>
        <v>1</v>
      </c>
      <c r="E275" s="8" t="s">
        <v>280</v>
      </c>
    </row>
    <row r="276" ht="15.75" customHeight="1">
      <c r="A276" s="9" t="s">
        <v>281</v>
      </c>
      <c r="B276" s="10">
        <v>690.0</v>
      </c>
      <c r="C276" s="10">
        <v>950.0</v>
      </c>
      <c r="D276" s="9" t="b">
        <f>false</f>
        <v>0</v>
      </c>
      <c r="E276" s="8" t="s">
        <v>280</v>
      </c>
    </row>
    <row r="277" ht="15.75" customHeight="1">
      <c r="A277" s="7" t="s">
        <v>282</v>
      </c>
      <c r="B277" s="6">
        <v>800.0</v>
      </c>
      <c r="C277" s="6">
        <v>1300.0</v>
      </c>
      <c r="D277" s="11" t="b">
        <f>true</f>
        <v>1</v>
      </c>
      <c r="E277" s="8" t="s">
        <v>280</v>
      </c>
    </row>
    <row r="278" ht="15.75" customHeight="1">
      <c r="A278" s="9" t="s">
        <v>283</v>
      </c>
      <c r="B278" s="10">
        <v>1000.0</v>
      </c>
      <c r="C278" s="10">
        <v>1500.0</v>
      </c>
      <c r="D278" s="9" t="b">
        <f t="shared" ref="D278:D282" si="60">false</f>
        <v>0</v>
      </c>
      <c r="E278" s="8" t="s">
        <v>280</v>
      </c>
    </row>
    <row r="279" ht="15.75" customHeight="1">
      <c r="A279" s="9" t="s">
        <v>284</v>
      </c>
      <c r="B279" s="10">
        <v>850.0</v>
      </c>
      <c r="C279" s="10">
        <v>1300.0</v>
      </c>
      <c r="D279" s="9" t="b">
        <f t="shared" si="60"/>
        <v>0</v>
      </c>
      <c r="E279" s="8" t="s">
        <v>280</v>
      </c>
    </row>
    <row r="280" ht="15.75" customHeight="1">
      <c r="A280" s="9" t="s">
        <v>285</v>
      </c>
      <c r="B280" s="10">
        <v>819.0</v>
      </c>
      <c r="C280" s="10">
        <v>1400.0</v>
      </c>
      <c r="D280" s="9" t="b">
        <f t="shared" si="60"/>
        <v>0</v>
      </c>
      <c r="E280" s="8" t="s">
        <v>280</v>
      </c>
    </row>
    <row r="281" ht="15.75" customHeight="1">
      <c r="A281" s="9" t="s">
        <v>286</v>
      </c>
      <c r="B281" s="10">
        <v>938.0</v>
      </c>
      <c r="C281" s="10">
        <v>1500.0</v>
      </c>
      <c r="D281" s="9" t="b">
        <f t="shared" si="60"/>
        <v>0</v>
      </c>
      <c r="E281" s="8" t="s">
        <v>280</v>
      </c>
    </row>
    <row r="282" ht="15.75" customHeight="1">
      <c r="A282" s="9" t="s">
        <v>287</v>
      </c>
      <c r="B282" s="10">
        <v>990.0</v>
      </c>
      <c r="C282" s="10">
        <v>1500.0</v>
      </c>
      <c r="D282" s="9" t="b">
        <f t="shared" si="60"/>
        <v>0</v>
      </c>
      <c r="E282" s="8" t="s">
        <v>280</v>
      </c>
    </row>
    <row r="283" ht="15.75" customHeight="1">
      <c r="A283" s="11" t="s">
        <v>288</v>
      </c>
      <c r="B283" s="12">
        <v>990.0</v>
      </c>
      <c r="C283" s="12">
        <v>1500.0</v>
      </c>
      <c r="D283" s="11" t="b">
        <f t="shared" ref="D283:D284" si="61">true</f>
        <v>1</v>
      </c>
      <c r="E283" s="8" t="s">
        <v>280</v>
      </c>
    </row>
    <row r="284" ht="15.75" customHeight="1">
      <c r="A284" s="11" t="s">
        <v>289</v>
      </c>
      <c r="B284" s="12">
        <v>1290.0</v>
      </c>
      <c r="C284" s="12">
        <v>1800.0</v>
      </c>
      <c r="D284" s="11" t="b">
        <f t="shared" si="61"/>
        <v>1</v>
      </c>
      <c r="E284" s="8" t="s">
        <v>280</v>
      </c>
    </row>
    <row r="285" ht="15.75" customHeight="1">
      <c r="A285" s="9" t="s">
        <v>290</v>
      </c>
      <c r="B285" s="10">
        <v>1279.0</v>
      </c>
      <c r="C285" s="10">
        <v>1800.0</v>
      </c>
      <c r="D285" s="9" t="b">
        <f t="shared" ref="D285:D286" si="62">false</f>
        <v>0</v>
      </c>
      <c r="E285" s="8" t="s">
        <v>280</v>
      </c>
    </row>
    <row r="286" ht="15.75" customHeight="1">
      <c r="A286" s="9" t="s">
        <v>291</v>
      </c>
      <c r="B286" s="10">
        <v>1321.0</v>
      </c>
      <c r="C286" s="10">
        <v>2000.0</v>
      </c>
      <c r="D286" s="9" t="b">
        <f t="shared" si="62"/>
        <v>0</v>
      </c>
      <c r="E286" s="8" t="s">
        <v>280</v>
      </c>
    </row>
    <row r="287" ht="15.75" customHeight="1">
      <c r="A287" s="5" t="s">
        <v>292</v>
      </c>
      <c r="B287" s="6">
        <v>875.0</v>
      </c>
      <c r="C287" s="6">
        <v>1500.0</v>
      </c>
      <c r="D287" s="11" t="b">
        <f t="shared" ref="D287:D288" si="63">true</f>
        <v>1</v>
      </c>
      <c r="E287" s="8" t="s">
        <v>280</v>
      </c>
    </row>
    <row r="288" ht="15.75" customHeight="1">
      <c r="A288" s="5" t="s">
        <v>293</v>
      </c>
      <c r="B288" s="6">
        <v>902.0</v>
      </c>
      <c r="C288" s="6">
        <v>1600.0</v>
      </c>
      <c r="D288" s="11" t="b">
        <f t="shared" si="63"/>
        <v>1</v>
      </c>
      <c r="E288" s="8" t="s">
        <v>280</v>
      </c>
    </row>
    <row r="289" ht="15.75" customHeight="1">
      <c r="A289" s="9" t="s">
        <v>294</v>
      </c>
      <c r="B289" s="10">
        <v>400.0</v>
      </c>
      <c r="C289" s="10">
        <v>1000.0</v>
      </c>
      <c r="D289" s="9" t="b">
        <f t="shared" ref="D289:D292" si="64">false</f>
        <v>0</v>
      </c>
      <c r="E289" s="8" t="s">
        <v>280</v>
      </c>
    </row>
    <row r="290" ht="15.75" customHeight="1">
      <c r="A290" s="9" t="s">
        <v>295</v>
      </c>
      <c r="B290" s="10">
        <v>450.0</v>
      </c>
      <c r="C290" s="10">
        <v>1000.0</v>
      </c>
      <c r="D290" s="9" t="b">
        <f t="shared" si="64"/>
        <v>0</v>
      </c>
      <c r="E290" s="8" t="s">
        <v>280</v>
      </c>
    </row>
    <row r="291" ht="15.75" customHeight="1">
      <c r="A291" s="9" t="s">
        <v>295</v>
      </c>
      <c r="B291" s="10">
        <v>846.0</v>
      </c>
      <c r="C291" s="10">
        <v>1300.0</v>
      </c>
      <c r="D291" s="9" t="b">
        <f t="shared" si="64"/>
        <v>0</v>
      </c>
      <c r="E291" s="8" t="s">
        <v>280</v>
      </c>
    </row>
    <row r="292" ht="15.75" customHeight="1">
      <c r="A292" s="9" t="s">
        <v>296</v>
      </c>
      <c r="B292" s="10">
        <v>350.0</v>
      </c>
      <c r="C292" s="10">
        <v>1000.0</v>
      </c>
      <c r="D292" s="9" t="b">
        <f t="shared" si="64"/>
        <v>0</v>
      </c>
      <c r="E292" s="8" t="s">
        <v>280</v>
      </c>
    </row>
    <row r="293" ht="15.75" customHeight="1">
      <c r="A293" s="5" t="s">
        <v>297</v>
      </c>
      <c r="B293" s="6">
        <v>550.0</v>
      </c>
      <c r="C293" s="6">
        <v>1000.0</v>
      </c>
      <c r="D293" s="11" t="b">
        <f t="shared" ref="D293:D297" si="65">true</f>
        <v>1</v>
      </c>
      <c r="E293" s="8" t="s">
        <v>280</v>
      </c>
    </row>
    <row r="294" ht="15.75" customHeight="1">
      <c r="A294" s="7" t="s">
        <v>298</v>
      </c>
      <c r="B294" s="6">
        <v>840.0</v>
      </c>
      <c r="C294" s="6">
        <v>1200.0</v>
      </c>
      <c r="D294" s="11" t="b">
        <f t="shared" si="65"/>
        <v>1</v>
      </c>
      <c r="E294" s="8" t="s">
        <v>280</v>
      </c>
    </row>
    <row r="295" ht="15.75" customHeight="1">
      <c r="A295" s="7" t="s">
        <v>299</v>
      </c>
      <c r="B295" s="6">
        <v>950.0</v>
      </c>
      <c r="C295" s="6">
        <v>1300.0</v>
      </c>
      <c r="D295" s="11" t="b">
        <f t="shared" si="65"/>
        <v>1</v>
      </c>
      <c r="E295" s="8" t="s">
        <v>280</v>
      </c>
    </row>
    <row r="296" ht="15.75" customHeight="1">
      <c r="A296" s="5" t="s">
        <v>300</v>
      </c>
      <c r="B296" s="6">
        <v>2250.0</v>
      </c>
      <c r="C296" s="6">
        <v>3890.0</v>
      </c>
      <c r="D296" s="11" t="b">
        <f t="shared" si="65"/>
        <v>1</v>
      </c>
      <c r="E296" s="8" t="s">
        <v>280</v>
      </c>
    </row>
    <row r="297" ht="15.75" customHeight="1">
      <c r="A297" s="5" t="s">
        <v>301</v>
      </c>
      <c r="B297" s="6">
        <v>1790.0</v>
      </c>
      <c r="C297" s="6">
        <v>3500.0</v>
      </c>
      <c r="D297" s="11" t="b">
        <f t="shared" si="65"/>
        <v>1</v>
      </c>
      <c r="E297" s="8" t="s">
        <v>280</v>
      </c>
    </row>
    <row r="298" ht="15.75" customHeight="1">
      <c r="A298" s="9" t="s">
        <v>302</v>
      </c>
      <c r="B298" s="10">
        <v>1690.0</v>
      </c>
      <c r="C298" s="10">
        <v>2400.0</v>
      </c>
      <c r="D298" s="9" t="b">
        <f>false</f>
        <v>0</v>
      </c>
      <c r="E298" s="8" t="s">
        <v>280</v>
      </c>
    </row>
    <row r="299" ht="15.75" customHeight="1">
      <c r="A299" s="5" t="s">
        <v>303</v>
      </c>
      <c r="B299" s="6">
        <v>1700.0</v>
      </c>
      <c r="C299" s="6">
        <v>3000.0</v>
      </c>
      <c r="D299" s="11" t="b">
        <f>true</f>
        <v>1</v>
      </c>
      <c r="E299" s="8" t="s">
        <v>280</v>
      </c>
    </row>
    <row r="300" ht="15.75" customHeight="1">
      <c r="A300" s="9" t="s">
        <v>304</v>
      </c>
      <c r="B300" s="10">
        <v>1700.0</v>
      </c>
      <c r="C300" s="10">
        <v>3000.0</v>
      </c>
      <c r="D300" s="9" t="b">
        <f>false</f>
        <v>0</v>
      </c>
      <c r="E300" s="8" t="s">
        <v>280</v>
      </c>
    </row>
    <row r="301" ht="15.75" customHeight="1">
      <c r="A301" s="11" t="s">
        <v>305</v>
      </c>
      <c r="B301" s="12">
        <v>1790.0</v>
      </c>
      <c r="C301" s="12">
        <v>3500.0</v>
      </c>
      <c r="D301" s="11" t="b">
        <f t="shared" ref="D301:D302" si="66">true</f>
        <v>1</v>
      </c>
      <c r="E301" s="8" t="s">
        <v>280</v>
      </c>
    </row>
    <row r="302" ht="15.75" customHeight="1">
      <c r="A302" s="7" t="s">
        <v>306</v>
      </c>
      <c r="B302" s="6">
        <v>950.0</v>
      </c>
      <c r="C302" s="6">
        <v>1300.0</v>
      </c>
      <c r="D302" s="11" t="b">
        <f t="shared" si="66"/>
        <v>1</v>
      </c>
      <c r="E302" s="8" t="s">
        <v>280</v>
      </c>
    </row>
    <row r="303" ht="15.75" customHeight="1">
      <c r="A303" s="9" t="s">
        <v>307</v>
      </c>
      <c r="B303" s="10">
        <v>2600.0</v>
      </c>
      <c r="C303" s="10">
        <v>3600.0</v>
      </c>
      <c r="D303" s="9" t="b">
        <f t="shared" ref="D303:D306" si="67">false</f>
        <v>0</v>
      </c>
      <c r="E303" s="8" t="s">
        <v>280</v>
      </c>
    </row>
    <row r="304" ht="15.75" customHeight="1">
      <c r="A304" s="9" t="s">
        <v>308</v>
      </c>
      <c r="B304" s="10">
        <v>867.0</v>
      </c>
      <c r="C304" s="10">
        <v>1200.0</v>
      </c>
      <c r="D304" s="9" t="b">
        <f t="shared" si="67"/>
        <v>0</v>
      </c>
      <c r="E304" s="8" t="s">
        <v>280</v>
      </c>
    </row>
    <row r="305" ht="15.75" customHeight="1">
      <c r="A305" s="9" t="s">
        <v>309</v>
      </c>
      <c r="B305" s="10">
        <v>2650.0</v>
      </c>
      <c r="C305" s="10">
        <v>3900.0</v>
      </c>
      <c r="D305" s="9" t="b">
        <f t="shared" si="67"/>
        <v>0</v>
      </c>
      <c r="E305" s="8" t="s">
        <v>280</v>
      </c>
    </row>
    <row r="306" ht="15.75" customHeight="1">
      <c r="A306" s="9" t="s">
        <v>310</v>
      </c>
      <c r="B306" s="10">
        <v>883.0</v>
      </c>
      <c r="C306" s="10">
        <v>1300.0</v>
      </c>
      <c r="D306" s="9" t="b">
        <f t="shared" si="67"/>
        <v>0</v>
      </c>
      <c r="E306" s="8" t="s">
        <v>280</v>
      </c>
    </row>
    <row r="307" ht="15.75" customHeight="1">
      <c r="A307" s="7" t="s">
        <v>311</v>
      </c>
      <c r="B307" s="6">
        <v>1250.0</v>
      </c>
      <c r="C307" s="6">
        <v>1800.0</v>
      </c>
      <c r="D307" s="11" t="b">
        <f>true</f>
        <v>1</v>
      </c>
      <c r="E307" s="8" t="s">
        <v>280</v>
      </c>
    </row>
    <row r="308" ht="15.75" customHeight="1">
      <c r="A308" s="9" t="s">
        <v>312</v>
      </c>
      <c r="B308" s="10">
        <v>2200.0</v>
      </c>
      <c r="C308" s="10">
        <v>3200.0</v>
      </c>
      <c r="D308" s="9" t="b">
        <f>false</f>
        <v>0</v>
      </c>
      <c r="E308" s="8" t="s">
        <v>280</v>
      </c>
    </row>
    <row r="309" ht="15.75" customHeight="1">
      <c r="A309" s="11" t="s">
        <v>313</v>
      </c>
      <c r="B309" s="12">
        <v>2461.0</v>
      </c>
      <c r="C309" s="12">
        <v>3500.0</v>
      </c>
      <c r="D309" s="11" t="b">
        <f t="shared" ref="D309:D314" si="68">true</f>
        <v>1</v>
      </c>
      <c r="E309" s="8" t="s">
        <v>280</v>
      </c>
    </row>
    <row r="310" ht="15.75" customHeight="1">
      <c r="A310" s="11" t="s">
        <v>314</v>
      </c>
      <c r="B310" s="12">
        <v>2555.0</v>
      </c>
      <c r="C310" s="12">
        <v>3500.0</v>
      </c>
      <c r="D310" s="11" t="b">
        <f t="shared" si="68"/>
        <v>1</v>
      </c>
      <c r="E310" s="8" t="s">
        <v>280</v>
      </c>
    </row>
    <row r="311" ht="15.75" customHeight="1">
      <c r="A311" s="7" t="s">
        <v>315</v>
      </c>
      <c r="B311" s="6">
        <v>2700.0</v>
      </c>
      <c r="C311" s="6">
        <v>4000.0</v>
      </c>
      <c r="D311" s="11" t="b">
        <f t="shared" si="68"/>
        <v>1</v>
      </c>
      <c r="E311" s="8" t="s">
        <v>280</v>
      </c>
    </row>
    <row r="312" ht="15.75" customHeight="1">
      <c r="A312" s="7" t="s">
        <v>316</v>
      </c>
      <c r="B312" s="6">
        <v>2490.0</v>
      </c>
      <c r="C312" s="6">
        <v>4000.0</v>
      </c>
      <c r="D312" s="11" t="b">
        <f t="shared" si="68"/>
        <v>1</v>
      </c>
      <c r="E312" s="8" t="s">
        <v>280</v>
      </c>
    </row>
    <row r="313" ht="15.75" customHeight="1">
      <c r="A313" s="5" t="s">
        <v>317</v>
      </c>
      <c r="B313" s="6">
        <v>1350.0</v>
      </c>
      <c r="C313" s="6">
        <v>2500.0</v>
      </c>
      <c r="D313" s="11" t="b">
        <f t="shared" si="68"/>
        <v>1</v>
      </c>
      <c r="E313" s="8" t="s">
        <v>280</v>
      </c>
    </row>
    <row r="314" ht="15.75" customHeight="1">
      <c r="A314" s="5" t="s">
        <v>318</v>
      </c>
      <c r="B314" s="6">
        <v>3290.0</v>
      </c>
      <c r="C314" s="6">
        <v>5500.0</v>
      </c>
      <c r="D314" s="11" t="b">
        <f t="shared" si="68"/>
        <v>1</v>
      </c>
      <c r="E314" s="8" t="s">
        <v>280</v>
      </c>
    </row>
    <row r="315" ht="15.75" customHeight="1">
      <c r="A315" s="9" t="s">
        <v>319</v>
      </c>
      <c r="B315" s="10">
        <v>2000.0</v>
      </c>
      <c r="C315" s="10">
        <v>2800.0</v>
      </c>
      <c r="D315" s="9" t="b">
        <f t="shared" ref="D315:D318" si="69">false</f>
        <v>0</v>
      </c>
      <c r="E315" s="8" t="s">
        <v>280</v>
      </c>
    </row>
    <row r="316" ht="15.75" customHeight="1">
      <c r="A316" s="9" t="s">
        <v>319</v>
      </c>
      <c r="B316" s="10">
        <v>2390.0</v>
      </c>
      <c r="C316" s="10">
        <v>3800.0</v>
      </c>
      <c r="D316" s="9" t="b">
        <f t="shared" si="69"/>
        <v>0</v>
      </c>
      <c r="E316" s="8" t="s">
        <v>280</v>
      </c>
    </row>
    <row r="317" ht="15.75" customHeight="1">
      <c r="A317" s="9" t="s">
        <v>320</v>
      </c>
      <c r="B317" s="10">
        <v>4250.0</v>
      </c>
      <c r="C317" s="10">
        <v>6500.0</v>
      </c>
      <c r="D317" s="9" t="b">
        <f t="shared" si="69"/>
        <v>0</v>
      </c>
      <c r="E317" s="8" t="s">
        <v>280</v>
      </c>
    </row>
    <row r="318" ht="15.75" customHeight="1">
      <c r="A318" s="9" t="s">
        <v>321</v>
      </c>
      <c r="B318" s="10">
        <v>3000.0</v>
      </c>
      <c r="C318" s="10">
        <v>5000.0</v>
      </c>
      <c r="D318" s="9" t="b">
        <f t="shared" si="69"/>
        <v>0</v>
      </c>
      <c r="E318" s="8" t="s">
        <v>280</v>
      </c>
    </row>
    <row r="319" ht="15.75" customHeight="1">
      <c r="A319" s="5" t="s">
        <v>322</v>
      </c>
      <c r="B319" s="6">
        <v>3000.0</v>
      </c>
      <c r="C319" s="6">
        <v>5000.0</v>
      </c>
      <c r="D319" s="11" t="b">
        <f>true</f>
        <v>1</v>
      </c>
      <c r="E319" s="8" t="s">
        <v>280</v>
      </c>
    </row>
    <row r="320" ht="15.75" customHeight="1">
      <c r="A320" s="9" t="s">
        <v>323</v>
      </c>
      <c r="B320" s="10">
        <v>1500.0</v>
      </c>
      <c r="C320" s="10">
        <v>2500.0</v>
      </c>
      <c r="D320" s="9" t="b">
        <f>false</f>
        <v>0</v>
      </c>
      <c r="E320" s="8" t="s">
        <v>280</v>
      </c>
    </row>
    <row r="321" ht="15.75" customHeight="1">
      <c r="A321" s="11" t="s">
        <v>324</v>
      </c>
      <c r="B321" s="12">
        <v>500.0</v>
      </c>
      <c r="C321" s="12">
        <v>1500.0</v>
      </c>
      <c r="D321" s="11" t="b">
        <f t="shared" ref="D321:D322" si="70">true</f>
        <v>1</v>
      </c>
      <c r="E321" s="8" t="s">
        <v>280</v>
      </c>
    </row>
    <row r="322" ht="15.75" customHeight="1">
      <c r="A322" s="11" t="s">
        <v>325</v>
      </c>
      <c r="B322" s="12">
        <v>3000.0</v>
      </c>
      <c r="C322" s="12">
        <v>6000.0</v>
      </c>
      <c r="D322" s="11" t="b">
        <f t="shared" si="70"/>
        <v>1</v>
      </c>
      <c r="E322" s="8" t="s">
        <v>280</v>
      </c>
    </row>
    <row r="323" ht="15.75" customHeight="1">
      <c r="A323" s="9" t="s">
        <v>326</v>
      </c>
      <c r="B323" s="10">
        <v>2000.0</v>
      </c>
      <c r="C323" s="10">
        <v>7000.0</v>
      </c>
      <c r="D323" s="9" t="b">
        <f>false</f>
        <v>0</v>
      </c>
      <c r="E323" s="8" t="s">
        <v>280</v>
      </c>
    </row>
    <row r="324" ht="15.75" customHeight="1">
      <c r="A324" s="11" t="s">
        <v>327</v>
      </c>
      <c r="B324" s="12">
        <v>3500.0</v>
      </c>
      <c r="C324" s="12">
        <v>7000.0</v>
      </c>
      <c r="D324" s="11" t="b">
        <f t="shared" ref="D324:D326" si="71">true</f>
        <v>1</v>
      </c>
      <c r="E324" s="8" t="s">
        <v>280</v>
      </c>
    </row>
    <row r="325" ht="15.75" customHeight="1">
      <c r="A325" s="5" t="s">
        <v>328</v>
      </c>
      <c r="B325" s="6">
        <v>950.0</v>
      </c>
      <c r="C325" s="6">
        <v>1400.0</v>
      </c>
      <c r="D325" s="11" t="b">
        <f t="shared" si="71"/>
        <v>1</v>
      </c>
      <c r="E325" s="8" t="s">
        <v>280</v>
      </c>
    </row>
    <row r="326" ht="15.75" customHeight="1">
      <c r="A326" s="5" t="s">
        <v>329</v>
      </c>
      <c r="B326" s="6">
        <v>800.0</v>
      </c>
      <c r="C326" s="6">
        <v>1500.0</v>
      </c>
      <c r="D326" s="11" t="b">
        <f t="shared" si="71"/>
        <v>1</v>
      </c>
      <c r="E326" s="8" t="s">
        <v>280</v>
      </c>
    </row>
    <row r="327" ht="15.75" customHeight="1">
      <c r="A327" s="9" t="s">
        <v>330</v>
      </c>
      <c r="B327" s="10">
        <v>1890.0</v>
      </c>
      <c r="C327" s="10">
        <v>2500.0</v>
      </c>
      <c r="D327" s="9" t="b">
        <f>false</f>
        <v>0</v>
      </c>
      <c r="E327" s="8" t="s">
        <v>280</v>
      </c>
    </row>
    <row r="328" ht="15.75" customHeight="1">
      <c r="A328" s="11" t="s">
        <v>331</v>
      </c>
      <c r="B328" s="12">
        <v>2271.0</v>
      </c>
      <c r="C328" s="12">
        <v>3000.0</v>
      </c>
      <c r="D328" s="11" t="b">
        <f>true</f>
        <v>1</v>
      </c>
      <c r="E328" s="8" t="s">
        <v>280</v>
      </c>
    </row>
    <row r="329" ht="15.75" customHeight="1">
      <c r="A329" s="9" t="s">
        <v>332</v>
      </c>
      <c r="B329" s="10">
        <v>2000.0</v>
      </c>
      <c r="C329" s="10">
        <v>3000.0</v>
      </c>
      <c r="D329" s="9" t="b">
        <f t="shared" ref="D329:D330" si="72">false</f>
        <v>0</v>
      </c>
      <c r="E329" s="8" t="s">
        <v>280</v>
      </c>
    </row>
    <row r="330" ht="15.75" customHeight="1">
      <c r="A330" s="9" t="s">
        <v>333</v>
      </c>
      <c r="B330" s="10">
        <v>3027.0</v>
      </c>
      <c r="C330" s="10">
        <v>3850.0</v>
      </c>
      <c r="D330" s="9" t="b">
        <f t="shared" si="72"/>
        <v>0</v>
      </c>
      <c r="E330" s="8" t="s">
        <v>280</v>
      </c>
    </row>
    <row r="331" ht="15.75" customHeight="1">
      <c r="A331" s="5" t="s">
        <v>334</v>
      </c>
      <c r="B331" s="6">
        <v>2291.0</v>
      </c>
      <c r="C331" s="6">
        <v>3500.0</v>
      </c>
      <c r="D331" s="11" t="b">
        <f>true</f>
        <v>1</v>
      </c>
      <c r="E331" s="8" t="s">
        <v>280</v>
      </c>
    </row>
    <row r="332" ht="15.75" customHeight="1">
      <c r="A332" s="9" t="s">
        <v>335</v>
      </c>
      <c r="B332" s="10">
        <v>390.0</v>
      </c>
      <c r="C332" s="10">
        <v>650.0</v>
      </c>
      <c r="D332" s="9" t="b">
        <f>false</f>
        <v>0</v>
      </c>
      <c r="E332" s="8" t="s">
        <v>280</v>
      </c>
    </row>
    <row r="333" ht="15.75" customHeight="1">
      <c r="A333" s="7" t="s">
        <v>336</v>
      </c>
      <c r="B333" s="6">
        <v>414.0</v>
      </c>
      <c r="C333" s="6">
        <v>650.0</v>
      </c>
      <c r="D333" s="11" t="b">
        <f t="shared" ref="D333:D335" si="73">true</f>
        <v>1</v>
      </c>
      <c r="E333" s="8" t="s">
        <v>280</v>
      </c>
    </row>
    <row r="334" ht="15.75" customHeight="1">
      <c r="A334" s="5" t="s">
        <v>337</v>
      </c>
      <c r="B334" s="6">
        <v>1000.0</v>
      </c>
      <c r="C334" s="6">
        <v>1350.0</v>
      </c>
      <c r="D334" s="11" t="b">
        <f t="shared" si="73"/>
        <v>1</v>
      </c>
      <c r="E334" s="8" t="s">
        <v>280</v>
      </c>
    </row>
    <row r="335" ht="15.75" customHeight="1">
      <c r="A335" s="5" t="s">
        <v>338</v>
      </c>
      <c r="B335" s="6">
        <v>420.0</v>
      </c>
      <c r="C335" s="6">
        <v>1200.0</v>
      </c>
      <c r="D335" s="11" t="b">
        <f t="shared" si="73"/>
        <v>1</v>
      </c>
      <c r="E335" s="8" t="s">
        <v>280</v>
      </c>
    </row>
    <row r="336" ht="15.75" customHeight="1">
      <c r="A336" s="9" t="s">
        <v>339</v>
      </c>
      <c r="B336" s="10">
        <v>713.0</v>
      </c>
      <c r="C336" s="10">
        <v>1600.0</v>
      </c>
      <c r="D336" s="9" t="b">
        <f>false</f>
        <v>0</v>
      </c>
      <c r="E336" s="8" t="s">
        <v>280</v>
      </c>
    </row>
    <row r="337" ht="15.75" customHeight="1">
      <c r="A337" s="5" t="s">
        <v>339</v>
      </c>
      <c r="B337" s="6">
        <v>844.0</v>
      </c>
      <c r="C337" s="6">
        <v>1600.0</v>
      </c>
      <c r="D337" s="11" t="b">
        <f>true</f>
        <v>1</v>
      </c>
      <c r="E337" s="8" t="s">
        <v>280</v>
      </c>
    </row>
    <row r="338" ht="15.75" customHeight="1">
      <c r="A338" s="9" t="s">
        <v>340</v>
      </c>
      <c r="B338" s="10">
        <v>700.0</v>
      </c>
      <c r="C338" s="10">
        <v>1500.0</v>
      </c>
      <c r="D338" s="9" t="b">
        <f>false</f>
        <v>0</v>
      </c>
      <c r="E338" s="8" t="s">
        <v>280</v>
      </c>
    </row>
    <row r="339" ht="15.75" customHeight="1">
      <c r="A339" s="11" t="s">
        <v>341</v>
      </c>
      <c r="B339" s="12">
        <v>200.0</v>
      </c>
      <c r="C339" s="12">
        <v>700.0</v>
      </c>
      <c r="D339" s="11" t="b">
        <f>true</f>
        <v>1</v>
      </c>
      <c r="E339" s="8" t="s">
        <v>280</v>
      </c>
    </row>
    <row r="340" ht="15.75" customHeight="1">
      <c r="A340" s="9" t="s">
        <v>342</v>
      </c>
      <c r="B340" s="10">
        <v>400.0</v>
      </c>
      <c r="C340" s="10">
        <v>700.0</v>
      </c>
      <c r="D340" s="9" t="b">
        <f t="shared" ref="D340:D344" si="74">false</f>
        <v>0</v>
      </c>
      <c r="E340" s="8" t="s">
        <v>280</v>
      </c>
    </row>
    <row r="341" ht="15.75" customHeight="1">
      <c r="A341" s="9" t="s">
        <v>343</v>
      </c>
      <c r="B341" s="10">
        <v>350.0</v>
      </c>
      <c r="C341" s="10">
        <v>700.0</v>
      </c>
      <c r="D341" s="9" t="b">
        <f t="shared" si="74"/>
        <v>0</v>
      </c>
      <c r="E341" s="8" t="s">
        <v>280</v>
      </c>
    </row>
    <row r="342" ht="15.75" customHeight="1">
      <c r="A342" s="9" t="s">
        <v>344</v>
      </c>
      <c r="B342" s="10">
        <v>510.0</v>
      </c>
      <c r="C342" s="10">
        <v>950.0</v>
      </c>
      <c r="D342" s="9" t="b">
        <f t="shared" si="74"/>
        <v>0</v>
      </c>
      <c r="E342" s="8" t="s">
        <v>280</v>
      </c>
    </row>
    <row r="343" ht="15.75" customHeight="1">
      <c r="A343" s="9" t="s">
        <v>345</v>
      </c>
      <c r="B343" s="10">
        <v>900.0</v>
      </c>
      <c r="C343" s="10">
        <v>1250.0</v>
      </c>
      <c r="D343" s="9" t="b">
        <f t="shared" si="74"/>
        <v>0</v>
      </c>
      <c r="E343" s="8" t="s">
        <v>280</v>
      </c>
    </row>
    <row r="344" ht="15.75" customHeight="1">
      <c r="A344" s="9" t="s">
        <v>346</v>
      </c>
      <c r="B344" s="10">
        <v>500.0</v>
      </c>
      <c r="C344" s="10">
        <v>1250.0</v>
      </c>
      <c r="D344" s="9" t="b">
        <f t="shared" si="74"/>
        <v>0</v>
      </c>
      <c r="E344" s="8" t="s">
        <v>280</v>
      </c>
    </row>
    <row r="345" ht="15.75" customHeight="1">
      <c r="A345" s="11" t="s">
        <v>347</v>
      </c>
      <c r="B345" s="12">
        <v>850.0</v>
      </c>
      <c r="C345" s="12">
        <v>1500.0</v>
      </c>
      <c r="D345" s="11" t="b">
        <f>true</f>
        <v>1</v>
      </c>
      <c r="E345" s="8" t="s">
        <v>280</v>
      </c>
    </row>
    <row r="346" ht="15.75" customHeight="1">
      <c r="A346" s="9" t="s">
        <v>348</v>
      </c>
      <c r="B346" s="10">
        <v>1000.0</v>
      </c>
      <c r="C346" s="10">
        <v>2000.0</v>
      </c>
      <c r="D346" s="9" t="b">
        <f t="shared" ref="D346:D347" si="75">false</f>
        <v>0</v>
      </c>
      <c r="E346" s="8" t="s">
        <v>280</v>
      </c>
    </row>
    <row r="347" ht="15.75" customHeight="1">
      <c r="A347" s="9" t="s">
        <v>349</v>
      </c>
      <c r="B347" s="10">
        <v>650.0</v>
      </c>
      <c r="C347" s="10">
        <v>1200.0</v>
      </c>
      <c r="D347" s="9" t="b">
        <f t="shared" si="75"/>
        <v>0</v>
      </c>
      <c r="E347" s="8" t="s">
        <v>280</v>
      </c>
    </row>
    <row r="348" ht="15.75" customHeight="1">
      <c r="A348" s="11" t="s">
        <v>350</v>
      </c>
      <c r="B348" s="6">
        <v>1500.0</v>
      </c>
      <c r="C348" s="6">
        <v>2500.0</v>
      </c>
      <c r="D348" s="11" t="b">
        <f>true</f>
        <v>1</v>
      </c>
      <c r="E348" s="8" t="s">
        <v>280</v>
      </c>
    </row>
    <row r="349" ht="15.75" customHeight="1">
      <c r="A349" s="9" t="s">
        <v>351</v>
      </c>
      <c r="B349" s="10">
        <v>850.0</v>
      </c>
      <c r="C349" s="10">
        <v>1350.0</v>
      </c>
      <c r="D349" s="9" t="b">
        <f t="shared" ref="D349:D350" si="76">false</f>
        <v>0</v>
      </c>
      <c r="E349" s="8" t="s">
        <v>280</v>
      </c>
    </row>
    <row r="350" ht="15.75" customHeight="1">
      <c r="A350" s="9" t="s">
        <v>352</v>
      </c>
      <c r="B350" s="10">
        <v>367.0</v>
      </c>
      <c r="C350" s="10">
        <v>1000.0</v>
      </c>
      <c r="D350" s="9" t="b">
        <f t="shared" si="76"/>
        <v>0</v>
      </c>
      <c r="E350" s="8" t="s">
        <v>280</v>
      </c>
    </row>
    <row r="351" ht="15.75" customHeight="1">
      <c r="A351" s="5" t="s">
        <v>352</v>
      </c>
      <c r="B351" s="6">
        <v>379.0</v>
      </c>
      <c r="C351" s="6">
        <v>1000.0</v>
      </c>
      <c r="D351" s="11" t="b">
        <f>true</f>
        <v>1</v>
      </c>
      <c r="E351" s="8" t="s">
        <v>280</v>
      </c>
    </row>
    <row r="352" ht="15.75" customHeight="1">
      <c r="A352" s="9" t="s">
        <v>353</v>
      </c>
      <c r="B352" s="10">
        <v>1190.0</v>
      </c>
      <c r="C352" s="10">
        <v>2000.0</v>
      </c>
      <c r="D352" s="9" t="b">
        <f t="shared" ref="D352:D353" si="77">false</f>
        <v>0</v>
      </c>
      <c r="E352" s="8" t="s">
        <v>280</v>
      </c>
    </row>
    <row r="353" ht="15.75" customHeight="1">
      <c r="A353" s="9" t="s">
        <v>354</v>
      </c>
      <c r="B353" s="10">
        <v>1279.0</v>
      </c>
      <c r="C353" s="10">
        <v>2500.0</v>
      </c>
      <c r="D353" s="9" t="b">
        <f t="shared" si="77"/>
        <v>0</v>
      </c>
      <c r="E353" s="8" t="s">
        <v>280</v>
      </c>
    </row>
    <row r="354" ht="15.75" customHeight="1">
      <c r="A354" s="9" t="s">
        <v>355</v>
      </c>
      <c r="B354" s="10">
        <v>1412.0</v>
      </c>
      <c r="C354" s="10">
        <v>2500.0</v>
      </c>
      <c r="D354" s="11" t="b">
        <f t="shared" ref="D354:D355" si="78">true</f>
        <v>1</v>
      </c>
      <c r="E354" s="8" t="s">
        <v>280</v>
      </c>
    </row>
    <row r="355" ht="15.75" customHeight="1">
      <c r="A355" s="5" t="s">
        <v>356</v>
      </c>
      <c r="B355" s="6">
        <v>1790.0</v>
      </c>
      <c r="C355" s="6">
        <v>3000.0</v>
      </c>
      <c r="D355" s="11" t="b">
        <f t="shared" si="78"/>
        <v>1</v>
      </c>
      <c r="E355" s="8" t="s">
        <v>280</v>
      </c>
    </row>
    <row r="356" ht="15.75" customHeight="1">
      <c r="A356" s="9" t="s">
        <v>357</v>
      </c>
      <c r="B356" s="10">
        <v>1490.0</v>
      </c>
      <c r="C356" s="10">
        <v>2500.0</v>
      </c>
      <c r="D356" s="9" t="b">
        <f t="shared" ref="D356:D357" si="79">false</f>
        <v>0</v>
      </c>
      <c r="E356" s="8" t="s">
        <v>280</v>
      </c>
    </row>
    <row r="357" ht="15.75" customHeight="1">
      <c r="A357" s="9" t="s">
        <v>358</v>
      </c>
      <c r="B357" s="10">
        <v>1830.0</v>
      </c>
      <c r="C357" s="10">
        <v>3000.0</v>
      </c>
      <c r="D357" s="9" t="b">
        <f t="shared" si="79"/>
        <v>0</v>
      </c>
      <c r="E357" s="8" t="s">
        <v>280</v>
      </c>
    </row>
    <row r="358" ht="15.75" customHeight="1">
      <c r="A358" s="11" t="s">
        <v>359</v>
      </c>
      <c r="B358" s="12">
        <v>2600.0</v>
      </c>
      <c r="C358" s="12">
        <v>4000.0</v>
      </c>
      <c r="D358" s="11" t="b">
        <f t="shared" ref="D358:D359" si="80">true</f>
        <v>1</v>
      </c>
      <c r="E358" s="8" t="s">
        <v>280</v>
      </c>
    </row>
    <row r="359" ht="15.75" customHeight="1">
      <c r="A359" s="9" t="s">
        <v>360</v>
      </c>
      <c r="B359" s="10">
        <v>2454.0</v>
      </c>
      <c r="C359" s="10">
        <v>4000.0</v>
      </c>
      <c r="D359" s="11" t="b">
        <f t="shared" si="80"/>
        <v>1</v>
      </c>
      <c r="E359" s="8" t="s">
        <v>280</v>
      </c>
    </row>
    <row r="360" ht="15.75" customHeight="1">
      <c r="A360" s="9" t="s">
        <v>360</v>
      </c>
      <c r="B360" s="10">
        <v>2751.0</v>
      </c>
      <c r="C360" s="10">
        <v>3900.0</v>
      </c>
      <c r="D360" s="9" t="b">
        <f t="shared" ref="D360:D363" si="81">false</f>
        <v>0</v>
      </c>
      <c r="E360" s="8" t="s">
        <v>280</v>
      </c>
    </row>
    <row r="361" ht="15.75" customHeight="1">
      <c r="A361" s="9" t="s">
        <v>360</v>
      </c>
      <c r="B361" s="10">
        <v>2375.0</v>
      </c>
      <c r="C361" s="10">
        <v>3900.0</v>
      </c>
      <c r="D361" s="9" t="b">
        <f t="shared" si="81"/>
        <v>0</v>
      </c>
      <c r="E361" s="8" t="s">
        <v>280</v>
      </c>
    </row>
    <row r="362" ht="15.75" customHeight="1">
      <c r="A362" s="9" t="s">
        <v>360</v>
      </c>
      <c r="B362" s="10">
        <v>2836.0</v>
      </c>
      <c r="C362" s="10">
        <v>4000.0</v>
      </c>
      <c r="D362" s="9" t="b">
        <f t="shared" si="81"/>
        <v>0</v>
      </c>
      <c r="E362" s="8" t="s">
        <v>280</v>
      </c>
    </row>
    <row r="363" ht="15.75" customHeight="1">
      <c r="A363" s="9" t="s">
        <v>361</v>
      </c>
      <c r="B363" s="10">
        <v>1190.0</v>
      </c>
      <c r="C363" s="10">
        <v>1600.0</v>
      </c>
      <c r="D363" s="9" t="b">
        <f t="shared" si="81"/>
        <v>0</v>
      </c>
      <c r="E363" s="8" t="s">
        <v>280</v>
      </c>
    </row>
    <row r="364" ht="15.75" customHeight="1">
      <c r="A364" s="5" t="s">
        <v>362</v>
      </c>
      <c r="B364" s="6">
        <v>1300.0</v>
      </c>
      <c r="C364" s="6">
        <v>2000.0</v>
      </c>
      <c r="D364" s="11" t="b">
        <f t="shared" ref="D364:D366" si="82">true</f>
        <v>1</v>
      </c>
      <c r="E364" s="8" t="s">
        <v>280</v>
      </c>
    </row>
    <row r="365" ht="15.75" customHeight="1">
      <c r="A365" s="7" t="s">
        <v>363</v>
      </c>
      <c r="B365" s="6">
        <v>1000.0</v>
      </c>
      <c r="C365" s="6">
        <v>2000.0</v>
      </c>
      <c r="D365" s="11" t="b">
        <f t="shared" si="82"/>
        <v>1</v>
      </c>
      <c r="E365" s="8" t="s">
        <v>280</v>
      </c>
    </row>
    <row r="366" ht="15.75" customHeight="1">
      <c r="A366" s="11" t="s">
        <v>364</v>
      </c>
      <c r="B366" s="6">
        <v>2500.0</v>
      </c>
      <c r="C366" s="6">
        <v>3500.0</v>
      </c>
      <c r="D366" s="11" t="b">
        <f t="shared" si="82"/>
        <v>1</v>
      </c>
      <c r="E366" s="8" t="s">
        <v>280</v>
      </c>
    </row>
    <row r="367" ht="15.75" customHeight="1">
      <c r="A367" s="9" t="s">
        <v>365</v>
      </c>
      <c r="B367" s="10">
        <v>1000.0</v>
      </c>
      <c r="C367" s="10">
        <v>2500.0</v>
      </c>
      <c r="D367" s="9" t="b">
        <f t="shared" ref="D367:D368" si="83">false</f>
        <v>0</v>
      </c>
      <c r="E367" s="8" t="s">
        <v>280</v>
      </c>
    </row>
    <row r="368" ht="15.75" customHeight="1">
      <c r="A368" s="9" t="s">
        <v>366</v>
      </c>
      <c r="B368" s="10">
        <v>1790.0</v>
      </c>
      <c r="C368" s="10">
        <v>2500.0</v>
      </c>
      <c r="D368" s="9" t="b">
        <f t="shared" si="83"/>
        <v>0</v>
      </c>
      <c r="E368" s="8" t="s">
        <v>280</v>
      </c>
    </row>
    <row r="369" ht="15.75" customHeight="1">
      <c r="A369" s="5" t="s">
        <v>367</v>
      </c>
      <c r="B369" s="6">
        <v>890.0</v>
      </c>
      <c r="C369" s="6">
        <v>1200.0</v>
      </c>
      <c r="D369" s="11" t="b">
        <f t="shared" ref="D369:D370" si="84">true</f>
        <v>1</v>
      </c>
      <c r="E369" s="8" t="s">
        <v>280</v>
      </c>
    </row>
    <row r="370" ht="15.75" customHeight="1">
      <c r="A370" s="7" t="s">
        <v>368</v>
      </c>
      <c r="B370" s="6">
        <v>158.0</v>
      </c>
      <c r="C370" s="6">
        <v>250.0</v>
      </c>
      <c r="D370" s="11" t="b">
        <f t="shared" si="84"/>
        <v>1</v>
      </c>
      <c r="E370" s="8" t="s">
        <v>280</v>
      </c>
    </row>
    <row r="371" ht="15.75" customHeight="1">
      <c r="A371" s="9" t="s">
        <v>368</v>
      </c>
      <c r="B371" s="10">
        <v>125.0</v>
      </c>
      <c r="C371" s="10">
        <v>250.0</v>
      </c>
      <c r="D371" s="9" t="b">
        <f t="shared" ref="D371:D372" si="85">false</f>
        <v>0</v>
      </c>
      <c r="E371" s="8" t="s">
        <v>280</v>
      </c>
    </row>
    <row r="372" ht="15.75" customHeight="1">
      <c r="A372" s="9" t="s">
        <v>369</v>
      </c>
      <c r="B372" s="10">
        <v>100.0</v>
      </c>
      <c r="C372" s="10">
        <v>250.0</v>
      </c>
      <c r="D372" s="9" t="b">
        <f t="shared" si="85"/>
        <v>0</v>
      </c>
      <c r="E372" s="8" t="s">
        <v>280</v>
      </c>
    </row>
    <row r="373" ht="15.75" customHeight="1">
      <c r="A373" s="5" t="s">
        <v>370</v>
      </c>
      <c r="B373" s="6">
        <v>500.0</v>
      </c>
      <c r="C373" s="6">
        <v>1300.0</v>
      </c>
      <c r="D373" s="11" t="b">
        <f t="shared" ref="D373:D377" si="86">true</f>
        <v>1</v>
      </c>
      <c r="E373" s="8" t="s">
        <v>280</v>
      </c>
    </row>
    <row r="374" ht="15.75" customHeight="1">
      <c r="A374" s="5" t="s">
        <v>371</v>
      </c>
      <c r="B374" s="6">
        <v>1600.0</v>
      </c>
      <c r="C374" s="6">
        <v>3000.0</v>
      </c>
      <c r="D374" s="11" t="b">
        <f t="shared" si="86"/>
        <v>1</v>
      </c>
      <c r="E374" s="8" t="s">
        <v>280</v>
      </c>
    </row>
    <row r="375" ht="15.75" customHeight="1">
      <c r="A375" s="5" t="s">
        <v>372</v>
      </c>
      <c r="B375" s="6">
        <v>250.0</v>
      </c>
      <c r="C375" s="6">
        <v>700.0</v>
      </c>
      <c r="D375" s="11" t="b">
        <f t="shared" si="86"/>
        <v>1</v>
      </c>
      <c r="E375" s="8" t="s">
        <v>280</v>
      </c>
    </row>
    <row r="376" ht="15.75" customHeight="1">
      <c r="A376" s="5" t="s">
        <v>373</v>
      </c>
      <c r="B376" s="6">
        <v>440.0</v>
      </c>
      <c r="C376" s="6">
        <v>850.0</v>
      </c>
      <c r="D376" s="11" t="b">
        <f t="shared" si="86"/>
        <v>1</v>
      </c>
      <c r="E376" s="8" t="s">
        <v>280</v>
      </c>
    </row>
    <row r="377" ht="15.75" customHeight="1">
      <c r="A377" s="5" t="s">
        <v>374</v>
      </c>
      <c r="B377" s="6">
        <v>300.0</v>
      </c>
      <c r="C377" s="6">
        <v>700.0</v>
      </c>
      <c r="D377" s="11" t="b">
        <f t="shared" si="86"/>
        <v>1</v>
      </c>
      <c r="E377" s="8" t="s">
        <v>280</v>
      </c>
    </row>
    <row r="378" ht="15.75" customHeight="1">
      <c r="A378" s="9" t="s">
        <v>375</v>
      </c>
      <c r="B378" s="10">
        <v>440.0</v>
      </c>
      <c r="C378" s="10">
        <v>780.0</v>
      </c>
      <c r="D378" s="9" t="b">
        <f>false</f>
        <v>0</v>
      </c>
      <c r="E378" s="8" t="s">
        <v>280</v>
      </c>
    </row>
    <row r="379" ht="15.75" customHeight="1">
      <c r="A379" s="5" t="s">
        <v>376</v>
      </c>
      <c r="B379" s="6">
        <v>144.0</v>
      </c>
      <c r="C379" s="6">
        <v>250.0</v>
      </c>
      <c r="D379" s="11" t="b">
        <f t="shared" ref="D379:D380" si="87">true</f>
        <v>1</v>
      </c>
      <c r="E379" s="8" t="s">
        <v>280</v>
      </c>
    </row>
    <row r="380" ht="15.75" customHeight="1">
      <c r="A380" s="5" t="s">
        <v>377</v>
      </c>
      <c r="B380" s="6">
        <v>132.0</v>
      </c>
      <c r="C380" s="6">
        <v>250.0</v>
      </c>
      <c r="D380" s="11" t="b">
        <f t="shared" si="87"/>
        <v>1</v>
      </c>
      <c r="E380" s="8" t="s">
        <v>280</v>
      </c>
    </row>
    <row r="381" ht="15.75" customHeight="1">
      <c r="A381" s="9" t="s">
        <v>378</v>
      </c>
      <c r="B381" s="10">
        <v>650.0</v>
      </c>
      <c r="C381" s="10">
        <v>1500.0</v>
      </c>
      <c r="D381" s="9" t="b">
        <f>false</f>
        <v>0</v>
      </c>
      <c r="E381" s="8" t="s">
        <v>280</v>
      </c>
    </row>
    <row r="382" ht="15.75" customHeight="1">
      <c r="A382" s="5" t="s">
        <v>379</v>
      </c>
      <c r="B382" s="6">
        <v>84.0</v>
      </c>
      <c r="C382" s="6">
        <v>300.0</v>
      </c>
      <c r="D382" s="11" t="b">
        <f>true</f>
        <v>1</v>
      </c>
      <c r="E382" s="8" t="s">
        <v>280</v>
      </c>
    </row>
    <row r="383" ht="15.75" customHeight="1">
      <c r="A383" s="9" t="s">
        <v>380</v>
      </c>
      <c r="B383" s="10">
        <v>500.0</v>
      </c>
      <c r="C383" s="10">
        <v>1500.0</v>
      </c>
      <c r="D383" s="9" t="b">
        <f>false</f>
        <v>0</v>
      </c>
      <c r="E383" s="8" t="s">
        <v>280</v>
      </c>
    </row>
    <row r="384" ht="15.75" customHeight="1">
      <c r="A384" s="5" t="s">
        <v>381</v>
      </c>
      <c r="B384" s="6">
        <v>580.0</v>
      </c>
      <c r="C384" s="6">
        <v>1000.0</v>
      </c>
      <c r="D384" s="11" t="b">
        <f>true</f>
        <v>1</v>
      </c>
      <c r="E384" s="8" t="s">
        <v>280</v>
      </c>
    </row>
    <row r="385" ht="15.75" customHeight="1">
      <c r="A385" s="9" t="s">
        <v>382</v>
      </c>
      <c r="B385" s="10">
        <v>200.0</v>
      </c>
      <c r="C385" s="10">
        <v>500.0</v>
      </c>
      <c r="D385" s="9" t="b">
        <f>false</f>
        <v>0</v>
      </c>
      <c r="E385" s="8" t="s">
        <v>280</v>
      </c>
    </row>
    <row r="386" ht="15.75" customHeight="1">
      <c r="A386" s="7" t="s">
        <v>383</v>
      </c>
      <c r="B386" s="6">
        <v>1000.0</v>
      </c>
      <c r="C386" s="6">
        <v>2000.0</v>
      </c>
      <c r="D386" s="11" t="b">
        <f>true</f>
        <v>1</v>
      </c>
      <c r="E386" s="8" t="s">
        <v>280</v>
      </c>
    </row>
    <row r="387" ht="15.75" customHeight="1">
      <c r="A387" s="9" t="s">
        <v>384</v>
      </c>
      <c r="B387" s="10">
        <v>3000.0</v>
      </c>
      <c r="C387" s="10">
        <v>3500.0</v>
      </c>
      <c r="D387" s="9" t="b">
        <f t="shared" ref="D387:D388" si="88">false</f>
        <v>0</v>
      </c>
      <c r="E387" s="8" t="s">
        <v>280</v>
      </c>
    </row>
    <row r="388" ht="15.75" customHeight="1">
      <c r="A388" s="9" t="s">
        <v>385</v>
      </c>
      <c r="B388" s="10">
        <v>14000.0</v>
      </c>
      <c r="C388" s="10">
        <v>17000.0</v>
      </c>
      <c r="D388" s="9" t="b">
        <f t="shared" si="88"/>
        <v>0</v>
      </c>
      <c r="E388" s="8" t="s">
        <v>280</v>
      </c>
    </row>
    <row r="389" ht="15.75" customHeight="1">
      <c r="A389" s="5" t="s">
        <v>386</v>
      </c>
      <c r="B389" s="6">
        <v>990.0</v>
      </c>
      <c r="C389" s="6">
        <v>2300.0</v>
      </c>
      <c r="D389" s="11" t="b">
        <f t="shared" ref="D389:D390" si="89">true</f>
        <v>1</v>
      </c>
      <c r="E389" s="8" t="s">
        <v>280</v>
      </c>
    </row>
    <row r="390" ht="15.75" customHeight="1">
      <c r="A390" s="11" t="s">
        <v>387</v>
      </c>
      <c r="B390" s="12">
        <v>1000.0</v>
      </c>
      <c r="C390" s="12">
        <v>2300.0</v>
      </c>
      <c r="D390" s="11" t="b">
        <f t="shared" si="89"/>
        <v>1</v>
      </c>
      <c r="E390" s="8" t="s">
        <v>280</v>
      </c>
    </row>
    <row r="391" ht="15.75" customHeight="1">
      <c r="A391" s="9" t="s">
        <v>388</v>
      </c>
      <c r="B391" s="10">
        <v>1250.0</v>
      </c>
      <c r="C391" s="10">
        <v>2300.0</v>
      </c>
      <c r="D391" s="9" t="b">
        <f>false</f>
        <v>0</v>
      </c>
      <c r="E391" s="8" t="s">
        <v>280</v>
      </c>
    </row>
    <row r="392" ht="15.75" customHeight="1">
      <c r="A392" s="5" t="s">
        <v>389</v>
      </c>
      <c r="B392" s="6">
        <v>1200.0</v>
      </c>
      <c r="C392" s="6">
        <v>2000.0</v>
      </c>
      <c r="D392" s="11" t="b">
        <f t="shared" ref="D392:D394" si="90">true</f>
        <v>1</v>
      </c>
      <c r="E392" s="8" t="s">
        <v>280</v>
      </c>
    </row>
    <row r="393" ht="15.75" customHeight="1">
      <c r="A393" s="5" t="s">
        <v>390</v>
      </c>
      <c r="B393" s="6">
        <v>1250.0</v>
      </c>
      <c r="C393" s="6">
        <v>2300.0</v>
      </c>
      <c r="D393" s="11" t="b">
        <f t="shared" si="90"/>
        <v>1</v>
      </c>
      <c r="E393" s="8" t="s">
        <v>280</v>
      </c>
    </row>
    <row r="394" ht="15.75" customHeight="1">
      <c r="A394" s="5" t="s">
        <v>391</v>
      </c>
      <c r="B394" s="6">
        <v>1250.0</v>
      </c>
      <c r="C394" s="6">
        <v>2300.0</v>
      </c>
      <c r="D394" s="11" t="b">
        <f t="shared" si="90"/>
        <v>1</v>
      </c>
      <c r="E394" s="8" t="s">
        <v>280</v>
      </c>
    </row>
    <row r="395" ht="15.75" customHeight="1">
      <c r="A395" s="9" t="s">
        <v>392</v>
      </c>
      <c r="B395" s="10">
        <v>650.0</v>
      </c>
      <c r="C395" s="10">
        <v>1200.0</v>
      </c>
      <c r="D395" s="9" t="b">
        <f>false</f>
        <v>0</v>
      </c>
      <c r="E395" s="8" t="s">
        <v>280</v>
      </c>
    </row>
    <row r="396" ht="15.75" customHeight="1">
      <c r="A396" s="7" t="s">
        <v>393</v>
      </c>
      <c r="B396" s="6">
        <v>850.0</v>
      </c>
      <c r="C396" s="6">
        <v>1500.0</v>
      </c>
      <c r="D396" s="11" t="b">
        <f t="shared" ref="D396:D398" si="91">true</f>
        <v>1</v>
      </c>
      <c r="E396" s="8" t="s">
        <v>280</v>
      </c>
    </row>
    <row r="397" ht="15.75" customHeight="1">
      <c r="A397" s="5" t="s">
        <v>394</v>
      </c>
      <c r="B397" s="6">
        <v>1400.0</v>
      </c>
      <c r="C397" s="6">
        <v>2500.0</v>
      </c>
      <c r="D397" s="11" t="b">
        <f t="shared" si="91"/>
        <v>1</v>
      </c>
      <c r="E397" s="8" t="s">
        <v>280</v>
      </c>
    </row>
    <row r="398" ht="15.75" customHeight="1">
      <c r="A398" s="7" t="s">
        <v>395</v>
      </c>
      <c r="B398" s="6">
        <v>1300.0</v>
      </c>
      <c r="C398" s="6">
        <v>2000.0</v>
      </c>
      <c r="D398" s="11" t="b">
        <f t="shared" si="91"/>
        <v>1</v>
      </c>
      <c r="E398" s="8" t="s">
        <v>280</v>
      </c>
    </row>
    <row r="399" ht="15.75" customHeight="1">
      <c r="A399" s="9" t="s">
        <v>395</v>
      </c>
      <c r="B399" s="10">
        <v>1701.0</v>
      </c>
      <c r="C399" s="10">
        <v>2100.0</v>
      </c>
      <c r="D399" s="9" t="b">
        <f>false</f>
        <v>0</v>
      </c>
      <c r="E399" s="8" t="s">
        <v>280</v>
      </c>
    </row>
    <row r="400" ht="15.75" customHeight="1">
      <c r="A400" s="5" t="s">
        <v>396</v>
      </c>
      <c r="B400" s="6">
        <v>165.0</v>
      </c>
      <c r="C400" s="6">
        <v>250.0</v>
      </c>
      <c r="D400" s="11" t="b">
        <f t="shared" ref="D400:D401" si="92">true</f>
        <v>1</v>
      </c>
      <c r="E400" s="8" t="s">
        <v>280</v>
      </c>
    </row>
    <row r="401" ht="15.75" customHeight="1">
      <c r="A401" s="5" t="s">
        <v>397</v>
      </c>
      <c r="B401" s="6">
        <v>1000.0</v>
      </c>
      <c r="C401" s="6">
        <v>1800.0</v>
      </c>
      <c r="D401" s="11" t="b">
        <f t="shared" si="92"/>
        <v>1</v>
      </c>
      <c r="E401" s="8" t="s">
        <v>280</v>
      </c>
    </row>
    <row r="402" ht="15.75" customHeight="1">
      <c r="A402" s="9" t="s">
        <v>398</v>
      </c>
      <c r="B402" s="10">
        <v>500.0</v>
      </c>
      <c r="C402" s="10">
        <v>1000.0</v>
      </c>
      <c r="D402" s="9" t="b">
        <f t="shared" ref="D402:D403" si="93">false</f>
        <v>0</v>
      </c>
      <c r="E402" s="8" t="s">
        <v>280</v>
      </c>
    </row>
    <row r="403" ht="15.75" customHeight="1">
      <c r="A403" s="9" t="s">
        <v>399</v>
      </c>
      <c r="B403" s="10">
        <v>1000.0</v>
      </c>
      <c r="C403" s="10">
        <v>1800.0</v>
      </c>
      <c r="D403" s="9" t="b">
        <f t="shared" si="93"/>
        <v>0</v>
      </c>
      <c r="E403" s="8" t="s">
        <v>280</v>
      </c>
    </row>
    <row r="404" ht="15.75" customHeight="1">
      <c r="A404" s="11" t="s">
        <v>400</v>
      </c>
      <c r="B404" s="12">
        <v>500.0</v>
      </c>
      <c r="C404" s="12">
        <v>1000.0</v>
      </c>
      <c r="D404" s="11" t="b">
        <f>true</f>
        <v>1</v>
      </c>
      <c r="E404" s="8" t="s">
        <v>280</v>
      </c>
    </row>
    <row r="405" ht="15.75" customHeight="1">
      <c r="A405" s="9" t="s">
        <v>401</v>
      </c>
      <c r="B405" s="10">
        <v>500.0</v>
      </c>
      <c r="C405" s="10">
        <v>1800.0</v>
      </c>
      <c r="D405" s="9" t="b">
        <f t="shared" ref="D405:D407" si="94">false</f>
        <v>0</v>
      </c>
      <c r="E405" s="8" t="s">
        <v>280</v>
      </c>
    </row>
    <row r="406" ht="15.75" customHeight="1">
      <c r="A406" s="9" t="s">
        <v>402</v>
      </c>
      <c r="B406" s="10">
        <v>500.0</v>
      </c>
      <c r="C406" s="10">
        <v>1800.0</v>
      </c>
      <c r="D406" s="9" t="b">
        <f t="shared" si="94"/>
        <v>0</v>
      </c>
      <c r="E406" s="8" t="s">
        <v>280</v>
      </c>
    </row>
    <row r="407" ht="15.75" customHeight="1">
      <c r="A407" s="9" t="s">
        <v>403</v>
      </c>
      <c r="B407" s="10">
        <v>500.0</v>
      </c>
      <c r="C407" s="10">
        <v>1000.0</v>
      </c>
      <c r="D407" s="9" t="b">
        <f t="shared" si="94"/>
        <v>0</v>
      </c>
      <c r="E407" s="8" t="s">
        <v>280</v>
      </c>
    </row>
    <row r="408" ht="15.75" customHeight="1">
      <c r="A408" s="11" t="s">
        <v>404</v>
      </c>
      <c r="B408" s="12">
        <v>800.0</v>
      </c>
      <c r="C408" s="12">
        <v>2000.0</v>
      </c>
      <c r="D408" s="11" t="b">
        <f>true</f>
        <v>1</v>
      </c>
      <c r="E408" s="8" t="s">
        <v>280</v>
      </c>
    </row>
    <row r="409" ht="15.75" customHeight="1">
      <c r="A409" s="9" t="s">
        <v>405</v>
      </c>
      <c r="B409" s="10">
        <v>800.0</v>
      </c>
      <c r="C409" s="10">
        <v>1300.0</v>
      </c>
      <c r="D409" s="9" t="b">
        <f>false</f>
        <v>0</v>
      </c>
      <c r="E409" s="8" t="s">
        <v>280</v>
      </c>
    </row>
    <row r="410" ht="15.75" customHeight="1">
      <c r="A410" s="5" t="s">
        <v>406</v>
      </c>
      <c r="B410" s="6">
        <v>850.0</v>
      </c>
      <c r="C410" s="6">
        <v>1300.0</v>
      </c>
      <c r="D410" s="11" t="b">
        <f t="shared" ref="D410:D411" si="95">true</f>
        <v>1</v>
      </c>
      <c r="E410" s="8" t="s">
        <v>280</v>
      </c>
    </row>
    <row r="411" ht="15.75" customHeight="1">
      <c r="A411" s="5" t="s">
        <v>407</v>
      </c>
      <c r="B411" s="6">
        <v>700.0</v>
      </c>
      <c r="C411" s="6">
        <v>1300.0</v>
      </c>
      <c r="D411" s="11" t="b">
        <f t="shared" si="95"/>
        <v>1</v>
      </c>
      <c r="E411" s="8" t="s">
        <v>280</v>
      </c>
    </row>
    <row r="412" ht="15.75" customHeight="1">
      <c r="A412" s="9" t="s">
        <v>408</v>
      </c>
      <c r="B412" s="10">
        <v>800.0</v>
      </c>
      <c r="C412" s="10">
        <v>1300.0</v>
      </c>
      <c r="D412" s="9" t="b">
        <f>false</f>
        <v>0</v>
      </c>
      <c r="E412" s="8" t="s">
        <v>280</v>
      </c>
    </row>
    <row r="413" ht="15.75" customHeight="1">
      <c r="A413" s="5" t="s">
        <v>409</v>
      </c>
      <c r="B413" s="6">
        <v>542.0</v>
      </c>
      <c r="C413" s="6">
        <v>750.0</v>
      </c>
      <c r="D413" s="11" t="b">
        <f t="shared" ref="D413:D414" si="96">true</f>
        <v>1</v>
      </c>
      <c r="E413" s="8" t="s">
        <v>280</v>
      </c>
    </row>
    <row r="414" ht="15.75" customHeight="1">
      <c r="A414" s="5" t="s">
        <v>410</v>
      </c>
      <c r="B414" s="6">
        <v>332.5</v>
      </c>
      <c r="C414" s="6">
        <v>500.0</v>
      </c>
      <c r="D414" s="11" t="b">
        <f t="shared" si="96"/>
        <v>1</v>
      </c>
      <c r="E414" s="8" t="s">
        <v>280</v>
      </c>
    </row>
    <row r="415" ht="15.75" customHeight="1">
      <c r="A415" s="9" t="s">
        <v>411</v>
      </c>
      <c r="B415" s="10">
        <v>975.0</v>
      </c>
      <c r="C415" s="10">
        <v>1200.0</v>
      </c>
      <c r="D415" s="9" t="b">
        <f t="shared" ref="D415:D417" si="97">false</f>
        <v>0</v>
      </c>
      <c r="E415" s="8" t="s">
        <v>280</v>
      </c>
    </row>
    <row r="416" ht="15.75" customHeight="1">
      <c r="A416" s="9" t="s">
        <v>412</v>
      </c>
      <c r="B416" s="10">
        <v>325.0</v>
      </c>
      <c r="C416" s="10">
        <v>400.0</v>
      </c>
      <c r="D416" s="9" t="b">
        <f t="shared" si="97"/>
        <v>0</v>
      </c>
      <c r="E416" s="8" t="s">
        <v>280</v>
      </c>
    </row>
    <row r="417" ht="15.75" customHeight="1">
      <c r="A417" s="9" t="s">
        <v>413</v>
      </c>
      <c r="B417" s="10">
        <v>325.0</v>
      </c>
      <c r="C417" s="10">
        <v>500.0</v>
      </c>
      <c r="D417" s="9" t="b">
        <f t="shared" si="97"/>
        <v>0</v>
      </c>
      <c r="E417" s="8" t="s">
        <v>280</v>
      </c>
    </row>
    <row r="418" ht="15.75" customHeight="1">
      <c r="A418" s="5" t="s">
        <v>413</v>
      </c>
      <c r="B418" s="6">
        <v>332.5</v>
      </c>
      <c r="C418" s="6">
        <v>500.0</v>
      </c>
      <c r="D418" s="11" t="b">
        <f>true</f>
        <v>1</v>
      </c>
      <c r="E418" s="8" t="s">
        <v>280</v>
      </c>
    </row>
    <row r="419" ht="15.75" customHeight="1">
      <c r="A419" s="9" t="s">
        <v>414</v>
      </c>
      <c r="B419" s="10">
        <v>900.0</v>
      </c>
      <c r="C419" s="10">
        <v>2000.0</v>
      </c>
      <c r="D419" s="9" t="b">
        <f t="shared" ref="D419:D421" si="98">false</f>
        <v>0</v>
      </c>
      <c r="E419" s="8" t="s">
        <v>280</v>
      </c>
    </row>
    <row r="420" ht="15.75" customHeight="1">
      <c r="A420" s="9" t="s">
        <v>415</v>
      </c>
      <c r="B420" s="10">
        <v>300.0</v>
      </c>
      <c r="C420" s="10">
        <v>700.0</v>
      </c>
      <c r="D420" s="9" t="b">
        <f t="shared" si="98"/>
        <v>0</v>
      </c>
      <c r="E420" s="8" t="s">
        <v>280</v>
      </c>
    </row>
    <row r="421" ht="15.75" customHeight="1">
      <c r="A421" s="9" t="s">
        <v>416</v>
      </c>
      <c r="B421" s="10">
        <v>990.0</v>
      </c>
      <c r="C421" s="10">
        <v>1500.0</v>
      </c>
      <c r="D421" s="9" t="b">
        <f t="shared" si="98"/>
        <v>0</v>
      </c>
      <c r="E421" s="8" t="s">
        <v>280</v>
      </c>
    </row>
    <row r="422" ht="15.75" customHeight="1">
      <c r="A422" s="5" t="s">
        <v>417</v>
      </c>
      <c r="B422" s="6">
        <v>1000.0</v>
      </c>
      <c r="C422" s="6">
        <v>1500.0</v>
      </c>
      <c r="D422" s="11" t="b">
        <f>true</f>
        <v>1</v>
      </c>
      <c r="E422" s="8" t="s">
        <v>280</v>
      </c>
    </row>
    <row r="423" ht="15.75" customHeight="1">
      <c r="A423" s="9" t="s">
        <v>418</v>
      </c>
      <c r="B423" s="10">
        <v>1830.0</v>
      </c>
      <c r="C423" s="10">
        <v>2800.0</v>
      </c>
      <c r="D423" s="9" t="b">
        <f>false</f>
        <v>0</v>
      </c>
      <c r="E423" s="8" t="s">
        <v>280</v>
      </c>
    </row>
    <row r="424" ht="15.75" customHeight="1">
      <c r="A424" s="5" t="s">
        <v>418</v>
      </c>
      <c r="B424" s="6">
        <v>1890.0</v>
      </c>
      <c r="C424" s="6">
        <v>3500.0</v>
      </c>
      <c r="D424" s="11" t="b">
        <f t="shared" ref="D424:D426" si="99">true</f>
        <v>1</v>
      </c>
      <c r="E424" s="8" t="s">
        <v>280</v>
      </c>
    </row>
    <row r="425" ht="15.75" customHeight="1">
      <c r="A425" s="5" t="s">
        <v>419</v>
      </c>
      <c r="B425" s="6">
        <v>2745.0</v>
      </c>
      <c r="C425" s="6">
        <v>3700.0</v>
      </c>
      <c r="D425" s="11" t="b">
        <f t="shared" si="99"/>
        <v>1</v>
      </c>
      <c r="E425" s="8" t="s">
        <v>280</v>
      </c>
    </row>
    <row r="426" ht="15.75" customHeight="1">
      <c r="A426" s="5" t="s">
        <v>420</v>
      </c>
      <c r="B426" s="6">
        <v>1321.0</v>
      </c>
      <c r="C426" s="6">
        <v>2300.0</v>
      </c>
      <c r="D426" s="11" t="b">
        <f t="shared" si="99"/>
        <v>1</v>
      </c>
      <c r="E426" s="8" t="s">
        <v>280</v>
      </c>
    </row>
    <row r="427" ht="15.75" customHeight="1">
      <c r="A427" s="9" t="s">
        <v>421</v>
      </c>
      <c r="B427" s="10">
        <v>600.0</v>
      </c>
      <c r="C427" s="10">
        <v>1200.0</v>
      </c>
      <c r="D427" s="9" t="b">
        <f>false</f>
        <v>0</v>
      </c>
      <c r="E427" s="8" t="s">
        <v>280</v>
      </c>
    </row>
    <row r="428" ht="15.75" customHeight="1">
      <c r="A428" s="5" t="s">
        <v>422</v>
      </c>
      <c r="B428" s="6">
        <v>450.0</v>
      </c>
      <c r="C428" s="6">
        <v>1000.0</v>
      </c>
      <c r="D428" s="11" t="b">
        <f>true</f>
        <v>1</v>
      </c>
      <c r="E428" s="8" t="s">
        <v>280</v>
      </c>
    </row>
    <row r="429" ht="15.75" customHeight="1">
      <c r="A429" s="9" t="s">
        <v>423</v>
      </c>
      <c r="B429" s="10">
        <v>800.0</v>
      </c>
      <c r="C429" s="10">
        <v>1600.0</v>
      </c>
      <c r="D429" s="9" t="b">
        <f>false</f>
        <v>0</v>
      </c>
      <c r="E429" s="8" t="s">
        <v>280</v>
      </c>
    </row>
    <row r="430" ht="15.75" customHeight="1">
      <c r="A430" s="5" t="s">
        <v>424</v>
      </c>
      <c r="B430" s="6">
        <v>1043.0</v>
      </c>
      <c r="C430" s="6">
        <v>1700.0</v>
      </c>
      <c r="D430" s="11" t="b">
        <f>true</f>
        <v>1</v>
      </c>
      <c r="E430" s="8" t="s">
        <v>280</v>
      </c>
    </row>
    <row r="431" ht="15.75" customHeight="1">
      <c r="A431" s="9" t="s">
        <v>424</v>
      </c>
      <c r="B431" s="10">
        <v>940.0</v>
      </c>
      <c r="C431" s="10">
        <v>1600.0</v>
      </c>
      <c r="D431" s="9" t="b">
        <f>false</f>
        <v>0</v>
      </c>
      <c r="E431" s="8" t="s">
        <v>280</v>
      </c>
    </row>
    <row r="432" ht="15.75" customHeight="1">
      <c r="A432" s="11" t="s">
        <v>425</v>
      </c>
      <c r="B432" s="12">
        <v>850.0</v>
      </c>
      <c r="C432" s="12">
        <v>1500.0</v>
      </c>
      <c r="D432" s="11" t="b">
        <f>true</f>
        <v>1</v>
      </c>
      <c r="E432" s="8" t="s">
        <v>280</v>
      </c>
    </row>
    <row r="433" ht="15.75" customHeight="1">
      <c r="A433" s="9" t="s">
        <v>426</v>
      </c>
      <c r="B433" s="10">
        <v>990.0</v>
      </c>
      <c r="C433" s="10">
        <v>1500.0</v>
      </c>
      <c r="D433" s="9" t="b">
        <f>false</f>
        <v>0</v>
      </c>
      <c r="E433" s="8" t="s">
        <v>280</v>
      </c>
    </row>
    <row r="434" ht="15.75" customHeight="1">
      <c r="A434" s="5" t="s">
        <v>427</v>
      </c>
      <c r="B434" s="6">
        <v>948.0</v>
      </c>
      <c r="C434" s="6">
        <v>1500.0</v>
      </c>
      <c r="D434" s="11" t="b">
        <f t="shared" ref="D434:D437" si="100">true</f>
        <v>1</v>
      </c>
      <c r="E434" s="8" t="s">
        <v>280</v>
      </c>
    </row>
    <row r="435" ht="15.75" customHeight="1">
      <c r="A435" s="5" t="s">
        <v>428</v>
      </c>
      <c r="B435" s="6">
        <v>6000.0</v>
      </c>
      <c r="C435" s="6">
        <v>10500.0</v>
      </c>
      <c r="D435" s="11" t="b">
        <f t="shared" si="100"/>
        <v>1</v>
      </c>
      <c r="E435" s="8" t="s">
        <v>429</v>
      </c>
    </row>
    <row r="436" ht="15.75" customHeight="1">
      <c r="A436" s="5" t="s">
        <v>430</v>
      </c>
      <c r="B436" s="6">
        <v>4000.0</v>
      </c>
      <c r="C436" s="6">
        <v>6000.0</v>
      </c>
      <c r="D436" s="11" t="b">
        <f t="shared" si="100"/>
        <v>1</v>
      </c>
      <c r="E436" s="8" t="s">
        <v>429</v>
      </c>
    </row>
    <row r="437" ht="15.75" customHeight="1">
      <c r="A437" s="5" t="s">
        <v>431</v>
      </c>
      <c r="B437" s="6">
        <v>5990.0</v>
      </c>
      <c r="C437" s="6">
        <v>10500.0</v>
      </c>
      <c r="D437" s="11" t="b">
        <f t="shared" si="100"/>
        <v>1</v>
      </c>
      <c r="E437" s="8" t="s">
        <v>429</v>
      </c>
    </row>
    <row r="438" ht="15.75" customHeight="1">
      <c r="A438" s="9" t="s">
        <v>432</v>
      </c>
      <c r="B438" s="10">
        <v>3000.0</v>
      </c>
      <c r="C438" s="10">
        <v>6000.0</v>
      </c>
      <c r="D438" s="9" t="b">
        <f t="shared" ref="D438:D443" si="101">false</f>
        <v>0</v>
      </c>
      <c r="E438" s="8" t="s">
        <v>429</v>
      </c>
    </row>
    <row r="439" ht="15.75" customHeight="1">
      <c r="A439" s="9" t="s">
        <v>433</v>
      </c>
      <c r="B439" s="10">
        <v>1600.0</v>
      </c>
      <c r="C439" s="10">
        <v>3000.0</v>
      </c>
      <c r="D439" s="9" t="b">
        <f t="shared" si="101"/>
        <v>0</v>
      </c>
      <c r="E439" s="8" t="s">
        <v>429</v>
      </c>
    </row>
    <row r="440" ht="15.75" customHeight="1">
      <c r="A440" s="9" t="s">
        <v>434</v>
      </c>
      <c r="B440" s="10">
        <v>3000.0</v>
      </c>
      <c r="C440" s="10">
        <v>4500.0</v>
      </c>
      <c r="D440" s="9" t="b">
        <f t="shared" si="101"/>
        <v>0</v>
      </c>
      <c r="E440" s="8" t="s">
        <v>429</v>
      </c>
    </row>
    <row r="441" ht="15.75" customHeight="1">
      <c r="A441" s="9" t="s">
        <v>435</v>
      </c>
      <c r="B441" s="10">
        <v>2500.0</v>
      </c>
      <c r="C441" s="10">
        <v>5000.0</v>
      </c>
      <c r="D441" s="9" t="b">
        <f t="shared" si="101"/>
        <v>0</v>
      </c>
      <c r="E441" s="8" t="s">
        <v>429</v>
      </c>
    </row>
    <row r="442" ht="15.75" customHeight="1">
      <c r="A442" s="9" t="s">
        <v>436</v>
      </c>
      <c r="B442" s="10">
        <v>3300.0</v>
      </c>
      <c r="C442" s="10">
        <v>5000.0</v>
      </c>
      <c r="D442" s="9" t="b">
        <f t="shared" si="101"/>
        <v>0</v>
      </c>
      <c r="E442" s="8" t="s">
        <v>429</v>
      </c>
    </row>
    <row r="443" ht="15.75" customHeight="1">
      <c r="A443" s="9" t="s">
        <v>437</v>
      </c>
      <c r="B443" s="10">
        <v>3290.0</v>
      </c>
      <c r="C443" s="10">
        <v>5000.0</v>
      </c>
      <c r="D443" s="9" t="b">
        <f t="shared" si="101"/>
        <v>0</v>
      </c>
      <c r="E443" s="8" t="s">
        <v>429</v>
      </c>
    </row>
    <row r="444" ht="15.75" customHeight="1">
      <c r="A444" s="11" t="s">
        <v>438</v>
      </c>
      <c r="B444" s="12">
        <v>5000.0</v>
      </c>
      <c r="C444" s="12">
        <v>7500.0</v>
      </c>
      <c r="D444" s="11" t="b">
        <f t="shared" ref="D444:D445" si="102">true</f>
        <v>1</v>
      </c>
      <c r="E444" s="8" t="s">
        <v>429</v>
      </c>
    </row>
    <row r="445" ht="15.75" customHeight="1">
      <c r="A445" s="11" t="s">
        <v>439</v>
      </c>
      <c r="B445" s="12">
        <v>3990.0</v>
      </c>
      <c r="C445" s="12">
        <v>7500.0</v>
      </c>
      <c r="D445" s="11" t="b">
        <f t="shared" si="102"/>
        <v>1</v>
      </c>
      <c r="E445" s="8" t="s">
        <v>429</v>
      </c>
    </row>
    <row r="446" ht="15.75" customHeight="1">
      <c r="A446" s="9" t="s">
        <v>440</v>
      </c>
      <c r="B446" s="10">
        <v>3500.0</v>
      </c>
      <c r="C446" s="10">
        <v>7000.0</v>
      </c>
      <c r="D446" s="9" t="b">
        <f t="shared" ref="D446:D447" si="103">false</f>
        <v>0</v>
      </c>
      <c r="E446" s="8" t="s">
        <v>429</v>
      </c>
    </row>
    <row r="447" ht="15.75" customHeight="1">
      <c r="A447" s="9" t="s">
        <v>441</v>
      </c>
      <c r="B447" s="10">
        <v>3500.0</v>
      </c>
      <c r="C447" s="10">
        <v>7000.0</v>
      </c>
      <c r="D447" s="9" t="b">
        <f t="shared" si="103"/>
        <v>0</v>
      </c>
      <c r="E447" s="8" t="s">
        <v>429</v>
      </c>
    </row>
    <row r="448" ht="15.75" customHeight="1">
      <c r="A448" s="11" t="s">
        <v>442</v>
      </c>
      <c r="B448" s="12">
        <v>5990.0</v>
      </c>
      <c r="C448" s="12">
        <v>10000.0</v>
      </c>
      <c r="D448" s="11" t="b">
        <f t="shared" ref="D448:D454" si="104">true</f>
        <v>1</v>
      </c>
      <c r="E448" s="8" t="s">
        <v>429</v>
      </c>
    </row>
    <row r="449" ht="15.75" customHeight="1">
      <c r="A449" s="11" t="s">
        <v>443</v>
      </c>
      <c r="B449" s="12">
        <v>4990.0</v>
      </c>
      <c r="C449" s="12">
        <v>8500.0</v>
      </c>
      <c r="D449" s="11" t="b">
        <f t="shared" si="104"/>
        <v>1</v>
      </c>
      <c r="E449" s="8" t="s">
        <v>429</v>
      </c>
    </row>
    <row r="450" ht="15.75" customHeight="1">
      <c r="A450" s="11" t="s">
        <v>444</v>
      </c>
      <c r="B450" s="12">
        <v>4990.0</v>
      </c>
      <c r="C450" s="12">
        <v>8500.0</v>
      </c>
      <c r="D450" s="11" t="b">
        <f t="shared" si="104"/>
        <v>1</v>
      </c>
      <c r="E450" s="8" t="s">
        <v>429</v>
      </c>
    </row>
    <row r="451" ht="15.75" customHeight="1">
      <c r="A451" s="11" t="s">
        <v>445</v>
      </c>
      <c r="B451" s="12">
        <v>6000.0</v>
      </c>
      <c r="C451" s="12">
        <v>10500.0</v>
      </c>
      <c r="D451" s="11" t="b">
        <f t="shared" si="104"/>
        <v>1</v>
      </c>
      <c r="E451" s="8" t="s">
        <v>429</v>
      </c>
    </row>
    <row r="452" ht="15.75" customHeight="1">
      <c r="A452" s="11" t="s">
        <v>446</v>
      </c>
      <c r="B452" s="12">
        <v>1650.0</v>
      </c>
      <c r="C452" s="12">
        <v>3000.0</v>
      </c>
      <c r="D452" s="11" t="b">
        <f t="shared" si="104"/>
        <v>1</v>
      </c>
      <c r="E452" s="8" t="s">
        <v>429</v>
      </c>
    </row>
    <row r="453" ht="15.75" customHeight="1">
      <c r="A453" s="11" t="s">
        <v>447</v>
      </c>
      <c r="B453" s="12">
        <v>5800.0</v>
      </c>
      <c r="C453" s="12">
        <v>10500.0</v>
      </c>
      <c r="D453" s="11" t="b">
        <f t="shared" si="104"/>
        <v>1</v>
      </c>
      <c r="E453" s="8" t="s">
        <v>429</v>
      </c>
    </row>
    <row r="454" ht="15.75" customHeight="1">
      <c r="A454" s="11" t="s">
        <v>448</v>
      </c>
      <c r="B454" s="12">
        <v>3500.0</v>
      </c>
      <c r="C454" s="12">
        <v>7000.0</v>
      </c>
      <c r="D454" s="11" t="b">
        <f t="shared" si="104"/>
        <v>1</v>
      </c>
      <c r="E454" s="8" t="s">
        <v>429</v>
      </c>
    </row>
    <row r="455" ht="15.75" customHeight="1">
      <c r="A455" s="9" t="s">
        <v>449</v>
      </c>
      <c r="B455" s="10">
        <v>5800.0</v>
      </c>
      <c r="C455" s="10">
        <v>12000.0</v>
      </c>
      <c r="D455" s="9" t="b">
        <f>false</f>
        <v>0</v>
      </c>
      <c r="E455" s="8" t="s">
        <v>429</v>
      </c>
    </row>
    <row r="456" ht="15.75" customHeight="1">
      <c r="A456" s="11" t="s">
        <v>450</v>
      </c>
      <c r="B456" s="12">
        <v>1650.0</v>
      </c>
      <c r="C456" s="12">
        <v>2500.0</v>
      </c>
      <c r="D456" s="11" t="b">
        <f>true</f>
        <v>1</v>
      </c>
      <c r="E456" s="8" t="s">
        <v>429</v>
      </c>
    </row>
    <row r="457" ht="15.75" customHeight="1">
      <c r="A457" s="9" t="s">
        <v>451</v>
      </c>
      <c r="B457" s="10">
        <v>1800.0</v>
      </c>
      <c r="C457" s="10">
        <v>2700.0</v>
      </c>
      <c r="D457" s="9" t="b">
        <f>false</f>
        <v>0</v>
      </c>
      <c r="E457" s="8" t="s">
        <v>429</v>
      </c>
    </row>
    <row r="458" ht="15.75" customHeight="1">
      <c r="A458" s="11" t="s">
        <v>452</v>
      </c>
      <c r="B458" s="12">
        <v>1500.0</v>
      </c>
      <c r="C458" s="12">
        <v>3000.0</v>
      </c>
      <c r="D458" s="11" t="b">
        <f t="shared" ref="D458:D465" si="105">true</f>
        <v>1</v>
      </c>
      <c r="E458" s="8" t="s">
        <v>429</v>
      </c>
    </row>
    <row r="459" ht="15.75" customHeight="1">
      <c r="A459" s="11" t="s">
        <v>453</v>
      </c>
      <c r="B459" s="12">
        <v>3000.0</v>
      </c>
      <c r="C459" s="12">
        <v>5200.0</v>
      </c>
      <c r="D459" s="11" t="b">
        <f t="shared" si="105"/>
        <v>1</v>
      </c>
      <c r="E459" s="8" t="s">
        <v>429</v>
      </c>
    </row>
    <row r="460" ht="15.75" customHeight="1">
      <c r="A460" s="11" t="s">
        <v>454</v>
      </c>
      <c r="B460" s="12">
        <v>2000.0</v>
      </c>
      <c r="C460" s="12">
        <v>3500.0</v>
      </c>
      <c r="D460" s="11" t="b">
        <f t="shared" si="105"/>
        <v>1</v>
      </c>
      <c r="E460" s="8" t="s">
        <v>429</v>
      </c>
    </row>
    <row r="461" ht="15.75" customHeight="1">
      <c r="A461" s="11" t="s">
        <v>455</v>
      </c>
      <c r="B461" s="12">
        <v>2000.0</v>
      </c>
      <c r="C461" s="12">
        <v>3500.0</v>
      </c>
      <c r="D461" s="11" t="b">
        <f t="shared" si="105"/>
        <v>1</v>
      </c>
      <c r="E461" s="8" t="s">
        <v>429</v>
      </c>
    </row>
    <row r="462" ht="15.75" customHeight="1">
      <c r="A462" s="11" t="s">
        <v>456</v>
      </c>
      <c r="B462" s="12">
        <v>2000.0</v>
      </c>
      <c r="C462" s="12">
        <v>3600.0</v>
      </c>
      <c r="D462" s="11" t="b">
        <f t="shared" si="105"/>
        <v>1</v>
      </c>
      <c r="E462" s="8" t="s">
        <v>429</v>
      </c>
    </row>
    <row r="463" ht="15.75" customHeight="1">
      <c r="A463" s="11" t="s">
        <v>457</v>
      </c>
      <c r="B463" s="12">
        <v>2500.0</v>
      </c>
      <c r="C463" s="12">
        <v>3800.0</v>
      </c>
      <c r="D463" s="11" t="b">
        <f t="shared" si="105"/>
        <v>1</v>
      </c>
      <c r="E463" s="8" t="s">
        <v>429</v>
      </c>
    </row>
    <row r="464" ht="15.75" customHeight="1">
      <c r="A464" s="11" t="s">
        <v>458</v>
      </c>
      <c r="B464" s="12">
        <v>2990.0</v>
      </c>
      <c r="C464" s="12">
        <v>5000.0</v>
      </c>
      <c r="D464" s="11" t="b">
        <f t="shared" si="105"/>
        <v>1</v>
      </c>
      <c r="E464" s="8" t="s">
        <v>429</v>
      </c>
    </row>
    <row r="465" ht="15.75" customHeight="1">
      <c r="A465" s="11" t="s">
        <v>459</v>
      </c>
      <c r="B465" s="12">
        <v>2000.0</v>
      </c>
      <c r="C465" s="12">
        <v>3500.0</v>
      </c>
      <c r="D465" s="11" t="b">
        <f t="shared" si="105"/>
        <v>1</v>
      </c>
      <c r="E465" s="8" t="s">
        <v>429</v>
      </c>
    </row>
    <row r="466" ht="15.75" customHeight="1">
      <c r="A466" s="9" t="s">
        <v>460</v>
      </c>
      <c r="B466" s="10">
        <v>1650.0</v>
      </c>
      <c r="C466" s="10">
        <v>2500.0</v>
      </c>
      <c r="D466" s="9" t="b">
        <f t="shared" ref="D466:D471" si="106">false</f>
        <v>0</v>
      </c>
      <c r="E466" s="8" t="s">
        <v>429</v>
      </c>
    </row>
    <row r="467" ht="15.75" customHeight="1">
      <c r="A467" s="9" t="s">
        <v>461</v>
      </c>
      <c r="B467" s="10">
        <v>2490.0</v>
      </c>
      <c r="C467" s="10">
        <v>4000.0</v>
      </c>
      <c r="D467" s="9" t="b">
        <f t="shared" si="106"/>
        <v>0</v>
      </c>
      <c r="E467" s="8" t="s">
        <v>429</v>
      </c>
    </row>
    <row r="468" ht="15.75" customHeight="1">
      <c r="A468" s="9" t="s">
        <v>462</v>
      </c>
      <c r="B468" s="10">
        <v>2500.0</v>
      </c>
      <c r="C468" s="10">
        <v>4000.0</v>
      </c>
      <c r="D468" s="9" t="b">
        <f t="shared" si="106"/>
        <v>0</v>
      </c>
      <c r="E468" s="8" t="s">
        <v>429</v>
      </c>
    </row>
    <row r="469" ht="15.75" customHeight="1">
      <c r="A469" s="9" t="s">
        <v>463</v>
      </c>
      <c r="B469" s="10">
        <v>1650.0</v>
      </c>
      <c r="C469" s="10">
        <v>3000.0</v>
      </c>
      <c r="D469" s="9" t="b">
        <f t="shared" si="106"/>
        <v>0</v>
      </c>
      <c r="E469" s="8" t="s">
        <v>429</v>
      </c>
    </row>
    <row r="470" ht="15.75" customHeight="1">
      <c r="A470" s="9" t="s">
        <v>464</v>
      </c>
      <c r="B470" s="10">
        <v>2150.0</v>
      </c>
      <c r="C470" s="10">
        <v>3600.0</v>
      </c>
      <c r="D470" s="9" t="b">
        <f t="shared" si="106"/>
        <v>0</v>
      </c>
      <c r="E470" s="8" t="s">
        <v>429</v>
      </c>
    </row>
    <row r="471" ht="15.75" customHeight="1">
      <c r="A471" s="9" t="s">
        <v>465</v>
      </c>
      <c r="B471" s="10">
        <v>2700.0</v>
      </c>
      <c r="C471" s="10">
        <v>5000.0</v>
      </c>
      <c r="D471" s="9" t="b">
        <f t="shared" si="106"/>
        <v>0</v>
      </c>
      <c r="E471" s="8" t="s">
        <v>429</v>
      </c>
    </row>
    <row r="472" ht="15.75" customHeight="1">
      <c r="A472" s="7" t="s">
        <v>466</v>
      </c>
      <c r="B472" s="6">
        <v>333.0</v>
      </c>
      <c r="C472" s="6">
        <v>500.0</v>
      </c>
      <c r="D472" s="11" t="b">
        <f t="shared" ref="D472:D473" si="107">true</f>
        <v>1</v>
      </c>
      <c r="E472" s="8" t="s">
        <v>429</v>
      </c>
    </row>
    <row r="473" ht="15.75" customHeight="1">
      <c r="A473" s="7" t="s">
        <v>467</v>
      </c>
      <c r="B473" s="6">
        <v>600.0</v>
      </c>
      <c r="C473" s="6">
        <v>1200.0</v>
      </c>
      <c r="D473" s="11" t="b">
        <f t="shared" si="107"/>
        <v>1</v>
      </c>
      <c r="E473" s="8" t="s">
        <v>429</v>
      </c>
    </row>
    <row r="474" ht="15.75" customHeight="1">
      <c r="A474" s="9" t="s">
        <v>468</v>
      </c>
      <c r="B474" s="10">
        <v>7000.0</v>
      </c>
      <c r="C474" s="10">
        <v>9000.0</v>
      </c>
      <c r="D474" s="9" t="b">
        <f>false</f>
        <v>0</v>
      </c>
      <c r="E474" s="8" t="s">
        <v>429</v>
      </c>
    </row>
    <row r="475" ht="15.75" customHeight="1">
      <c r="A475" s="7" t="s">
        <v>469</v>
      </c>
      <c r="B475" s="6">
        <v>1990.0</v>
      </c>
      <c r="C475" s="6">
        <v>4000.0</v>
      </c>
      <c r="D475" s="11" t="b">
        <f t="shared" ref="D475:D483" si="108">true</f>
        <v>1</v>
      </c>
      <c r="E475" s="8" t="s">
        <v>429</v>
      </c>
    </row>
    <row r="476" ht="15.75" customHeight="1">
      <c r="A476" s="7" t="s">
        <v>470</v>
      </c>
      <c r="B476" s="6">
        <v>2500.0</v>
      </c>
      <c r="C476" s="6">
        <v>4000.0</v>
      </c>
      <c r="D476" s="11" t="b">
        <f t="shared" si="108"/>
        <v>1</v>
      </c>
      <c r="E476" s="8" t="s">
        <v>429</v>
      </c>
    </row>
    <row r="477" ht="15.75" customHeight="1">
      <c r="A477" s="7" t="s">
        <v>471</v>
      </c>
      <c r="B477" s="6">
        <v>4000.0</v>
      </c>
      <c r="C477" s="6">
        <v>7500.0</v>
      </c>
      <c r="D477" s="11" t="b">
        <f t="shared" si="108"/>
        <v>1</v>
      </c>
      <c r="E477" s="8" t="s">
        <v>429</v>
      </c>
    </row>
    <row r="478" ht="15.75" customHeight="1">
      <c r="A478" s="5" t="s">
        <v>472</v>
      </c>
      <c r="B478" s="6">
        <v>3990.0</v>
      </c>
      <c r="C478" s="6">
        <v>7000.0</v>
      </c>
      <c r="D478" s="11" t="b">
        <f t="shared" si="108"/>
        <v>1</v>
      </c>
      <c r="E478" s="8" t="s">
        <v>429</v>
      </c>
    </row>
    <row r="479" ht="15.75" customHeight="1">
      <c r="A479" s="5" t="s">
        <v>473</v>
      </c>
      <c r="B479" s="6">
        <v>4300.0</v>
      </c>
      <c r="C479" s="6">
        <v>7000.0</v>
      </c>
      <c r="D479" s="11" t="b">
        <f t="shared" si="108"/>
        <v>1</v>
      </c>
      <c r="E479" s="8" t="s">
        <v>429</v>
      </c>
    </row>
    <row r="480" ht="15.75" customHeight="1">
      <c r="A480" s="7" t="s">
        <v>474</v>
      </c>
      <c r="B480" s="6">
        <v>5000.0</v>
      </c>
      <c r="C480" s="6">
        <v>8500.0</v>
      </c>
      <c r="D480" s="11" t="b">
        <f t="shared" si="108"/>
        <v>1</v>
      </c>
      <c r="E480" s="8" t="s">
        <v>429</v>
      </c>
    </row>
    <row r="481" ht="15.75" customHeight="1">
      <c r="A481" s="5" t="s">
        <v>475</v>
      </c>
      <c r="B481" s="6">
        <v>1500.0</v>
      </c>
      <c r="C481" s="6">
        <v>2500.0</v>
      </c>
      <c r="D481" s="11" t="b">
        <f t="shared" si="108"/>
        <v>1</v>
      </c>
      <c r="E481" s="8" t="s">
        <v>429</v>
      </c>
    </row>
    <row r="482" ht="15.75" customHeight="1">
      <c r="A482" s="5" t="s">
        <v>476</v>
      </c>
      <c r="B482" s="6">
        <v>3000.0</v>
      </c>
      <c r="C482" s="6">
        <v>4800.0</v>
      </c>
      <c r="D482" s="11" t="b">
        <f t="shared" si="108"/>
        <v>1</v>
      </c>
      <c r="E482" s="8" t="s">
        <v>429</v>
      </c>
    </row>
    <row r="483" ht="15.75" customHeight="1">
      <c r="A483" s="5" t="s">
        <v>477</v>
      </c>
      <c r="B483" s="6">
        <v>4500.0</v>
      </c>
      <c r="C483" s="6">
        <v>8000.0</v>
      </c>
      <c r="D483" s="11" t="b">
        <f t="shared" si="108"/>
        <v>1</v>
      </c>
      <c r="E483" s="8" t="s">
        <v>429</v>
      </c>
    </row>
    <row r="484" ht="15.75" customHeight="1">
      <c r="A484" s="9" t="s">
        <v>478</v>
      </c>
      <c r="B484" s="10">
        <v>3000.0</v>
      </c>
      <c r="C484" s="10">
        <v>5000.0</v>
      </c>
      <c r="D484" s="9" t="b">
        <f t="shared" ref="D484:D485" si="109">false</f>
        <v>0</v>
      </c>
      <c r="E484" s="8" t="s">
        <v>429</v>
      </c>
    </row>
    <row r="485" ht="15.75" customHeight="1">
      <c r="A485" s="9" t="s">
        <v>479</v>
      </c>
      <c r="B485" s="10">
        <v>3590.0</v>
      </c>
      <c r="C485" s="10">
        <v>5000.0</v>
      </c>
      <c r="D485" s="9" t="b">
        <f t="shared" si="109"/>
        <v>0</v>
      </c>
      <c r="E485" s="8" t="s">
        <v>429</v>
      </c>
    </row>
    <row r="486" ht="15.75" customHeight="1">
      <c r="A486" s="7" t="s">
        <v>480</v>
      </c>
      <c r="B486" s="6">
        <v>2900.0</v>
      </c>
      <c r="C486" s="6">
        <v>4000.0</v>
      </c>
      <c r="D486" s="11" t="b">
        <f t="shared" ref="D486:D487" si="110">true</f>
        <v>1</v>
      </c>
      <c r="E486" s="8" t="s">
        <v>429</v>
      </c>
    </row>
    <row r="487" ht="15.75" customHeight="1">
      <c r="A487" s="5" t="s">
        <v>481</v>
      </c>
      <c r="B487" s="6">
        <v>1800.0</v>
      </c>
      <c r="C487" s="6">
        <v>4000.0</v>
      </c>
      <c r="D487" s="11" t="b">
        <f t="shared" si="110"/>
        <v>1</v>
      </c>
      <c r="E487" s="8" t="s">
        <v>429</v>
      </c>
    </row>
    <row r="488" ht="15.75" customHeight="1">
      <c r="A488" s="9" t="s">
        <v>482</v>
      </c>
      <c r="B488" s="10">
        <v>1580.0</v>
      </c>
      <c r="C488" s="10">
        <v>4000.0</v>
      </c>
      <c r="D488" s="9" t="b">
        <f>false</f>
        <v>0</v>
      </c>
      <c r="E488" s="8" t="s">
        <v>429</v>
      </c>
    </row>
    <row r="489" ht="15.75" customHeight="1">
      <c r="A489" s="5" t="s">
        <v>482</v>
      </c>
      <c r="B489" s="6">
        <v>2000.0</v>
      </c>
      <c r="C489" s="6">
        <v>4000.0</v>
      </c>
      <c r="D489" s="11" t="b">
        <f t="shared" ref="D489:D491" si="111">true</f>
        <v>1</v>
      </c>
      <c r="E489" s="8" t="s">
        <v>429</v>
      </c>
    </row>
    <row r="490" ht="15.75" customHeight="1">
      <c r="A490" s="5" t="s">
        <v>483</v>
      </c>
      <c r="B490" s="6">
        <v>1000.0</v>
      </c>
      <c r="C490" s="6">
        <v>2300.0</v>
      </c>
      <c r="D490" s="11" t="b">
        <f t="shared" si="111"/>
        <v>1</v>
      </c>
      <c r="E490" s="8" t="s">
        <v>429</v>
      </c>
    </row>
    <row r="491" ht="15.75" customHeight="1">
      <c r="A491" s="5" t="s">
        <v>484</v>
      </c>
      <c r="B491" s="6">
        <v>2000.0</v>
      </c>
      <c r="C491" s="6">
        <v>5000.0</v>
      </c>
      <c r="D491" s="11" t="b">
        <f t="shared" si="111"/>
        <v>1</v>
      </c>
      <c r="E491" s="8" t="s">
        <v>429</v>
      </c>
    </row>
    <row r="492" ht="15.75" customHeight="1">
      <c r="A492" s="9" t="s">
        <v>485</v>
      </c>
      <c r="B492" s="10">
        <v>4500.0</v>
      </c>
      <c r="C492" s="10">
        <v>7000.0</v>
      </c>
      <c r="D492" s="9" t="b">
        <f>false</f>
        <v>0</v>
      </c>
      <c r="E492" s="8" t="s">
        <v>429</v>
      </c>
    </row>
    <row r="493" ht="15.75" customHeight="1">
      <c r="A493" s="11" t="s">
        <v>486</v>
      </c>
      <c r="B493" s="12">
        <v>2500.0</v>
      </c>
      <c r="C493" s="12">
        <v>4000.0</v>
      </c>
      <c r="D493" s="11" t="b">
        <f>true</f>
        <v>1</v>
      </c>
      <c r="E493" s="8" t="s">
        <v>429</v>
      </c>
    </row>
    <row r="494" ht="15.75" customHeight="1">
      <c r="A494" s="9" t="s">
        <v>487</v>
      </c>
      <c r="B494" s="10">
        <v>2000.0</v>
      </c>
      <c r="C494" s="10">
        <v>4000.0</v>
      </c>
      <c r="D494" s="9" t="b">
        <f t="shared" ref="D494:D498" si="112">false</f>
        <v>0</v>
      </c>
      <c r="E494" s="8" t="s">
        <v>429</v>
      </c>
    </row>
    <row r="495" ht="15.75" customHeight="1">
      <c r="A495" s="9" t="s">
        <v>487</v>
      </c>
      <c r="B495" s="10">
        <v>2000.0</v>
      </c>
      <c r="C495" s="10">
        <v>4000.0</v>
      </c>
      <c r="D495" s="9" t="b">
        <f t="shared" si="112"/>
        <v>0</v>
      </c>
      <c r="E495" s="8" t="s">
        <v>429</v>
      </c>
    </row>
    <row r="496" ht="15.75" customHeight="1">
      <c r="A496" s="9" t="s">
        <v>488</v>
      </c>
      <c r="B496" s="10">
        <v>2500.0</v>
      </c>
      <c r="C496" s="10">
        <v>4500.0</v>
      </c>
      <c r="D496" s="9" t="b">
        <f t="shared" si="112"/>
        <v>0</v>
      </c>
      <c r="E496" s="8" t="s">
        <v>429</v>
      </c>
    </row>
    <row r="497" ht="15.75" customHeight="1">
      <c r="A497" s="9" t="s">
        <v>489</v>
      </c>
      <c r="B497" s="10">
        <v>700.0</v>
      </c>
      <c r="C497" s="10">
        <v>2000.0</v>
      </c>
      <c r="D497" s="9" t="b">
        <f t="shared" si="112"/>
        <v>0</v>
      </c>
      <c r="E497" s="8" t="s">
        <v>429</v>
      </c>
    </row>
    <row r="498" ht="15.75" customHeight="1">
      <c r="A498" s="9" t="s">
        <v>490</v>
      </c>
      <c r="B498" s="10">
        <v>3000.0</v>
      </c>
      <c r="C498" s="10">
        <v>5000.0</v>
      </c>
      <c r="D498" s="9" t="b">
        <f t="shared" si="112"/>
        <v>0</v>
      </c>
      <c r="E498" s="8" t="s">
        <v>429</v>
      </c>
    </row>
    <row r="499" ht="15.75" customHeight="1">
      <c r="A499" s="7" t="s">
        <v>491</v>
      </c>
      <c r="B499" s="6">
        <v>1990.0</v>
      </c>
      <c r="C499" s="6">
        <v>3500.0</v>
      </c>
      <c r="D499" s="11" t="b">
        <f t="shared" ref="D499:D500" si="113">true</f>
        <v>1</v>
      </c>
      <c r="E499" s="8" t="s">
        <v>429</v>
      </c>
    </row>
    <row r="500" ht="15.75" customHeight="1">
      <c r="A500" s="5" t="s">
        <v>492</v>
      </c>
      <c r="B500" s="6">
        <v>2500.0</v>
      </c>
      <c r="C500" s="6">
        <v>3900.0</v>
      </c>
      <c r="D500" s="11" t="b">
        <f t="shared" si="113"/>
        <v>1</v>
      </c>
      <c r="E500" s="8" t="s">
        <v>429</v>
      </c>
    </row>
    <row r="501" ht="15.75" customHeight="1">
      <c r="A501" s="9" t="s">
        <v>493</v>
      </c>
      <c r="B501" s="10">
        <v>3500.0</v>
      </c>
      <c r="C501" s="10">
        <v>5500.0</v>
      </c>
      <c r="D501" s="9" t="b">
        <f>false</f>
        <v>0</v>
      </c>
      <c r="E501" s="8" t="s">
        <v>429</v>
      </c>
    </row>
    <row r="502" ht="15.75" customHeight="1">
      <c r="A502" s="5" t="s">
        <v>494</v>
      </c>
      <c r="B502" s="6">
        <v>2500.0</v>
      </c>
      <c r="C502" s="6">
        <v>3800.0</v>
      </c>
      <c r="D502" s="11" t="b">
        <f>true</f>
        <v>1</v>
      </c>
      <c r="E502" s="8" t="s">
        <v>429</v>
      </c>
    </row>
    <row r="503" ht="15.75" customHeight="1">
      <c r="A503" s="9" t="s">
        <v>495</v>
      </c>
      <c r="B503" s="10">
        <v>2200.0</v>
      </c>
      <c r="C503" s="10">
        <v>3000.0</v>
      </c>
      <c r="D503" s="9" t="b">
        <f t="shared" ref="D503:D504" si="114">false</f>
        <v>0</v>
      </c>
      <c r="E503" s="8" t="s">
        <v>429</v>
      </c>
    </row>
    <row r="504" ht="15.75" customHeight="1">
      <c r="A504" s="9" t="s">
        <v>496</v>
      </c>
      <c r="B504" s="10">
        <v>1350.0</v>
      </c>
      <c r="C504" s="10">
        <v>2200.0</v>
      </c>
      <c r="D504" s="9" t="b">
        <f t="shared" si="114"/>
        <v>0</v>
      </c>
      <c r="E504" s="8" t="s">
        <v>429</v>
      </c>
    </row>
    <row r="505" ht="15.75" customHeight="1">
      <c r="A505" s="11" t="s">
        <v>497</v>
      </c>
      <c r="B505" s="12">
        <v>475.0</v>
      </c>
      <c r="C505" s="12">
        <v>1200.0</v>
      </c>
      <c r="D505" s="11" t="b">
        <f t="shared" ref="D505:D518" si="115">true</f>
        <v>1</v>
      </c>
      <c r="E505" s="8" t="s">
        <v>429</v>
      </c>
    </row>
    <row r="506" ht="15.75" customHeight="1">
      <c r="A506" s="11" t="s">
        <v>498</v>
      </c>
      <c r="B506" s="12">
        <v>380.0</v>
      </c>
      <c r="C506" s="12">
        <v>1200.0</v>
      </c>
      <c r="D506" s="11" t="b">
        <f t="shared" si="115"/>
        <v>1</v>
      </c>
      <c r="E506" s="8" t="s">
        <v>429</v>
      </c>
    </row>
    <row r="507" ht="15.75" customHeight="1">
      <c r="A507" s="11" t="s">
        <v>499</v>
      </c>
      <c r="B507" s="12">
        <v>95.0</v>
      </c>
      <c r="C507" s="12">
        <v>500.0</v>
      </c>
      <c r="D507" s="11" t="b">
        <f t="shared" si="115"/>
        <v>1</v>
      </c>
      <c r="E507" s="8" t="s">
        <v>429</v>
      </c>
    </row>
    <row r="508" ht="15.75" customHeight="1">
      <c r="A508" s="11" t="s">
        <v>500</v>
      </c>
      <c r="B508" s="12">
        <v>238.0</v>
      </c>
      <c r="C508" s="12">
        <v>700.0</v>
      </c>
      <c r="D508" s="11" t="b">
        <f t="shared" si="115"/>
        <v>1</v>
      </c>
      <c r="E508" s="8" t="s">
        <v>429</v>
      </c>
    </row>
    <row r="509" ht="15.75" customHeight="1">
      <c r="A509" s="11" t="s">
        <v>501</v>
      </c>
      <c r="B509" s="12">
        <v>190.0</v>
      </c>
      <c r="C509" s="12">
        <v>700.0</v>
      </c>
      <c r="D509" s="11" t="b">
        <f t="shared" si="115"/>
        <v>1</v>
      </c>
      <c r="E509" s="8" t="s">
        <v>429</v>
      </c>
    </row>
    <row r="510" ht="15.75" customHeight="1">
      <c r="A510" s="11" t="s">
        <v>502</v>
      </c>
      <c r="B510" s="12">
        <v>190.0</v>
      </c>
      <c r="C510" s="12">
        <v>700.0</v>
      </c>
      <c r="D510" s="11" t="b">
        <f t="shared" si="115"/>
        <v>1</v>
      </c>
      <c r="E510" s="8" t="s">
        <v>429</v>
      </c>
    </row>
    <row r="511" ht="15.75" customHeight="1">
      <c r="A511" s="11" t="s">
        <v>503</v>
      </c>
      <c r="B511" s="12">
        <v>120.0</v>
      </c>
      <c r="C511" s="12">
        <v>600.0</v>
      </c>
      <c r="D511" s="11" t="b">
        <f t="shared" si="115"/>
        <v>1</v>
      </c>
      <c r="E511" s="8" t="s">
        <v>429</v>
      </c>
    </row>
    <row r="512" ht="15.75" customHeight="1">
      <c r="A512" s="5" t="s">
        <v>504</v>
      </c>
      <c r="B512" s="6">
        <v>600.0</v>
      </c>
      <c r="C512" s="6">
        <v>800.0</v>
      </c>
      <c r="D512" s="11" t="b">
        <f t="shared" si="115"/>
        <v>1</v>
      </c>
      <c r="E512" s="8" t="s">
        <v>429</v>
      </c>
    </row>
    <row r="513" ht="15.75" customHeight="1">
      <c r="A513" s="5" t="s">
        <v>505</v>
      </c>
      <c r="B513" s="6">
        <v>500.0</v>
      </c>
      <c r="C513" s="6">
        <v>800.0</v>
      </c>
      <c r="D513" s="11" t="b">
        <f t="shared" si="115"/>
        <v>1</v>
      </c>
      <c r="E513" s="8" t="s">
        <v>429</v>
      </c>
    </row>
    <row r="514" ht="15.75" customHeight="1">
      <c r="A514" s="5" t="s">
        <v>506</v>
      </c>
      <c r="B514" s="6">
        <v>890.12</v>
      </c>
      <c r="C514" s="6">
        <v>1500.0</v>
      </c>
      <c r="D514" s="11" t="b">
        <f t="shared" si="115"/>
        <v>1</v>
      </c>
      <c r="E514" s="8" t="s">
        <v>429</v>
      </c>
    </row>
    <row r="515" ht="15.75" customHeight="1">
      <c r="A515" s="5" t="s">
        <v>507</v>
      </c>
      <c r="B515" s="6">
        <v>990.0</v>
      </c>
      <c r="C515" s="6">
        <v>1500.0</v>
      </c>
      <c r="D515" s="11" t="b">
        <f t="shared" si="115"/>
        <v>1</v>
      </c>
      <c r="E515" s="8" t="s">
        <v>429</v>
      </c>
    </row>
    <row r="516" ht="15.75" customHeight="1">
      <c r="A516" s="5" t="s">
        <v>508</v>
      </c>
      <c r="B516" s="6">
        <v>240.0</v>
      </c>
      <c r="C516" s="6">
        <v>800.0</v>
      </c>
      <c r="D516" s="11" t="b">
        <f t="shared" si="115"/>
        <v>1</v>
      </c>
      <c r="E516" s="8" t="s">
        <v>429</v>
      </c>
    </row>
    <row r="517" ht="15.75" customHeight="1">
      <c r="A517" s="5" t="s">
        <v>509</v>
      </c>
      <c r="B517" s="6">
        <v>300.0</v>
      </c>
      <c r="C517" s="6">
        <v>1000.0</v>
      </c>
      <c r="D517" s="11" t="b">
        <f t="shared" si="115"/>
        <v>1</v>
      </c>
      <c r="E517" s="8" t="s">
        <v>429</v>
      </c>
    </row>
    <row r="518" ht="15.75" customHeight="1">
      <c r="A518" s="5" t="s">
        <v>510</v>
      </c>
      <c r="B518" s="6">
        <v>310.0</v>
      </c>
      <c r="C518" s="6">
        <v>1000.0</v>
      </c>
      <c r="D518" s="11" t="b">
        <f t="shared" si="115"/>
        <v>1</v>
      </c>
      <c r="E518" s="8" t="s">
        <v>429</v>
      </c>
    </row>
    <row r="519" ht="15.75" customHeight="1">
      <c r="A519" s="9" t="s">
        <v>511</v>
      </c>
      <c r="B519" s="10">
        <v>900.0</v>
      </c>
      <c r="C519" s="10">
        <v>1500.0</v>
      </c>
      <c r="D519" s="9" t="b">
        <f t="shared" ref="D519:D521" si="116">false</f>
        <v>0</v>
      </c>
      <c r="E519" s="8" t="s">
        <v>429</v>
      </c>
    </row>
    <row r="520" ht="15.75" customHeight="1">
      <c r="A520" s="9" t="s">
        <v>512</v>
      </c>
      <c r="B520" s="10">
        <v>1000.0</v>
      </c>
      <c r="C520" s="10">
        <v>1500.0</v>
      </c>
      <c r="D520" s="9" t="b">
        <f t="shared" si="116"/>
        <v>0</v>
      </c>
      <c r="E520" s="8" t="s">
        <v>429</v>
      </c>
    </row>
    <row r="521" ht="15.75" customHeight="1">
      <c r="A521" s="9" t="s">
        <v>513</v>
      </c>
      <c r="B521" s="10">
        <v>1050.0</v>
      </c>
      <c r="C521" s="10">
        <v>2000.0</v>
      </c>
      <c r="D521" s="9" t="b">
        <f t="shared" si="116"/>
        <v>0</v>
      </c>
      <c r="E521" s="8" t="s">
        <v>429</v>
      </c>
    </row>
    <row r="522" ht="15.75" customHeight="1">
      <c r="A522" s="11" t="s">
        <v>514</v>
      </c>
      <c r="B522" s="12">
        <v>2150.0</v>
      </c>
      <c r="C522" s="12">
        <v>4000.0</v>
      </c>
      <c r="D522" s="11" t="b">
        <f t="shared" ref="D522:D525" si="117">true</f>
        <v>1</v>
      </c>
      <c r="E522" s="8" t="s">
        <v>429</v>
      </c>
    </row>
    <row r="523" ht="15.75" customHeight="1">
      <c r="A523" s="11" t="s">
        <v>515</v>
      </c>
      <c r="B523" s="12">
        <v>2150.0</v>
      </c>
      <c r="C523" s="12">
        <v>4000.0</v>
      </c>
      <c r="D523" s="11" t="b">
        <f t="shared" si="117"/>
        <v>1</v>
      </c>
      <c r="E523" s="8" t="s">
        <v>429</v>
      </c>
    </row>
    <row r="524" ht="15.75" customHeight="1">
      <c r="A524" s="11" t="s">
        <v>516</v>
      </c>
      <c r="B524" s="12">
        <v>2000.0</v>
      </c>
      <c r="C524" s="12">
        <v>3000.0</v>
      </c>
      <c r="D524" s="11" t="b">
        <f t="shared" si="117"/>
        <v>1</v>
      </c>
      <c r="E524" s="8" t="s">
        <v>429</v>
      </c>
    </row>
    <row r="525" ht="15.75" customHeight="1">
      <c r="A525" s="11" t="s">
        <v>517</v>
      </c>
      <c r="B525" s="12">
        <v>855.0</v>
      </c>
      <c r="C525" s="12">
        <v>3000.0</v>
      </c>
      <c r="D525" s="11" t="b">
        <f t="shared" si="117"/>
        <v>1</v>
      </c>
      <c r="E525" s="8" t="s">
        <v>429</v>
      </c>
    </row>
    <row r="526" ht="15.75" customHeight="1">
      <c r="A526" s="9" t="s">
        <v>518</v>
      </c>
      <c r="B526" s="10">
        <v>930.0</v>
      </c>
      <c r="C526" s="10">
        <v>2200.0</v>
      </c>
      <c r="D526" s="9" t="b">
        <f>false</f>
        <v>0</v>
      </c>
      <c r="E526" s="8" t="s">
        <v>429</v>
      </c>
    </row>
    <row r="527" ht="15.75" customHeight="1">
      <c r="A527" s="5" t="s">
        <v>519</v>
      </c>
      <c r="B527" s="6">
        <v>930.0</v>
      </c>
      <c r="C527" s="6">
        <v>2000.0</v>
      </c>
      <c r="D527" s="11" t="b">
        <f>true</f>
        <v>1</v>
      </c>
      <c r="E527" s="8" t="s">
        <v>429</v>
      </c>
    </row>
    <row r="528" ht="15.75" customHeight="1">
      <c r="A528" s="9" t="s">
        <v>520</v>
      </c>
      <c r="B528" s="10">
        <v>800.0</v>
      </c>
      <c r="C528" s="10">
        <v>2000.0</v>
      </c>
      <c r="D528" s="9" t="b">
        <f t="shared" ref="D528:D534" si="118">false</f>
        <v>0</v>
      </c>
      <c r="E528" s="8" t="s">
        <v>429</v>
      </c>
    </row>
    <row r="529" ht="15.75" customHeight="1">
      <c r="A529" s="9" t="s">
        <v>521</v>
      </c>
      <c r="B529" s="10">
        <v>420.0</v>
      </c>
      <c r="C529" s="10">
        <v>1000.0</v>
      </c>
      <c r="D529" s="9" t="b">
        <f t="shared" si="118"/>
        <v>0</v>
      </c>
      <c r="E529" s="8" t="s">
        <v>429</v>
      </c>
    </row>
    <row r="530" ht="15.75" customHeight="1">
      <c r="A530" s="9" t="s">
        <v>522</v>
      </c>
      <c r="B530" s="10">
        <v>850.0</v>
      </c>
      <c r="C530" s="10">
        <v>1500.0</v>
      </c>
      <c r="D530" s="9" t="b">
        <f t="shared" si="118"/>
        <v>0</v>
      </c>
      <c r="E530" s="8" t="s">
        <v>429</v>
      </c>
    </row>
    <row r="531" ht="15.75" customHeight="1">
      <c r="A531" s="9" t="s">
        <v>523</v>
      </c>
      <c r="B531" s="10">
        <v>850.0</v>
      </c>
      <c r="C531" s="10">
        <v>1500.0</v>
      </c>
      <c r="D531" s="9" t="b">
        <f t="shared" si="118"/>
        <v>0</v>
      </c>
      <c r="E531" s="8" t="s">
        <v>429</v>
      </c>
    </row>
    <row r="532" ht="15.75" customHeight="1">
      <c r="A532" s="9" t="s">
        <v>524</v>
      </c>
      <c r="B532" s="10">
        <v>500.0</v>
      </c>
      <c r="C532" s="10">
        <v>1500.0</v>
      </c>
      <c r="D532" s="9" t="b">
        <f t="shared" si="118"/>
        <v>0</v>
      </c>
      <c r="E532" s="8" t="s">
        <v>429</v>
      </c>
    </row>
    <row r="533" ht="15.75" customHeight="1">
      <c r="A533" s="9" t="s">
        <v>525</v>
      </c>
      <c r="B533" s="10">
        <v>600.0</v>
      </c>
      <c r="C533" s="10">
        <v>1200.0</v>
      </c>
      <c r="D533" s="9" t="b">
        <f t="shared" si="118"/>
        <v>0</v>
      </c>
      <c r="E533" s="8" t="s">
        <v>429</v>
      </c>
    </row>
    <row r="534" ht="15.75" customHeight="1">
      <c r="A534" s="9" t="s">
        <v>526</v>
      </c>
      <c r="B534" s="10">
        <v>2340.0</v>
      </c>
      <c r="C534" s="10">
        <v>4000.0</v>
      </c>
      <c r="D534" s="9" t="b">
        <f t="shared" si="118"/>
        <v>0</v>
      </c>
      <c r="E534" s="8" t="s">
        <v>429</v>
      </c>
    </row>
    <row r="535" ht="15.75" customHeight="1">
      <c r="A535" s="5" t="s">
        <v>527</v>
      </c>
      <c r="B535" s="6">
        <v>750.0</v>
      </c>
      <c r="C535" s="6">
        <v>1000.0</v>
      </c>
      <c r="D535" s="11" t="b">
        <f t="shared" ref="D535:D540" si="119">true</f>
        <v>1</v>
      </c>
      <c r="E535" s="8" t="s">
        <v>429</v>
      </c>
    </row>
    <row r="536" ht="15.75" customHeight="1">
      <c r="A536" s="5" t="s">
        <v>528</v>
      </c>
      <c r="B536" s="6">
        <v>1000.0</v>
      </c>
      <c r="C536" s="6">
        <v>1500.0</v>
      </c>
      <c r="D536" s="11" t="b">
        <f t="shared" si="119"/>
        <v>1</v>
      </c>
      <c r="E536" s="8" t="s">
        <v>429</v>
      </c>
    </row>
    <row r="537" ht="15.75" customHeight="1">
      <c r="A537" s="11" t="s">
        <v>529</v>
      </c>
      <c r="B537" s="6">
        <v>170.0</v>
      </c>
      <c r="C537" s="6">
        <v>500.0</v>
      </c>
      <c r="D537" s="11" t="b">
        <f t="shared" si="119"/>
        <v>1</v>
      </c>
      <c r="E537" s="8" t="s">
        <v>429</v>
      </c>
    </row>
    <row r="538" ht="15.75" customHeight="1">
      <c r="A538" s="11" t="s">
        <v>530</v>
      </c>
      <c r="B538" s="6">
        <v>500.0</v>
      </c>
      <c r="C538" s="6">
        <v>1500.0</v>
      </c>
      <c r="D538" s="11" t="b">
        <f t="shared" si="119"/>
        <v>1</v>
      </c>
      <c r="E538" s="8" t="s">
        <v>429</v>
      </c>
    </row>
    <row r="539" ht="15.75" customHeight="1">
      <c r="A539" s="11" t="s">
        <v>531</v>
      </c>
      <c r="B539" s="6">
        <v>380.0</v>
      </c>
      <c r="C539" s="6">
        <v>1200.0</v>
      </c>
      <c r="D539" s="11" t="b">
        <f t="shared" si="119"/>
        <v>1</v>
      </c>
      <c r="E539" s="8" t="s">
        <v>429</v>
      </c>
    </row>
    <row r="540" ht="15.75" customHeight="1">
      <c r="A540" s="5" t="s">
        <v>532</v>
      </c>
      <c r="B540" s="6">
        <v>1090.0</v>
      </c>
      <c r="C540" s="6">
        <v>2000.0</v>
      </c>
      <c r="D540" s="11" t="b">
        <f t="shared" si="119"/>
        <v>1</v>
      </c>
      <c r="E540" s="8" t="s">
        <v>429</v>
      </c>
    </row>
    <row r="541" ht="15.75" customHeight="1">
      <c r="A541" s="9" t="s">
        <v>533</v>
      </c>
      <c r="B541" s="10">
        <v>3000.0</v>
      </c>
      <c r="C541" s="10">
        <v>5000.0</v>
      </c>
      <c r="D541" s="9" t="b">
        <f t="shared" ref="D541:D543" si="120">false</f>
        <v>0</v>
      </c>
      <c r="E541" s="8" t="s">
        <v>429</v>
      </c>
    </row>
    <row r="542" ht="15.75" customHeight="1">
      <c r="A542" s="9" t="s">
        <v>533</v>
      </c>
      <c r="B542" s="10">
        <v>3000.0</v>
      </c>
      <c r="C542" s="10">
        <v>5000.0</v>
      </c>
      <c r="D542" s="9" t="b">
        <f t="shared" si="120"/>
        <v>0</v>
      </c>
      <c r="E542" s="8" t="s">
        <v>429</v>
      </c>
    </row>
    <row r="543" ht="15.75" customHeight="1">
      <c r="A543" s="9" t="s">
        <v>534</v>
      </c>
      <c r="B543" s="10">
        <v>700.0</v>
      </c>
      <c r="C543" s="10">
        <v>1200.0</v>
      </c>
      <c r="D543" s="9" t="b">
        <f t="shared" si="120"/>
        <v>0</v>
      </c>
      <c r="E543" s="8" t="s">
        <v>429</v>
      </c>
    </row>
    <row r="544" ht="15.75" customHeight="1">
      <c r="A544" s="5" t="s">
        <v>535</v>
      </c>
      <c r="B544" s="6">
        <v>500.0</v>
      </c>
      <c r="C544" s="6">
        <v>1200.0</v>
      </c>
      <c r="D544" s="11" t="b">
        <f t="shared" ref="D544:D546" si="121">true</f>
        <v>1</v>
      </c>
      <c r="E544" s="8" t="s">
        <v>429</v>
      </c>
    </row>
    <row r="545" ht="15.75" customHeight="1">
      <c r="A545" s="5" t="s">
        <v>536</v>
      </c>
      <c r="B545" s="6">
        <v>900.0</v>
      </c>
      <c r="C545" s="6">
        <v>2000.0</v>
      </c>
      <c r="D545" s="11" t="b">
        <f t="shared" si="121"/>
        <v>1</v>
      </c>
      <c r="E545" s="8" t="s">
        <v>429</v>
      </c>
    </row>
    <row r="546" ht="15.75" customHeight="1">
      <c r="A546" s="5" t="s">
        <v>537</v>
      </c>
      <c r="B546" s="6">
        <v>1700.0</v>
      </c>
      <c r="C546" s="6">
        <v>3500.0</v>
      </c>
      <c r="D546" s="11" t="b">
        <f t="shared" si="121"/>
        <v>1</v>
      </c>
      <c r="E546" s="8" t="s">
        <v>429</v>
      </c>
    </row>
    <row r="547" ht="15.75" customHeight="1">
      <c r="A547" s="9" t="s">
        <v>538</v>
      </c>
      <c r="B547" s="10">
        <v>2200.0</v>
      </c>
      <c r="C547" s="10">
        <v>3800.0</v>
      </c>
      <c r="D547" s="9" t="b">
        <f t="shared" ref="D547:D548" si="122">false</f>
        <v>0</v>
      </c>
      <c r="E547" s="8" t="s">
        <v>429</v>
      </c>
    </row>
    <row r="548" ht="15.75" customHeight="1">
      <c r="A548" s="9" t="s">
        <v>539</v>
      </c>
      <c r="B548" s="10">
        <v>1500.0</v>
      </c>
      <c r="C548" s="10">
        <v>3000.0</v>
      </c>
      <c r="D548" s="9" t="b">
        <f t="shared" si="122"/>
        <v>0</v>
      </c>
      <c r="E548" s="8" t="s">
        <v>429</v>
      </c>
    </row>
    <row r="549" ht="15.75" customHeight="1">
      <c r="A549" s="11" t="s">
        <v>540</v>
      </c>
      <c r="B549" s="12">
        <v>500.0</v>
      </c>
      <c r="C549" s="12">
        <v>1000.0</v>
      </c>
      <c r="D549" s="11" t="b">
        <f t="shared" ref="D549:D550" si="123">true</f>
        <v>1</v>
      </c>
      <c r="E549" s="8" t="s">
        <v>429</v>
      </c>
    </row>
    <row r="550" ht="15.75" customHeight="1">
      <c r="A550" s="11" t="s">
        <v>541</v>
      </c>
      <c r="B550" s="12">
        <v>700.0</v>
      </c>
      <c r="C550" s="12">
        <v>1200.0</v>
      </c>
      <c r="D550" s="11" t="b">
        <f t="shared" si="123"/>
        <v>1</v>
      </c>
      <c r="E550" s="8" t="s">
        <v>429</v>
      </c>
    </row>
    <row r="551" ht="15.75" customHeight="1">
      <c r="A551" s="9" t="s">
        <v>542</v>
      </c>
      <c r="B551" s="10">
        <v>2000.0</v>
      </c>
      <c r="C551" s="10">
        <v>3500.0</v>
      </c>
      <c r="D551" s="9" t="b">
        <f t="shared" ref="D551:D553" si="124">false</f>
        <v>0</v>
      </c>
      <c r="E551" s="8" t="s">
        <v>429</v>
      </c>
    </row>
    <row r="552" ht="15.75" customHeight="1">
      <c r="A552" s="9" t="s">
        <v>543</v>
      </c>
      <c r="B552" s="10">
        <v>5000.0</v>
      </c>
      <c r="C552" s="10">
        <v>8000.0</v>
      </c>
      <c r="D552" s="9" t="b">
        <f t="shared" si="124"/>
        <v>0</v>
      </c>
      <c r="E552" s="8" t="s">
        <v>429</v>
      </c>
    </row>
    <row r="553" ht="15.75" customHeight="1">
      <c r="A553" s="9" t="s">
        <v>544</v>
      </c>
      <c r="B553" s="10">
        <v>3150.0</v>
      </c>
      <c r="C553" s="10">
        <v>4000.0</v>
      </c>
      <c r="D553" s="9" t="b">
        <f t="shared" si="124"/>
        <v>0</v>
      </c>
      <c r="E553" s="8" t="s">
        <v>429</v>
      </c>
    </row>
    <row r="554" ht="15.75" customHeight="1">
      <c r="A554" s="5" t="s">
        <v>545</v>
      </c>
      <c r="B554" s="6">
        <v>2200.0</v>
      </c>
      <c r="C554" s="6">
        <v>4500.0</v>
      </c>
      <c r="D554" s="11" t="b">
        <f>true</f>
        <v>1</v>
      </c>
      <c r="E554" s="8" t="s">
        <v>429</v>
      </c>
    </row>
    <row r="555" ht="15.75" customHeight="1">
      <c r="A555" s="9" t="s">
        <v>546</v>
      </c>
      <c r="B555" s="10">
        <v>1780.0</v>
      </c>
      <c r="C555" s="10">
        <v>3000.0</v>
      </c>
      <c r="D555" s="9" t="b">
        <f t="shared" ref="D555:D558" si="125">false</f>
        <v>0</v>
      </c>
      <c r="E555" s="8" t="s">
        <v>429</v>
      </c>
    </row>
    <row r="556" ht="15.75" customHeight="1">
      <c r="A556" s="9" t="s">
        <v>547</v>
      </c>
      <c r="B556" s="10">
        <v>500.0</v>
      </c>
      <c r="C556" s="10">
        <v>800.0</v>
      </c>
      <c r="D556" s="9" t="b">
        <f t="shared" si="125"/>
        <v>0</v>
      </c>
      <c r="E556" s="8" t="s">
        <v>429</v>
      </c>
    </row>
    <row r="557" ht="15.75" customHeight="1">
      <c r="A557" s="9" t="s">
        <v>548</v>
      </c>
      <c r="B557" s="10">
        <v>420.0</v>
      </c>
      <c r="C557" s="10">
        <v>1000.0</v>
      </c>
      <c r="D557" s="9" t="b">
        <f t="shared" si="125"/>
        <v>0</v>
      </c>
      <c r="E557" s="8" t="s">
        <v>429</v>
      </c>
    </row>
    <row r="558" ht="15.75" customHeight="1">
      <c r="A558" s="9" t="s">
        <v>549</v>
      </c>
      <c r="B558" s="10">
        <v>250.0</v>
      </c>
      <c r="C558" s="10">
        <v>800.0</v>
      </c>
      <c r="D558" s="9" t="b">
        <f t="shared" si="125"/>
        <v>0</v>
      </c>
      <c r="E558" s="8" t="s">
        <v>429</v>
      </c>
    </row>
    <row r="559" ht="15.75" customHeight="1">
      <c r="A559" s="11" t="s">
        <v>550</v>
      </c>
      <c r="B559" s="12">
        <v>590.0</v>
      </c>
      <c r="C559" s="12">
        <v>1000.0</v>
      </c>
      <c r="D559" s="11" t="b">
        <f>true</f>
        <v>1</v>
      </c>
      <c r="E559" s="8" t="s">
        <v>429</v>
      </c>
    </row>
    <row r="560" ht="15.75" customHeight="1">
      <c r="A560" s="9" t="s">
        <v>551</v>
      </c>
      <c r="B560" s="10">
        <v>1431.0</v>
      </c>
      <c r="C560" s="10">
        <v>2700.0</v>
      </c>
      <c r="D560" s="9" t="b">
        <f t="shared" ref="D560:D561" si="126">false</f>
        <v>0</v>
      </c>
      <c r="E560" s="8" t="s">
        <v>429</v>
      </c>
    </row>
    <row r="561" ht="15.75" customHeight="1">
      <c r="A561" s="9" t="s">
        <v>552</v>
      </c>
      <c r="B561" s="10">
        <v>2200.0</v>
      </c>
      <c r="C561" s="10">
        <v>3500.0</v>
      </c>
      <c r="D561" s="9" t="b">
        <f t="shared" si="126"/>
        <v>0</v>
      </c>
      <c r="E561" s="8" t="s">
        <v>429</v>
      </c>
    </row>
    <row r="562" ht="15.75" customHeight="1">
      <c r="A562" s="11" t="s">
        <v>553</v>
      </c>
      <c r="B562" s="12">
        <v>680.0</v>
      </c>
      <c r="C562" s="12">
        <v>1500.0</v>
      </c>
      <c r="D562" s="11" t="b">
        <f>true</f>
        <v>1</v>
      </c>
      <c r="E562" s="8" t="s">
        <v>429</v>
      </c>
    </row>
    <row r="563" ht="15.75" customHeight="1">
      <c r="A563" s="9" t="s">
        <v>554</v>
      </c>
      <c r="B563" s="10">
        <v>600.0</v>
      </c>
      <c r="C563" s="10">
        <v>1500.0</v>
      </c>
      <c r="D563" s="9" t="b">
        <f t="shared" ref="D563:D565" si="127">false</f>
        <v>0</v>
      </c>
      <c r="E563" s="8" t="s">
        <v>429</v>
      </c>
    </row>
    <row r="564" ht="15.75" customHeight="1">
      <c r="A564" s="9" t="s">
        <v>555</v>
      </c>
      <c r="B564" s="10">
        <v>1000.0</v>
      </c>
      <c r="C564" s="10">
        <v>1600.0</v>
      </c>
      <c r="D564" s="9" t="b">
        <f t="shared" si="127"/>
        <v>0</v>
      </c>
      <c r="E564" s="8" t="s">
        <v>429</v>
      </c>
    </row>
    <row r="565" ht="15.75" customHeight="1">
      <c r="A565" s="9" t="s">
        <v>556</v>
      </c>
      <c r="B565" s="10">
        <v>500.0</v>
      </c>
      <c r="C565" s="10">
        <v>1500.0</v>
      </c>
      <c r="D565" s="9" t="b">
        <f t="shared" si="127"/>
        <v>0</v>
      </c>
      <c r="E565" s="8" t="s">
        <v>429</v>
      </c>
    </row>
    <row r="566" ht="15.75" customHeight="1">
      <c r="A566" s="11" t="s">
        <v>557</v>
      </c>
      <c r="B566" s="12">
        <v>1500.0</v>
      </c>
      <c r="C566" s="12">
        <v>2500.0</v>
      </c>
      <c r="D566" s="11" t="b">
        <f t="shared" ref="D566:D568" si="128">true</f>
        <v>1</v>
      </c>
      <c r="E566" s="8" t="s">
        <v>429</v>
      </c>
    </row>
    <row r="567" ht="15.75" customHeight="1">
      <c r="A567" s="11" t="s">
        <v>558</v>
      </c>
      <c r="B567" s="6">
        <v>800.0</v>
      </c>
      <c r="C567" s="6">
        <v>2500.0</v>
      </c>
      <c r="D567" s="11" t="b">
        <f t="shared" si="128"/>
        <v>1</v>
      </c>
      <c r="E567" s="8" t="s">
        <v>429</v>
      </c>
    </row>
    <row r="568" ht="15.75" customHeight="1">
      <c r="A568" s="11" t="s">
        <v>559</v>
      </c>
      <c r="B568" s="6">
        <v>1250.0</v>
      </c>
      <c r="C568" s="6">
        <v>2500.0</v>
      </c>
      <c r="D568" s="11" t="b">
        <f t="shared" si="128"/>
        <v>1</v>
      </c>
      <c r="E568" s="8" t="s">
        <v>429</v>
      </c>
    </row>
    <row r="569" ht="15.75" customHeight="1">
      <c r="A569" s="9" t="s">
        <v>559</v>
      </c>
      <c r="B569" s="10">
        <v>1250.0</v>
      </c>
      <c r="C569" s="10">
        <v>2000.0</v>
      </c>
      <c r="D569" s="9" t="b">
        <f t="shared" ref="D569:D572" si="129">false</f>
        <v>0</v>
      </c>
      <c r="E569" s="8" t="s">
        <v>429</v>
      </c>
    </row>
    <row r="570" ht="15.75" customHeight="1">
      <c r="A570" s="9" t="s">
        <v>560</v>
      </c>
      <c r="B570" s="10">
        <v>800.0</v>
      </c>
      <c r="C570" s="10">
        <v>2000.0</v>
      </c>
      <c r="D570" s="9" t="b">
        <f t="shared" si="129"/>
        <v>0</v>
      </c>
      <c r="E570" s="8" t="s">
        <v>429</v>
      </c>
    </row>
    <row r="571" ht="15.75" customHeight="1">
      <c r="A571" s="9" t="s">
        <v>561</v>
      </c>
      <c r="B571" s="10">
        <v>1850.0</v>
      </c>
      <c r="C571" s="10">
        <v>3000.0</v>
      </c>
      <c r="D571" s="9" t="b">
        <f t="shared" si="129"/>
        <v>0</v>
      </c>
      <c r="E571" s="8" t="s">
        <v>429</v>
      </c>
    </row>
    <row r="572" ht="15.75" customHeight="1">
      <c r="A572" s="9" t="s">
        <v>562</v>
      </c>
      <c r="B572" s="10">
        <v>1500.0</v>
      </c>
      <c r="C572" s="10">
        <v>3000.0</v>
      </c>
      <c r="D572" s="9" t="b">
        <f t="shared" si="129"/>
        <v>0</v>
      </c>
      <c r="E572" s="8" t="s">
        <v>429</v>
      </c>
    </row>
    <row r="573" ht="15.75" customHeight="1">
      <c r="A573" s="5" t="s">
        <v>563</v>
      </c>
      <c r="B573" s="6">
        <v>1500.0</v>
      </c>
      <c r="C573" s="6">
        <v>3000.0</v>
      </c>
      <c r="D573" s="11" t="b">
        <f t="shared" ref="D573:D574" si="130">true</f>
        <v>1</v>
      </c>
      <c r="E573" s="8" t="s">
        <v>429</v>
      </c>
    </row>
    <row r="574" ht="15.75" customHeight="1">
      <c r="A574" s="7" t="s">
        <v>564</v>
      </c>
      <c r="B574" s="6">
        <v>1000.0</v>
      </c>
      <c r="C574" s="6">
        <v>3000.0</v>
      </c>
      <c r="D574" s="11" t="b">
        <f t="shared" si="130"/>
        <v>1</v>
      </c>
      <c r="E574" s="8" t="s">
        <v>429</v>
      </c>
    </row>
    <row r="575" ht="15.75" customHeight="1">
      <c r="A575" s="9" t="s">
        <v>565</v>
      </c>
      <c r="B575" s="10">
        <v>3500.0</v>
      </c>
      <c r="C575" s="10">
        <v>5500.0</v>
      </c>
      <c r="D575" s="9" t="b">
        <f>false</f>
        <v>0</v>
      </c>
      <c r="E575" s="8" t="s">
        <v>429</v>
      </c>
    </row>
    <row r="576" ht="15.75" customHeight="1">
      <c r="A576" s="11" t="s">
        <v>566</v>
      </c>
      <c r="B576" s="12">
        <v>2150.0</v>
      </c>
      <c r="C576" s="12">
        <v>3800.0</v>
      </c>
      <c r="D576" s="11" t="b">
        <f t="shared" ref="D576:D578" si="131">true</f>
        <v>1</v>
      </c>
      <c r="E576" s="8" t="s">
        <v>429</v>
      </c>
    </row>
    <row r="577" ht="15.75" customHeight="1">
      <c r="A577" s="11" t="s">
        <v>567</v>
      </c>
      <c r="B577" s="12">
        <v>8072.0</v>
      </c>
      <c r="C577" s="12">
        <v>12000.0</v>
      </c>
      <c r="D577" s="11" t="b">
        <f t="shared" si="131"/>
        <v>1</v>
      </c>
      <c r="E577" s="8" t="s">
        <v>429</v>
      </c>
    </row>
    <row r="578" ht="15.75" customHeight="1">
      <c r="A578" s="11" t="s">
        <v>568</v>
      </c>
      <c r="B578" s="12">
        <v>6800.0</v>
      </c>
      <c r="C578" s="12">
        <v>12000.0</v>
      </c>
      <c r="D578" s="11" t="b">
        <f t="shared" si="131"/>
        <v>1</v>
      </c>
      <c r="E578" s="8" t="s">
        <v>429</v>
      </c>
    </row>
    <row r="579" ht="15.75" customHeight="1">
      <c r="A579" s="9" t="s">
        <v>569</v>
      </c>
      <c r="B579" s="10">
        <v>2500.0</v>
      </c>
      <c r="C579" s="10">
        <v>4500.0</v>
      </c>
      <c r="D579" s="9" t="b">
        <f t="shared" ref="D579:D581" si="132">false</f>
        <v>0</v>
      </c>
      <c r="E579" s="8" t="s">
        <v>429</v>
      </c>
    </row>
    <row r="580" ht="15.75" customHeight="1">
      <c r="A580" s="9" t="s">
        <v>570</v>
      </c>
      <c r="B580" s="10">
        <v>3000.0</v>
      </c>
      <c r="C580" s="10">
        <v>4800.0</v>
      </c>
      <c r="D580" s="9" t="b">
        <f t="shared" si="132"/>
        <v>0</v>
      </c>
      <c r="E580" s="8" t="s">
        <v>429</v>
      </c>
    </row>
    <row r="581" ht="15.75" customHeight="1">
      <c r="A581" s="9" t="s">
        <v>571</v>
      </c>
      <c r="B581" s="10">
        <v>4200.0</v>
      </c>
      <c r="C581" s="10">
        <v>5900.0</v>
      </c>
      <c r="D581" s="9" t="b">
        <f t="shared" si="132"/>
        <v>0</v>
      </c>
      <c r="E581" s="8" t="s">
        <v>429</v>
      </c>
    </row>
    <row r="582" ht="15.75" customHeight="1">
      <c r="A582" s="5" t="s">
        <v>572</v>
      </c>
      <c r="B582" s="6">
        <v>2000.0</v>
      </c>
      <c r="C582" s="6">
        <v>4000.0</v>
      </c>
      <c r="D582" s="11" t="b">
        <f t="shared" ref="D582:D585" si="133">true</f>
        <v>1</v>
      </c>
      <c r="E582" s="8" t="s">
        <v>429</v>
      </c>
    </row>
    <row r="583" ht="15.75" customHeight="1">
      <c r="A583" s="5" t="s">
        <v>573</v>
      </c>
      <c r="B583" s="6">
        <v>1500.0</v>
      </c>
      <c r="C583" s="6">
        <v>3000.0</v>
      </c>
      <c r="D583" s="11" t="b">
        <f t="shared" si="133"/>
        <v>1</v>
      </c>
      <c r="E583" s="8" t="s">
        <v>429</v>
      </c>
    </row>
    <row r="584" ht="15.75" customHeight="1">
      <c r="A584" s="7" t="s">
        <v>574</v>
      </c>
      <c r="B584" s="6">
        <v>1000.0</v>
      </c>
      <c r="C584" s="6">
        <v>2000.0</v>
      </c>
      <c r="D584" s="11" t="b">
        <f t="shared" si="133"/>
        <v>1</v>
      </c>
      <c r="E584" s="8" t="s">
        <v>429</v>
      </c>
    </row>
    <row r="585" ht="15.75" customHeight="1">
      <c r="A585" s="5" t="s">
        <v>575</v>
      </c>
      <c r="B585" s="6">
        <v>1490.0</v>
      </c>
      <c r="C585" s="6">
        <v>2500.0</v>
      </c>
      <c r="D585" s="11" t="b">
        <f t="shared" si="133"/>
        <v>1</v>
      </c>
      <c r="E585" s="8" t="s">
        <v>429</v>
      </c>
    </row>
    <row r="586" ht="15.75" customHeight="1">
      <c r="A586" s="9" t="s">
        <v>576</v>
      </c>
      <c r="B586" s="10">
        <v>1990.0</v>
      </c>
      <c r="C586" s="10">
        <v>2800.0</v>
      </c>
      <c r="D586" s="9" t="b">
        <f t="shared" ref="D586:D587" si="134">false</f>
        <v>0</v>
      </c>
      <c r="E586" s="8" t="s">
        <v>429</v>
      </c>
    </row>
    <row r="587" ht="15.75" customHeight="1">
      <c r="A587" s="9" t="s">
        <v>577</v>
      </c>
      <c r="B587" s="10">
        <v>1300.0</v>
      </c>
      <c r="C587" s="10">
        <v>2500.0</v>
      </c>
      <c r="D587" s="9" t="b">
        <f t="shared" si="134"/>
        <v>0</v>
      </c>
      <c r="E587" s="8" t="s">
        <v>429</v>
      </c>
    </row>
    <row r="588" ht="15.75" customHeight="1">
      <c r="A588" s="11" t="s">
        <v>578</v>
      </c>
      <c r="B588" s="12">
        <v>1500.0</v>
      </c>
      <c r="C588" s="12">
        <v>3000.0</v>
      </c>
      <c r="D588" s="11" t="b">
        <f t="shared" ref="D588:D589" si="135">true</f>
        <v>1</v>
      </c>
      <c r="E588" s="8" t="s">
        <v>429</v>
      </c>
    </row>
    <row r="589" ht="12.75" customHeight="1">
      <c r="A589" s="5" t="s">
        <v>579</v>
      </c>
      <c r="B589" s="6">
        <v>1800.0</v>
      </c>
      <c r="C589" s="6">
        <v>3000.0</v>
      </c>
      <c r="D589" s="11" t="b">
        <f t="shared" si="135"/>
        <v>1</v>
      </c>
      <c r="E589" s="8" t="s">
        <v>429</v>
      </c>
    </row>
    <row r="590" ht="15.75" customHeight="1">
      <c r="A590" s="9" t="s">
        <v>580</v>
      </c>
      <c r="B590" s="10">
        <v>2500.0</v>
      </c>
      <c r="C590" s="10">
        <v>3800.0</v>
      </c>
      <c r="D590" s="9" t="b">
        <f t="shared" ref="D590:D592" si="136">false</f>
        <v>0</v>
      </c>
      <c r="E590" s="8" t="s">
        <v>429</v>
      </c>
    </row>
    <row r="591" ht="15.75" customHeight="1">
      <c r="A591" s="9" t="s">
        <v>580</v>
      </c>
      <c r="B591" s="10">
        <v>2500.0</v>
      </c>
      <c r="C591" s="10">
        <v>3500.0</v>
      </c>
      <c r="D591" s="9" t="b">
        <f t="shared" si="136"/>
        <v>0</v>
      </c>
      <c r="E591" s="8" t="s">
        <v>429</v>
      </c>
    </row>
    <row r="592" ht="15.75" customHeight="1">
      <c r="A592" s="9" t="s">
        <v>581</v>
      </c>
      <c r="B592" s="10">
        <v>1900.0</v>
      </c>
      <c r="C592" s="10">
        <v>3000.0</v>
      </c>
      <c r="D592" s="9" t="b">
        <f t="shared" si="136"/>
        <v>0</v>
      </c>
      <c r="E592" s="8" t="s">
        <v>429</v>
      </c>
    </row>
    <row r="593" ht="15.75" customHeight="1">
      <c r="A593" s="7" t="s">
        <v>582</v>
      </c>
      <c r="B593" s="6">
        <v>2290.0</v>
      </c>
      <c r="C593" s="6">
        <v>3800.0</v>
      </c>
      <c r="D593" s="11" t="b">
        <f t="shared" ref="D593:D594" si="137">true</f>
        <v>1</v>
      </c>
      <c r="E593" s="8" t="s">
        <v>429</v>
      </c>
    </row>
    <row r="594" ht="15.75" customHeight="1">
      <c r="A594" s="7" t="s">
        <v>583</v>
      </c>
      <c r="B594" s="6">
        <v>1000.0</v>
      </c>
      <c r="C594" s="6">
        <v>2000.0</v>
      </c>
      <c r="D594" s="11" t="b">
        <f t="shared" si="137"/>
        <v>1</v>
      </c>
      <c r="E594" s="8" t="s">
        <v>429</v>
      </c>
    </row>
    <row r="595" ht="15.75" customHeight="1">
      <c r="A595" s="9" t="s">
        <v>584</v>
      </c>
      <c r="B595" s="10">
        <v>210.0</v>
      </c>
      <c r="C595" s="10">
        <v>500.0</v>
      </c>
      <c r="D595" s="9" t="b">
        <f t="shared" ref="D595:D596" si="138">false</f>
        <v>0</v>
      </c>
      <c r="E595" s="8" t="s">
        <v>429</v>
      </c>
    </row>
    <row r="596" ht="15.75" customHeight="1">
      <c r="A596" s="9" t="s">
        <v>585</v>
      </c>
      <c r="B596" s="10">
        <v>440.0</v>
      </c>
      <c r="C596" s="10">
        <v>1000.0</v>
      </c>
      <c r="D596" s="9" t="b">
        <f t="shared" si="138"/>
        <v>0</v>
      </c>
      <c r="E596" s="8" t="s">
        <v>429</v>
      </c>
    </row>
    <row r="597" ht="15.75" customHeight="1">
      <c r="A597" s="5" t="s">
        <v>586</v>
      </c>
      <c r="B597" s="6">
        <v>416.66</v>
      </c>
      <c r="C597" s="6">
        <v>1500.0</v>
      </c>
      <c r="D597" s="11" t="b">
        <f t="shared" ref="D597:D599" si="139">true</f>
        <v>1</v>
      </c>
      <c r="E597" s="8" t="s">
        <v>429</v>
      </c>
    </row>
    <row r="598" ht="15.75" customHeight="1">
      <c r="A598" s="5" t="s">
        <v>587</v>
      </c>
      <c r="B598" s="6">
        <v>302.0</v>
      </c>
      <c r="C598" s="6">
        <v>500.0</v>
      </c>
      <c r="D598" s="11" t="b">
        <f t="shared" si="139"/>
        <v>1</v>
      </c>
      <c r="E598" s="8" t="s">
        <v>429</v>
      </c>
    </row>
    <row r="599" ht="15.75" customHeight="1">
      <c r="A599" s="5" t="s">
        <v>588</v>
      </c>
      <c r="B599" s="6">
        <v>350.0</v>
      </c>
      <c r="C599" s="6">
        <v>750.0</v>
      </c>
      <c r="D599" s="11" t="b">
        <f t="shared" si="139"/>
        <v>1</v>
      </c>
      <c r="E599" s="8" t="s">
        <v>429</v>
      </c>
    </row>
    <row r="600" ht="15.75" customHeight="1">
      <c r="A600" s="9" t="s">
        <v>589</v>
      </c>
      <c r="B600" s="10">
        <v>500.0</v>
      </c>
      <c r="C600" s="10">
        <v>1500.0</v>
      </c>
      <c r="D600" s="9" t="b">
        <f>false</f>
        <v>0</v>
      </c>
      <c r="E600" s="8" t="s">
        <v>429</v>
      </c>
    </row>
    <row r="601" ht="15.75" customHeight="1">
      <c r="A601" s="5" t="s">
        <v>590</v>
      </c>
      <c r="B601" s="6">
        <v>500.0</v>
      </c>
      <c r="C601" s="6">
        <v>1500.0</v>
      </c>
      <c r="D601" s="11" t="b">
        <f t="shared" ref="D601:D603" si="140">true</f>
        <v>1</v>
      </c>
      <c r="E601" s="8" t="s">
        <v>429</v>
      </c>
    </row>
    <row r="602" ht="15.75" customHeight="1">
      <c r="A602" s="7" t="s">
        <v>591</v>
      </c>
      <c r="B602" s="6">
        <v>2500.0</v>
      </c>
      <c r="C602" s="6">
        <v>3800.0</v>
      </c>
      <c r="D602" s="11" t="b">
        <f t="shared" si="140"/>
        <v>1</v>
      </c>
      <c r="E602" s="8" t="s">
        <v>429</v>
      </c>
    </row>
    <row r="603" ht="15.75" customHeight="1">
      <c r="A603" s="5" t="s">
        <v>592</v>
      </c>
      <c r="B603" s="6">
        <v>400.0</v>
      </c>
      <c r="C603" s="6">
        <v>1200.0</v>
      </c>
      <c r="D603" s="11" t="b">
        <f t="shared" si="140"/>
        <v>1</v>
      </c>
      <c r="E603" s="8" t="s">
        <v>429</v>
      </c>
    </row>
    <row r="604" ht="15.75" customHeight="1">
      <c r="A604" s="9" t="s">
        <v>593</v>
      </c>
      <c r="B604" s="10">
        <v>1500.0</v>
      </c>
      <c r="C604" s="10">
        <v>2500.0</v>
      </c>
      <c r="D604" s="9" t="b">
        <f t="shared" ref="D604:D605" si="141">false</f>
        <v>0</v>
      </c>
      <c r="E604" s="8" t="s">
        <v>429</v>
      </c>
    </row>
    <row r="605" ht="15.75" customHeight="1">
      <c r="A605" s="9" t="s">
        <v>594</v>
      </c>
      <c r="B605" s="10">
        <v>1800.0</v>
      </c>
      <c r="C605" s="10">
        <v>3000.0</v>
      </c>
      <c r="D605" s="9" t="b">
        <f t="shared" si="141"/>
        <v>0</v>
      </c>
      <c r="E605" s="8" t="s">
        <v>429</v>
      </c>
    </row>
    <row r="606" ht="15.75" customHeight="1">
      <c r="A606" s="11" t="s">
        <v>595</v>
      </c>
      <c r="B606" s="12">
        <v>1800.0</v>
      </c>
      <c r="C606" s="12">
        <v>3000.0</v>
      </c>
      <c r="D606" s="11" t="b">
        <f>true</f>
        <v>1</v>
      </c>
      <c r="E606" s="8" t="s">
        <v>429</v>
      </c>
    </row>
    <row r="607" ht="15.75" customHeight="1">
      <c r="A607" s="9" t="s">
        <v>596</v>
      </c>
      <c r="B607" s="10">
        <v>1800.0</v>
      </c>
      <c r="C607" s="10">
        <v>3000.0</v>
      </c>
      <c r="D607" s="9" t="b">
        <f>false</f>
        <v>0</v>
      </c>
      <c r="E607" s="8" t="s">
        <v>429</v>
      </c>
    </row>
    <row r="608" ht="15.75" customHeight="1">
      <c r="A608" s="11" t="s">
        <v>597</v>
      </c>
      <c r="B608" s="12">
        <v>1045.0</v>
      </c>
      <c r="C608" s="12">
        <v>3000.0</v>
      </c>
      <c r="D608" s="11" t="b">
        <f t="shared" ref="D608:D609" si="142">true</f>
        <v>1</v>
      </c>
      <c r="E608" s="8" t="s">
        <v>429</v>
      </c>
    </row>
    <row r="609" ht="15.75" customHeight="1">
      <c r="A609" s="11" t="s">
        <v>598</v>
      </c>
      <c r="B609" s="12">
        <v>3000.0</v>
      </c>
      <c r="C609" s="12">
        <v>5000.0</v>
      </c>
      <c r="D609" s="11" t="b">
        <f t="shared" si="142"/>
        <v>1</v>
      </c>
      <c r="E609" s="8" t="s">
        <v>429</v>
      </c>
    </row>
    <row r="610" ht="15.75" customHeight="1">
      <c r="A610" s="9" t="s">
        <v>598</v>
      </c>
      <c r="B610" s="10">
        <v>4500.0</v>
      </c>
      <c r="C610" s="10">
        <v>5000.0</v>
      </c>
      <c r="D610" s="9" t="b">
        <f t="shared" ref="D610:D613" si="143">false</f>
        <v>0</v>
      </c>
      <c r="E610" s="8" t="s">
        <v>429</v>
      </c>
    </row>
    <row r="611" ht="15.75" customHeight="1">
      <c r="A611" s="9" t="s">
        <v>599</v>
      </c>
      <c r="B611" s="10">
        <v>3500.0</v>
      </c>
      <c r="C611" s="10">
        <v>5000.0</v>
      </c>
      <c r="D611" s="9" t="b">
        <f t="shared" si="143"/>
        <v>0</v>
      </c>
      <c r="E611" s="8" t="s">
        <v>429</v>
      </c>
    </row>
    <row r="612" ht="15.75" customHeight="1">
      <c r="A612" s="9" t="s">
        <v>600</v>
      </c>
      <c r="B612" s="10">
        <v>3500.0</v>
      </c>
      <c r="C612" s="10">
        <v>5000.0</v>
      </c>
      <c r="D612" s="9" t="b">
        <f t="shared" si="143"/>
        <v>0</v>
      </c>
      <c r="E612" s="8" t="s">
        <v>429</v>
      </c>
    </row>
    <row r="613" ht="15.75" customHeight="1">
      <c r="A613" s="9" t="s">
        <v>601</v>
      </c>
      <c r="B613" s="10">
        <v>3000.0</v>
      </c>
      <c r="C613" s="10">
        <v>5000.0</v>
      </c>
      <c r="D613" s="9" t="b">
        <f t="shared" si="143"/>
        <v>0</v>
      </c>
      <c r="E613" s="8" t="s">
        <v>429</v>
      </c>
    </row>
    <row r="614" ht="15.75" customHeight="1">
      <c r="A614" s="11" t="s">
        <v>601</v>
      </c>
      <c r="B614" s="12">
        <v>3000.0</v>
      </c>
      <c r="C614" s="12">
        <v>5000.0</v>
      </c>
      <c r="D614" s="11" t="b">
        <f>true</f>
        <v>1</v>
      </c>
      <c r="E614" s="8" t="s">
        <v>429</v>
      </c>
    </row>
    <row r="615" ht="15.75" customHeight="1">
      <c r="A615" s="9" t="s">
        <v>602</v>
      </c>
      <c r="B615" s="10">
        <v>2000.0</v>
      </c>
      <c r="C615" s="10">
        <v>5000.0</v>
      </c>
      <c r="D615" s="9" t="b">
        <f>false</f>
        <v>0</v>
      </c>
      <c r="E615" s="8" t="s">
        <v>429</v>
      </c>
    </row>
    <row r="616" ht="15.75" customHeight="1">
      <c r="A616" s="5" t="s">
        <v>603</v>
      </c>
      <c r="B616" s="6">
        <v>300.0</v>
      </c>
      <c r="C616" s="6">
        <v>500.0</v>
      </c>
      <c r="D616" s="11" t="b">
        <f>true</f>
        <v>1</v>
      </c>
      <c r="E616" s="8" t="s">
        <v>429</v>
      </c>
    </row>
    <row r="617" ht="15.75" customHeight="1">
      <c r="A617" s="9" t="s">
        <v>604</v>
      </c>
      <c r="B617" s="10">
        <v>2000.0</v>
      </c>
      <c r="C617" s="10">
        <v>5000.0</v>
      </c>
      <c r="D617" s="9" t="b">
        <f t="shared" ref="D617:D618" si="144">false</f>
        <v>0</v>
      </c>
      <c r="E617" s="8" t="s">
        <v>429</v>
      </c>
    </row>
    <row r="618" ht="15.75" customHeight="1">
      <c r="A618" s="9" t="s">
        <v>605</v>
      </c>
      <c r="B618" s="10">
        <v>3000.0</v>
      </c>
      <c r="C618" s="10">
        <v>5000.0</v>
      </c>
      <c r="D618" s="9" t="b">
        <f t="shared" si="144"/>
        <v>0</v>
      </c>
      <c r="E618" s="8" t="s">
        <v>429</v>
      </c>
    </row>
    <row r="619" ht="15.75" customHeight="1">
      <c r="A619" s="5" t="s">
        <v>606</v>
      </c>
      <c r="B619" s="6">
        <v>3000.0</v>
      </c>
      <c r="C619" s="6">
        <v>6000.0</v>
      </c>
      <c r="D619" s="11" t="b">
        <f t="shared" ref="D619:D621" si="145">true</f>
        <v>1</v>
      </c>
      <c r="E619" s="8" t="s">
        <v>429</v>
      </c>
    </row>
    <row r="620" ht="15.75" customHeight="1">
      <c r="A620" s="9" t="s">
        <v>607</v>
      </c>
      <c r="B620" s="6">
        <v>1000.0</v>
      </c>
      <c r="C620" s="6">
        <v>2500.0</v>
      </c>
      <c r="D620" s="11" t="b">
        <f t="shared" si="145"/>
        <v>1</v>
      </c>
      <c r="E620" s="8" t="s">
        <v>429</v>
      </c>
    </row>
    <row r="621" ht="15.75" customHeight="1">
      <c r="A621" s="5" t="s">
        <v>608</v>
      </c>
      <c r="B621" s="6">
        <v>2500.0</v>
      </c>
      <c r="C621" s="6">
        <v>4500.0</v>
      </c>
      <c r="D621" s="11" t="b">
        <f t="shared" si="145"/>
        <v>1</v>
      </c>
      <c r="E621" s="8" t="s">
        <v>429</v>
      </c>
    </row>
    <row r="622" ht="15.75" customHeight="1">
      <c r="A622" s="9" t="s">
        <v>609</v>
      </c>
      <c r="B622" s="10">
        <v>1600.0</v>
      </c>
      <c r="C622" s="10">
        <v>3000.0</v>
      </c>
      <c r="D622" s="9" t="b">
        <f>false</f>
        <v>0</v>
      </c>
      <c r="E622" s="8" t="s">
        <v>429</v>
      </c>
    </row>
    <row r="623" ht="15.75" customHeight="1">
      <c r="A623" s="5" t="s">
        <v>610</v>
      </c>
      <c r="B623" s="6">
        <v>1200.0</v>
      </c>
      <c r="C623" s="6">
        <v>2000.0</v>
      </c>
      <c r="D623" s="11" t="b">
        <f>true</f>
        <v>1</v>
      </c>
      <c r="E623" s="8" t="s">
        <v>429</v>
      </c>
    </row>
    <row r="624" ht="15.75" customHeight="1">
      <c r="A624" s="9" t="s">
        <v>611</v>
      </c>
      <c r="B624" s="10">
        <v>1100.0</v>
      </c>
      <c r="C624" s="10">
        <v>1500.0</v>
      </c>
      <c r="D624" s="9" t="b">
        <f>false</f>
        <v>0</v>
      </c>
      <c r="E624" s="8" t="s">
        <v>429</v>
      </c>
    </row>
    <row r="625" ht="15.75" customHeight="1">
      <c r="A625" s="11" t="s">
        <v>612</v>
      </c>
      <c r="B625" s="12">
        <v>1500.0</v>
      </c>
      <c r="C625" s="12">
        <v>2750.0</v>
      </c>
      <c r="D625" s="11" t="b">
        <f>true</f>
        <v>1</v>
      </c>
      <c r="E625" s="8" t="s">
        <v>429</v>
      </c>
    </row>
    <row r="626" ht="15.75" customHeight="1">
      <c r="A626" s="9" t="s">
        <v>613</v>
      </c>
      <c r="B626" s="10">
        <v>2490.0</v>
      </c>
      <c r="C626" s="10">
        <v>3500.0</v>
      </c>
      <c r="D626" s="9" t="b">
        <f>false</f>
        <v>0</v>
      </c>
      <c r="E626" s="8" t="s">
        <v>429</v>
      </c>
    </row>
    <row r="627" ht="15.75" customHeight="1">
      <c r="A627" s="11" t="s">
        <v>614</v>
      </c>
      <c r="B627" s="12">
        <v>2000.0</v>
      </c>
      <c r="C627" s="12">
        <v>4000.0</v>
      </c>
      <c r="D627" s="11" t="b">
        <f t="shared" ref="D627:D629" si="146">true</f>
        <v>1</v>
      </c>
      <c r="E627" s="8" t="s">
        <v>429</v>
      </c>
    </row>
    <row r="628" ht="15.75" customHeight="1">
      <c r="A628" s="11" t="s">
        <v>615</v>
      </c>
      <c r="B628" s="12">
        <v>750.0</v>
      </c>
      <c r="C628" s="12">
        <v>1300.0</v>
      </c>
      <c r="D628" s="11" t="b">
        <f t="shared" si="146"/>
        <v>1</v>
      </c>
      <c r="E628" s="8" t="s">
        <v>429</v>
      </c>
    </row>
    <row r="629" ht="15.75" customHeight="1">
      <c r="A629" s="11" t="s">
        <v>616</v>
      </c>
      <c r="B629" s="12">
        <v>1500.0</v>
      </c>
      <c r="C629" s="12">
        <v>3000.0</v>
      </c>
      <c r="D629" s="11" t="b">
        <f t="shared" si="146"/>
        <v>1</v>
      </c>
      <c r="E629" s="8" t="s">
        <v>429</v>
      </c>
    </row>
    <row r="630" ht="15.75" customHeight="1">
      <c r="A630" s="9" t="s">
        <v>617</v>
      </c>
      <c r="B630" s="10">
        <v>1500.0</v>
      </c>
      <c r="C630" s="10">
        <v>3000.0</v>
      </c>
      <c r="D630" s="9" t="b">
        <f>false</f>
        <v>0</v>
      </c>
      <c r="E630" s="8" t="s">
        <v>429</v>
      </c>
    </row>
    <row r="631" ht="15.75" customHeight="1">
      <c r="A631" s="5" t="s">
        <v>618</v>
      </c>
      <c r="B631" s="6">
        <v>5000.0</v>
      </c>
      <c r="C631" s="6">
        <v>8000.0</v>
      </c>
      <c r="D631" s="11" t="b">
        <f>true</f>
        <v>1</v>
      </c>
      <c r="E631" s="8" t="s">
        <v>429</v>
      </c>
    </row>
    <row r="632" ht="15.75" customHeight="1">
      <c r="A632" s="9" t="s">
        <v>619</v>
      </c>
      <c r="B632" s="10">
        <v>500.0</v>
      </c>
      <c r="C632" s="10">
        <v>1500.0</v>
      </c>
      <c r="D632" s="9" t="b">
        <f>false</f>
        <v>0</v>
      </c>
      <c r="E632" s="8" t="s">
        <v>429</v>
      </c>
    </row>
    <row r="633" ht="15.75" customHeight="1">
      <c r="A633" s="11" t="s">
        <v>620</v>
      </c>
      <c r="B633" s="12">
        <v>700.0</v>
      </c>
      <c r="C633" s="12">
        <v>1800.0</v>
      </c>
      <c r="D633" s="11" t="b">
        <f>true</f>
        <v>1</v>
      </c>
      <c r="E633" s="8" t="s">
        <v>429</v>
      </c>
    </row>
    <row r="634" ht="15.75" customHeight="1">
      <c r="A634" s="9" t="s">
        <v>621</v>
      </c>
      <c r="B634" s="10">
        <v>1000.0</v>
      </c>
      <c r="C634" s="10">
        <v>2000.0</v>
      </c>
      <c r="D634" s="9" t="b">
        <f>false</f>
        <v>0</v>
      </c>
      <c r="E634" s="8" t="s">
        <v>429</v>
      </c>
    </row>
    <row r="635" ht="15.75" customHeight="1">
      <c r="A635" s="5" t="s">
        <v>622</v>
      </c>
      <c r="B635" s="6">
        <v>542.0</v>
      </c>
      <c r="C635" s="6">
        <v>850.0</v>
      </c>
      <c r="D635" s="11" t="b">
        <f>true</f>
        <v>1</v>
      </c>
      <c r="E635" s="8" t="s">
        <v>429</v>
      </c>
    </row>
    <row r="636" ht="15.75" customHeight="1">
      <c r="A636" s="9" t="s">
        <v>623</v>
      </c>
      <c r="B636" s="10">
        <v>2500.0</v>
      </c>
      <c r="C636" s="10">
        <v>5000.0</v>
      </c>
      <c r="D636" s="9" t="b">
        <f t="shared" ref="D636:D638" si="147">false</f>
        <v>0</v>
      </c>
      <c r="E636" s="8" t="s">
        <v>429</v>
      </c>
    </row>
    <row r="637" ht="15.75" customHeight="1">
      <c r="A637" s="9" t="s">
        <v>624</v>
      </c>
      <c r="B637" s="10">
        <v>3000.0</v>
      </c>
      <c r="C637" s="10">
        <v>6000.0</v>
      </c>
      <c r="D637" s="9" t="b">
        <f t="shared" si="147"/>
        <v>0</v>
      </c>
      <c r="E637" s="8" t="s">
        <v>429</v>
      </c>
    </row>
    <row r="638" ht="15.75" customHeight="1">
      <c r="A638" s="9" t="s">
        <v>625</v>
      </c>
      <c r="B638" s="10">
        <v>2000.0</v>
      </c>
      <c r="C638" s="10">
        <v>5000.0</v>
      </c>
      <c r="D638" s="9" t="b">
        <f t="shared" si="147"/>
        <v>0</v>
      </c>
      <c r="E638" s="8" t="s">
        <v>429</v>
      </c>
    </row>
    <row r="639" ht="15.75" customHeight="1">
      <c r="A639" s="11" t="s">
        <v>626</v>
      </c>
      <c r="B639" s="12">
        <v>2500.0</v>
      </c>
      <c r="C639" s="12">
        <v>7000.0</v>
      </c>
      <c r="D639" s="11" t="b">
        <f t="shared" ref="D639:D641" si="148">true</f>
        <v>1</v>
      </c>
      <c r="E639" s="8" t="s">
        <v>429</v>
      </c>
    </row>
    <row r="640" ht="15.75" customHeight="1">
      <c r="A640" s="11" t="s">
        <v>627</v>
      </c>
      <c r="B640" s="12">
        <v>3000.0</v>
      </c>
      <c r="C640" s="12">
        <v>7000.0</v>
      </c>
      <c r="D640" s="11" t="b">
        <f t="shared" si="148"/>
        <v>1</v>
      </c>
      <c r="E640" s="8" t="s">
        <v>429</v>
      </c>
    </row>
    <row r="641" ht="15.75" customHeight="1">
      <c r="A641" s="5" t="s">
        <v>628</v>
      </c>
      <c r="B641" s="6">
        <v>1100.0</v>
      </c>
      <c r="C641" s="6">
        <v>2000.0</v>
      </c>
      <c r="D641" s="11" t="b">
        <f t="shared" si="148"/>
        <v>1</v>
      </c>
      <c r="E641" s="8" t="s">
        <v>429</v>
      </c>
    </row>
    <row r="642" ht="15.75" customHeight="1">
      <c r="A642" s="9" t="s">
        <v>629</v>
      </c>
      <c r="B642" s="10">
        <v>2500.0</v>
      </c>
      <c r="C642" s="10">
        <v>4000.0</v>
      </c>
      <c r="D642" s="9" t="b">
        <f>false</f>
        <v>0</v>
      </c>
      <c r="E642" s="8" t="s">
        <v>429</v>
      </c>
    </row>
    <row r="643" ht="15.75" customHeight="1">
      <c r="A643" s="5" t="s">
        <v>630</v>
      </c>
      <c r="B643" s="6">
        <v>500.0</v>
      </c>
      <c r="C643" s="6">
        <v>1500.0</v>
      </c>
      <c r="D643" s="11" t="b">
        <f t="shared" ref="D643:D647" si="149">true</f>
        <v>1</v>
      </c>
      <c r="E643" s="8" t="s">
        <v>429</v>
      </c>
    </row>
    <row r="644" ht="15.75" customHeight="1">
      <c r="A644" s="11" t="s">
        <v>631</v>
      </c>
      <c r="B644" s="12">
        <v>850.0</v>
      </c>
      <c r="C644" s="12">
        <v>1500.0</v>
      </c>
      <c r="D644" s="11" t="b">
        <f t="shared" si="149"/>
        <v>1</v>
      </c>
      <c r="E644" s="8" t="s">
        <v>429</v>
      </c>
    </row>
    <row r="645" ht="15.75" customHeight="1">
      <c r="A645" s="11" t="s">
        <v>632</v>
      </c>
      <c r="B645" s="12">
        <v>1930.0</v>
      </c>
      <c r="C645" s="12">
        <v>3200.0</v>
      </c>
      <c r="D645" s="11" t="b">
        <f t="shared" si="149"/>
        <v>1</v>
      </c>
      <c r="E645" s="8" t="s">
        <v>429</v>
      </c>
    </row>
    <row r="646" ht="15.75" customHeight="1">
      <c r="A646" s="11" t="s">
        <v>633</v>
      </c>
      <c r="B646" s="12">
        <v>1600.0</v>
      </c>
      <c r="C646" s="12">
        <v>2500.0</v>
      </c>
      <c r="D646" s="11" t="b">
        <f t="shared" si="149"/>
        <v>1</v>
      </c>
      <c r="E646" s="8" t="s">
        <v>429</v>
      </c>
    </row>
    <row r="647" ht="15.75" customHeight="1">
      <c r="A647" s="11" t="s">
        <v>634</v>
      </c>
      <c r="B647" s="12">
        <v>1750.0</v>
      </c>
      <c r="C647" s="12">
        <v>2700.0</v>
      </c>
      <c r="D647" s="11" t="b">
        <f t="shared" si="149"/>
        <v>1</v>
      </c>
      <c r="E647" s="8" t="s">
        <v>429</v>
      </c>
    </row>
    <row r="648" ht="15.75" customHeight="1">
      <c r="A648" s="9" t="s">
        <v>635</v>
      </c>
      <c r="B648" s="10">
        <v>2100.0</v>
      </c>
      <c r="C648" s="10">
        <v>3000.0</v>
      </c>
      <c r="D648" s="9" t="b">
        <f>false</f>
        <v>0</v>
      </c>
      <c r="E648" s="8" t="s">
        <v>429</v>
      </c>
    </row>
    <row r="649" ht="15.75" customHeight="1">
      <c r="A649" s="11" t="s">
        <v>636</v>
      </c>
      <c r="B649" s="12">
        <v>1050.0</v>
      </c>
      <c r="C649" s="12">
        <v>1800.0</v>
      </c>
      <c r="D649" s="11" t="b">
        <f>true</f>
        <v>1</v>
      </c>
      <c r="E649" s="8" t="s">
        <v>429</v>
      </c>
    </row>
    <row r="650" ht="15.75" customHeight="1">
      <c r="A650" s="9" t="s">
        <v>636</v>
      </c>
      <c r="B650" s="10">
        <v>1050.0</v>
      </c>
      <c r="C650" s="10">
        <v>1750.0</v>
      </c>
      <c r="D650" s="9" t="b">
        <f>false</f>
        <v>0</v>
      </c>
      <c r="E650" s="8" t="s">
        <v>429</v>
      </c>
    </row>
    <row r="651" ht="15.75" customHeight="1">
      <c r="A651" s="5" t="s">
        <v>637</v>
      </c>
      <c r="B651" s="6">
        <v>3300.0</v>
      </c>
      <c r="C651" s="6">
        <v>5300.0</v>
      </c>
      <c r="D651" s="11" t="b">
        <f>true</f>
        <v>1</v>
      </c>
      <c r="E651" s="8" t="s">
        <v>429</v>
      </c>
    </row>
    <row r="652" ht="15.75" customHeight="1">
      <c r="A652" s="9" t="s">
        <v>638</v>
      </c>
      <c r="B652" s="10">
        <v>1650.0</v>
      </c>
      <c r="C652" s="10">
        <v>3000.0</v>
      </c>
      <c r="D652" s="9" t="b">
        <f>false</f>
        <v>0</v>
      </c>
      <c r="E652" s="8" t="s">
        <v>429</v>
      </c>
    </row>
    <row r="653" ht="15.75" customHeight="1">
      <c r="A653" s="5" t="s">
        <v>639</v>
      </c>
      <c r="B653" s="6">
        <v>1500.0</v>
      </c>
      <c r="C653" s="6">
        <v>3500.0</v>
      </c>
      <c r="D653" s="11" t="b">
        <f t="shared" ref="D653:D655" si="150">true</f>
        <v>1</v>
      </c>
      <c r="E653" s="8" t="s">
        <v>429</v>
      </c>
    </row>
    <row r="654" ht="15.75" customHeight="1">
      <c r="A654" s="5" t="s">
        <v>640</v>
      </c>
      <c r="B654" s="6">
        <v>2100.0</v>
      </c>
      <c r="C654" s="6">
        <v>3800.0</v>
      </c>
      <c r="D654" s="11" t="b">
        <f t="shared" si="150"/>
        <v>1</v>
      </c>
      <c r="E654" s="8" t="s">
        <v>429</v>
      </c>
    </row>
    <row r="655" ht="15.75" customHeight="1">
      <c r="A655" s="5" t="s">
        <v>641</v>
      </c>
      <c r="B655" s="6">
        <v>800.0</v>
      </c>
      <c r="C655" s="6">
        <v>2000.0</v>
      </c>
      <c r="D655" s="11" t="b">
        <f t="shared" si="150"/>
        <v>1</v>
      </c>
      <c r="E655" s="8" t="s">
        <v>429</v>
      </c>
    </row>
    <row r="656" ht="15.75" customHeight="1">
      <c r="A656" s="9" t="s">
        <v>642</v>
      </c>
      <c r="B656" s="10">
        <v>850.0</v>
      </c>
      <c r="C656" s="10">
        <v>2000.0</v>
      </c>
      <c r="D656" s="9" t="b">
        <f>false</f>
        <v>0</v>
      </c>
      <c r="E656" s="8" t="s">
        <v>429</v>
      </c>
    </row>
    <row r="657" ht="15.75" customHeight="1">
      <c r="A657" s="5" t="s">
        <v>643</v>
      </c>
      <c r="B657" s="6">
        <v>1250.0</v>
      </c>
      <c r="C657" s="6">
        <v>2000.0</v>
      </c>
      <c r="D657" s="11" t="b">
        <f t="shared" ref="D657:D658" si="151">true</f>
        <v>1</v>
      </c>
      <c r="E657" s="8" t="s">
        <v>429</v>
      </c>
    </row>
    <row r="658" ht="15.75" customHeight="1">
      <c r="A658" s="11" t="s">
        <v>644</v>
      </c>
      <c r="B658" s="6">
        <v>1400.0</v>
      </c>
      <c r="C658" s="6">
        <v>2500.0</v>
      </c>
      <c r="D658" s="11" t="b">
        <f t="shared" si="151"/>
        <v>1</v>
      </c>
      <c r="E658" s="8" t="s">
        <v>429</v>
      </c>
    </row>
    <row r="659" ht="15.75" customHeight="1">
      <c r="A659" s="9" t="s">
        <v>645</v>
      </c>
      <c r="B659" s="10">
        <v>1500.0</v>
      </c>
      <c r="C659" s="10">
        <v>2500.0</v>
      </c>
      <c r="D659" s="9" t="b">
        <f>false</f>
        <v>0</v>
      </c>
      <c r="E659" s="8" t="s">
        <v>429</v>
      </c>
    </row>
    <row r="660" ht="15.75" customHeight="1">
      <c r="A660" s="11" t="s">
        <v>646</v>
      </c>
      <c r="B660" s="12">
        <v>1990.0</v>
      </c>
      <c r="C660" s="12">
        <v>4000.0</v>
      </c>
      <c r="D660" s="11" t="b">
        <f t="shared" ref="D660:D661" si="152">true</f>
        <v>1</v>
      </c>
      <c r="E660" s="8" t="s">
        <v>429</v>
      </c>
    </row>
    <row r="661" ht="15.75" customHeight="1">
      <c r="A661" s="5" t="s">
        <v>647</v>
      </c>
      <c r="B661" s="6">
        <v>900.0</v>
      </c>
      <c r="C661" s="6">
        <v>2000.0</v>
      </c>
      <c r="D661" s="11" t="b">
        <f t="shared" si="152"/>
        <v>1</v>
      </c>
      <c r="E661" s="8" t="s">
        <v>429</v>
      </c>
    </row>
    <row r="662" ht="15.75" customHeight="1">
      <c r="A662" s="9" t="s">
        <v>648</v>
      </c>
      <c r="B662" s="10">
        <v>1500.0</v>
      </c>
      <c r="C662" s="10">
        <v>3000.0</v>
      </c>
      <c r="D662" s="9" t="b">
        <f t="shared" ref="D662:D663" si="153">false</f>
        <v>0</v>
      </c>
      <c r="E662" s="8" t="s">
        <v>429</v>
      </c>
    </row>
    <row r="663" ht="15.75" customHeight="1">
      <c r="A663" s="9" t="s">
        <v>649</v>
      </c>
      <c r="B663" s="10">
        <v>1100.0</v>
      </c>
      <c r="C663" s="10">
        <v>2300.0</v>
      </c>
      <c r="D663" s="9" t="b">
        <f t="shared" si="153"/>
        <v>0</v>
      </c>
      <c r="E663" s="8" t="s">
        <v>429</v>
      </c>
    </row>
    <row r="664" ht="15.75" customHeight="1">
      <c r="A664" s="11" t="s">
        <v>650</v>
      </c>
      <c r="B664" s="12">
        <v>800.0</v>
      </c>
      <c r="C664" s="12">
        <v>2000.0</v>
      </c>
      <c r="D664" s="11" t="b">
        <f>true</f>
        <v>1</v>
      </c>
      <c r="E664" s="8" t="s">
        <v>429</v>
      </c>
    </row>
    <row r="665" ht="15.75" customHeight="1">
      <c r="A665" s="9" t="s">
        <v>651</v>
      </c>
      <c r="B665" s="10">
        <v>1000.0</v>
      </c>
      <c r="C665" s="10">
        <v>2500.0</v>
      </c>
      <c r="D665" s="9" t="b">
        <f t="shared" ref="D665:D666" si="154">false</f>
        <v>0</v>
      </c>
      <c r="E665" s="8" t="s">
        <v>429</v>
      </c>
    </row>
    <row r="666" ht="15.75" customHeight="1">
      <c r="A666" s="9" t="s">
        <v>652</v>
      </c>
      <c r="B666" s="10">
        <v>1500.0</v>
      </c>
      <c r="C666" s="10">
        <v>2500.0</v>
      </c>
      <c r="D666" s="9" t="b">
        <f t="shared" si="154"/>
        <v>0</v>
      </c>
      <c r="E666" s="8" t="s">
        <v>429</v>
      </c>
    </row>
    <row r="667" ht="15.75" customHeight="1">
      <c r="A667" s="11" t="s">
        <v>653</v>
      </c>
      <c r="B667" s="12">
        <v>1500.0</v>
      </c>
      <c r="C667" s="12">
        <v>2500.0</v>
      </c>
      <c r="D667" s="11" t="b">
        <f>true</f>
        <v>1</v>
      </c>
      <c r="E667" s="8" t="s">
        <v>429</v>
      </c>
    </row>
    <row r="668" ht="15.75" customHeight="1">
      <c r="A668" s="9" t="s">
        <v>654</v>
      </c>
      <c r="B668" s="10">
        <v>1500.0</v>
      </c>
      <c r="C668" s="10">
        <v>2500.0</v>
      </c>
      <c r="D668" s="9" t="b">
        <f t="shared" ref="D668:D669" si="155">false</f>
        <v>0</v>
      </c>
      <c r="E668" s="8" t="s">
        <v>429</v>
      </c>
    </row>
    <row r="669" ht="15.75" customHeight="1">
      <c r="A669" s="9" t="s">
        <v>655</v>
      </c>
      <c r="B669" s="10">
        <v>1650.0</v>
      </c>
      <c r="C669" s="10">
        <v>3000.0</v>
      </c>
      <c r="D669" s="9" t="b">
        <f t="shared" si="155"/>
        <v>0</v>
      </c>
      <c r="E669" s="8" t="s">
        <v>429</v>
      </c>
    </row>
    <row r="670" ht="15.75" customHeight="1">
      <c r="A670" s="11" t="s">
        <v>656</v>
      </c>
      <c r="B670" s="6">
        <v>1500.0</v>
      </c>
      <c r="C670" s="6">
        <v>3000.0</v>
      </c>
      <c r="D670" s="11" t="b">
        <f>true</f>
        <v>1</v>
      </c>
      <c r="E670" s="8" t="s">
        <v>429</v>
      </c>
    </row>
    <row r="671" ht="15.75" customHeight="1">
      <c r="A671" s="9" t="s">
        <v>657</v>
      </c>
      <c r="B671" s="10">
        <v>1750.0</v>
      </c>
      <c r="C671" s="10">
        <v>3000.0</v>
      </c>
      <c r="D671" s="9" t="b">
        <f>false</f>
        <v>0</v>
      </c>
      <c r="E671" s="8" t="s">
        <v>429</v>
      </c>
    </row>
    <row r="672" ht="15.75" customHeight="1">
      <c r="A672" s="11" t="s">
        <v>658</v>
      </c>
      <c r="B672" s="12">
        <v>1700.0</v>
      </c>
      <c r="C672" s="12">
        <v>3500.0</v>
      </c>
      <c r="D672" s="11" t="b">
        <f>true</f>
        <v>1</v>
      </c>
      <c r="E672" s="8" t="s">
        <v>429</v>
      </c>
    </row>
    <row r="673" ht="15.75" customHeight="1">
      <c r="A673" s="9" t="s">
        <v>659</v>
      </c>
      <c r="B673" s="10">
        <v>2100.0</v>
      </c>
      <c r="C673" s="10">
        <v>3500.0</v>
      </c>
      <c r="D673" s="9" t="b">
        <f t="shared" ref="D673:D674" si="156">false</f>
        <v>0</v>
      </c>
      <c r="E673" s="8" t="s">
        <v>429</v>
      </c>
    </row>
    <row r="674" ht="15.75" customHeight="1">
      <c r="A674" s="9" t="s">
        <v>660</v>
      </c>
      <c r="B674" s="10">
        <v>2500.0</v>
      </c>
      <c r="C674" s="10">
        <v>5200.0</v>
      </c>
      <c r="D674" s="9" t="b">
        <f t="shared" si="156"/>
        <v>0</v>
      </c>
      <c r="E674" s="8" t="s">
        <v>429</v>
      </c>
    </row>
    <row r="675" ht="15.75" customHeight="1">
      <c r="A675" s="11" t="s">
        <v>661</v>
      </c>
      <c r="B675" s="6">
        <v>2000.0</v>
      </c>
      <c r="C675" s="6">
        <v>4000.0</v>
      </c>
      <c r="D675" s="11" t="b">
        <f t="shared" ref="D675:D676" si="157">true</f>
        <v>1</v>
      </c>
      <c r="E675" s="8" t="s">
        <v>429</v>
      </c>
    </row>
    <row r="676" ht="15.75" customHeight="1">
      <c r="A676" s="11" t="s">
        <v>662</v>
      </c>
      <c r="B676" s="6">
        <v>2500.0</v>
      </c>
      <c r="C676" s="6">
        <v>5000.0</v>
      </c>
      <c r="D676" s="11" t="b">
        <f t="shared" si="157"/>
        <v>1</v>
      </c>
      <c r="E676" s="8" t="s">
        <v>429</v>
      </c>
    </row>
    <row r="677" ht="15.75" customHeight="1">
      <c r="A677" s="9" t="s">
        <v>663</v>
      </c>
      <c r="B677" s="10">
        <v>3000.0</v>
      </c>
      <c r="C677" s="10">
        <v>6300.0</v>
      </c>
      <c r="D677" s="9" t="b">
        <f>false</f>
        <v>0</v>
      </c>
      <c r="E677" s="8" t="s">
        <v>429</v>
      </c>
    </row>
    <row r="678" ht="15.75" customHeight="1">
      <c r="A678" s="11" t="s">
        <v>664</v>
      </c>
      <c r="B678" s="6">
        <v>2500.0</v>
      </c>
      <c r="C678" s="6">
        <v>5000.0</v>
      </c>
      <c r="D678" s="11" t="b">
        <f t="shared" ref="D678:D679" si="158">true</f>
        <v>1</v>
      </c>
      <c r="E678" s="8" t="s">
        <v>429</v>
      </c>
    </row>
    <row r="679" ht="15.75" customHeight="1">
      <c r="A679" s="11" t="s">
        <v>665</v>
      </c>
      <c r="B679" s="12">
        <v>2590.0</v>
      </c>
      <c r="C679" s="12">
        <v>4500.0</v>
      </c>
      <c r="D679" s="11" t="b">
        <f t="shared" si="158"/>
        <v>1</v>
      </c>
      <c r="E679" s="8" t="s">
        <v>429</v>
      </c>
    </row>
    <row r="680" ht="15.75" customHeight="1">
      <c r="A680" s="9" t="s">
        <v>666</v>
      </c>
      <c r="B680" s="10">
        <v>2200.0</v>
      </c>
      <c r="C680" s="10">
        <v>4500.0</v>
      </c>
      <c r="D680" s="9" t="b">
        <f>false</f>
        <v>0</v>
      </c>
      <c r="E680" s="8" t="s">
        <v>429</v>
      </c>
    </row>
    <row r="681" ht="15.75" customHeight="1">
      <c r="A681" s="11" t="s">
        <v>667</v>
      </c>
      <c r="B681" s="12">
        <v>3300.0</v>
      </c>
      <c r="C681" s="12">
        <v>5500.0</v>
      </c>
      <c r="D681" s="11" t="b">
        <f>true</f>
        <v>1</v>
      </c>
      <c r="E681" s="8" t="s">
        <v>429</v>
      </c>
    </row>
    <row r="682" ht="15.75" customHeight="1">
      <c r="A682" s="9" t="s">
        <v>668</v>
      </c>
      <c r="B682" s="10">
        <v>2500.0</v>
      </c>
      <c r="C682" s="10">
        <v>4500.0</v>
      </c>
      <c r="D682" s="9" t="b">
        <f t="shared" ref="D682:D684" si="159">false</f>
        <v>0</v>
      </c>
      <c r="E682" s="8" t="s">
        <v>429</v>
      </c>
    </row>
    <row r="683" ht="15.75" customHeight="1">
      <c r="A683" s="9" t="s">
        <v>669</v>
      </c>
      <c r="B683" s="10">
        <v>2000.0</v>
      </c>
      <c r="C683" s="10">
        <v>4000.0</v>
      </c>
      <c r="D683" s="9" t="b">
        <f t="shared" si="159"/>
        <v>0</v>
      </c>
      <c r="E683" s="8" t="s">
        <v>429</v>
      </c>
    </row>
    <row r="684" ht="15.75" customHeight="1">
      <c r="A684" s="9" t="s">
        <v>670</v>
      </c>
      <c r="B684" s="10">
        <v>2600.0</v>
      </c>
      <c r="C684" s="10">
        <v>4500.0</v>
      </c>
      <c r="D684" s="9" t="b">
        <f t="shared" si="159"/>
        <v>0</v>
      </c>
      <c r="E684" s="8" t="s">
        <v>429</v>
      </c>
    </row>
    <row r="685" ht="15.75" customHeight="1">
      <c r="A685" s="11" t="s">
        <v>671</v>
      </c>
      <c r="B685" s="12">
        <v>1100.0</v>
      </c>
      <c r="C685" s="12">
        <v>2200.0</v>
      </c>
      <c r="D685" s="11" t="b">
        <f t="shared" ref="D685:D694" si="160">true</f>
        <v>1</v>
      </c>
      <c r="E685" s="8" t="s">
        <v>429</v>
      </c>
    </row>
    <row r="686" ht="15.75" customHeight="1">
      <c r="A686" s="11" t="s">
        <v>672</v>
      </c>
      <c r="B686" s="12">
        <v>1000.0</v>
      </c>
      <c r="C686" s="12">
        <v>2200.0</v>
      </c>
      <c r="D686" s="11" t="b">
        <f t="shared" si="160"/>
        <v>1</v>
      </c>
      <c r="E686" s="8" t="s">
        <v>429</v>
      </c>
    </row>
    <row r="687" ht="15.75" customHeight="1">
      <c r="A687" s="11" t="s">
        <v>673</v>
      </c>
      <c r="B687" s="12">
        <v>1500.0</v>
      </c>
      <c r="C687" s="12">
        <v>2500.0</v>
      </c>
      <c r="D687" s="11" t="b">
        <f t="shared" si="160"/>
        <v>1</v>
      </c>
      <c r="E687" s="8" t="s">
        <v>429</v>
      </c>
    </row>
    <row r="688" ht="15.75" customHeight="1">
      <c r="A688" s="11" t="s">
        <v>674</v>
      </c>
      <c r="B688" s="12">
        <v>1000.0</v>
      </c>
      <c r="C688" s="12">
        <v>1850.0</v>
      </c>
      <c r="D688" s="11" t="b">
        <f t="shared" si="160"/>
        <v>1</v>
      </c>
      <c r="E688" s="8" t="s">
        <v>429</v>
      </c>
    </row>
    <row r="689" ht="15.75" customHeight="1">
      <c r="A689" s="11" t="s">
        <v>675</v>
      </c>
      <c r="B689" s="12">
        <v>1000.0</v>
      </c>
      <c r="C689" s="12">
        <v>1850.0</v>
      </c>
      <c r="D689" s="11" t="b">
        <f t="shared" si="160"/>
        <v>1</v>
      </c>
      <c r="E689" s="8" t="s">
        <v>429</v>
      </c>
    </row>
    <row r="690" ht="15.75" customHeight="1">
      <c r="A690" s="5" t="s">
        <v>676</v>
      </c>
      <c r="B690" s="6">
        <v>3000.0</v>
      </c>
      <c r="C690" s="6">
        <v>5000.0</v>
      </c>
      <c r="D690" s="11" t="b">
        <f t="shared" si="160"/>
        <v>1</v>
      </c>
      <c r="E690" s="8" t="s">
        <v>429</v>
      </c>
    </row>
    <row r="691" ht="15.75" customHeight="1">
      <c r="A691" s="11" t="s">
        <v>677</v>
      </c>
      <c r="B691" s="6">
        <v>1650.0</v>
      </c>
      <c r="C691" s="6">
        <v>3000.0</v>
      </c>
      <c r="D691" s="11" t="b">
        <f t="shared" si="160"/>
        <v>1</v>
      </c>
      <c r="E691" s="8" t="s">
        <v>429</v>
      </c>
    </row>
    <row r="692" ht="15.75" customHeight="1">
      <c r="A692" s="11" t="s">
        <v>678</v>
      </c>
      <c r="B692" s="6">
        <v>2100.0</v>
      </c>
      <c r="C692" s="6">
        <v>4000.0</v>
      </c>
      <c r="D692" s="11" t="b">
        <f t="shared" si="160"/>
        <v>1</v>
      </c>
      <c r="E692" s="8" t="s">
        <v>429</v>
      </c>
    </row>
    <row r="693" ht="15.75" customHeight="1">
      <c r="A693" s="11" t="s">
        <v>679</v>
      </c>
      <c r="B693" s="6">
        <v>850.0</v>
      </c>
      <c r="C693" s="6">
        <v>1700.0</v>
      </c>
      <c r="D693" s="11" t="b">
        <f t="shared" si="160"/>
        <v>1</v>
      </c>
      <c r="E693" s="8" t="s">
        <v>429</v>
      </c>
    </row>
    <row r="694" ht="15.75" customHeight="1">
      <c r="A694" s="11" t="s">
        <v>680</v>
      </c>
      <c r="B694" s="6">
        <v>2600.0</v>
      </c>
      <c r="C694" s="6">
        <v>4500.0</v>
      </c>
      <c r="D694" s="11" t="b">
        <f t="shared" si="160"/>
        <v>1</v>
      </c>
      <c r="E694" s="8" t="s">
        <v>429</v>
      </c>
    </row>
    <row r="695" ht="15.75" customHeight="1">
      <c r="A695" s="9" t="s">
        <v>681</v>
      </c>
      <c r="B695" s="10">
        <v>2990.0</v>
      </c>
      <c r="C695" s="10">
        <v>6000.0</v>
      </c>
      <c r="D695" s="9" t="b">
        <f>false</f>
        <v>0</v>
      </c>
      <c r="E695" s="8" t="s">
        <v>429</v>
      </c>
    </row>
    <row r="696" ht="15.75" customHeight="1">
      <c r="A696" s="11" t="s">
        <v>682</v>
      </c>
      <c r="B696" s="6">
        <v>1650.0</v>
      </c>
      <c r="C696" s="6">
        <v>2500.0</v>
      </c>
      <c r="D696" s="11" t="b">
        <f>true</f>
        <v>1</v>
      </c>
      <c r="E696" s="8" t="s">
        <v>429</v>
      </c>
    </row>
    <row r="697" ht="15.75" customHeight="1">
      <c r="A697" s="9" t="s">
        <v>683</v>
      </c>
      <c r="B697" s="10">
        <v>3600.0</v>
      </c>
      <c r="C697" s="10">
        <v>5500.0</v>
      </c>
      <c r="D697" s="9" t="b">
        <f t="shared" ref="D697:D698" si="161">false</f>
        <v>0</v>
      </c>
      <c r="E697" s="8" t="s">
        <v>429</v>
      </c>
    </row>
    <row r="698" ht="15.75" customHeight="1">
      <c r="A698" s="9" t="s">
        <v>684</v>
      </c>
      <c r="B698" s="10">
        <v>2590.0</v>
      </c>
      <c r="C698" s="10">
        <v>4200.0</v>
      </c>
      <c r="D698" s="9" t="b">
        <f t="shared" si="161"/>
        <v>0</v>
      </c>
      <c r="E698" s="8" t="s">
        <v>429</v>
      </c>
    </row>
    <row r="699" ht="15.75" customHeight="1">
      <c r="A699" s="11" t="s">
        <v>685</v>
      </c>
      <c r="B699" s="12">
        <v>4200.0</v>
      </c>
      <c r="C699" s="12">
        <v>6000.0</v>
      </c>
      <c r="D699" s="11" t="b">
        <f t="shared" ref="D699:D707" si="162">true</f>
        <v>1</v>
      </c>
      <c r="E699" s="8" t="s">
        <v>429</v>
      </c>
    </row>
    <row r="700" ht="15.75" customHeight="1">
      <c r="A700" s="11" t="s">
        <v>686</v>
      </c>
      <c r="B700" s="12">
        <v>2200.0</v>
      </c>
      <c r="C700" s="12">
        <v>3500.0</v>
      </c>
      <c r="D700" s="11" t="b">
        <f t="shared" si="162"/>
        <v>1</v>
      </c>
      <c r="E700" s="8" t="s">
        <v>429</v>
      </c>
    </row>
    <row r="701" ht="15.75" customHeight="1">
      <c r="A701" s="11" t="s">
        <v>687</v>
      </c>
      <c r="B701" s="6">
        <v>580.0</v>
      </c>
      <c r="C701" s="6">
        <v>1200.0</v>
      </c>
      <c r="D701" s="11" t="b">
        <f t="shared" si="162"/>
        <v>1</v>
      </c>
      <c r="E701" s="8" t="s">
        <v>429</v>
      </c>
    </row>
    <row r="702" ht="15.75" customHeight="1">
      <c r="A702" s="11" t="s">
        <v>688</v>
      </c>
      <c r="B702" s="6">
        <v>3000.0</v>
      </c>
      <c r="C702" s="6">
        <v>4500.0</v>
      </c>
      <c r="D702" s="11" t="b">
        <f t="shared" si="162"/>
        <v>1</v>
      </c>
      <c r="E702" s="8" t="s">
        <v>429</v>
      </c>
    </row>
    <row r="703" ht="15.75" customHeight="1">
      <c r="A703" s="11" t="s">
        <v>689</v>
      </c>
      <c r="B703" s="6">
        <v>650.0</v>
      </c>
      <c r="C703" s="6">
        <v>1500.0</v>
      </c>
      <c r="D703" s="11" t="b">
        <f t="shared" si="162"/>
        <v>1</v>
      </c>
      <c r="E703" s="8" t="s">
        <v>429</v>
      </c>
    </row>
    <row r="704" ht="15.75" customHeight="1">
      <c r="A704" s="11" t="s">
        <v>690</v>
      </c>
      <c r="B704" s="6">
        <v>3200.0</v>
      </c>
      <c r="C704" s="6">
        <v>5500.0</v>
      </c>
      <c r="D704" s="11" t="b">
        <f t="shared" si="162"/>
        <v>1</v>
      </c>
      <c r="E704" s="8" t="s">
        <v>429</v>
      </c>
    </row>
    <row r="705" ht="15.75" customHeight="1">
      <c r="A705" s="11" t="s">
        <v>691</v>
      </c>
      <c r="B705" s="6">
        <v>3600.0</v>
      </c>
      <c r="C705" s="6">
        <v>5500.0</v>
      </c>
      <c r="D705" s="11" t="b">
        <f t="shared" si="162"/>
        <v>1</v>
      </c>
      <c r="E705" s="8" t="s">
        <v>429</v>
      </c>
    </row>
    <row r="706" ht="15.75" customHeight="1">
      <c r="A706" s="11" t="s">
        <v>692</v>
      </c>
      <c r="B706" s="6">
        <v>6000.0</v>
      </c>
      <c r="C706" s="6">
        <v>7500.0</v>
      </c>
      <c r="D706" s="11" t="b">
        <f t="shared" si="162"/>
        <v>1</v>
      </c>
      <c r="E706" s="8" t="s">
        <v>429</v>
      </c>
    </row>
    <row r="707" ht="15.75" customHeight="1">
      <c r="A707" s="11" t="s">
        <v>693</v>
      </c>
      <c r="B707" s="12">
        <v>3300.0</v>
      </c>
      <c r="C707" s="12">
        <v>5500.0</v>
      </c>
      <c r="D707" s="11" t="b">
        <f t="shared" si="162"/>
        <v>1</v>
      </c>
      <c r="E707" s="8" t="s">
        <v>429</v>
      </c>
    </row>
    <row r="708" ht="15.75" customHeight="1">
      <c r="A708" s="9" t="s">
        <v>694</v>
      </c>
      <c r="B708" s="10">
        <v>2100.0</v>
      </c>
      <c r="C708" s="10">
        <v>3700.0</v>
      </c>
      <c r="D708" s="9" t="b">
        <f>false</f>
        <v>0</v>
      </c>
      <c r="E708" s="8" t="s">
        <v>429</v>
      </c>
    </row>
    <row r="709" ht="15.75" customHeight="1">
      <c r="A709" s="11" t="s">
        <v>695</v>
      </c>
      <c r="B709" s="12">
        <v>2100.0</v>
      </c>
      <c r="C709" s="12">
        <v>3500.0</v>
      </c>
      <c r="D709" s="11" t="b">
        <f t="shared" ref="D709:D710" si="163">true</f>
        <v>1</v>
      </c>
      <c r="E709" s="8" t="s">
        <v>429</v>
      </c>
    </row>
    <row r="710" ht="15.75" customHeight="1">
      <c r="A710" s="5" t="s">
        <v>696</v>
      </c>
      <c r="B710" s="6">
        <v>4200.0</v>
      </c>
      <c r="C710" s="6">
        <v>7500.0</v>
      </c>
      <c r="D710" s="11" t="b">
        <f t="shared" si="163"/>
        <v>1</v>
      </c>
      <c r="E710" s="8" t="s">
        <v>429</v>
      </c>
    </row>
    <row r="711" ht="15.75" customHeight="1">
      <c r="A711" s="9" t="s">
        <v>697</v>
      </c>
      <c r="B711" s="10">
        <v>5000.0</v>
      </c>
      <c r="C711" s="10">
        <v>8000.0</v>
      </c>
      <c r="D711" s="9" t="b">
        <f>false</f>
        <v>0</v>
      </c>
      <c r="E711" s="8" t="s">
        <v>429</v>
      </c>
    </row>
    <row r="712" ht="15.75" customHeight="1">
      <c r="A712" s="5" t="s">
        <v>698</v>
      </c>
      <c r="B712" s="6">
        <v>1000.0</v>
      </c>
      <c r="C712" s="6">
        <v>1500.0</v>
      </c>
      <c r="D712" s="11" t="b">
        <f t="shared" ref="D712:D716" si="164">true</f>
        <v>1</v>
      </c>
      <c r="E712" s="8" t="s">
        <v>429</v>
      </c>
    </row>
    <row r="713" ht="15.75" customHeight="1">
      <c r="A713" s="5" t="s">
        <v>699</v>
      </c>
      <c r="B713" s="6">
        <v>1000.0</v>
      </c>
      <c r="C713" s="6">
        <v>2500.0</v>
      </c>
      <c r="D713" s="11" t="b">
        <f t="shared" si="164"/>
        <v>1</v>
      </c>
      <c r="E713" s="8" t="s">
        <v>429</v>
      </c>
    </row>
    <row r="714" ht="15.75" customHeight="1">
      <c r="A714" s="5" t="s">
        <v>700</v>
      </c>
      <c r="B714" s="6">
        <v>1000.0</v>
      </c>
      <c r="C714" s="6">
        <v>3000.0</v>
      </c>
      <c r="D714" s="11" t="b">
        <f t="shared" si="164"/>
        <v>1</v>
      </c>
      <c r="E714" s="8" t="s">
        <v>429</v>
      </c>
    </row>
    <row r="715" ht="12.75" customHeight="1">
      <c r="A715" s="7" t="s">
        <v>701</v>
      </c>
      <c r="B715" s="6">
        <v>450.0</v>
      </c>
      <c r="C715" s="6">
        <v>1000.0</v>
      </c>
      <c r="D715" s="11" t="b">
        <f t="shared" si="164"/>
        <v>1</v>
      </c>
      <c r="E715" s="8" t="s">
        <v>429</v>
      </c>
    </row>
    <row r="716" ht="15.75" customHeight="1">
      <c r="A716" s="5" t="s">
        <v>702</v>
      </c>
      <c r="B716" s="6">
        <v>600.0</v>
      </c>
      <c r="C716" s="6">
        <v>1200.0</v>
      </c>
      <c r="D716" s="11" t="b">
        <f t="shared" si="164"/>
        <v>1</v>
      </c>
      <c r="E716" s="8" t="s">
        <v>429</v>
      </c>
    </row>
    <row r="717" ht="15.75" customHeight="1">
      <c r="A717" s="9" t="s">
        <v>703</v>
      </c>
      <c r="B717" s="10">
        <v>500.0</v>
      </c>
      <c r="C717" s="10">
        <v>1200.0</v>
      </c>
      <c r="D717" s="9" t="b">
        <f t="shared" ref="D717:D718" si="165">false</f>
        <v>0</v>
      </c>
      <c r="E717" s="8" t="s">
        <v>429</v>
      </c>
    </row>
    <row r="718" ht="15.75" customHeight="1">
      <c r="A718" s="9" t="s">
        <v>704</v>
      </c>
      <c r="B718" s="10">
        <v>990.0</v>
      </c>
      <c r="C718" s="10">
        <v>1300.0</v>
      </c>
      <c r="D718" s="9" t="b">
        <f t="shared" si="165"/>
        <v>0</v>
      </c>
      <c r="E718" s="8" t="s">
        <v>429</v>
      </c>
    </row>
    <row r="719" ht="15.75" customHeight="1">
      <c r="A719" s="11" t="s">
        <v>705</v>
      </c>
      <c r="B719" s="12">
        <v>990.0</v>
      </c>
      <c r="C719" s="12">
        <v>1300.0</v>
      </c>
      <c r="D719" s="11" t="b">
        <f t="shared" ref="D719:D721" si="166">true</f>
        <v>1</v>
      </c>
      <c r="E719" s="8" t="s">
        <v>429</v>
      </c>
    </row>
    <row r="720" ht="15.75" customHeight="1">
      <c r="A720" s="11" t="s">
        <v>706</v>
      </c>
      <c r="B720" s="12">
        <v>0.0</v>
      </c>
      <c r="C720" s="12">
        <v>5000.0</v>
      </c>
      <c r="D720" s="11" t="b">
        <f t="shared" si="166"/>
        <v>1</v>
      </c>
      <c r="E720" s="8" t="s">
        <v>429</v>
      </c>
    </row>
    <row r="721" ht="15.75" customHeight="1">
      <c r="A721" s="11" t="s">
        <v>707</v>
      </c>
      <c r="B721" s="12">
        <v>2650.0</v>
      </c>
      <c r="C721" s="12">
        <v>6000.0</v>
      </c>
      <c r="D721" s="11" t="b">
        <f t="shared" si="166"/>
        <v>1</v>
      </c>
      <c r="E721" s="8" t="s">
        <v>429</v>
      </c>
    </row>
    <row r="722" ht="15.75" customHeight="1">
      <c r="A722" s="9" t="s">
        <v>708</v>
      </c>
      <c r="B722" s="10">
        <v>3000.0</v>
      </c>
      <c r="C722" s="10">
        <v>5500.0</v>
      </c>
      <c r="D722" s="9" t="b">
        <f t="shared" ref="D722:D723" si="167">false</f>
        <v>0</v>
      </c>
      <c r="E722" s="8" t="s">
        <v>429</v>
      </c>
    </row>
    <row r="723" ht="15.75" customHeight="1">
      <c r="A723" s="9" t="s">
        <v>709</v>
      </c>
      <c r="B723" s="10">
        <v>500.0</v>
      </c>
      <c r="C723" s="10">
        <v>1000.0</v>
      </c>
      <c r="D723" s="9" t="b">
        <f t="shared" si="167"/>
        <v>0</v>
      </c>
      <c r="E723" s="8" t="s">
        <v>429</v>
      </c>
    </row>
    <row r="724" ht="15.75" customHeight="1">
      <c r="A724" s="11" t="s">
        <v>710</v>
      </c>
      <c r="B724" s="12">
        <v>1000.0</v>
      </c>
      <c r="C724" s="12">
        <v>1500.0</v>
      </c>
      <c r="D724" s="11" t="b">
        <f t="shared" ref="D724:D730" si="168">true</f>
        <v>1</v>
      </c>
      <c r="E724" s="8" t="s">
        <v>429</v>
      </c>
    </row>
    <row r="725" ht="15.75" customHeight="1">
      <c r="A725" s="11" t="s">
        <v>711</v>
      </c>
      <c r="B725" s="12">
        <v>895.0</v>
      </c>
      <c r="C725" s="12">
        <v>1500.0</v>
      </c>
      <c r="D725" s="11" t="b">
        <f t="shared" si="168"/>
        <v>1</v>
      </c>
      <c r="E725" s="8" t="s">
        <v>429</v>
      </c>
    </row>
    <row r="726" ht="15.75" customHeight="1">
      <c r="A726" s="11" t="s">
        <v>712</v>
      </c>
      <c r="B726" s="12">
        <v>1650.0</v>
      </c>
      <c r="C726" s="12">
        <v>2800.0</v>
      </c>
      <c r="D726" s="11" t="b">
        <f t="shared" si="168"/>
        <v>1</v>
      </c>
      <c r="E726" s="8" t="s">
        <v>429</v>
      </c>
    </row>
    <row r="727" ht="15.75" customHeight="1">
      <c r="A727" s="11" t="s">
        <v>713</v>
      </c>
      <c r="B727" s="12">
        <v>1000.0</v>
      </c>
      <c r="C727" s="12">
        <v>2000.0</v>
      </c>
      <c r="D727" s="11" t="b">
        <f t="shared" si="168"/>
        <v>1</v>
      </c>
      <c r="E727" s="8" t="s">
        <v>429</v>
      </c>
    </row>
    <row r="728" ht="15.75" customHeight="1">
      <c r="A728" s="11" t="s">
        <v>714</v>
      </c>
      <c r="B728" s="12">
        <v>1850.0</v>
      </c>
      <c r="C728" s="12">
        <v>3500.0</v>
      </c>
      <c r="D728" s="11" t="b">
        <f t="shared" si="168"/>
        <v>1</v>
      </c>
      <c r="E728" s="8" t="s">
        <v>429</v>
      </c>
    </row>
    <row r="729" ht="15.75" customHeight="1">
      <c r="A729" s="11" t="s">
        <v>715</v>
      </c>
      <c r="B729" s="12">
        <v>650.0</v>
      </c>
      <c r="C729" s="12">
        <v>1200.0</v>
      </c>
      <c r="D729" s="11" t="b">
        <f t="shared" si="168"/>
        <v>1</v>
      </c>
      <c r="E729" s="8" t="s">
        <v>429</v>
      </c>
    </row>
    <row r="730" ht="15.75" customHeight="1">
      <c r="A730" s="11" t="s">
        <v>716</v>
      </c>
      <c r="B730" s="12">
        <v>850.0</v>
      </c>
      <c r="C730" s="12">
        <v>1700.0</v>
      </c>
      <c r="D730" s="11" t="b">
        <f t="shared" si="168"/>
        <v>1</v>
      </c>
      <c r="E730" s="8" t="s">
        <v>429</v>
      </c>
    </row>
    <row r="731" ht="15.75" customHeight="1">
      <c r="A731" s="9" t="s">
        <v>717</v>
      </c>
      <c r="B731" s="10">
        <v>1100.0</v>
      </c>
      <c r="C731" s="10">
        <v>2300.0</v>
      </c>
      <c r="D731" s="9" t="b">
        <f>false</f>
        <v>0</v>
      </c>
      <c r="E731" s="8" t="s">
        <v>429</v>
      </c>
    </row>
    <row r="732" ht="15.75" customHeight="1">
      <c r="A732" s="11" t="s">
        <v>718</v>
      </c>
      <c r="B732" s="12">
        <v>720.0</v>
      </c>
      <c r="C732" s="12">
        <v>1300.0</v>
      </c>
      <c r="D732" s="11" t="b">
        <f t="shared" ref="D732:D734" si="169">true</f>
        <v>1</v>
      </c>
      <c r="E732" s="8" t="s">
        <v>429</v>
      </c>
    </row>
    <row r="733" ht="15.75" customHeight="1">
      <c r="A733" s="11" t="s">
        <v>719</v>
      </c>
      <c r="B733" s="12">
        <v>713.0</v>
      </c>
      <c r="C733" s="12">
        <v>1300.0</v>
      </c>
      <c r="D733" s="11" t="b">
        <f t="shared" si="169"/>
        <v>1</v>
      </c>
      <c r="E733" s="8" t="s">
        <v>429</v>
      </c>
    </row>
    <row r="734" ht="15.75" customHeight="1">
      <c r="A734" s="11" t="s">
        <v>720</v>
      </c>
      <c r="B734" s="12">
        <v>1500.0</v>
      </c>
      <c r="C734" s="12">
        <v>2500.0</v>
      </c>
      <c r="D734" s="11" t="b">
        <f t="shared" si="169"/>
        <v>1</v>
      </c>
      <c r="E734" s="8" t="s">
        <v>429</v>
      </c>
    </row>
    <row r="735" ht="15.75" customHeight="1">
      <c r="A735" s="9" t="s">
        <v>721</v>
      </c>
      <c r="B735" s="10">
        <v>1200.0</v>
      </c>
      <c r="C735" s="10">
        <v>2500.0</v>
      </c>
      <c r="D735" s="9" t="b">
        <f t="shared" ref="D735:D736" si="170">false</f>
        <v>0</v>
      </c>
      <c r="E735" s="8" t="s">
        <v>429</v>
      </c>
    </row>
    <row r="736" ht="15.75" customHeight="1">
      <c r="A736" s="9" t="s">
        <v>722</v>
      </c>
      <c r="B736" s="10">
        <v>600.0</v>
      </c>
      <c r="C736" s="10">
        <v>2000.0</v>
      </c>
      <c r="D736" s="9" t="b">
        <f t="shared" si="170"/>
        <v>0</v>
      </c>
      <c r="E736" s="8" t="s">
        <v>429</v>
      </c>
    </row>
    <row r="737" ht="15.75" customHeight="1">
      <c r="A737" s="11" t="s">
        <v>723</v>
      </c>
      <c r="B737" s="12">
        <v>855.0</v>
      </c>
      <c r="C737" s="12">
        <v>2000.0</v>
      </c>
      <c r="D737" s="11" t="b">
        <f>true</f>
        <v>1</v>
      </c>
      <c r="E737" s="8" t="s">
        <v>429</v>
      </c>
    </row>
    <row r="738" ht="15.75" customHeight="1">
      <c r="A738" s="9" t="s">
        <v>724</v>
      </c>
      <c r="B738" s="10">
        <v>1200.0</v>
      </c>
      <c r="C738" s="10">
        <v>2500.0</v>
      </c>
      <c r="D738" s="9" t="b">
        <f t="shared" ref="D738:D742" si="171">false</f>
        <v>0</v>
      </c>
      <c r="E738" s="8" t="s">
        <v>429</v>
      </c>
    </row>
    <row r="739" ht="15.75" customHeight="1">
      <c r="A739" s="9" t="s">
        <v>725</v>
      </c>
      <c r="B739" s="10">
        <v>1400.0</v>
      </c>
      <c r="C739" s="10">
        <v>2500.0</v>
      </c>
      <c r="D739" s="9" t="b">
        <f t="shared" si="171"/>
        <v>0</v>
      </c>
      <c r="E739" s="8" t="s">
        <v>429</v>
      </c>
    </row>
    <row r="740" ht="15.75" customHeight="1">
      <c r="A740" s="9" t="s">
        <v>726</v>
      </c>
      <c r="B740" s="10">
        <v>1500.0</v>
      </c>
      <c r="C740" s="10">
        <v>2500.0</v>
      </c>
      <c r="D740" s="9" t="b">
        <f t="shared" si="171"/>
        <v>0</v>
      </c>
      <c r="E740" s="8" t="s">
        <v>429</v>
      </c>
    </row>
    <row r="741" ht="15.75" customHeight="1">
      <c r="A741" s="9" t="s">
        <v>727</v>
      </c>
      <c r="B741" s="10">
        <v>2290.0</v>
      </c>
      <c r="C741" s="10">
        <v>3500.0</v>
      </c>
      <c r="D741" s="9" t="b">
        <f t="shared" si="171"/>
        <v>0</v>
      </c>
      <c r="E741" s="8" t="s">
        <v>429</v>
      </c>
    </row>
    <row r="742" ht="15.75" customHeight="1">
      <c r="A742" s="9" t="s">
        <v>728</v>
      </c>
      <c r="B742" s="10">
        <v>2520.0</v>
      </c>
      <c r="C742" s="10">
        <v>3600.0</v>
      </c>
      <c r="D742" s="9" t="b">
        <f t="shared" si="171"/>
        <v>0</v>
      </c>
      <c r="E742" s="8" t="s">
        <v>429</v>
      </c>
    </row>
    <row r="743" ht="15.75" customHeight="1">
      <c r="A743" s="11" t="s">
        <v>728</v>
      </c>
      <c r="B743" s="12">
        <v>2800.0</v>
      </c>
      <c r="C743" s="12">
        <v>3600.0</v>
      </c>
      <c r="D743" s="11" t="b">
        <f>true</f>
        <v>1</v>
      </c>
      <c r="E743" s="8" t="s">
        <v>429</v>
      </c>
    </row>
    <row r="744" ht="15.75" customHeight="1">
      <c r="A744" s="9" t="s">
        <v>729</v>
      </c>
      <c r="B744" s="10">
        <v>1600.0</v>
      </c>
      <c r="C744" s="10">
        <v>3000.0</v>
      </c>
      <c r="D744" s="9" t="b">
        <f t="shared" ref="D744:D746" si="172">false</f>
        <v>0</v>
      </c>
      <c r="E744" s="8" t="s">
        <v>429</v>
      </c>
    </row>
    <row r="745" ht="15.75" customHeight="1">
      <c r="A745" s="9" t="s">
        <v>730</v>
      </c>
      <c r="B745" s="10">
        <v>800.0</v>
      </c>
      <c r="C745" s="10">
        <v>2000.0</v>
      </c>
      <c r="D745" s="9" t="b">
        <f t="shared" si="172"/>
        <v>0</v>
      </c>
      <c r="E745" s="8" t="s">
        <v>429</v>
      </c>
    </row>
    <row r="746" ht="15.75" customHeight="1">
      <c r="A746" s="9" t="s">
        <v>731</v>
      </c>
      <c r="B746" s="10">
        <v>2000.0</v>
      </c>
      <c r="C746" s="10">
        <v>4500.0</v>
      </c>
      <c r="D746" s="9" t="b">
        <f t="shared" si="172"/>
        <v>0</v>
      </c>
      <c r="E746" s="8" t="s">
        <v>429</v>
      </c>
    </row>
    <row r="747" ht="15.75" customHeight="1">
      <c r="A747" s="11" t="s">
        <v>732</v>
      </c>
      <c r="B747" s="12">
        <v>2500.0</v>
      </c>
      <c r="C747" s="12">
        <v>5000.0</v>
      </c>
      <c r="D747" s="11" t="b">
        <f t="shared" ref="D747:D748" si="173">true</f>
        <v>1</v>
      </c>
      <c r="E747" s="8" t="s">
        <v>429</v>
      </c>
    </row>
    <row r="748" ht="15.75" customHeight="1">
      <c r="A748" s="11" t="s">
        <v>733</v>
      </c>
      <c r="B748" s="12">
        <v>2000.0</v>
      </c>
      <c r="C748" s="12">
        <v>4500.0</v>
      </c>
      <c r="D748" s="11" t="b">
        <f t="shared" si="173"/>
        <v>1</v>
      </c>
      <c r="E748" s="8" t="s">
        <v>429</v>
      </c>
    </row>
    <row r="749" ht="15.75" customHeight="1">
      <c r="A749" s="9" t="s">
        <v>734</v>
      </c>
      <c r="B749" s="10">
        <v>8990.0</v>
      </c>
      <c r="C749" s="10">
        <v>15000.0</v>
      </c>
      <c r="D749" s="9" t="b">
        <f t="shared" ref="D749:D750" si="174">false</f>
        <v>0</v>
      </c>
      <c r="E749" s="8" t="s">
        <v>429</v>
      </c>
    </row>
    <row r="750" ht="15.75" customHeight="1">
      <c r="A750" s="9" t="s">
        <v>734</v>
      </c>
      <c r="B750" s="10">
        <v>4500.0</v>
      </c>
      <c r="C750" s="10">
        <v>7000.0</v>
      </c>
      <c r="D750" s="9" t="b">
        <f t="shared" si="174"/>
        <v>0</v>
      </c>
      <c r="E750" s="8" t="s">
        <v>429</v>
      </c>
    </row>
    <row r="751" ht="15.75" customHeight="1">
      <c r="A751" s="11" t="s">
        <v>735</v>
      </c>
      <c r="B751" s="12">
        <v>4000.0</v>
      </c>
      <c r="C751" s="12">
        <v>6000.0</v>
      </c>
      <c r="D751" s="11" t="b">
        <f>true</f>
        <v>1</v>
      </c>
      <c r="E751" s="8" t="s">
        <v>429</v>
      </c>
    </row>
    <row r="752" ht="15.75" customHeight="1">
      <c r="A752" s="9" t="s">
        <v>736</v>
      </c>
      <c r="B752" s="10">
        <v>2000.0</v>
      </c>
      <c r="C752" s="10">
        <v>5000.0</v>
      </c>
      <c r="D752" s="9" t="b">
        <f>false</f>
        <v>0</v>
      </c>
      <c r="E752" s="8" t="s">
        <v>429</v>
      </c>
    </row>
    <row r="753" ht="15.75" customHeight="1">
      <c r="A753" s="11" t="s">
        <v>737</v>
      </c>
      <c r="B753" s="12">
        <v>1.0</v>
      </c>
      <c r="C753" s="12">
        <v>7500.0</v>
      </c>
      <c r="D753" s="11" t="b">
        <f t="shared" ref="D753:D754" si="175">true</f>
        <v>1</v>
      </c>
      <c r="E753" s="8" t="s">
        <v>429</v>
      </c>
    </row>
    <row r="754" ht="15.75" customHeight="1">
      <c r="A754" s="11" t="s">
        <v>738</v>
      </c>
      <c r="B754" s="12">
        <v>2990.0</v>
      </c>
      <c r="C754" s="12">
        <v>5000.0</v>
      </c>
      <c r="D754" s="11" t="b">
        <f t="shared" si="175"/>
        <v>1</v>
      </c>
      <c r="E754" s="8" t="s">
        <v>429</v>
      </c>
    </row>
    <row r="755" ht="15.75" customHeight="1">
      <c r="A755" s="9" t="s">
        <v>739</v>
      </c>
      <c r="B755" s="10">
        <v>3000.0</v>
      </c>
      <c r="C755" s="10">
        <v>6000.0</v>
      </c>
      <c r="D755" s="9" t="b">
        <f t="shared" ref="D755:D757" si="176">false</f>
        <v>0</v>
      </c>
      <c r="E755" s="8" t="s">
        <v>429</v>
      </c>
    </row>
    <row r="756" ht="15.75" customHeight="1">
      <c r="A756" s="9" t="s">
        <v>740</v>
      </c>
      <c r="B756" s="10">
        <v>2000.0</v>
      </c>
      <c r="C756" s="10">
        <v>5000.0</v>
      </c>
      <c r="D756" s="9" t="b">
        <f t="shared" si="176"/>
        <v>0</v>
      </c>
      <c r="E756" s="8" t="s">
        <v>429</v>
      </c>
    </row>
    <row r="757" ht="15.75" customHeight="1">
      <c r="A757" s="9" t="s">
        <v>741</v>
      </c>
      <c r="B757" s="10">
        <v>3500.0</v>
      </c>
      <c r="C757" s="10">
        <v>6000.0</v>
      </c>
      <c r="D757" s="9" t="b">
        <f t="shared" si="176"/>
        <v>0</v>
      </c>
      <c r="E757" s="8" t="s">
        <v>429</v>
      </c>
    </row>
    <row r="758" ht="15.75" customHeight="1">
      <c r="A758" s="11" t="s">
        <v>742</v>
      </c>
      <c r="B758" s="12">
        <v>2600.0</v>
      </c>
      <c r="C758" s="12">
        <v>4000.0</v>
      </c>
      <c r="D758" s="11" t="b">
        <f t="shared" ref="D758:D759" si="177">true</f>
        <v>1</v>
      </c>
      <c r="E758" s="8" t="s">
        <v>429</v>
      </c>
    </row>
    <row r="759" ht="15.75" customHeight="1">
      <c r="A759" s="11" t="s">
        <v>743</v>
      </c>
      <c r="B759" s="12">
        <v>2500.0</v>
      </c>
      <c r="C759" s="12">
        <v>4500.0</v>
      </c>
      <c r="D759" s="11" t="b">
        <f t="shared" si="177"/>
        <v>1</v>
      </c>
      <c r="E759" s="8" t="s">
        <v>429</v>
      </c>
    </row>
    <row r="760" ht="15.75" customHeight="1">
      <c r="A760" s="9" t="s">
        <v>744</v>
      </c>
      <c r="B760" s="10">
        <v>2500.0</v>
      </c>
      <c r="C760" s="10">
        <v>4800.0</v>
      </c>
      <c r="D760" s="9" t="b">
        <f>false</f>
        <v>0</v>
      </c>
      <c r="E760" s="8" t="s">
        <v>429</v>
      </c>
    </row>
    <row r="761" ht="15.75" customHeight="1">
      <c r="A761" s="11" t="s">
        <v>745</v>
      </c>
      <c r="B761" s="12">
        <v>1280.0</v>
      </c>
      <c r="C761" s="12">
        <v>2500.0</v>
      </c>
      <c r="D761" s="11" t="b">
        <f t="shared" ref="D761:D772" si="178">true</f>
        <v>1</v>
      </c>
      <c r="E761" s="8" t="s">
        <v>429</v>
      </c>
    </row>
    <row r="762" ht="15.75" customHeight="1">
      <c r="A762" s="11" t="s">
        <v>746</v>
      </c>
      <c r="B762" s="12">
        <v>850.0</v>
      </c>
      <c r="C762" s="12">
        <v>1350.0</v>
      </c>
      <c r="D762" s="11" t="b">
        <f t="shared" si="178"/>
        <v>1</v>
      </c>
      <c r="E762" s="8" t="s">
        <v>429</v>
      </c>
    </row>
    <row r="763" ht="15.75" customHeight="1">
      <c r="A763" s="11" t="s">
        <v>747</v>
      </c>
      <c r="B763" s="12">
        <v>2500.0</v>
      </c>
      <c r="C763" s="12">
        <v>3800.0</v>
      </c>
      <c r="D763" s="11" t="b">
        <f t="shared" si="178"/>
        <v>1</v>
      </c>
      <c r="E763" s="8" t="s">
        <v>429</v>
      </c>
    </row>
    <row r="764" ht="15.75" customHeight="1">
      <c r="A764" s="11" t="s">
        <v>748</v>
      </c>
      <c r="B764" s="12">
        <v>9000.0</v>
      </c>
      <c r="C764" s="12">
        <v>15000.0</v>
      </c>
      <c r="D764" s="11" t="b">
        <f t="shared" si="178"/>
        <v>1</v>
      </c>
      <c r="E764" s="8" t="s">
        <v>429</v>
      </c>
    </row>
    <row r="765" ht="15.75" customHeight="1">
      <c r="A765" s="11" t="s">
        <v>749</v>
      </c>
      <c r="B765" s="12">
        <v>2500.0</v>
      </c>
      <c r="C765" s="12">
        <v>4000.0</v>
      </c>
      <c r="D765" s="11" t="b">
        <f t="shared" si="178"/>
        <v>1</v>
      </c>
      <c r="E765" s="8" t="s">
        <v>429</v>
      </c>
    </row>
    <row r="766" ht="15.75" customHeight="1">
      <c r="A766" s="11" t="s">
        <v>750</v>
      </c>
      <c r="B766" s="12">
        <v>3000.0</v>
      </c>
      <c r="C766" s="12">
        <v>5000.0</v>
      </c>
      <c r="D766" s="11" t="b">
        <f t="shared" si="178"/>
        <v>1</v>
      </c>
      <c r="E766" s="8" t="s">
        <v>429</v>
      </c>
    </row>
    <row r="767" ht="15.75" customHeight="1">
      <c r="A767" s="11" t="s">
        <v>751</v>
      </c>
      <c r="B767" s="12">
        <v>1080.0</v>
      </c>
      <c r="C767" s="12">
        <v>2000.0</v>
      </c>
      <c r="D767" s="11" t="b">
        <f t="shared" si="178"/>
        <v>1</v>
      </c>
      <c r="E767" s="8" t="s">
        <v>429</v>
      </c>
    </row>
    <row r="768" ht="15.75" customHeight="1">
      <c r="A768" s="7" t="s">
        <v>752</v>
      </c>
      <c r="B768" s="6">
        <v>7000.0</v>
      </c>
      <c r="C768" s="6">
        <v>10000.0</v>
      </c>
      <c r="D768" s="11" t="b">
        <f t="shared" si="178"/>
        <v>1</v>
      </c>
      <c r="E768" s="8" t="s">
        <v>753</v>
      </c>
    </row>
    <row r="769" ht="15.75" customHeight="1">
      <c r="A769" s="7" t="s">
        <v>754</v>
      </c>
      <c r="B769" s="6">
        <v>2300.0</v>
      </c>
      <c r="C769" s="6">
        <v>3500.0</v>
      </c>
      <c r="D769" s="11" t="b">
        <f t="shared" si="178"/>
        <v>1</v>
      </c>
      <c r="E769" s="8" t="s">
        <v>753</v>
      </c>
    </row>
    <row r="770" ht="15.75" customHeight="1">
      <c r="A770" s="7" t="s">
        <v>755</v>
      </c>
      <c r="B770" s="6">
        <v>1000.0</v>
      </c>
      <c r="C770" s="6">
        <v>2000.0</v>
      </c>
      <c r="D770" s="11" t="b">
        <f t="shared" si="178"/>
        <v>1</v>
      </c>
      <c r="E770" s="8" t="s">
        <v>753</v>
      </c>
    </row>
    <row r="771" ht="15.75" customHeight="1">
      <c r="A771" s="7" t="s">
        <v>756</v>
      </c>
      <c r="B771" s="6">
        <v>1000.0</v>
      </c>
      <c r="C771" s="6">
        <v>2000.0</v>
      </c>
      <c r="D771" s="11" t="b">
        <f t="shared" si="178"/>
        <v>1</v>
      </c>
      <c r="E771" s="8" t="s">
        <v>753</v>
      </c>
    </row>
    <row r="772" ht="15.75" customHeight="1">
      <c r="A772" s="7" t="s">
        <v>757</v>
      </c>
      <c r="B772" s="6">
        <v>5950.0</v>
      </c>
      <c r="C772" s="6">
        <v>8500.0</v>
      </c>
      <c r="D772" s="11" t="b">
        <f t="shared" si="178"/>
        <v>1</v>
      </c>
      <c r="E772" s="8" t="s">
        <v>753</v>
      </c>
    </row>
    <row r="773" ht="15.75" customHeight="1">
      <c r="A773" s="9" t="s">
        <v>758</v>
      </c>
      <c r="B773" s="10">
        <v>6000.0</v>
      </c>
      <c r="C773" s="10">
        <v>8000.0</v>
      </c>
      <c r="D773" s="9" t="b">
        <f>false</f>
        <v>0</v>
      </c>
      <c r="E773" s="8" t="s">
        <v>753</v>
      </c>
    </row>
    <row r="774" ht="15.75" customHeight="1">
      <c r="A774" s="11" t="s">
        <v>759</v>
      </c>
      <c r="B774" s="12">
        <v>3000.0</v>
      </c>
      <c r="C774" s="12">
        <v>5500.0</v>
      </c>
      <c r="D774" s="11" t="b">
        <f>true</f>
        <v>1</v>
      </c>
      <c r="E774" s="8" t="s">
        <v>753</v>
      </c>
    </row>
    <row r="775" ht="15.75" customHeight="1">
      <c r="A775" s="9" t="s">
        <v>760</v>
      </c>
      <c r="B775" s="10">
        <v>1800.0</v>
      </c>
      <c r="C775" s="10">
        <v>4000.0</v>
      </c>
      <c r="D775" s="9" t="b">
        <f t="shared" ref="D775:D779" si="179">false</f>
        <v>0</v>
      </c>
      <c r="E775" s="8" t="s">
        <v>753</v>
      </c>
    </row>
    <row r="776" ht="15.75" customHeight="1">
      <c r="A776" s="9" t="s">
        <v>761</v>
      </c>
      <c r="B776" s="10">
        <v>2000.0</v>
      </c>
      <c r="C776" s="10">
        <v>5000.0</v>
      </c>
      <c r="D776" s="9" t="b">
        <f t="shared" si="179"/>
        <v>0</v>
      </c>
      <c r="E776" s="8" t="s">
        <v>753</v>
      </c>
    </row>
    <row r="777" ht="15.75" customHeight="1">
      <c r="A777" s="9" t="s">
        <v>762</v>
      </c>
      <c r="B777" s="10">
        <v>3500.0</v>
      </c>
      <c r="C777" s="10">
        <v>5500.0</v>
      </c>
      <c r="D777" s="9" t="b">
        <f t="shared" si="179"/>
        <v>0</v>
      </c>
      <c r="E777" s="8" t="s">
        <v>753</v>
      </c>
    </row>
    <row r="778" ht="15.75" customHeight="1">
      <c r="A778" s="9" t="s">
        <v>763</v>
      </c>
      <c r="B778" s="10">
        <v>3000.0</v>
      </c>
      <c r="C778" s="10">
        <v>6000.0</v>
      </c>
      <c r="D778" s="9" t="b">
        <f t="shared" si="179"/>
        <v>0</v>
      </c>
      <c r="E778" s="8" t="s">
        <v>753</v>
      </c>
    </row>
    <row r="779" ht="15.75" customHeight="1">
      <c r="A779" s="9" t="s">
        <v>764</v>
      </c>
      <c r="B779" s="10">
        <v>6990.0</v>
      </c>
      <c r="C779" s="10">
        <v>10000.0</v>
      </c>
      <c r="D779" s="9" t="b">
        <f t="shared" si="179"/>
        <v>0</v>
      </c>
      <c r="E779" s="8" t="s">
        <v>753</v>
      </c>
    </row>
    <row r="780" ht="15.75" customHeight="1">
      <c r="A780" s="11" t="s">
        <v>765</v>
      </c>
      <c r="B780" s="12">
        <v>5500.0</v>
      </c>
      <c r="C780" s="12">
        <v>10500.0</v>
      </c>
      <c r="D780" s="11" t="b">
        <f t="shared" ref="D780:D781" si="180">true</f>
        <v>1</v>
      </c>
      <c r="E780" s="8" t="s">
        <v>753</v>
      </c>
    </row>
    <row r="781" ht="15.75" customHeight="1">
      <c r="A781" s="11" t="s">
        <v>766</v>
      </c>
      <c r="B781" s="12">
        <v>6500.0</v>
      </c>
      <c r="C781" s="12">
        <v>12500.0</v>
      </c>
      <c r="D781" s="11" t="b">
        <f t="shared" si="180"/>
        <v>1</v>
      </c>
      <c r="E781" s="8" t="s">
        <v>753</v>
      </c>
    </row>
    <row r="782" ht="15.75" customHeight="1">
      <c r="A782" s="9" t="s">
        <v>767</v>
      </c>
      <c r="B782" s="10">
        <v>4000.0</v>
      </c>
      <c r="C782" s="10">
        <v>6500.0</v>
      </c>
      <c r="D782" s="9" t="b">
        <f t="shared" ref="D782:D783" si="181">false</f>
        <v>0</v>
      </c>
      <c r="E782" s="8" t="s">
        <v>753</v>
      </c>
    </row>
    <row r="783" ht="15.75" customHeight="1">
      <c r="A783" s="9" t="s">
        <v>768</v>
      </c>
      <c r="B783" s="10">
        <v>3500.0</v>
      </c>
      <c r="C783" s="10">
        <v>6000.0</v>
      </c>
      <c r="D783" s="9" t="b">
        <f t="shared" si="181"/>
        <v>0</v>
      </c>
      <c r="E783" s="8" t="s">
        <v>753</v>
      </c>
    </row>
    <row r="784" ht="15.75" customHeight="1">
      <c r="A784" s="11" t="s">
        <v>769</v>
      </c>
      <c r="B784" s="12">
        <v>6000.0</v>
      </c>
      <c r="C784" s="12">
        <v>9000.0</v>
      </c>
      <c r="D784" s="11" t="b">
        <f>true</f>
        <v>1</v>
      </c>
      <c r="E784" s="8" t="s">
        <v>753</v>
      </c>
    </row>
    <row r="785" ht="15.75" customHeight="1">
      <c r="A785" s="9" t="s">
        <v>770</v>
      </c>
      <c r="B785" s="10">
        <v>3500.0</v>
      </c>
      <c r="C785" s="10">
        <v>6500.0</v>
      </c>
      <c r="D785" s="9" t="b">
        <f t="shared" ref="D785:D786" si="182">false</f>
        <v>0</v>
      </c>
      <c r="E785" s="8" t="s">
        <v>753</v>
      </c>
    </row>
    <row r="786" ht="15.75" customHeight="1">
      <c r="A786" s="9" t="s">
        <v>771</v>
      </c>
      <c r="B786" s="10">
        <v>3500.0</v>
      </c>
      <c r="C786" s="10">
        <v>6500.0</v>
      </c>
      <c r="D786" s="9" t="b">
        <f t="shared" si="182"/>
        <v>0</v>
      </c>
      <c r="E786" s="8" t="s">
        <v>753</v>
      </c>
    </row>
    <row r="787" ht="15.75" customHeight="1">
      <c r="A787" s="11" t="s">
        <v>772</v>
      </c>
      <c r="B787" s="12">
        <v>3500.0</v>
      </c>
      <c r="C787" s="12">
        <v>5500.0</v>
      </c>
      <c r="D787" s="11" t="b">
        <f t="shared" ref="D787:D790" si="183">true</f>
        <v>1</v>
      </c>
      <c r="E787" s="8" t="s">
        <v>753</v>
      </c>
    </row>
    <row r="788" ht="15.75" customHeight="1">
      <c r="A788" s="11" t="s">
        <v>773</v>
      </c>
      <c r="B788" s="12">
        <v>3990.0</v>
      </c>
      <c r="C788" s="12">
        <v>6000.0</v>
      </c>
      <c r="D788" s="11" t="b">
        <f t="shared" si="183"/>
        <v>1</v>
      </c>
      <c r="E788" s="8" t="s">
        <v>753</v>
      </c>
    </row>
    <row r="789" ht="15.75" customHeight="1">
      <c r="A789" s="11" t="s">
        <v>774</v>
      </c>
      <c r="B789" s="12">
        <v>2990.0</v>
      </c>
      <c r="C789" s="12">
        <v>4500.0</v>
      </c>
      <c r="D789" s="11" t="b">
        <f t="shared" si="183"/>
        <v>1</v>
      </c>
      <c r="E789" s="8" t="s">
        <v>753</v>
      </c>
    </row>
    <row r="790" ht="15.75" customHeight="1">
      <c r="A790" s="11" t="s">
        <v>775</v>
      </c>
      <c r="B790" s="12">
        <v>1500.0</v>
      </c>
      <c r="C790" s="12">
        <v>3000.0</v>
      </c>
      <c r="D790" s="11" t="b">
        <f t="shared" si="183"/>
        <v>1</v>
      </c>
      <c r="E790" s="8" t="s">
        <v>753</v>
      </c>
    </row>
    <row r="791" ht="15.75" customHeight="1">
      <c r="A791" s="9" t="s">
        <v>776</v>
      </c>
      <c r="B791" s="10">
        <v>2500.0</v>
      </c>
      <c r="C791" s="10">
        <v>4000.0</v>
      </c>
      <c r="D791" s="9" t="b">
        <f t="shared" ref="D791:D792" si="184">false</f>
        <v>0</v>
      </c>
      <c r="E791" s="8" t="s">
        <v>753</v>
      </c>
    </row>
    <row r="792" ht="15.75" customHeight="1">
      <c r="A792" s="9" t="s">
        <v>777</v>
      </c>
      <c r="B792" s="10">
        <v>1000.0</v>
      </c>
      <c r="C792" s="10">
        <v>2000.0</v>
      </c>
      <c r="D792" s="9" t="b">
        <f t="shared" si="184"/>
        <v>0</v>
      </c>
      <c r="E792" s="8" t="s">
        <v>753</v>
      </c>
    </row>
    <row r="793" ht="15.75" customHeight="1">
      <c r="A793" s="11" t="s">
        <v>778</v>
      </c>
      <c r="B793" s="12">
        <v>2023.0</v>
      </c>
      <c r="C793" s="12">
        <v>3800.0</v>
      </c>
      <c r="D793" s="11" t="b">
        <f t="shared" ref="D793:D794" si="185">true</f>
        <v>1</v>
      </c>
      <c r="E793" s="8" t="s">
        <v>753</v>
      </c>
    </row>
    <row r="794" ht="15.75" customHeight="1">
      <c r="A794" s="11" t="s">
        <v>779</v>
      </c>
      <c r="B794" s="12">
        <v>1300.0</v>
      </c>
      <c r="C794" s="12">
        <v>2000.0</v>
      </c>
      <c r="D794" s="11" t="b">
        <f t="shared" si="185"/>
        <v>1</v>
      </c>
      <c r="E794" s="8" t="s">
        <v>753</v>
      </c>
    </row>
    <row r="795" ht="15.75" customHeight="1">
      <c r="A795" s="9" t="s">
        <v>780</v>
      </c>
      <c r="B795" s="10">
        <v>1000.0</v>
      </c>
      <c r="C795" s="10">
        <v>2000.0</v>
      </c>
      <c r="D795" s="9" t="b">
        <f t="shared" ref="D795:D796" si="186">false</f>
        <v>0</v>
      </c>
      <c r="E795" s="8" t="s">
        <v>753</v>
      </c>
    </row>
    <row r="796" ht="15.75" customHeight="1">
      <c r="A796" s="9" t="s">
        <v>781</v>
      </c>
      <c r="B796" s="10">
        <v>800.0</v>
      </c>
      <c r="C796" s="10">
        <v>2000.0</v>
      </c>
      <c r="D796" s="9" t="b">
        <f t="shared" si="186"/>
        <v>0</v>
      </c>
      <c r="E796" s="8" t="s">
        <v>753</v>
      </c>
    </row>
    <row r="797" ht="15.75" customHeight="1">
      <c r="A797" s="11" t="s">
        <v>782</v>
      </c>
      <c r="B797" s="6">
        <v>2500.0</v>
      </c>
      <c r="C797" s="6">
        <v>4500.0</v>
      </c>
      <c r="D797" s="11" t="b">
        <f t="shared" ref="D797:D798" si="187">true</f>
        <v>1</v>
      </c>
      <c r="E797" s="8" t="s">
        <v>753</v>
      </c>
    </row>
    <row r="798" ht="15.75" customHeight="1">
      <c r="A798" s="7" t="s">
        <v>783</v>
      </c>
      <c r="B798" s="6">
        <v>3500.0</v>
      </c>
      <c r="C798" s="6">
        <v>5000.0</v>
      </c>
      <c r="D798" s="11" t="b">
        <f t="shared" si="187"/>
        <v>1</v>
      </c>
      <c r="E798" s="8" t="s">
        <v>753</v>
      </c>
    </row>
    <row r="799" ht="15.75" customHeight="1">
      <c r="A799" s="9" t="s">
        <v>784</v>
      </c>
      <c r="B799" s="10">
        <v>2500.0</v>
      </c>
      <c r="C799" s="10">
        <v>5000.0</v>
      </c>
      <c r="D799" s="9" t="b">
        <f t="shared" ref="D799:D806" si="188">false</f>
        <v>0</v>
      </c>
      <c r="E799" s="8" t="s">
        <v>753</v>
      </c>
    </row>
    <row r="800" ht="15.75" customHeight="1">
      <c r="A800" s="9" t="s">
        <v>785</v>
      </c>
      <c r="B800" s="10">
        <v>3000.0</v>
      </c>
      <c r="C800" s="10">
        <v>6000.0</v>
      </c>
      <c r="D800" s="9" t="b">
        <f t="shared" si="188"/>
        <v>0</v>
      </c>
      <c r="E800" s="8" t="s">
        <v>753</v>
      </c>
    </row>
    <row r="801" ht="15.75" customHeight="1">
      <c r="A801" s="9" t="s">
        <v>786</v>
      </c>
      <c r="B801" s="10">
        <v>1500.0</v>
      </c>
      <c r="C801" s="10">
        <v>3000.0</v>
      </c>
      <c r="D801" s="9" t="b">
        <f t="shared" si="188"/>
        <v>0</v>
      </c>
      <c r="E801" s="8" t="s">
        <v>753</v>
      </c>
    </row>
    <row r="802" ht="15.75" customHeight="1">
      <c r="A802" s="9" t="s">
        <v>787</v>
      </c>
      <c r="B802" s="10">
        <v>1000.0</v>
      </c>
      <c r="C802" s="10">
        <v>2000.0</v>
      </c>
      <c r="D802" s="9" t="b">
        <f t="shared" si="188"/>
        <v>0</v>
      </c>
      <c r="E802" s="8" t="s">
        <v>753</v>
      </c>
    </row>
    <row r="803" ht="15.75" customHeight="1">
      <c r="A803" s="9" t="s">
        <v>788</v>
      </c>
      <c r="B803" s="10">
        <v>500.0</v>
      </c>
      <c r="C803" s="10">
        <v>1000.0</v>
      </c>
      <c r="D803" s="9" t="b">
        <f t="shared" si="188"/>
        <v>0</v>
      </c>
      <c r="E803" s="8" t="s">
        <v>753</v>
      </c>
    </row>
    <row r="804" ht="15.75" customHeight="1">
      <c r="A804" s="9" t="s">
        <v>789</v>
      </c>
      <c r="B804" s="10">
        <v>1000.0</v>
      </c>
      <c r="C804" s="10">
        <v>2500.0</v>
      </c>
      <c r="D804" s="9" t="b">
        <f t="shared" si="188"/>
        <v>0</v>
      </c>
      <c r="E804" s="8" t="s">
        <v>753</v>
      </c>
    </row>
    <row r="805" ht="15.75" customHeight="1">
      <c r="A805" s="9" t="s">
        <v>790</v>
      </c>
      <c r="B805" s="10">
        <v>5000.0</v>
      </c>
      <c r="C805" s="10">
        <v>7500.0</v>
      </c>
      <c r="D805" s="9" t="b">
        <f t="shared" si="188"/>
        <v>0</v>
      </c>
      <c r="E805" s="8" t="s">
        <v>753</v>
      </c>
    </row>
    <row r="806" ht="15.75" customHeight="1">
      <c r="A806" s="9" t="s">
        <v>790</v>
      </c>
      <c r="B806" s="10">
        <v>4500.0</v>
      </c>
      <c r="C806" s="10">
        <v>8000.0</v>
      </c>
      <c r="D806" s="9" t="b">
        <f t="shared" si="188"/>
        <v>0</v>
      </c>
      <c r="E806" s="8" t="s">
        <v>753</v>
      </c>
    </row>
    <row r="807" ht="15.75" customHeight="1">
      <c r="A807" s="5" t="s">
        <v>790</v>
      </c>
      <c r="B807" s="6">
        <v>5500.0</v>
      </c>
      <c r="C807" s="6">
        <v>8500.0</v>
      </c>
      <c r="D807" s="11" t="b">
        <f>true</f>
        <v>1</v>
      </c>
      <c r="E807" s="8" t="s">
        <v>753</v>
      </c>
    </row>
    <row r="808" ht="15.75" customHeight="1">
      <c r="A808" s="9" t="s">
        <v>791</v>
      </c>
      <c r="B808" s="10">
        <v>3500.0</v>
      </c>
      <c r="C808" s="10">
        <v>5000.0</v>
      </c>
      <c r="D808" s="9" t="b">
        <f>false</f>
        <v>0</v>
      </c>
      <c r="E808" s="8" t="s">
        <v>753</v>
      </c>
    </row>
    <row r="809" ht="15.75" customHeight="1">
      <c r="A809" s="7" t="s">
        <v>792</v>
      </c>
      <c r="B809" s="6">
        <v>2300.0</v>
      </c>
      <c r="C809" s="6">
        <v>3500.0</v>
      </c>
      <c r="D809" s="11" t="b">
        <f t="shared" ref="D809:D811" si="189">true</f>
        <v>1</v>
      </c>
      <c r="E809" s="8" t="s">
        <v>753</v>
      </c>
    </row>
    <row r="810" ht="15.75" customHeight="1">
      <c r="A810" s="7" t="s">
        <v>793</v>
      </c>
      <c r="B810" s="6">
        <v>1500.0</v>
      </c>
      <c r="C810" s="6">
        <v>2000.0</v>
      </c>
      <c r="D810" s="11" t="b">
        <f t="shared" si="189"/>
        <v>1</v>
      </c>
      <c r="E810" s="8" t="s">
        <v>753</v>
      </c>
    </row>
    <row r="811" ht="15.75" customHeight="1">
      <c r="A811" s="5" t="s">
        <v>794</v>
      </c>
      <c r="B811" s="6">
        <v>1190.0</v>
      </c>
      <c r="C811" s="6">
        <v>1600.0</v>
      </c>
      <c r="D811" s="11" t="b">
        <f t="shared" si="189"/>
        <v>1</v>
      </c>
      <c r="E811" s="8" t="s">
        <v>753</v>
      </c>
    </row>
    <row r="812" ht="15.75" customHeight="1">
      <c r="A812" s="9" t="s">
        <v>795</v>
      </c>
      <c r="B812" s="10">
        <v>5000.0</v>
      </c>
      <c r="C812" s="10">
        <v>7000.0</v>
      </c>
      <c r="D812" s="9" t="b">
        <f t="shared" ref="D812:D813" si="190">false</f>
        <v>0</v>
      </c>
      <c r="E812" s="8" t="s">
        <v>753</v>
      </c>
    </row>
    <row r="813" ht="15.75" customHeight="1">
      <c r="A813" s="9" t="s">
        <v>795</v>
      </c>
      <c r="B813" s="10">
        <v>3000.0</v>
      </c>
      <c r="C813" s="10">
        <v>7000.0</v>
      </c>
      <c r="D813" s="9" t="b">
        <f t="shared" si="190"/>
        <v>0</v>
      </c>
      <c r="E813" s="8" t="s">
        <v>753</v>
      </c>
    </row>
    <row r="814" ht="15.75" customHeight="1">
      <c r="A814" s="5" t="s">
        <v>796</v>
      </c>
      <c r="B814" s="6">
        <v>3300.0</v>
      </c>
      <c r="C814" s="6">
        <v>6000.0</v>
      </c>
      <c r="D814" s="11" t="b">
        <f t="shared" ref="D814:D816" si="191">true</f>
        <v>1</v>
      </c>
      <c r="E814" s="8" t="s">
        <v>753</v>
      </c>
    </row>
    <row r="815" ht="15.75" customHeight="1">
      <c r="A815" s="5" t="s">
        <v>797</v>
      </c>
      <c r="B815" s="6">
        <v>4200.0</v>
      </c>
      <c r="C815" s="6">
        <v>8000.0</v>
      </c>
      <c r="D815" s="11" t="b">
        <f t="shared" si="191"/>
        <v>1</v>
      </c>
      <c r="E815" s="8" t="s">
        <v>753</v>
      </c>
    </row>
    <row r="816" ht="15.75" customHeight="1">
      <c r="A816" s="11" t="s">
        <v>798</v>
      </c>
      <c r="B816" s="6">
        <v>5200.0</v>
      </c>
      <c r="C816" s="6">
        <v>9500.0</v>
      </c>
      <c r="D816" s="11" t="b">
        <f t="shared" si="191"/>
        <v>1</v>
      </c>
      <c r="E816" s="8" t="s">
        <v>753</v>
      </c>
    </row>
    <row r="817" ht="15.75" customHeight="1">
      <c r="A817" s="9" t="s">
        <v>798</v>
      </c>
      <c r="B817" s="10">
        <v>6000.0</v>
      </c>
      <c r="C817" s="10">
        <v>12000.0</v>
      </c>
      <c r="D817" s="9" t="b">
        <f>false</f>
        <v>0</v>
      </c>
      <c r="E817" s="8" t="s">
        <v>753</v>
      </c>
    </row>
    <row r="818" ht="15.75" customHeight="1">
      <c r="A818" s="11" t="s">
        <v>799</v>
      </c>
      <c r="B818" s="12">
        <v>6200.0</v>
      </c>
      <c r="C818" s="12">
        <v>11000.0</v>
      </c>
      <c r="D818" s="11" t="b">
        <f t="shared" ref="D818:D823" si="192">true</f>
        <v>1</v>
      </c>
      <c r="E818" s="8" t="s">
        <v>753</v>
      </c>
    </row>
    <row r="819" ht="15.75" customHeight="1">
      <c r="A819" s="5" t="s">
        <v>800</v>
      </c>
      <c r="B819" s="6">
        <v>5000.0</v>
      </c>
      <c r="C819" s="6">
        <v>10000.0</v>
      </c>
      <c r="D819" s="11" t="b">
        <f t="shared" si="192"/>
        <v>1</v>
      </c>
      <c r="E819" s="8" t="s">
        <v>753</v>
      </c>
    </row>
    <row r="820" ht="15.75" customHeight="1">
      <c r="A820" s="5" t="s">
        <v>801</v>
      </c>
      <c r="B820" s="6">
        <v>500.0</v>
      </c>
      <c r="C820" s="6">
        <v>1000.0</v>
      </c>
      <c r="D820" s="11" t="b">
        <f t="shared" si="192"/>
        <v>1</v>
      </c>
      <c r="E820" s="8" t="s">
        <v>753</v>
      </c>
    </row>
    <row r="821" ht="15.75" customHeight="1">
      <c r="A821" s="5" t="s">
        <v>802</v>
      </c>
      <c r="B821" s="6">
        <v>850.0</v>
      </c>
      <c r="C821" s="6">
        <v>1300.0</v>
      </c>
      <c r="D821" s="11" t="b">
        <f t="shared" si="192"/>
        <v>1</v>
      </c>
      <c r="E821" s="8" t="s">
        <v>753</v>
      </c>
    </row>
    <row r="822" ht="15.75" customHeight="1">
      <c r="A822" s="5" t="s">
        <v>803</v>
      </c>
      <c r="B822" s="6">
        <v>900.0</v>
      </c>
      <c r="C822" s="6">
        <v>1400.0</v>
      </c>
      <c r="D822" s="11" t="b">
        <f t="shared" si="192"/>
        <v>1</v>
      </c>
      <c r="E822" s="8" t="s">
        <v>753</v>
      </c>
    </row>
    <row r="823" ht="15.75" customHeight="1">
      <c r="A823" s="5" t="s">
        <v>804</v>
      </c>
      <c r="B823" s="6">
        <v>1080.0</v>
      </c>
      <c r="C823" s="6">
        <v>1600.0</v>
      </c>
      <c r="D823" s="11" t="b">
        <f t="shared" si="192"/>
        <v>1</v>
      </c>
      <c r="E823" s="8" t="s">
        <v>753</v>
      </c>
    </row>
    <row r="824" ht="15.75" customHeight="1">
      <c r="A824" s="9" t="s">
        <v>805</v>
      </c>
      <c r="B824" s="10">
        <v>1490.0</v>
      </c>
      <c r="C824" s="10">
        <v>2000.0</v>
      </c>
      <c r="D824" s="9" t="b">
        <f>false</f>
        <v>0</v>
      </c>
      <c r="E824" s="8" t="s">
        <v>753</v>
      </c>
    </row>
    <row r="825" ht="15.75" customHeight="1">
      <c r="A825" s="5" t="s">
        <v>806</v>
      </c>
      <c r="B825" s="6">
        <v>350.0</v>
      </c>
      <c r="C825" s="6">
        <v>500.0</v>
      </c>
      <c r="D825" s="11" t="b">
        <f t="shared" ref="D825:D828" si="193">true</f>
        <v>1</v>
      </c>
      <c r="E825" s="8" t="s">
        <v>753</v>
      </c>
    </row>
    <row r="826" ht="15.75" customHeight="1">
      <c r="A826" s="5" t="s">
        <v>807</v>
      </c>
      <c r="B826" s="6">
        <v>3990.0</v>
      </c>
      <c r="C826" s="6">
        <v>6500.0</v>
      </c>
      <c r="D826" s="11" t="b">
        <f t="shared" si="193"/>
        <v>1</v>
      </c>
      <c r="E826" s="8" t="s">
        <v>753</v>
      </c>
    </row>
    <row r="827" ht="15.75" customHeight="1">
      <c r="A827" s="7" t="s">
        <v>808</v>
      </c>
      <c r="B827" s="6">
        <v>2000.0</v>
      </c>
      <c r="C827" s="6">
        <v>2500.0</v>
      </c>
      <c r="D827" s="11" t="b">
        <f t="shared" si="193"/>
        <v>1</v>
      </c>
      <c r="E827" s="8" t="s">
        <v>753</v>
      </c>
    </row>
    <row r="828" ht="15.75" customHeight="1">
      <c r="A828" s="5" t="s">
        <v>809</v>
      </c>
      <c r="B828" s="6">
        <v>2000.0</v>
      </c>
      <c r="C828" s="6">
        <v>2500.0</v>
      </c>
      <c r="D828" s="11" t="b">
        <f t="shared" si="193"/>
        <v>1</v>
      </c>
      <c r="E828" s="8" t="s">
        <v>753</v>
      </c>
    </row>
    <row r="829" ht="15.75" customHeight="1">
      <c r="A829" s="9" t="s">
        <v>810</v>
      </c>
      <c r="B829" s="10">
        <v>1990.0</v>
      </c>
      <c r="C829" s="10">
        <v>3500.0</v>
      </c>
      <c r="D829" s="9" t="b">
        <f t="shared" ref="D829:D830" si="194">false</f>
        <v>0</v>
      </c>
      <c r="E829" s="8" t="s">
        <v>753</v>
      </c>
    </row>
    <row r="830" ht="15.75" customHeight="1">
      <c r="A830" s="9" t="s">
        <v>811</v>
      </c>
      <c r="B830" s="10">
        <v>1500.0</v>
      </c>
      <c r="C830" s="10">
        <v>2500.0</v>
      </c>
      <c r="D830" s="9" t="b">
        <f t="shared" si="194"/>
        <v>0</v>
      </c>
      <c r="E830" s="8" t="s">
        <v>753</v>
      </c>
    </row>
    <row r="831" ht="15.75" customHeight="1">
      <c r="A831" s="5" t="s">
        <v>812</v>
      </c>
      <c r="B831" s="6">
        <v>1000.0</v>
      </c>
      <c r="C831" s="6">
        <v>2200.0</v>
      </c>
      <c r="D831" s="11" t="b">
        <f>true</f>
        <v>1</v>
      </c>
      <c r="E831" s="8" t="s">
        <v>753</v>
      </c>
    </row>
    <row r="832" ht="15.75" customHeight="1">
      <c r="A832" s="9" t="s">
        <v>812</v>
      </c>
      <c r="B832" s="10">
        <v>1000.0</v>
      </c>
      <c r="C832" s="10">
        <v>2000.0</v>
      </c>
      <c r="D832" s="9" t="b">
        <f t="shared" ref="D832:D837" si="195">false</f>
        <v>0</v>
      </c>
      <c r="E832" s="8" t="s">
        <v>753</v>
      </c>
    </row>
    <row r="833" ht="15.75" customHeight="1">
      <c r="A833" s="9" t="s">
        <v>813</v>
      </c>
      <c r="B833" s="10">
        <v>2900.0</v>
      </c>
      <c r="C833" s="10">
        <v>5000.0</v>
      </c>
      <c r="D833" s="9" t="b">
        <f t="shared" si="195"/>
        <v>0</v>
      </c>
      <c r="E833" s="8" t="s">
        <v>753</v>
      </c>
    </row>
    <row r="834" ht="15.75" customHeight="1">
      <c r="A834" s="9" t="s">
        <v>814</v>
      </c>
      <c r="B834" s="10">
        <v>2500.0</v>
      </c>
      <c r="C834" s="10">
        <v>4500.0</v>
      </c>
      <c r="D834" s="9" t="b">
        <f t="shared" si="195"/>
        <v>0</v>
      </c>
      <c r="E834" s="8" t="s">
        <v>753</v>
      </c>
    </row>
    <row r="835" ht="15.75" customHeight="1">
      <c r="A835" s="9" t="s">
        <v>814</v>
      </c>
      <c r="B835" s="10">
        <v>3000.0</v>
      </c>
      <c r="C835" s="10">
        <v>5000.0</v>
      </c>
      <c r="D835" s="9" t="b">
        <f t="shared" si="195"/>
        <v>0</v>
      </c>
      <c r="E835" s="8" t="s">
        <v>753</v>
      </c>
    </row>
    <row r="836" ht="15.75" customHeight="1">
      <c r="A836" s="9" t="s">
        <v>814</v>
      </c>
      <c r="B836" s="10">
        <v>2500.0</v>
      </c>
      <c r="C836" s="10">
        <v>4500.0</v>
      </c>
      <c r="D836" s="9" t="b">
        <f t="shared" si="195"/>
        <v>0</v>
      </c>
      <c r="E836" s="8" t="s">
        <v>753</v>
      </c>
    </row>
    <row r="837" ht="15.75" customHeight="1">
      <c r="A837" s="9" t="s">
        <v>815</v>
      </c>
      <c r="B837" s="10">
        <v>2500.0</v>
      </c>
      <c r="C837" s="10">
        <v>5000.0</v>
      </c>
      <c r="D837" s="9" t="b">
        <f t="shared" si="195"/>
        <v>0</v>
      </c>
      <c r="E837" s="8" t="s">
        <v>753</v>
      </c>
    </row>
    <row r="838" ht="15.75" customHeight="1">
      <c r="A838" s="11" t="s">
        <v>816</v>
      </c>
      <c r="B838" s="12">
        <v>2000.0</v>
      </c>
      <c r="C838" s="12">
        <v>4500.0</v>
      </c>
      <c r="D838" s="11" t="b">
        <f t="shared" ref="D838:D841" si="196">true</f>
        <v>1</v>
      </c>
      <c r="E838" s="8" t="s">
        <v>753</v>
      </c>
    </row>
    <row r="839" ht="15.75" customHeight="1">
      <c r="A839" s="7" t="s">
        <v>817</v>
      </c>
      <c r="B839" s="6">
        <v>11000.0</v>
      </c>
      <c r="C839" s="6">
        <v>18000.0</v>
      </c>
      <c r="D839" s="11" t="b">
        <f t="shared" si="196"/>
        <v>1</v>
      </c>
      <c r="E839" s="8" t="s">
        <v>753</v>
      </c>
    </row>
    <row r="840" ht="15.75" customHeight="1">
      <c r="A840" s="7" t="s">
        <v>818</v>
      </c>
      <c r="B840" s="6">
        <v>15000.0</v>
      </c>
      <c r="C840" s="6">
        <v>22000.0</v>
      </c>
      <c r="D840" s="11" t="b">
        <f t="shared" si="196"/>
        <v>1</v>
      </c>
      <c r="E840" s="8" t="s">
        <v>753</v>
      </c>
    </row>
    <row r="841" ht="15.75" customHeight="1">
      <c r="A841" s="7" t="s">
        <v>819</v>
      </c>
      <c r="B841" s="6">
        <v>10000.0</v>
      </c>
      <c r="C841" s="6">
        <v>13000.0</v>
      </c>
      <c r="D841" s="11" t="b">
        <f t="shared" si="196"/>
        <v>1</v>
      </c>
      <c r="E841" s="8" t="s">
        <v>753</v>
      </c>
    </row>
    <row r="842" ht="15.75" customHeight="1">
      <c r="A842" s="9" t="s">
        <v>820</v>
      </c>
      <c r="B842" s="10">
        <v>5000.0</v>
      </c>
      <c r="C842" s="10">
        <v>7500.0</v>
      </c>
      <c r="D842" s="9" t="b">
        <f t="shared" ref="D842:D843" si="197">false</f>
        <v>0</v>
      </c>
      <c r="E842" s="8" t="s">
        <v>753</v>
      </c>
    </row>
    <row r="843" ht="15.75" customHeight="1">
      <c r="A843" s="9" t="s">
        <v>821</v>
      </c>
      <c r="B843" s="10">
        <v>6000.0</v>
      </c>
      <c r="C843" s="10">
        <v>7000.0</v>
      </c>
      <c r="D843" s="9" t="b">
        <f t="shared" si="197"/>
        <v>0</v>
      </c>
      <c r="E843" s="8" t="s">
        <v>753</v>
      </c>
    </row>
    <row r="844" ht="15.75" customHeight="1">
      <c r="A844" s="7" t="s">
        <v>822</v>
      </c>
      <c r="B844" s="6">
        <v>200.0</v>
      </c>
      <c r="C844" s="6">
        <v>400.0</v>
      </c>
      <c r="D844" s="11" t="b">
        <f t="shared" ref="D844:D845" si="198">true</f>
        <v>1</v>
      </c>
      <c r="E844" s="8" t="s">
        <v>753</v>
      </c>
    </row>
    <row r="845" ht="15.75" customHeight="1">
      <c r="A845" s="5" t="s">
        <v>823</v>
      </c>
      <c r="B845" s="6">
        <v>166.66</v>
      </c>
      <c r="C845" s="6">
        <v>400.0</v>
      </c>
      <c r="D845" s="11" t="b">
        <f t="shared" si="198"/>
        <v>1</v>
      </c>
      <c r="E845" s="8" t="s">
        <v>753</v>
      </c>
    </row>
    <row r="846" ht="15.75" customHeight="1">
      <c r="A846" s="9" t="s">
        <v>824</v>
      </c>
      <c r="B846" s="10">
        <v>280.0</v>
      </c>
      <c r="C846" s="10">
        <v>1000.0</v>
      </c>
      <c r="D846" s="9" t="b">
        <f t="shared" ref="D846:D847" si="199">false</f>
        <v>0</v>
      </c>
      <c r="E846" s="8" t="s">
        <v>753</v>
      </c>
    </row>
    <row r="847" ht="15.75" customHeight="1">
      <c r="A847" s="9" t="s">
        <v>825</v>
      </c>
      <c r="B847" s="10">
        <v>500.0</v>
      </c>
      <c r="C847" s="10">
        <v>1200.0</v>
      </c>
      <c r="D847" s="9" t="b">
        <f t="shared" si="199"/>
        <v>0</v>
      </c>
      <c r="E847" s="8" t="s">
        <v>753</v>
      </c>
    </row>
    <row r="848" ht="15.75" customHeight="1">
      <c r="A848" s="11" t="s">
        <v>826</v>
      </c>
      <c r="B848" s="12">
        <v>500.0</v>
      </c>
      <c r="C848" s="12">
        <v>1200.0</v>
      </c>
      <c r="D848" s="11" t="b">
        <f>true</f>
        <v>1</v>
      </c>
      <c r="E848" s="8" t="s">
        <v>753</v>
      </c>
    </row>
    <row r="849" ht="15.75" customHeight="1">
      <c r="A849" s="9" t="s">
        <v>827</v>
      </c>
      <c r="B849" s="10">
        <v>350.0</v>
      </c>
      <c r="C849" s="10">
        <v>500.0</v>
      </c>
      <c r="D849" s="9" t="b">
        <f>false</f>
        <v>0</v>
      </c>
      <c r="E849" s="8" t="s">
        <v>753</v>
      </c>
    </row>
    <row r="850" ht="15.75" customHeight="1">
      <c r="A850" s="11" t="s">
        <v>828</v>
      </c>
      <c r="B850" s="12">
        <v>120.0</v>
      </c>
      <c r="C850" s="12">
        <v>300.0</v>
      </c>
      <c r="D850" s="11" t="b">
        <f>true</f>
        <v>1</v>
      </c>
      <c r="E850" s="8" t="s">
        <v>753</v>
      </c>
    </row>
    <row r="851" ht="15.75" customHeight="1">
      <c r="A851" s="9" t="s">
        <v>829</v>
      </c>
      <c r="B851" s="10">
        <v>150.0</v>
      </c>
      <c r="C851" s="10">
        <v>500.0</v>
      </c>
      <c r="D851" s="9" t="b">
        <f>false</f>
        <v>0</v>
      </c>
      <c r="E851" s="8" t="s">
        <v>753</v>
      </c>
    </row>
    <row r="852" ht="15.75" customHeight="1">
      <c r="A852" s="5" t="s">
        <v>830</v>
      </c>
      <c r="B852" s="6">
        <v>2500.0</v>
      </c>
      <c r="C852" s="6">
        <v>3500.0</v>
      </c>
      <c r="D852" s="11" t="b">
        <f>true</f>
        <v>1</v>
      </c>
      <c r="E852" s="8" t="s">
        <v>753</v>
      </c>
    </row>
    <row r="853" ht="15.75" customHeight="1">
      <c r="A853" s="9" t="s">
        <v>830</v>
      </c>
      <c r="B853" s="10">
        <v>2800.0</v>
      </c>
      <c r="C853" s="10">
        <v>4000.0</v>
      </c>
      <c r="D853" s="9" t="b">
        <f t="shared" ref="D853:D854" si="200">false</f>
        <v>0</v>
      </c>
      <c r="E853" s="8" t="s">
        <v>753</v>
      </c>
    </row>
    <row r="854" ht="15.75" customHeight="1">
      <c r="A854" s="9" t="s">
        <v>831</v>
      </c>
      <c r="B854" s="10">
        <v>2800.0</v>
      </c>
      <c r="C854" s="10">
        <v>3800.0</v>
      </c>
      <c r="D854" s="9" t="b">
        <f t="shared" si="200"/>
        <v>0</v>
      </c>
      <c r="E854" s="8" t="s">
        <v>753</v>
      </c>
    </row>
    <row r="855" ht="15.75" customHeight="1">
      <c r="A855" s="7" t="s">
        <v>832</v>
      </c>
      <c r="B855" s="6">
        <v>2500.0</v>
      </c>
      <c r="C855" s="6">
        <v>5000.0</v>
      </c>
      <c r="D855" s="11" t="b">
        <f>true</f>
        <v>1</v>
      </c>
      <c r="E855" s="8" t="s">
        <v>753</v>
      </c>
    </row>
    <row r="856" ht="15.75" customHeight="1">
      <c r="A856" s="9" t="s">
        <v>833</v>
      </c>
      <c r="B856" s="10">
        <v>4000.0</v>
      </c>
      <c r="C856" s="10">
        <v>7000.0</v>
      </c>
      <c r="D856" s="9" t="b">
        <f t="shared" ref="D856:D857" si="201">false</f>
        <v>0</v>
      </c>
      <c r="E856" s="8" t="s">
        <v>753</v>
      </c>
    </row>
    <row r="857" ht="15.75" customHeight="1">
      <c r="A857" s="9" t="s">
        <v>833</v>
      </c>
      <c r="B857" s="10">
        <v>3500.0</v>
      </c>
      <c r="C857" s="10">
        <v>7000.0</v>
      </c>
      <c r="D857" s="9" t="b">
        <f t="shared" si="201"/>
        <v>0</v>
      </c>
      <c r="E857" s="8" t="s">
        <v>753</v>
      </c>
    </row>
    <row r="858" ht="15.75" customHeight="1">
      <c r="A858" s="5" t="s">
        <v>834</v>
      </c>
      <c r="B858" s="6">
        <v>800.0</v>
      </c>
      <c r="C858" s="6">
        <v>1500.0</v>
      </c>
      <c r="D858" s="11" t="b">
        <f t="shared" ref="D858:D859" si="202">true</f>
        <v>1</v>
      </c>
      <c r="E858" s="8" t="s">
        <v>753</v>
      </c>
    </row>
    <row r="859" ht="15.75" customHeight="1">
      <c r="A859" s="5" t="s">
        <v>835</v>
      </c>
      <c r="B859" s="6">
        <v>1190.0</v>
      </c>
      <c r="C859" s="6">
        <v>1700.0</v>
      </c>
      <c r="D859" s="11" t="b">
        <f t="shared" si="202"/>
        <v>1</v>
      </c>
      <c r="E859" s="8" t="s">
        <v>753</v>
      </c>
    </row>
    <row r="860" ht="15.75" customHeight="1">
      <c r="A860" s="9" t="s">
        <v>836</v>
      </c>
      <c r="B860" s="10">
        <v>795.0</v>
      </c>
      <c r="C860" s="10">
        <v>1500.0</v>
      </c>
      <c r="D860" s="9" t="b">
        <f t="shared" ref="D860:D861" si="203">false</f>
        <v>0</v>
      </c>
      <c r="E860" s="8" t="s">
        <v>753</v>
      </c>
    </row>
    <row r="861" ht="15.75" customHeight="1">
      <c r="A861" s="9" t="s">
        <v>837</v>
      </c>
      <c r="B861" s="10">
        <v>700.0</v>
      </c>
      <c r="C861" s="10">
        <v>1500.0</v>
      </c>
      <c r="D861" s="9" t="b">
        <f t="shared" si="203"/>
        <v>0</v>
      </c>
      <c r="E861" s="8" t="s">
        <v>753</v>
      </c>
    </row>
    <row r="862" ht="15.75" customHeight="1">
      <c r="A862" s="11" t="s">
        <v>838</v>
      </c>
      <c r="B862" s="12">
        <v>1200.0</v>
      </c>
      <c r="C862" s="12">
        <v>1500.0</v>
      </c>
      <c r="D862" s="11" t="b">
        <f t="shared" ref="D862:D867" si="204">true</f>
        <v>1</v>
      </c>
      <c r="E862" s="8" t="s">
        <v>753</v>
      </c>
    </row>
    <row r="863" ht="15.75" customHeight="1">
      <c r="A863" s="11" t="s">
        <v>839</v>
      </c>
      <c r="B863" s="12">
        <v>800.0</v>
      </c>
      <c r="C863" s="12">
        <v>1200.0</v>
      </c>
      <c r="D863" s="11" t="b">
        <f t="shared" si="204"/>
        <v>1</v>
      </c>
      <c r="E863" s="8" t="s">
        <v>753</v>
      </c>
    </row>
    <row r="864" ht="15.75" customHeight="1">
      <c r="A864" s="5" t="s">
        <v>840</v>
      </c>
      <c r="B864" s="6">
        <v>1000.0</v>
      </c>
      <c r="C864" s="6">
        <v>1900.0</v>
      </c>
      <c r="D864" s="11" t="b">
        <f t="shared" si="204"/>
        <v>1</v>
      </c>
      <c r="E864" s="8" t="s">
        <v>753</v>
      </c>
    </row>
    <row r="865" ht="15.75" customHeight="1">
      <c r="A865" s="5" t="s">
        <v>841</v>
      </c>
      <c r="B865" s="6">
        <v>600.0</v>
      </c>
      <c r="C865" s="6">
        <v>1200.0</v>
      </c>
      <c r="D865" s="11" t="b">
        <f t="shared" si="204"/>
        <v>1</v>
      </c>
      <c r="E865" s="8" t="s">
        <v>753</v>
      </c>
    </row>
    <row r="866" ht="15.75" customHeight="1">
      <c r="A866" s="5" t="s">
        <v>842</v>
      </c>
      <c r="B866" s="6">
        <v>1500.0</v>
      </c>
      <c r="C866" s="6">
        <v>2500.0</v>
      </c>
      <c r="D866" s="11" t="b">
        <f t="shared" si="204"/>
        <v>1</v>
      </c>
      <c r="E866" s="8" t="s">
        <v>753</v>
      </c>
    </row>
    <row r="867" ht="15.75" customHeight="1">
      <c r="A867" s="5" t="s">
        <v>843</v>
      </c>
      <c r="B867" s="6">
        <v>1000.0</v>
      </c>
      <c r="C867" s="6">
        <v>2000.0</v>
      </c>
      <c r="D867" s="11" t="b">
        <f t="shared" si="204"/>
        <v>1</v>
      </c>
      <c r="E867" s="8" t="s">
        <v>753</v>
      </c>
    </row>
    <row r="868" ht="15.75" customHeight="1">
      <c r="A868" s="9" t="s">
        <v>844</v>
      </c>
      <c r="B868" s="10">
        <v>2000.0</v>
      </c>
      <c r="C868" s="10">
        <v>4500.0</v>
      </c>
      <c r="D868" s="9" t="b">
        <f t="shared" ref="D868:D869" si="205">false</f>
        <v>0</v>
      </c>
      <c r="E868" s="8" t="s">
        <v>753</v>
      </c>
    </row>
    <row r="869" ht="15.75" customHeight="1">
      <c r="A869" s="9" t="s">
        <v>845</v>
      </c>
      <c r="B869" s="10">
        <v>2500.0</v>
      </c>
      <c r="C869" s="10">
        <v>4500.0</v>
      </c>
      <c r="D869" s="9" t="b">
        <f t="shared" si="205"/>
        <v>0</v>
      </c>
      <c r="E869" s="8" t="s">
        <v>753</v>
      </c>
    </row>
    <row r="870" ht="15.75" customHeight="1">
      <c r="A870" s="5" t="s">
        <v>846</v>
      </c>
      <c r="B870" s="6">
        <v>2490.0</v>
      </c>
      <c r="C870" s="6">
        <v>4500.0</v>
      </c>
      <c r="D870" s="11" t="b">
        <f t="shared" ref="D870:D871" si="206">true</f>
        <v>1</v>
      </c>
      <c r="E870" s="8" t="s">
        <v>753</v>
      </c>
    </row>
    <row r="871" ht="15.75" customHeight="1">
      <c r="A871" s="5" t="s">
        <v>847</v>
      </c>
      <c r="B871" s="6">
        <v>2975.0</v>
      </c>
      <c r="C871" s="6">
        <v>5500.0</v>
      </c>
      <c r="D871" s="11" t="b">
        <f t="shared" si="206"/>
        <v>1</v>
      </c>
      <c r="E871" s="8" t="s">
        <v>753</v>
      </c>
    </row>
    <row r="872" ht="15.75" customHeight="1">
      <c r="A872" s="9" t="s">
        <v>848</v>
      </c>
      <c r="B872" s="10">
        <v>375.0</v>
      </c>
      <c r="C872" s="10">
        <v>800.0</v>
      </c>
      <c r="D872" s="9" t="b">
        <f t="shared" ref="D872:D880" si="207">false</f>
        <v>0</v>
      </c>
      <c r="E872" s="8" t="s">
        <v>849</v>
      </c>
    </row>
    <row r="873" ht="15.75" customHeight="1">
      <c r="A873" s="9" t="s">
        <v>850</v>
      </c>
      <c r="B873" s="10">
        <v>375.0</v>
      </c>
      <c r="C873" s="10">
        <v>800.0</v>
      </c>
      <c r="D873" s="9" t="b">
        <f t="shared" si="207"/>
        <v>0</v>
      </c>
      <c r="E873" s="8" t="s">
        <v>849</v>
      </c>
    </row>
    <row r="874" ht="15.75" customHeight="1">
      <c r="A874" s="9" t="s">
        <v>851</v>
      </c>
      <c r="B874" s="10">
        <v>600.0</v>
      </c>
      <c r="C874" s="10">
        <v>800.0</v>
      </c>
      <c r="D874" s="9" t="b">
        <f t="shared" si="207"/>
        <v>0</v>
      </c>
      <c r="E874" s="8" t="s">
        <v>849</v>
      </c>
    </row>
    <row r="875" ht="15.75" customHeight="1">
      <c r="A875" s="9" t="s">
        <v>852</v>
      </c>
      <c r="B875" s="10">
        <v>500.0</v>
      </c>
      <c r="C875" s="10">
        <v>1000.0</v>
      </c>
      <c r="D875" s="9" t="b">
        <f t="shared" si="207"/>
        <v>0</v>
      </c>
      <c r="E875" s="8" t="s">
        <v>849</v>
      </c>
    </row>
    <row r="876" ht="15.75" customHeight="1">
      <c r="A876" s="9" t="s">
        <v>853</v>
      </c>
      <c r="B876" s="10">
        <v>500.0</v>
      </c>
      <c r="C876" s="10">
        <v>1000.0</v>
      </c>
      <c r="D876" s="9" t="b">
        <f t="shared" si="207"/>
        <v>0</v>
      </c>
      <c r="E876" s="8" t="s">
        <v>849</v>
      </c>
    </row>
    <row r="877" ht="15.75" customHeight="1">
      <c r="A877" s="9" t="s">
        <v>854</v>
      </c>
      <c r="B877" s="10">
        <v>585.0</v>
      </c>
      <c r="C877" s="10">
        <v>1200.0</v>
      </c>
      <c r="D877" s="9" t="b">
        <f t="shared" si="207"/>
        <v>0</v>
      </c>
      <c r="E877" s="8" t="s">
        <v>849</v>
      </c>
    </row>
    <row r="878" ht="15.75" customHeight="1">
      <c r="A878" s="9" t="s">
        <v>855</v>
      </c>
      <c r="B878" s="10">
        <v>585.0</v>
      </c>
      <c r="C878" s="10">
        <v>1200.0</v>
      </c>
      <c r="D878" s="9" t="b">
        <f t="shared" si="207"/>
        <v>0</v>
      </c>
      <c r="E878" s="8" t="s">
        <v>849</v>
      </c>
    </row>
    <row r="879" ht="15.75" customHeight="1">
      <c r="A879" s="9" t="s">
        <v>856</v>
      </c>
      <c r="B879" s="10">
        <v>219.0</v>
      </c>
      <c r="C879" s="10">
        <v>350.0</v>
      </c>
      <c r="D879" s="9" t="b">
        <f t="shared" si="207"/>
        <v>0</v>
      </c>
      <c r="E879" s="8" t="s">
        <v>849</v>
      </c>
    </row>
    <row r="880" ht="15.75" customHeight="1">
      <c r="A880" s="9" t="s">
        <v>857</v>
      </c>
      <c r="B880" s="10">
        <v>149.0</v>
      </c>
      <c r="C880" s="10">
        <v>300.0</v>
      </c>
      <c r="D880" s="9" t="b">
        <f t="shared" si="207"/>
        <v>0</v>
      </c>
      <c r="E880" s="8" t="s">
        <v>849</v>
      </c>
    </row>
    <row r="881" ht="15.75" customHeight="1">
      <c r="A881" s="5" t="s">
        <v>857</v>
      </c>
      <c r="B881" s="6">
        <v>120.0</v>
      </c>
      <c r="C881" s="6">
        <v>300.0</v>
      </c>
      <c r="D881" s="11" t="b">
        <f t="shared" ref="D881:D884" si="208">true</f>
        <v>1</v>
      </c>
      <c r="E881" s="8" t="s">
        <v>849</v>
      </c>
    </row>
    <row r="882" ht="15.75" customHeight="1">
      <c r="A882" s="11" t="s">
        <v>858</v>
      </c>
      <c r="B882" s="6">
        <v>139.0</v>
      </c>
      <c r="C882" s="6">
        <v>300.0</v>
      </c>
      <c r="D882" s="11" t="b">
        <f t="shared" si="208"/>
        <v>1</v>
      </c>
      <c r="E882" s="8" t="s">
        <v>849</v>
      </c>
    </row>
    <row r="883" ht="15.75" customHeight="1">
      <c r="A883" s="11" t="s">
        <v>859</v>
      </c>
      <c r="B883" s="6">
        <v>164.0</v>
      </c>
      <c r="C883" s="6">
        <v>300.0</v>
      </c>
      <c r="D883" s="11" t="b">
        <f t="shared" si="208"/>
        <v>1</v>
      </c>
      <c r="E883" s="8" t="s">
        <v>849</v>
      </c>
    </row>
    <row r="884" ht="15.75" customHeight="1">
      <c r="A884" s="11" t="s">
        <v>860</v>
      </c>
      <c r="B884" s="12">
        <v>160.0</v>
      </c>
      <c r="C884" s="12">
        <v>300.0</v>
      </c>
      <c r="D884" s="11" t="b">
        <f t="shared" si="208"/>
        <v>1</v>
      </c>
      <c r="E884" s="8" t="s">
        <v>849</v>
      </c>
    </row>
    <row r="885" ht="15.75" customHeight="1">
      <c r="A885" s="9" t="s">
        <v>861</v>
      </c>
      <c r="B885" s="10">
        <v>279.0</v>
      </c>
      <c r="C885" s="10">
        <v>300.0</v>
      </c>
      <c r="D885" s="9" t="b">
        <f>false</f>
        <v>0</v>
      </c>
      <c r="E885" s="8" t="s">
        <v>849</v>
      </c>
    </row>
    <row r="886" ht="15.75" customHeight="1">
      <c r="A886" s="11" t="s">
        <v>862</v>
      </c>
      <c r="B886" s="12">
        <v>219.0</v>
      </c>
      <c r="C886" s="12">
        <v>350.0</v>
      </c>
      <c r="D886" s="11" t="b">
        <f>true</f>
        <v>1</v>
      </c>
      <c r="E886" s="8" t="s">
        <v>849</v>
      </c>
    </row>
    <row r="887" ht="15.75" customHeight="1">
      <c r="A887" s="9" t="s">
        <v>863</v>
      </c>
      <c r="B887" s="10">
        <v>279.0</v>
      </c>
      <c r="C887" s="10">
        <v>300.0</v>
      </c>
      <c r="D887" s="9" t="b">
        <f>false</f>
        <v>0</v>
      </c>
      <c r="E887" s="8" t="s">
        <v>849</v>
      </c>
    </row>
    <row r="888" ht="15.75" customHeight="1">
      <c r="A888" s="11" t="s">
        <v>864</v>
      </c>
      <c r="B888" s="12">
        <v>120.0</v>
      </c>
      <c r="C888" s="12">
        <v>300.0</v>
      </c>
      <c r="D888" s="11" t="b">
        <f>true</f>
        <v>1</v>
      </c>
      <c r="E888" s="8" t="s">
        <v>849</v>
      </c>
    </row>
    <row r="889" ht="15.75" customHeight="1">
      <c r="A889" s="9" t="s">
        <v>865</v>
      </c>
      <c r="B889" s="10">
        <v>190.0</v>
      </c>
      <c r="C889" s="10">
        <v>300.0</v>
      </c>
      <c r="D889" s="9" t="b">
        <f t="shared" ref="D889:D890" si="209">false</f>
        <v>0</v>
      </c>
      <c r="E889" s="8" t="s">
        <v>849</v>
      </c>
    </row>
    <row r="890" ht="15.75" customHeight="1">
      <c r="A890" s="9" t="s">
        <v>866</v>
      </c>
      <c r="B890" s="10">
        <v>350.0</v>
      </c>
      <c r="C890" s="10">
        <v>1000.0</v>
      </c>
      <c r="D890" s="9" t="b">
        <f t="shared" si="209"/>
        <v>0</v>
      </c>
      <c r="E890" s="8" t="s">
        <v>849</v>
      </c>
    </row>
    <row r="891" ht="15.75" customHeight="1">
      <c r="A891" s="11" t="s">
        <v>867</v>
      </c>
      <c r="B891" s="12">
        <v>100.0</v>
      </c>
      <c r="C891" s="12">
        <v>300.0</v>
      </c>
      <c r="D891" s="11" t="b">
        <f>true</f>
        <v>1</v>
      </c>
      <c r="E891" s="8" t="s">
        <v>849</v>
      </c>
    </row>
    <row r="892" ht="15.75" customHeight="1">
      <c r="A892" s="9" t="s">
        <v>868</v>
      </c>
      <c r="B892" s="10">
        <v>100.0</v>
      </c>
      <c r="C892" s="10">
        <v>300.0</v>
      </c>
      <c r="D892" s="9" t="b">
        <f t="shared" ref="D892:D897" si="210">false</f>
        <v>0</v>
      </c>
      <c r="E892" s="8" t="s">
        <v>849</v>
      </c>
    </row>
    <row r="893" ht="15.75" customHeight="1">
      <c r="A893" s="9" t="s">
        <v>869</v>
      </c>
      <c r="B893" s="10">
        <v>125.0</v>
      </c>
      <c r="C893" s="10">
        <v>500.0</v>
      </c>
      <c r="D893" s="9" t="b">
        <f t="shared" si="210"/>
        <v>0</v>
      </c>
      <c r="E893" s="8" t="s">
        <v>849</v>
      </c>
    </row>
    <row r="894" ht="15.75" customHeight="1">
      <c r="A894" s="9" t="s">
        <v>870</v>
      </c>
      <c r="B894" s="10">
        <v>208.0</v>
      </c>
      <c r="C894" s="10">
        <v>800.0</v>
      </c>
      <c r="D894" s="9" t="b">
        <f t="shared" si="210"/>
        <v>0</v>
      </c>
      <c r="E894" s="8" t="s">
        <v>849</v>
      </c>
    </row>
    <row r="895" ht="15.75" customHeight="1">
      <c r="A895" s="9" t="s">
        <v>871</v>
      </c>
      <c r="B895" s="10">
        <v>250.0</v>
      </c>
      <c r="C895" s="10">
        <v>1000.0</v>
      </c>
      <c r="D895" s="9" t="b">
        <f t="shared" si="210"/>
        <v>0</v>
      </c>
      <c r="E895" s="8" t="s">
        <v>849</v>
      </c>
    </row>
    <row r="896" ht="15.75" customHeight="1">
      <c r="A896" s="9" t="s">
        <v>872</v>
      </c>
      <c r="B896" s="10">
        <v>292.0</v>
      </c>
      <c r="C896" s="10">
        <v>1200.0</v>
      </c>
      <c r="D896" s="9" t="b">
        <f t="shared" si="210"/>
        <v>0</v>
      </c>
      <c r="E896" s="8" t="s">
        <v>849</v>
      </c>
    </row>
    <row r="897" ht="15.75" customHeight="1">
      <c r="A897" s="9" t="s">
        <v>873</v>
      </c>
      <c r="B897" s="10">
        <v>333.0</v>
      </c>
      <c r="C897" s="10">
        <v>1300.0</v>
      </c>
      <c r="D897" s="9" t="b">
        <f t="shared" si="210"/>
        <v>0</v>
      </c>
      <c r="E897" s="8" t="s">
        <v>849</v>
      </c>
    </row>
    <row r="898" ht="15.75" customHeight="1">
      <c r="A898" s="5" t="s">
        <v>874</v>
      </c>
      <c r="B898" s="6">
        <v>167.0</v>
      </c>
      <c r="C898" s="6">
        <v>500.0</v>
      </c>
      <c r="D898" s="11" t="b">
        <f t="shared" ref="D898:D924" si="211">true</f>
        <v>1</v>
      </c>
      <c r="E898" s="8" t="s">
        <v>849</v>
      </c>
    </row>
    <row r="899" ht="15.75" customHeight="1">
      <c r="A899" s="5" t="s">
        <v>875</v>
      </c>
      <c r="B899" s="6">
        <v>209.0</v>
      </c>
      <c r="C899" s="6">
        <v>900.0</v>
      </c>
      <c r="D899" s="11" t="b">
        <f t="shared" si="211"/>
        <v>1</v>
      </c>
      <c r="E899" s="8" t="s">
        <v>849</v>
      </c>
    </row>
    <row r="900" ht="15.75" customHeight="1">
      <c r="A900" s="5" t="s">
        <v>876</v>
      </c>
      <c r="B900" s="6">
        <v>250.0</v>
      </c>
      <c r="C900" s="6">
        <v>1200.0</v>
      </c>
      <c r="D900" s="11" t="b">
        <f t="shared" si="211"/>
        <v>1</v>
      </c>
      <c r="E900" s="8" t="s">
        <v>849</v>
      </c>
    </row>
    <row r="901" ht="15.75" customHeight="1">
      <c r="A901" s="5" t="s">
        <v>877</v>
      </c>
      <c r="B901" s="6">
        <v>417.0</v>
      </c>
      <c r="C901" s="6">
        <v>1200.0</v>
      </c>
      <c r="D901" s="11" t="b">
        <f t="shared" si="211"/>
        <v>1</v>
      </c>
      <c r="E901" s="8" t="s">
        <v>849</v>
      </c>
    </row>
    <row r="902" ht="15.75" customHeight="1">
      <c r="A902" s="5" t="s">
        <v>878</v>
      </c>
      <c r="B902" s="6">
        <v>500.0</v>
      </c>
      <c r="C902" s="6">
        <v>1500.0</v>
      </c>
      <c r="D902" s="11" t="b">
        <f t="shared" si="211"/>
        <v>1</v>
      </c>
      <c r="E902" s="8" t="s">
        <v>849</v>
      </c>
    </row>
    <row r="903" ht="15.75" customHeight="1">
      <c r="A903" s="5" t="s">
        <v>879</v>
      </c>
      <c r="B903" s="6">
        <v>292.0</v>
      </c>
      <c r="C903" s="6">
        <v>850.0</v>
      </c>
      <c r="D903" s="11" t="b">
        <f t="shared" si="211"/>
        <v>1</v>
      </c>
      <c r="E903" s="8" t="s">
        <v>849</v>
      </c>
    </row>
    <row r="904" ht="15.75" customHeight="1">
      <c r="A904" s="5" t="s">
        <v>880</v>
      </c>
      <c r="B904" s="6">
        <v>292.0</v>
      </c>
      <c r="C904" s="6">
        <v>1000.0</v>
      </c>
      <c r="D904" s="11" t="b">
        <f t="shared" si="211"/>
        <v>1</v>
      </c>
      <c r="E904" s="8" t="s">
        <v>849</v>
      </c>
    </row>
    <row r="905" ht="15.75" customHeight="1">
      <c r="A905" s="5" t="s">
        <v>881</v>
      </c>
      <c r="B905" s="6">
        <v>417.0</v>
      </c>
      <c r="C905" s="6">
        <v>1400.0</v>
      </c>
      <c r="D905" s="11" t="b">
        <f t="shared" si="211"/>
        <v>1</v>
      </c>
      <c r="E905" s="8" t="s">
        <v>849</v>
      </c>
    </row>
    <row r="906" ht="15.75" customHeight="1">
      <c r="A906" s="5" t="s">
        <v>882</v>
      </c>
      <c r="B906" s="6">
        <v>417.0</v>
      </c>
      <c r="C906" s="6">
        <v>1200.0</v>
      </c>
      <c r="D906" s="11" t="b">
        <f t="shared" si="211"/>
        <v>1</v>
      </c>
      <c r="E906" s="8" t="s">
        <v>849</v>
      </c>
    </row>
    <row r="907" ht="15.75" customHeight="1">
      <c r="A907" s="5" t="s">
        <v>883</v>
      </c>
      <c r="B907" s="6">
        <v>417.0</v>
      </c>
      <c r="C907" s="6">
        <v>1200.0</v>
      </c>
      <c r="D907" s="11" t="b">
        <f t="shared" si="211"/>
        <v>1</v>
      </c>
      <c r="E907" s="8" t="s">
        <v>849</v>
      </c>
    </row>
    <row r="908" ht="15.75" customHeight="1">
      <c r="A908" s="5" t="s">
        <v>884</v>
      </c>
      <c r="B908" s="6">
        <v>500.0</v>
      </c>
      <c r="C908" s="6">
        <v>1500.0</v>
      </c>
      <c r="D908" s="11" t="b">
        <f t="shared" si="211"/>
        <v>1</v>
      </c>
      <c r="E908" s="8" t="s">
        <v>849</v>
      </c>
    </row>
    <row r="909" ht="15.75" customHeight="1">
      <c r="A909" s="5" t="s">
        <v>885</v>
      </c>
      <c r="B909" s="6">
        <v>208.0</v>
      </c>
      <c r="C909" s="6">
        <v>650.0</v>
      </c>
      <c r="D909" s="11" t="b">
        <f t="shared" si="211"/>
        <v>1</v>
      </c>
      <c r="E909" s="8" t="s">
        <v>849</v>
      </c>
    </row>
    <row r="910" ht="15.75" customHeight="1">
      <c r="A910" s="5" t="s">
        <v>886</v>
      </c>
      <c r="B910" s="6">
        <v>334.0</v>
      </c>
      <c r="C910" s="6">
        <v>700.0</v>
      </c>
      <c r="D910" s="11" t="b">
        <f t="shared" si="211"/>
        <v>1</v>
      </c>
      <c r="E910" s="8" t="s">
        <v>849</v>
      </c>
    </row>
    <row r="911" ht="15.75" customHeight="1">
      <c r="A911" s="5" t="s">
        <v>887</v>
      </c>
      <c r="B911" s="6">
        <v>500.0</v>
      </c>
      <c r="C911" s="6">
        <v>1000.0</v>
      </c>
      <c r="D911" s="11" t="b">
        <f t="shared" si="211"/>
        <v>1</v>
      </c>
      <c r="E911" s="8" t="s">
        <v>849</v>
      </c>
    </row>
    <row r="912" ht="15.75" customHeight="1">
      <c r="A912" s="5" t="s">
        <v>888</v>
      </c>
      <c r="B912" s="6">
        <v>350.0</v>
      </c>
      <c r="C912" s="6">
        <v>500.0</v>
      </c>
      <c r="D912" s="11" t="b">
        <f t="shared" si="211"/>
        <v>1</v>
      </c>
      <c r="E912" s="8" t="s">
        <v>849</v>
      </c>
    </row>
    <row r="913" ht="15.75" customHeight="1">
      <c r="A913" s="5" t="s">
        <v>889</v>
      </c>
      <c r="B913" s="6">
        <v>334.0</v>
      </c>
      <c r="C913" s="6">
        <v>1000.0</v>
      </c>
      <c r="D913" s="11" t="b">
        <f t="shared" si="211"/>
        <v>1</v>
      </c>
      <c r="E913" s="8" t="s">
        <v>849</v>
      </c>
    </row>
    <row r="914" ht="15.75" customHeight="1">
      <c r="A914" s="5" t="s">
        <v>890</v>
      </c>
      <c r="B914" s="6">
        <v>100.0</v>
      </c>
      <c r="C914" s="6">
        <v>1000.0</v>
      </c>
      <c r="D914" s="11" t="b">
        <f t="shared" si="211"/>
        <v>1</v>
      </c>
      <c r="E914" s="8" t="s">
        <v>849</v>
      </c>
    </row>
    <row r="915" ht="15.75" customHeight="1">
      <c r="A915" s="5" t="s">
        <v>891</v>
      </c>
      <c r="B915" s="6">
        <v>500.0</v>
      </c>
      <c r="C915" s="6">
        <v>1500.0</v>
      </c>
      <c r="D915" s="11" t="b">
        <f t="shared" si="211"/>
        <v>1</v>
      </c>
      <c r="E915" s="8" t="s">
        <v>849</v>
      </c>
    </row>
    <row r="916" ht="15.75" customHeight="1">
      <c r="A916" s="5" t="s">
        <v>892</v>
      </c>
      <c r="B916" s="6">
        <v>208.33</v>
      </c>
      <c r="C916" s="6">
        <v>900.0</v>
      </c>
      <c r="D916" s="11" t="b">
        <f t="shared" si="211"/>
        <v>1</v>
      </c>
      <c r="E916" s="8" t="s">
        <v>849</v>
      </c>
    </row>
    <row r="917" ht="15.75" customHeight="1">
      <c r="A917" s="5" t="s">
        <v>893</v>
      </c>
      <c r="B917" s="6">
        <v>208.33</v>
      </c>
      <c r="C917" s="6">
        <v>1000.0</v>
      </c>
      <c r="D917" s="11" t="b">
        <f t="shared" si="211"/>
        <v>1</v>
      </c>
      <c r="E917" s="8" t="s">
        <v>849</v>
      </c>
    </row>
    <row r="918" ht="15.75" customHeight="1">
      <c r="A918" s="5" t="s">
        <v>894</v>
      </c>
      <c r="B918" s="6">
        <v>191.66</v>
      </c>
      <c r="C918" s="6">
        <v>800.0</v>
      </c>
      <c r="D918" s="11" t="b">
        <f t="shared" si="211"/>
        <v>1</v>
      </c>
      <c r="E918" s="8" t="s">
        <v>849</v>
      </c>
    </row>
    <row r="919" ht="15.75" customHeight="1">
      <c r="A919" s="5" t="s">
        <v>895</v>
      </c>
      <c r="B919" s="6">
        <v>250.0</v>
      </c>
      <c r="C919" s="6">
        <v>800.0</v>
      </c>
      <c r="D919" s="11" t="b">
        <f t="shared" si="211"/>
        <v>1</v>
      </c>
      <c r="E919" s="8" t="s">
        <v>849</v>
      </c>
    </row>
    <row r="920" ht="15.75" customHeight="1">
      <c r="A920" s="5" t="s">
        <v>896</v>
      </c>
      <c r="B920" s="6">
        <v>333.33</v>
      </c>
      <c r="C920" s="6">
        <v>1200.0</v>
      </c>
      <c r="D920" s="11" t="b">
        <f t="shared" si="211"/>
        <v>1</v>
      </c>
      <c r="E920" s="8" t="s">
        <v>849</v>
      </c>
    </row>
    <row r="921" ht="15.75" customHeight="1">
      <c r="A921" s="7" t="s">
        <v>897</v>
      </c>
      <c r="B921" s="6">
        <v>1000.0</v>
      </c>
      <c r="C921" s="6">
        <v>2000.0</v>
      </c>
      <c r="D921" s="11" t="b">
        <f t="shared" si="211"/>
        <v>1</v>
      </c>
      <c r="E921" s="8" t="s">
        <v>898</v>
      </c>
    </row>
    <row r="922" ht="15.75" customHeight="1">
      <c r="A922" s="5" t="s">
        <v>899</v>
      </c>
      <c r="B922" s="6">
        <v>400.0</v>
      </c>
      <c r="C922" s="6">
        <v>800.0</v>
      </c>
      <c r="D922" s="11" t="b">
        <f t="shared" si="211"/>
        <v>1</v>
      </c>
      <c r="E922" s="8" t="s">
        <v>898</v>
      </c>
    </row>
    <row r="923" ht="15.75" customHeight="1">
      <c r="A923" s="7" t="s">
        <v>900</v>
      </c>
      <c r="B923" s="6">
        <v>400.0</v>
      </c>
      <c r="C923" s="6">
        <v>1000.0</v>
      </c>
      <c r="D923" s="11" t="b">
        <f t="shared" si="211"/>
        <v>1</v>
      </c>
      <c r="E923" s="8" t="s">
        <v>898</v>
      </c>
    </row>
    <row r="924" ht="15.75" customHeight="1">
      <c r="A924" s="7" t="s">
        <v>901</v>
      </c>
      <c r="B924" s="6">
        <v>1000.0</v>
      </c>
      <c r="C924" s="6">
        <v>2000.0</v>
      </c>
      <c r="D924" s="11" t="b">
        <f t="shared" si="211"/>
        <v>1</v>
      </c>
      <c r="E924" s="8" t="s">
        <v>898</v>
      </c>
    </row>
    <row r="925" ht="15.75" customHeight="1">
      <c r="A925" s="9" t="s">
        <v>902</v>
      </c>
      <c r="B925" s="10">
        <v>500.0</v>
      </c>
      <c r="C925" s="10">
        <v>1500.0</v>
      </c>
      <c r="D925" s="9" t="b">
        <f>false</f>
        <v>0</v>
      </c>
      <c r="E925" s="8" t="s">
        <v>898</v>
      </c>
    </row>
    <row r="926" ht="15.75" customHeight="1">
      <c r="A926" s="5" t="s">
        <v>903</v>
      </c>
      <c r="B926" s="6">
        <v>2490.0</v>
      </c>
      <c r="C926" s="6">
        <v>5200.0</v>
      </c>
      <c r="D926" s="11" t="b">
        <f t="shared" ref="D926:D928" si="212">true</f>
        <v>1</v>
      </c>
      <c r="E926" s="8" t="s">
        <v>898</v>
      </c>
    </row>
    <row r="927" ht="15.75" customHeight="1">
      <c r="A927" s="5" t="s">
        <v>904</v>
      </c>
      <c r="B927" s="6">
        <v>1650.0</v>
      </c>
      <c r="C927" s="6">
        <v>3000.0</v>
      </c>
      <c r="D927" s="11" t="b">
        <f t="shared" si="212"/>
        <v>1</v>
      </c>
      <c r="E927" s="8" t="s">
        <v>898</v>
      </c>
    </row>
    <row r="928" ht="15.75" customHeight="1">
      <c r="A928" s="7" t="s">
        <v>905</v>
      </c>
      <c r="B928" s="6">
        <v>2000.0</v>
      </c>
      <c r="C928" s="6">
        <v>3000.0</v>
      </c>
      <c r="D928" s="11" t="b">
        <f t="shared" si="212"/>
        <v>1</v>
      </c>
      <c r="E928" s="8" t="s">
        <v>898</v>
      </c>
    </row>
    <row r="929" ht="15.75" customHeight="1">
      <c r="A929" s="9" t="s">
        <v>906</v>
      </c>
      <c r="B929" s="10">
        <v>2239.0</v>
      </c>
      <c r="C929" s="10">
        <v>2700.0</v>
      </c>
      <c r="D929" s="9" t="b">
        <f t="shared" ref="D929:D930" si="213">false</f>
        <v>0</v>
      </c>
      <c r="E929" s="8" t="s">
        <v>898</v>
      </c>
    </row>
    <row r="930" ht="15.75" customHeight="1">
      <c r="A930" s="9" t="s">
        <v>907</v>
      </c>
      <c r="B930" s="10">
        <v>2000.0</v>
      </c>
      <c r="C930" s="10">
        <v>2500.0</v>
      </c>
      <c r="D930" s="9" t="b">
        <f t="shared" si="213"/>
        <v>0</v>
      </c>
      <c r="E930" s="8" t="s">
        <v>898</v>
      </c>
    </row>
    <row r="931" ht="15.75" customHeight="1">
      <c r="A931" s="11" t="s">
        <v>908</v>
      </c>
      <c r="B931" s="12">
        <v>700.0</v>
      </c>
      <c r="C931" s="12">
        <v>2000.0</v>
      </c>
      <c r="D931" s="11" t="b">
        <f>true</f>
        <v>1</v>
      </c>
      <c r="E931" s="8" t="s">
        <v>898</v>
      </c>
    </row>
    <row r="932" ht="15.75" customHeight="1">
      <c r="A932" s="9" t="s">
        <v>909</v>
      </c>
      <c r="B932" s="10">
        <v>930.0</v>
      </c>
      <c r="C932" s="10">
        <v>2000.0</v>
      </c>
      <c r="D932" s="9" t="b">
        <f t="shared" ref="D932:D933" si="214">false</f>
        <v>0</v>
      </c>
      <c r="E932" s="8" t="s">
        <v>898</v>
      </c>
    </row>
    <row r="933" ht="15.75" customHeight="1">
      <c r="A933" s="9" t="s">
        <v>909</v>
      </c>
      <c r="B933" s="10">
        <v>1030.0</v>
      </c>
      <c r="C933" s="10">
        <v>2000.0</v>
      </c>
      <c r="D933" s="9" t="b">
        <f t="shared" si="214"/>
        <v>0</v>
      </c>
      <c r="E933" s="8" t="s">
        <v>898</v>
      </c>
    </row>
    <row r="934" ht="15.75" customHeight="1">
      <c r="A934" s="11" t="s">
        <v>910</v>
      </c>
      <c r="B934" s="12">
        <v>705.0</v>
      </c>
      <c r="C934" s="12">
        <v>1500.0</v>
      </c>
      <c r="D934" s="11" t="b">
        <f t="shared" ref="D934:D941" si="215">true</f>
        <v>1</v>
      </c>
      <c r="E934" s="8" t="s">
        <v>898</v>
      </c>
    </row>
    <row r="935" ht="15.75" customHeight="1">
      <c r="A935" s="11" t="s">
        <v>911</v>
      </c>
      <c r="B935" s="12">
        <v>372.0</v>
      </c>
      <c r="C935" s="12">
        <v>900.0</v>
      </c>
      <c r="D935" s="11" t="b">
        <f t="shared" si="215"/>
        <v>1</v>
      </c>
      <c r="E935" s="8" t="s">
        <v>898</v>
      </c>
    </row>
    <row r="936" ht="15.75" customHeight="1">
      <c r="A936" s="11" t="s">
        <v>912</v>
      </c>
      <c r="B936" s="12">
        <v>350.0</v>
      </c>
      <c r="C936" s="12">
        <v>800.0</v>
      </c>
      <c r="D936" s="11" t="b">
        <f t="shared" si="215"/>
        <v>1</v>
      </c>
      <c r="E936" s="8" t="s">
        <v>898</v>
      </c>
    </row>
    <row r="937" ht="15.75" customHeight="1">
      <c r="A937" s="11" t="s">
        <v>913</v>
      </c>
      <c r="B937" s="12">
        <v>400.0</v>
      </c>
      <c r="C937" s="12">
        <v>1200.0</v>
      </c>
      <c r="D937" s="11" t="b">
        <f t="shared" si="215"/>
        <v>1</v>
      </c>
      <c r="E937" s="8" t="s">
        <v>898</v>
      </c>
    </row>
    <row r="938" ht="15.75" customHeight="1">
      <c r="A938" s="11" t="s">
        <v>914</v>
      </c>
      <c r="B938" s="12">
        <v>1000.0</v>
      </c>
      <c r="C938" s="12">
        <v>2500.0</v>
      </c>
      <c r="D938" s="11" t="b">
        <f t="shared" si="215"/>
        <v>1</v>
      </c>
      <c r="E938" s="8" t="s">
        <v>898</v>
      </c>
    </row>
    <row r="939" ht="15.75" customHeight="1">
      <c r="A939" s="11" t="s">
        <v>915</v>
      </c>
      <c r="B939" s="12">
        <v>1000.0</v>
      </c>
      <c r="C939" s="12">
        <v>2500.0</v>
      </c>
      <c r="D939" s="11" t="b">
        <f t="shared" si="215"/>
        <v>1</v>
      </c>
      <c r="E939" s="8" t="s">
        <v>898</v>
      </c>
    </row>
    <row r="940" ht="15.75" customHeight="1">
      <c r="A940" s="7" t="s">
        <v>916</v>
      </c>
      <c r="B940" s="6">
        <v>839.0</v>
      </c>
      <c r="C940" s="6">
        <v>1200.0</v>
      </c>
      <c r="D940" s="11" t="b">
        <f t="shared" si="215"/>
        <v>1</v>
      </c>
      <c r="E940" s="8" t="s">
        <v>898</v>
      </c>
    </row>
    <row r="941" ht="15.75" customHeight="1">
      <c r="A941" s="5" t="s">
        <v>917</v>
      </c>
      <c r="B941" s="6">
        <v>1500.0</v>
      </c>
      <c r="C941" s="6">
        <v>2500.0</v>
      </c>
      <c r="D941" s="11" t="b">
        <f t="shared" si="215"/>
        <v>1</v>
      </c>
      <c r="E941" s="8" t="s">
        <v>898</v>
      </c>
    </row>
    <row r="942" ht="15.75" customHeight="1">
      <c r="A942" s="9" t="s">
        <v>918</v>
      </c>
      <c r="B942" s="10">
        <v>3500.0</v>
      </c>
      <c r="C942" s="10">
        <v>5000.0</v>
      </c>
      <c r="D942" s="9" t="b">
        <f>false</f>
        <v>0</v>
      </c>
      <c r="E942" s="8" t="s">
        <v>898</v>
      </c>
    </row>
    <row r="943" ht="15.75" customHeight="1">
      <c r="A943" s="5" t="s">
        <v>918</v>
      </c>
      <c r="B943" s="6">
        <v>1170.0</v>
      </c>
      <c r="C943" s="6">
        <v>4500.0</v>
      </c>
      <c r="D943" s="11" t="b">
        <f t="shared" ref="D943:D945" si="216">true</f>
        <v>1</v>
      </c>
      <c r="E943" s="8" t="s">
        <v>898</v>
      </c>
    </row>
    <row r="944" ht="15.75" customHeight="1">
      <c r="A944" s="5" t="s">
        <v>919</v>
      </c>
      <c r="B944" s="6">
        <v>990.0</v>
      </c>
      <c r="C944" s="6">
        <v>2000.0</v>
      </c>
      <c r="D944" s="11" t="b">
        <f t="shared" si="216"/>
        <v>1</v>
      </c>
      <c r="E944" s="8" t="s">
        <v>898</v>
      </c>
    </row>
    <row r="945" ht="15.75" customHeight="1">
      <c r="A945" s="5" t="s">
        <v>920</v>
      </c>
      <c r="B945" s="6">
        <v>2975.0</v>
      </c>
      <c r="C945" s="6">
        <v>5000.0</v>
      </c>
      <c r="D945" s="11" t="b">
        <f t="shared" si="216"/>
        <v>1</v>
      </c>
      <c r="E945" s="8" t="s">
        <v>898</v>
      </c>
    </row>
    <row r="946" ht="15.75" customHeight="1">
      <c r="A946" s="9" t="s">
        <v>921</v>
      </c>
      <c r="B946" s="10">
        <v>3000.0</v>
      </c>
      <c r="C946" s="10">
        <v>5000.0</v>
      </c>
      <c r="D946" s="9" t="b">
        <f t="shared" ref="D946:D947" si="217">false</f>
        <v>0</v>
      </c>
      <c r="E946" s="8" t="s">
        <v>898</v>
      </c>
    </row>
    <row r="947" ht="15.75" customHeight="1">
      <c r="A947" s="9" t="s">
        <v>922</v>
      </c>
      <c r="B947" s="10">
        <v>1990.0</v>
      </c>
      <c r="C947" s="10">
        <v>3000.0</v>
      </c>
      <c r="D947" s="9" t="b">
        <f t="shared" si="217"/>
        <v>0</v>
      </c>
      <c r="E947" s="8" t="s">
        <v>898</v>
      </c>
    </row>
    <row r="948" ht="15.75" customHeight="1">
      <c r="A948" s="11" t="s">
        <v>923</v>
      </c>
      <c r="B948" s="12">
        <v>850.0</v>
      </c>
      <c r="C948" s="12">
        <v>2500.0</v>
      </c>
      <c r="D948" s="11" t="b">
        <f t="shared" ref="D948:D949" si="218">true</f>
        <v>1</v>
      </c>
      <c r="E948" s="8" t="s">
        <v>898</v>
      </c>
    </row>
    <row r="949" ht="15.75" customHeight="1">
      <c r="A949" s="5" t="s">
        <v>924</v>
      </c>
      <c r="B949" s="6">
        <v>1690.0</v>
      </c>
      <c r="C949" s="6">
        <v>2500.0</v>
      </c>
      <c r="D949" s="11" t="b">
        <f t="shared" si="218"/>
        <v>1</v>
      </c>
      <c r="E949" s="8" t="s">
        <v>898</v>
      </c>
    </row>
    <row r="950" ht="15.75" customHeight="1">
      <c r="A950" s="9" t="s">
        <v>925</v>
      </c>
      <c r="B950" s="10">
        <v>250.0</v>
      </c>
      <c r="C950" s="10">
        <v>500.0</v>
      </c>
      <c r="D950" s="9" t="b">
        <f>false</f>
        <v>0</v>
      </c>
      <c r="E950" s="8" t="s">
        <v>898</v>
      </c>
    </row>
    <row r="951" ht="15.75" customHeight="1">
      <c r="A951" s="11" t="s">
        <v>926</v>
      </c>
      <c r="B951" s="12">
        <v>200.0</v>
      </c>
      <c r="C951" s="12">
        <v>500.0</v>
      </c>
      <c r="D951" s="11" t="b">
        <f t="shared" ref="D951:D952" si="219">true</f>
        <v>1</v>
      </c>
      <c r="E951" s="8" t="s">
        <v>898</v>
      </c>
    </row>
    <row r="952" ht="15.75" customHeight="1">
      <c r="A952" s="11" t="s">
        <v>927</v>
      </c>
      <c r="B952" s="12">
        <v>220.0</v>
      </c>
      <c r="C952" s="12">
        <v>500.0</v>
      </c>
      <c r="D952" s="11" t="b">
        <f t="shared" si="219"/>
        <v>1</v>
      </c>
      <c r="E952" s="8" t="s">
        <v>898</v>
      </c>
    </row>
    <row r="953" ht="15.75" customHeight="1">
      <c r="A953" s="9" t="s">
        <v>928</v>
      </c>
      <c r="B953" s="10">
        <v>480.0</v>
      </c>
      <c r="C953" s="10">
        <v>1000.0</v>
      </c>
      <c r="D953" s="9" t="b">
        <f>false</f>
        <v>0</v>
      </c>
      <c r="E953" s="8" t="s">
        <v>898</v>
      </c>
    </row>
    <row r="954" ht="15.75" customHeight="1">
      <c r="A954" s="5" t="s">
        <v>929</v>
      </c>
      <c r="B954" s="6">
        <v>280.0</v>
      </c>
      <c r="C954" s="6">
        <v>1000.0</v>
      </c>
      <c r="D954" s="11" t="b">
        <f>true</f>
        <v>1</v>
      </c>
      <c r="E954" s="8" t="s">
        <v>898</v>
      </c>
    </row>
    <row r="955" ht="15.75" customHeight="1">
      <c r="A955" s="9" t="s">
        <v>930</v>
      </c>
      <c r="B955" s="10">
        <v>220.0</v>
      </c>
      <c r="C955" s="10">
        <v>1000.0</v>
      </c>
      <c r="D955" s="9" t="b">
        <f t="shared" ref="D955:D958" si="220">false</f>
        <v>0</v>
      </c>
      <c r="E955" s="8" t="s">
        <v>898</v>
      </c>
    </row>
    <row r="956" ht="15.75" customHeight="1">
      <c r="A956" s="9" t="s">
        <v>931</v>
      </c>
      <c r="B956" s="10">
        <v>350.0</v>
      </c>
      <c r="C956" s="10">
        <v>1000.0</v>
      </c>
      <c r="D956" s="9" t="b">
        <f t="shared" si="220"/>
        <v>0</v>
      </c>
      <c r="E956" s="8" t="s">
        <v>898</v>
      </c>
    </row>
    <row r="957" ht="15.75" customHeight="1">
      <c r="A957" s="9" t="s">
        <v>932</v>
      </c>
      <c r="B957" s="10">
        <v>1000.0</v>
      </c>
      <c r="C957" s="10">
        <v>1500.0</v>
      </c>
      <c r="D957" s="9" t="b">
        <f t="shared" si="220"/>
        <v>0</v>
      </c>
      <c r="E957" s="8" t="s">
        <v>898</v>
      </c>
    </row>
    <row r="958" ht="15.75" customHeight="1">
      <c r="A958" s="9" t="s">
        <v>933</v>
      </c>
      <c r="B958" s="10">
        <v>500.0</v>
      </c>
      <c r="C958" s="10">
        <v>1000.0</v>
      </c>
      <c r="D958" s="9" t="b">
        <f t="shared" si="220"/>
        <v>0</v>
      </c>
      <c r="E958" s="8" t="s">
        <v>898</v>
      </c>
    </row>
    <row r="959" ht="15.75" customHeight="1">
      <c r="A959" s="5" t="s">
        <v>934</v>
      </c>
      <c r="B959" s="6">
        <v>850.0</v>
      </c>
      <c r="C959" s="6">
        <v>1500.0</v>
      </c>
      <c r="D959" s="11" t="b">
        <f t="shared" ref="D959:D962" si="221">true</f>
        <v>1</v>
      </c>
      <c r="E959" s="8" t="s">
        <v>898</v>
      </c>
    </row>
    <row r="960" ht="15.75" customHeight="1">
      <c r="A960" s="5" t="s">
        <v>935</v>
      </c>
      <c r="B960" s="6">
        <v>1500.0</v>
      </c>
      <c r="C960" s="6">
        <v>2200.0</v>
      </c>
      <c r="D960" s="11" t="b">
        <f t="shared" si="221"/>
        <v>1</v>
      </c>
      <c r="E960" s="8" t="s">
        <v>898</v>
      </c>
    </row>
    <row r="961" ht="15.75" customHeight="1">
      <c r="A961" s="5" t="s">
        <v>936</v>
      </c>
      <c r="B961" s="6">
        <v>1600.0</v>
      </c>
      <c r="C961" s="6">
        <v>2500.0</v>
      </c>
      <c r="D961" s="11" t="b">
        <f t="shared" si="221"/>
        <v>1</v>
      </c>
      <c r="E961" s="8" t="s">
        <v>898</v>
      </c>
    </row>
    <row r="962" ht="15.75" customHeight="1">
      <c r="A962" s="5" t="s">
        <v>937</v>
      </c>
      <c r="B962" s="6">
        <v>285.0</v>
      </c>
      <c r="C962" s="6">
        <v>700.0</v>
      </c>
      <c r="D962" s="11" t="b">
        <f t="shared" si="221"/>
        <v>1</v>
      </c>
      <c r="E962" s="8" t="s">
        <v>898</v>
      </c>
    </row>
    <row r="963" ht="15.75" customHeight="1">
      <c r="A963" s="9" t="s">
        <v>938</v>
      </c>
      <c r="B963" s="10">
        <v>580.0</v>
      </c>
      <c r="C963" s="10">
        <v>800.0</v>
      </c>
      <c r="D963" s="9" t="b">
        <f>false</f>
        <v>0</v>
      </c>
      <c r="E963" s="8" t="s">
        <v>898</v>
      </c>
    </row>
    <row r="964" ht="15.75" customHeight="1">
      <c r="A964" s="5" t="s">
        <v>939</v>
      </c>
      <c r="B964" s="6">
        <v>167.0</v>
      </c>
      <c r="C964" s="6">
        <v>600.0</v>
      </c>
      <c r="D964" s="11" t="b">
        <f t="shared" ref="D964:D968" si="222">true</f>
        <v>1</v>
      </c>
      <c r="E964" s="8" t="s">
        <v>898</v>
      </c>
    </row>
    <row r="965" ht="15.75" customHeight="1">
      <c r="A965" s="5" t="s">
        <v>940</v>
      </c>
      <c r="B965" s="6">
        <v>333.0</v>
      </c>
      <c r="C965" s="6">
        <v>1000.0</v>
      </c>
      <c r="D965" s="11" t="b">
        <f t="shared" si="222"/>
        <v>1</v>
      </c>
      <c r="E965" s="8" t="s">
        <v>898</v>
      </c>
    </row>
    <row r="966" ht="15.75" customHeight="1">
      <c r="A966" s="5" t="s">
        <v>941</v>
      </c>
      <c r="B966" s="6">
        <v>428.0</v>
      </c>
      <c r="C966" s="6">
        <v>1000.0</v>
      </c>
      <c r="D966" s="11" t="b">
        <f t="shared" si="222"/>
        <v>1</v>
      </c>
      <c r="E966" s="8" t="s">
        <v>898</v>
      </c>
    </row>
    <row r="967" ht="15.75" customHeight="1">
      <c r="A967" s="5" t="s">
        <v>942</v>
      </c>
      <c r="B967" s="6">
        <v>618.0</v>
      </c>
      <c r="C967" s="6">
        <v>1800.0</v>
      </c>
      <c r="D967" s="11" t="b">
        <f t="shared" si="222"/>
        <v>1</v>
      </c>
      <c r="E967" s="8" t="s">
        <v>898</v>
      </c>
    </row>
    <row r="968" ht="15.75" customHeight="1">
      <c r="A968" s="5" t="s">
        <v>943</v>
      </c>
      <c r="B968" s="6">
        <v>375.0</v>
      </c>
      <c r="C968" s="6">
        <v>1000.0</v>
      </c>
      <c r="D968" s="11" t="b">
        <f t="shared" si="222"/>
        <v>1</v>
      </c>
      <c r="E968" s="8" t="s">
        <v>898</v>
      </c>
    </row>
    <row r="969" ht="15.75" customHeight="1">
      <c r="A969" s="9" t="s">
        <v>944</v>
      </c>
      <c r="B969" s="10">
        <v>600.0</v>
      </c>
      <c r="C969" s="10">
        <v>1000.0</v>
      </c>
      <c r="D969" s="9" t="b">
        <f t="shared" ref="D969:D970" si="223">false</f>
        <v>0</v>
      </c>
      <c r="E969" s="8" t="s">
        <v>898</v>
      </c>
    </row>
    <row r="970" ht="15.75" customHeight="1">
      <c r="A970" s="9" t="s">
        <v>945</v>
      </c>
      <c r="B970" s="10">
        <v>250.0</v>
      </c>
      <c r="C970" s="10">
        <v>800.0</v>
      </c>
      <c r="D970" s="9" t="b">
        <f t="shared" si="223"/>
        <v>0</v>
      </c>
      <c r="E970" s="8" t="s">
        <v>898</v>
      </c>
    </row>
    <row r="971" ht="15.75" customHeight="1">
      <c r="A971" s="11" t="s">
        <v>946</v>
      </c>
      <c r="B971" s="6">
        <v>1000.0</v>
      </c>
      <c r="C971" s="6">
        <v>2000.0</v>
      </c>
      <c r="D971" s="11" t="b">
        <f t="shared" ref="D971:D973" si="224">true</f>
        <v>1</v>
      </c>
      <c r="E971" s="8" t="s">
        <v>898</v>
      </c>
    </row>
    <row r="972" ht="15.75" customHeight="1">
      <c r="A972" s="5" t="s">
        <v>947</v>
      </c>
      <c r="B972" s="6">
        <v>1000.0</v>
      </c>
      <c r="C972" s="6">
        <v>2000.0</v>
      </c>
      <c r="D972" s="11" t="b">
        <f t="shared" si="224"/>
        <v>1</v>
      </c>
      <c r="E972" s="8" t="s">
        <v>898</v>
      </c>
    </row>
    <row r="973" ht="15.75" customHeight="1">
      <c r="A973" s="5" t="s">
        <v>948</v>
      </c>
      <c r="B973" s="6">
        <v>750.0</v>
      </c>
      <c r="C973" s="6">
        <v>2000.0</v>
      </c>
      <c r="D973" s="11" t="b">
        <f t="shared" si="224"/>
        <v>1</v>
      </c>
      <c r="E973" s="8" t="s">
        <v>898</v>
      </c>
    </row>
    <row r="974" ht="15.75" customHeight="1">
      <c r="A974" s="9" t="s">
        <v>949</v>
      </c>
      <c r="B974" s="10">
        <v>2000.0</v>
      </c>
      <c r="C974" s="10">
        <v>2500.0</v>
      </c>
      <c r="D974" s="9" t="b">
        <f>false</f>
        <v>0</v>
      </c>
      <c r="E974" s="8" t="s">
        <v>898</v>
      </c>
    </row>
    <row r="975" ht="15.75" customHeight="1">
      <c r="A975" s="11" t="s">
        <v>950</v>
      </c>
      <c r="B975" s="12">
        <v>990.0</v>
      </c>
      <c r="C975" s="12">
        <v>2500.0</v>
      </c>
      <c r="D975" s="11" t="b">
        <f t="shared" ref="D975:D980" si="225">true</f>
        <v>1</v>
      </c>
      <c r="E975" s="8" t="s">
        <v>898</v>
      </c>
    </row>
    <row r="976" ht="15.75" customHeight="1">
      <c r="A976" s="11" t="s">
        <v>951</v>
      </c>
      <c r="B976" s="12">
        <v>850.0</v>
      </c>
      <c r="C976" s="12">
        <v>1500.0</v>
      </c>
      <c r="D976" s="11" t="b">
        <f t="shared" si="225"/>
        <v>1</v>
      </c>
      <c r="E976" s="8" t="s">
        <v>898</v>
      </c>
    </row>
    <row r="977" ht="15.75" customHeight="1">
      <c r="A977" s="11" t="s">
        <v>952</v>
      </c>
      <c r="B977" s="12">
        <v>850.0</v>
      </c>
      <c r="C977" s="12">
        <v>2000.0</v>
      </c>
      <c r="D977" s="11" t="b">
        <f t="shared" si="225"/>
        <v>1</v>
      </c>
      <c r="E977" s="8" t="s">
        <v>898</v>
      </c>
    </row>
    <row r="978" ht="15.75" customHeight="1">
      <c r="A978" s="11" t="s">
        <v>953</v>
      </c>
      <c r="B978" s="12">
        <v>850.0</v>
      </c>
      <c r="C978" s="12">
        <v>1500.0</v>
      </c>
      <c r="D978" s="11" t="b">
        <f t="shared" si="225"/>
        <v>1</v>
      </c>
      <c r="E978" s="8" t="s">
        <v>898</v>
      </c>
    </row>
    <row r="979" ht="15.75" customHeight="1">
      <c r="A979" s="11" t="s">
        <v>954</v>
      </c>
      <c r="B979" s="12">
        <v>650.0</v>
      </c>
      <c r="C979" s="12">
        <v>1300.0</v>
      </c>
      <c r="D979" s="11" t="b">
        <f t="shared" si="225"/>
        <v>1</v>
      </c>
      <c r="E979" s="8" t="s">
        <v>898</v>
      </c>
    </row>
    <row r="980" ht="15.75" customHeight="1">
      <c r="A980" s="11" t="s">
        <v>955</v>
      </c>
      <c r="B980" s="12">
        <v>1000.0</v>
      </c>
      <c r="C980" s="12">
        <v>2200.0</v>
      </c>
      <c r="D980" s="11" t="b">
        <f t="shared" si="225"/>
        <v>1</v>
      </c>
      <c r="E980" s="8" t="s">
        <v>898</v>
      </c>
    </row>
    <row r="981" ht="15.75" customHeight="1">
      <c r="A981" s="9" t="s">
        <v>956</v>
      </c>
      <c r="B981" s="10">
        <v>2500.0</v>
      </c>
      <c r="C981" s="10">
        <v>3900.0</v>
      </c>
      <c r="D981" s="9" t="b">
        <f t="shared" ref="D981:D982" si="226">false</f>
        <v>0</v>
      </c>
      <c r="E981" s="8" t="s">
        <v>898</v>
      </c>
    </row>
    <row r="982" ht="15.75" customHeight="1">
      <c r="A982" s="9" t="s">
        <v>957</v>
      </c>
      <c r="B982" s="10">
        <v>1600.0</v>
      </c>
      <c r="C982" s="10">
        <v>2200.0</v>
      </c>
      <c r="D982" s="9" t="b">
        <f t="shared" si="226"/>
        <v>0</v>
      </c>
      <c r="E982" s="8" t="s">
        <v>898</v>
      </c>
    </row>
    <row r="983" ht="15.75" customHeight="1">
      <c r="A983" s="5" t="s">
        <v>958</v>
      </c>
      <c r="B983" s="6">
        <v>1650.0</v>
      </c>
      <c r="C983" s="6">
        <v>2700.0</v>
      </c>
      <c r="D983" s="11" t="b">
        <f>true</f>
        <v>1</v>
      </c>
      <c r="E983" s="8" t="s">
        <v>898</v>
      </c>
    </row>
    <row r="984" ht="15.75" customHeight="1">
      <c r="A984" s="9" t="s">
        <v>959</v>
      </c>
      <c r="B984" s="10">
        <v>3500.0</v>
      </c>
      <c r="C984" s="10">
        <v>6500.0</v>
      </c>
      <c r="D984" s="9" t="b">
        <f t="shared" ref="D984:D986" si="227">false</f>
        <v>0</v>
      </c>
      <c r="E984" s="8" t="s">
        <v>898</v>
      </c>
    </row>
    <row r="985" ht="15.75" customHeight="1">
      <c r="A985" s="9" t="s">
        <v>960</v>
      </c>
      <c r="B985" s="10">
        <v>4000.0</v>
      </c>
      <c r="C985" s="10">
        <v>7500.0</v>
      </c>
      <c r="D985" s="9" t="b">
        <f t="shared" si="227"/>
        <v>0</v>
      </c>
      <c r="E985" s="8" t="s">
        <v>898</v>
      </c>
    </row>
    <row r="986" ht="15.75" customHeight="1">
      <c r="A986" s="9" t="s">
        <v>961</v>
      </c>
      <c r="B986" s="10">
        <v>2500.0</v>
      </c>
      <c r="C986" s="10">
        <v>4500.0</v>
      </c>
      <c r="D986" s="9" t="b">
        <f t="shared" si="227"/>
        <v>0</v>
      </c>
      <c r="E986" s="8" t="s">
        <v>898</v>
      </c>
    </row>
    <row r="987" ht="15.75" customHeight="1">
      <c r="A987" s="11" t="s">
        <v>962</v>
      </c>
      <c r="B987" s="12">
        <v>2500.0</v>
      </c>
      <c r="C987" s="12">
        <v>4500.0</v>
      </c>
      <c r="D987" s="11" t="b">
        <f>true</f>
        <v>1</v>
      </c>
      <c r="E987" s="8" t="s">
        <v>898</v>
      </c>
    </row>
    <row r="988" ht="15.75" customHeight="1">
      <c r="A988" s="9" t="s">
        <v>963</v>
      </c>
      <c r="B988" s="10">
        <v>3500.0</v>
      </c>
      <c r="C988" s="10">
        <v>5500.0</v>
      </c>
      <c r="D988" s="9" t="b">
        <f>false</f>
        <v>0</v>
      </c>
      <c r="E988" s="8" t="s">
        <v>898</v>
      </c>
    </row>
    <row r="989" ht="15.75" customHeight="1">
      <c r="A989" s="11" t="s">
        <v>964</v>
      </c>
      <c r="B989" s="12">
        <v>3500.0</v>
      </c>
      <c r="C989" s="12">
        <v>6500.0</v>
      </c>
      <c r="D989" s="11" t="b">
        <f t="shared" ref="D989:D990" si="228">true</f>
        <v>1</v>
      </c>
      <c r="E989" s="8" t="s">
        <v>898</v>
      </c>
    </row>
    <row r="990" ht="15.75" customHeight="1">
      <c r="A990" s="11" t="s">
        <v>965</v>
      </c>
      <c r="B990" s="12">
        <v>4000.0</v>
      </c>
      <c r="C990" s="12">
        <v>7000.0</v>
      </c>
      <c r="D990" s="11" t="b">
        <f t="shared" si="228"/>
        <v>1</v>
      </c>
      <c r="E990" s="8" t="s">
        <v>898</v>
      </c>
    </row>
    <row r="991" ht="15.75" customHeight="1">
      <c r="A991" s="9" t="s">
        <v>966</v>
      </c>
      <c r="B991" s="10">
        <v>3500.0</v>
      </c>
      <c r="C991" s="10">
        <v>7000.0</v>
      </c>
      <c r="D991" s="9" t="b">
        <f>false</f>
        <v>0</v>
      </c>
      <c r="E991" s="8" t="s">
        <v>898</v>
      </c>
    </row>
    <row r="992" ht="15.75" customHeight="1">
      <c r="A992" s="11" t="s">
        <v>967</v>
      </c>
      <c r="B992" s="12">
        <v>2500.0</v>
      </c>
      <c r="C992" s="12">
        <v>5000.0</v>
      </c>
      <c r="D992" s="11" t="b">
        <f>true</f>
        <v>1</v>
      </c>
      <c r="E992" s="8" t="s">
        <v>898</v>
      </c>
    </row>
    <row r="993" ht="15.75" customHeight="1">
      <c r="A993" s="9" t="s">
        <v>968</v>
      </c>
      <c r="B993" s="10">
        <v>8000.0</v>
      </c>
      <c r="C993" s="10">
        <v>10000.0</v>
      </c>
      <c r="D993" s="9" t="b">
        <f t="shared" ref="D993:D994" si="229">false</f>
        <v>0</v>
      </c>
      <c r="E993" s="8" t="s">
        <v>898</v>
      </c>
    </row>
    <row r="994" ht="15.75" customHeight="1">
      <c r="A994" s="9" t="s">
        <v>969</v>
      </c>
      <c r="B994" s="10">
        <v>3500.0</v>
      </c>
      <c r="C994" s="10">
        <v>6500.0</v>
      </c>
      <c r="D994" s="9" t="b">
        <f t="shared" si="229"/>
        <v>0</v>
      </c>
      <c r="E994" s="8" t="s">
        <v>898</v>
      </c>
    </row>
    <row r="995" ht="15.75" customHeight="1">
      <c r="A995" s="11" t="s">
        <v>970</v>
      </c>
      <c r="B995" s="12">
        <v>4500.0</v>
      </c>
      <c r="C995" s="12">
        <v>7500.0</v>
      </c>
      <c r="D995" s="11" t="b">
        <f t="shared" ref="D995:D997" si="230">true</f>
        <v>1</v>
      </c>
      <c r="E995" s="8" t="s">
        <v>898</v>
      </c>
    </row>
    <row r="996" ht="15.75" customHeight="1">
      <c r="A996" s="11" t="s">
        <v>971</v>
      </c>
      <c r="B996" s="12">
        <v>184.0</v>
      </c>
      <c r="C996" s="12">
        <v>500.0</v>
      </c>
      <c r="D996" s="11" t="b">
        <f t="shared" si="230"/>
        <v>1</v>
      </c>
      <c r="E996" s="8" t="s">
        <v>898</v>
      </c>
    </row>
    <row r="997" ht="15.75" customHeight="1">
      <c r="A997" s="11" t="s">
        <v>972</v>
      </c>
      <c r="B997" s="12">
        <v>380.0</v>
      </c>
      <c r="C997" s="12">
        <v>1000.0</v>
      </c>
      <c r="D997" s="11" t="b">
        <f t="shared" si="230"/>
        <v>1</v>
      </c>
      <c r="E997" s="8" t="s">
        <v>898</v>
      </c>
    </row>
    <row r="998" ht="15.75" customHeight="1">
      <c r="A998" s="9" t="s">
        <v>973</v>
      </c>
      <c r="B998" s="10">
        <v>420.0</v>
      </c>
      <c r="C998" s="10">
        <v>1000.0</v>
      </c>
      <c r="D998" s="9" t="b">
        <f t="shared" ref="D998:D1002" si="231">false</f>
        <v>0</v>
      </c>
      <c r="E998" s="8" t="s">
        <v>898</v>
      </c>
    </row>
    <row r="999" ht="15.75" customHeight="1">
      <c r="A999" s="9" t="s">
        <v>974</v>
      </c>
      <c r="B999" s="10">
        <v>1000.0</v>
      </c>
      <c r="C999" s="10">
        <v>1400.0</v>
      </c>
      <c r="D999" s="9" t="b">
        <f t="shared" si="231"/>
        <v>0</v>
      </c>
      <c r="E999" s="8" t="s">
        <v>898</v>
      </c>
    </row>
    <row r="1000" ht="15.75" customHeight="1">
      <c r="A1000" s="9" t="s">
        <v>975</v>
      </c>
      <c r="B1000" s="10">
        <v>700.0</v>
      </c>
      <c r="C1000" s="10">
        <v>1200.0</v>
      </c>
      <c r="D1000" s="9" t="b">
        <f t="shared" si="231"/>
        <v>0</v>
      </c>
      <c r="E1000" s="8" t="s">
        <v>898</v>
      </c>
    </row>
    <row r="1001" ht="15.75" customHeight="1">
      <c r="A1001" s="9" t="s">
        <v>976</v>
      </c>
      <c r="B1001" s="10">
        <v>110.0</v>
      </c>
      <c r="C1001" s="10">
        <v>200.0</v>
      </c>
      <c r="D1001" s="9" t="b">
        <f t="shared" si="231"/>
        <v>0</v>
      </c>
      <c r="E1001" s="8" t="s">
        <v>898</v>
      </c>
    </row>
    <row r="1002" ht="15.75" customHeight="1">
      <c r="A1002" s="9" t="s">
        <v>977</v>
      </c>
      <c r="B1002" s="10">
        <v>350.0</v>
      </c>
      <c r="C1002" s="10">
        <v>1200.0</v>
      </c>
      <c r="D1002" s="9" t="b">
        <f t="shared" si="231"/>
        <v>0</v>
      </c>
      <c r="E1002" s="8" t="s">
        <v>898</v>
      </c>
    </row>
    <row r="1003" ht="15.75" customHeight="1">
      <c r="A1003" s="5" t="s">
        <v>978</v>
      </c>
      <c r="B1003" s="6">
        <v>540.0</v>
      </c>
      <c r="C1003" s="6">
        <v>1000.0</v>
      </c>
      <c r="D1003" s="11" t="b">
        <f>true</f>
        <v>1</v>
      </c>
      <c r="E1003" s="8" t="s">
        <v>898</v>
      </c>
    </row>
    <row r="1004" ht="15.75" customHeight="1">
      <c r="A1004" s="9" t="s">
        <v>975</v>
      </c>
      <c r="B1004" s="10">
        <v>700.0</v>
      </c>
      <c r="C1004" s="10">
        <v>1000.0</v>
      </c>
      <c r="D1004" s="9" t="b">
        <f>false</f>
        <v>0</v>
      </c>
      <c r="E1004" s="8" t="s">
        <v>898</v>
      </c>
    </row>
    <row r="1005" ht="15.75" customHeight="1">
      <c r="A1005" s="5" t="s">
        <v>979</v>
      </c>
      <c r="B1005" s="6">
        <v>280.0</v>
      </c>
      <c r="C1005" s="6">
        <v>800.0</v>
      </c>
      <c r="D1005" s="11" t="b">
        <f t="shared" ref="D1005:D1012" si="232">true</f>
        <v>1</v>
      </c>
      <c r="E1005" s="8" t="s">
        <v>898</v>
      </c>
    </row>
    <row r="1006" ht="15.75" customHeight="1">
      <c r="A1006" s="11" t="s">
        <v>980</v>
      </c>
      <c r="B1006" s="12">
        <v>400.0</v>
      </c>
      <c r="C1006" s="12">
        <v>1300.0</v>
      </c>
      <c r="D1006" s="11" t="b">
        <f t="shared" si="232"/>
        <v>1</v>
      </c>
      <c r="E1006" s="8" t="s">
        <v>898</v>
      </c>
    </row>
    <row r="1007" ht="15.75" customHeight="1">
      <c r="A1007" s="11" t="s">
        <v>981</v>
      </c>
      <c r="B1007" s="12">
        <v>280.0</v>
      </c>
      <c r="C1007" s="12">
        <v>1000.0</v>
      </c>
      <c r="D1007" s="11" t="b">
        <f t="shared" si="232"/>
        <v>1</v>
      </c>
      <c r="E1007" s="8" t="s">
        <v>898</v>
      </c>
    </row>
    <row r="1008" ht="15.75" customHeight="1">
      <c r="A1008" s="11" t="s">
        <v>982</v>
      </c>
      <c r="B1008" s="12">
        <v>850.0</v>
      </c>
      <c r="C1008" s="12">
        <v>2200.0</v>
      </c>
      <c r="D1008" s="11" t="b">
        <f t="shared" si="232"/>
        <v>1</v>
      </c>
      <c r="E1008" s="8" t="s">
        <v>898</v>
      </c>
    </row>
    <row r="1009" ht="15.75" customHeight="1">
      <c r="A1009" s="11" t="s">
        <v>983</v>
      </c>
      <c r="B1009" s="12">
        <v>850.0</v>
      </c>
      <c r="C1009" s="12">
        <v>2500.0</v>
      </c>
      <c r="D1009" s="11" t="b">
        <f t="shared" si="232"/>
        <v>1</v>
      </c>
      <c r="E1009" s="8" t="s">
        <v>898</v>
      </c>
    </row>
    <row r="1010" ht="15.75" customHeight="1">
      <c r="A1010" s="5" t="s">
        <v>984</v>
      </c>
      <c r="B1010" s="6">
        <v>800.0</v>
      </c>
      <c r="C1010" s="6">
        <v>1500.0</v>
      </c>
      <c r="D1010" s="11" t="b">
        <f t="shared" si="232"/>
        <v>1</v>
      </c>
      <c r="E1010" s="8" t="s">
        <v>898</v>
      </c>
    </row>
    <row r="1011" ht="15.75" customHeight="1">
      <c r="A1011" s="5" t="s">
        <v>985</v>
      </c>
      <c r="B1011" s="6">
        <v>750.0</v>
      </c>
      <c r="C1011" s="6">
        <v>1500.0</v>
      </c>
      <c r="D1011" s="11" t="b">
        <f t="shared" si="232"/>
        <v>1</v>
      </c>
      <c r="E1011" s="8" t="s">
        <v>898</v>
      </c>
    </row>
    <row r="1012" ht="15.75" customHeight="1">
      <c r="A1012" s="5" t="s">
        <v>986</v>
      </c>
      <c r="B1012" s="6">
        <v>1000.0</v>
      </c>
      <c r="C1012" s="6">
        <v>2000.0</v>
      </c>
      <c r="D1012" s="11" t="b">
        <f t="shared" si="232"/>
        <v>1</v>
      </c>
      <c r="E1012" s="8" t="s">
        <v>898</v>
      </c>
    </row>
    <row r="1013" ht="15.75" customHeight="1">
      <c r="A1013" s="9" t="s">
        <v>987</v>
      </c>
      <c r="B1013" s="10">
        <v>1000.0</v>
      </c>
      <c r="C1013" s="10">
        <v>2000.0</v>
      </c>
      <c r="D1013" s="9" t="b">
        <f>false</f>
        <v>0</v>
      </c>
      <c r="E1013" s="8" t="s">
        <v>898</v>
      </c>
    </row>
    <row r="1014" ht="15.75" customHeight="1">
      <c r="A1014" s="7" t="s">
        <v>988</v>
      </c>
      <c r="B1014" s="6">
        <v>690.0</v>
      </c>
      <c r="C1014" s="6">
        <v>1000.0</v>
      </c>
      <c r="D1014" s="11" t="b">
        <f t="shared" ref="D1014:D1022" si="233">true</f>
        <v>1</v>
      </c>
      <c r="E1014" s="8" t="s">
        <v>898</v>
      </c>
    </row>
    <row r="1015" ht="15.75" customHeight="1">
      <c r="A1015" s="7" t="s">
        <v>989</v>
      </c>
      <c r="B1015" s="6">
        <v>690.0</v>
      </c>
      <c r="C1015" s="6">
        <v>1000.0</v>
      </c>
      <c r="D1015" s="11" t="b">
        <f t="shared" si="233"/>
        <v>1</v>
      </c>
      <c r="E1015" s="8" t="s">
        <v>898</v>
      </c>
    </row>
    <row r="1016" ht="15.75" customHeight="1">
      <c r="A1016" s="5" t="s">
        <v>990</v>
      </c>
      <c r="B1016" s="6">
        <v>300.0</v>
      </c>
      <c r="C1016" s="6">
        <v>1000.0</v>
      </c>
      <c r="D1016" s="11" t="b">
        <f t="shared" si="233"/>
        <v>1</v>
      </c>
      <c r="E1016" s="8" t="s">
        <v>898</v>
      </c>
    </row>
    <row r="1017" ht="15.75" customHeight="1">
      <c r="A1017" s="5" t="s">
        <v>991</v>
      </c>
      <c r="B1017" s="6">
        <v>500.0</v>
      </c>
      <c r="C1017" s="6">
        <v>1300.0</v>
      </c>
      <c r="D1017" s="11" t="b">
        <f t="shared" si="233"/>
        <v>1</v>
      </c>
      <c r="E1017" s="8" t="s">
        <v>898</v>
      </c>
    </row>
    <row r="1018" ht="15.75" customHeight="1">
      <c r="A1018" s="5" t="s">
        <v>992</v>
      </c>
      <c r="B1018" s="6">
        <v>750.0</v>
      </c>
      <c r="C1018" s="6">
        <v>1600.0</v>
      </c>
      <c r="D1018" s="11" t="b">
        <f t="shared" si="233"/>
        <v>1</v>
      </c>
      <c r="E1018" s="8" t="s">
        <v>898</v>
      </c>
    </row>
    <row r="1019" ht="15.75" customHeight="1">
      <c r="A1019" s="5" t="s">
        <v>993</v>
      </c>
      <c r="B1019" s="6">
        <v>300.0</v>
      </c>
      <c r="C1019" s="6">
        <v>1000.0</v>
      </c>
      <c r="D1019" s="11" t="b">
        <f t="shared" si="233"/>
        <v>1</v>
      </c>
      <c r="E1019" s="8" t="s">
        <v>898</v>
      </c>
    </row>
    <row r="1020" ht="15.75" customHeight="1">
      <c r="A1020" s="5" t="s">
        <v>994</v>
      </c>
      <c r="B1020" s="6">
        <v>300.0</v>
      </c>
      <c r="C1020" s="6">
        <v>1000.0</v>
      </c>
      <c r="D1020" s="11" t="b">
        <f t="shared" si="233"/>
        <v>1</v>
      </c>
      <c r="E1020" s="8" t="s">
        <v>898</v>
      </c>
    </row>
    <row r="1021" ht="15.75" customHeight="1">
      <c r="A1021" s="5" t="s">
        <v>995</v>
      </c>
      <c r="B1021" s="6">
        <v>600.0</v>
      </c>
      <c r="C1021" s="6">
        <v>1200.0</v>
      </c>
      <c r="D1021" s="11" t="b">
        <f t="shared" si="233"/>
        <v>1</v>
      </c>
      <c r="E1021" s="8" t="s">
        <v>898</v>
      </c>
    </row>
    <row r="1022" ht="15.75" customHeight="1">
      <c r="A1022" s="5" t="s">
        <v>996</v>
      </c>
      <c r="B1022" s="6">
        <v>1350.0</v>
      </c>
      <c r="C1022" s="6">
        <v>2500.0</v>
      </c>
      <c r="D1022" s="11" t="b">
        <f t="shared" si="233"/>
        <v>1</v>
      </c>
      <c r="E1022" s="8" t="s">
        <v>898</v>
      </c>
    </row>
    <row r="1023" ht="15.75" customHeight="1">
      <c r="A1023" s="9" t="s">
        <v>997</v>
      </c>
      <c r="B1023" s="10">
        <v>750.0</v>
      </c>
      <c r="C1023" s="10">
        <v>1000.0</v>
      </c>
      <c r="D1023" s="9" t="b">
        <f>false</f>
        <v>0</v>
      </c>
      <c r="E1023" s="8" t="s">
        <v>898</v>
      </c>
    </row>
    <row r="1024" ht="15.75" customHeight="1">
      <c r="A1024" s="5" t="s">
        <v>998</v>
      </c>
      <c r="B1024" s="6">
        <v>500.0</v>
      </c>
      <c r="C1024" s="6">
        <v>1200.0</v>
      </c>
      <c r="D1024" s="11" t="b">
        <f t="shared" ref="D1024:D1027" si="234">true</f>
        <v>1</v>
      </c>
      <c r="E1024" s="8" t="s">
        <v>898</v>
      </c>
    </row>
    <row r="1025" ht="15.75" customHeight="1">
      <c r="A1025" s="7" t="s">
        <v>999</v>
      </c>
      <c r="B1025" s="6">
        <v>460.0</v>
      </c>
      <c r="C1025" s="6">
        <v>900.0</v>
      </c>
      <c r="D1025" s="11" t="b">
        <f t="shared" si="234"/>
        <v>1</v>
      </c>
      <c r="E1025" s="8" t="s">
        <v>898</v>
      </c>
    </row>
    <row r="1026" ht="15.75" customHeight="1">
      <c r="A1026" s="7" t="s">
        <v>1000</v>
      </c>
      <c r="B1026" s="6">
        <v>350.0</v>
      </c>
      <c r="C1026" s="6">
        <v>1000.0</v>
      </c>
      <c r="D1026" s="11" t="b">
        <f t="shared" si="234"/>
        <v>1</v>
      </c>
      <c r="E1026" s="8" t="s">
        <v>898</v>
      </c>
    </row>
    <row r="1027" ht="15.75" customHeight="1">
      <c r="A1027" s="5" t="s">
        <v>1001</v>
      </c>
      <c r="B1027" s="6">
        <v>1300.0</v>
      </c>
      <c r="C1027" s="6">
        <v>2000.0</v>
      </c>
      <c r="D1027" s="11" t="b">
        <f t="shared" si="234"/>
        <v>1</v>
      </c>
      <c r="E1027" s="8" t="s">
        <v>898</v>
      </c>
    </row>
    <row r="1028" ht="15.75" customHeight="1">
      <c r="A1028" s="9" t="s">
        <v>1002</v>
      </c>
      <c r="B1028" s="10">
        <v>5000.0</v>
      </c>
      <c r="C1028" s="10">
        <v>7000.0</v>
      </c>
      <c r="D1028" s="9" t="b">
        <f>false</f>
        <v>0</v>
      </c>
      <c r="E1028" s="8" t="s">
        <v>898</v>
      </c>
    </row>
    <row r="1029" ht="15.75" customHeight="1">
      <c r="A1029" s="5" t="s">
        <v>1003</v>
      </c>
      <c r="B1029" s="6">
        <v>500.0</v>
      </c>
      <c r="C1029" s="6">
        <v>700.0</v>
      </c>
      <c r="D1029" s="11" t="b">
        <f t="shared" ref="D1029:D1031" si="235">true</f>
        <v>1</v>
      </c>
      <c r="E1029" s="8" t="s">
        <v>898</v>
      </c>
    </row>
    <row r="1030" ht="15.75" customHeight="1">
      <c r="A1030" s="5" t="s">
        <v>1004</v>
      </c>
      <c r="B1030" s="6">
        <v>1000.0</v>
      </c>
      <c r="C1030" s="6">
        <v>1500.0</v>
      </c>
      <c r="D1030" s="11" t="b">
        <f t="shared" si="235"/>
        <v>1</v>
      </c>
      <c r="E1030" s="8" t="s">
        <v>898</v>
      </c>
    </row>
    <row r="1031" ht="15.75" customHeight="1">
      <c r="A1031" s="5" t="s">
        <v>1005</v>
      </c>
      <c r="B1031" s="6">
        <v>500.0</v>
      </c>
      <c r="C1031" s="6">
        <v>1500.0</v>
      </c>
      <c r="D1031" s="11" t="b">
        <f t="shared" si="235"/>
        <v>1</v>
      </c>
      <c r="E1031" s="8" t="s">
        <v>898</v>
      </c>
    </row>
    <row r="1032" ht="15.75" customHeight="1">
      <c r="A1032" s="9" t="s">
        <v>1006</v>
      </c>
      <c r="B1032" s="10">
        <v>700.0</v>
      </c>
      <c r="C1032" s="10">
        <v>1500.0</v>
      </c>
      <c r="D1032" s="9" t="b">
        <f>false</f>
        <v>0</v>
      </c>
      <c r="E1032" s="8" t="s">
        <v>898</v>
      </c>
    </row>
    <row r="1033" ht="15.75" customHeight="1">
      <c r="A1033" s="5" t="s">
        <v>1007</v>
      </c>
      <c r="B1033" s="6">
        <v>187.0</v>
      </c>
      <c r="C1033" s="6">
        <v>350.0</v>
      </c>
      <c r="D1033" s="11" t="b">
        <f t="shared" ref="D1033:D1034" si="236">true</f>
        <v>1</v>
      </c>
      <c r="E1033" s="8" t="s">
        <v>898</v>
      </c>
    </row>
    <row r="1034" ht="15.75" customHeight="1">
      <c r="A1034" s="5" t="s">
        <v>1008</v>
      </c>
      <c r="B1034" s="6">
        <v>417.0</v>
      </c>
      <c r="C1034" s="6">
        <v>550.0</v>
      </c>
      <c r="D1034" s="11" t="b">
        <f t="shared" si="236"/>
        <v>1</v>
      </c>
      <c r="E1034" s="8" t="s">
        <v>898</v>
      </c>
    </row>
    <row r="1035" ht="15.75" customHeight="1">
      <c r="A1035" s="9" t="s">
        <v>1009</v>
      </c>
      <c r="B1035" s="10">
        <v>589.0</v>
      </c>
      <c r="C1035" s="10">
        <v>700.0</v>
      </c>
      <c r="D1035" s="9" t="b">
        <f>false</f>
        <v>0</v>
      </c>
      <c r="E1035" s="8" t="s">
        <v>898</v>
      </c>
    </row>
    <row r="1036" ht="15.75" customHeight="1">
      <c r="A1036" s="11" t="s">
        <v>1010</v>
      </c>
      <c r="B1036" s="12">
        <v>420.0</v>
      </c>
      <c r="C1036" s="12">
        <v>750.0</v>
      </c>
      <c r="D1036" s="11" t="b">
        <f t="shared" ref="D1036:D1037" si="237">true</f>
        <v>1</v>
      </c>
      <c r="E1036" s="8" t="s">
        <v>898</v>
      </c>
    </row>
    <row r="1037" ht="15.75" customHeight="1">
      <c r="A1037" s="5" t="s">
        <v>1011</v>
      </c>
      <c r="B1037" s="12">
        <v>265.0</v>
      </c>
      <c r="C1037" s="12">
        <v>600.0</v>
      </c>
      <c r="D1037" s="11" t="b">
        <f t="shared" si="237"/>
        <v>1</v>
      </c>
      <c r="E1037" s="8" t="s">
        <v>898</v>
      </c>
    </row>
    <row r="1038" ht="15.75" customHeight="1">
      <c r="A1038" s="9" t="s">
        <v>1012</v>
      </c>
      <c r="B1038" s="10">
        <v>749.0</v>
      </c>
      <c r="C1038" s="10">
        <v>1000.0</v>
      </c>
      <c r="D1038" s="9" t="b">
        <f t="shared" ref="D1038:D1040" si="238">false</f>
        <v>0</v>
      </c>
      <c r="E1038" s="8" t="s">
        <v>898</v>
      </c>
    </row>
    <row r="1039" ht="15.75" customHeight="1">
      <c r="A1039" s="9" t="s">
        <v>1013</v>
      </c>
      <c r="B1039" s="10">
        <v>333.0</v>
      </c>
      <c r="C1039" s="10">
        <v>1200.0</v>
      </c>
      <c r="D1039" s="9" t="b">
        <f t="shared" si="238"/>
        <v>0</v>
      </c>
      <c r="E1039" s="8" t="s">
        <v>898</v>
      </c>
    </row>
    <row r="1040" ht="15.75" customHeight="1">
      <c r="A1040" s="9" t="s">
        <v>1014</v>
      </c>
      <c r="B1040" s="10">
        <v>719.0</v>
      </c>
      <c r="C1040" s="10">
        <v>1300.0</v>
      </c>
      <c r="D1040" s="9" t="b">
        <f t="shared" si="238"/>
        <v>0</v>
      </c>
      <c r="E1040" s="8" t="s">
        <v>898</v>
      </c>
    </row>
    <row r="1041" ht="15.75" customHeight="1">
      <c r="A1041" s="11" t="s">
        <v>1015</v>
      </c>
      <c r="B1041" s="12">
        <v>315.0</v>
      </c>
      <c r="C1041" s="12">
        <v>700.0</v>
      </c>
      <c r="D1041" s="11" t="b">
        <f t="shared" ref="D1041:D1045" si="239">true</f>
        <v>1</v>
      </c>
      <c r="E1041" s="8" t="s">
        <v>898</v>
      </c>
    </row>
    <row r="1042" ht="15.75" customHeight="1">
      <c r="A1042" s="5" t="s">
        <v>1016</v>
      </c>
      <c r="B1042" s="6">
        <v>275.0</v>
      </c>
      <c r="C1042" s="6">
        <v>800.0</v>
      </c>
      <c r="D1042" s="11" t="b">
        <f t="shared" si="239"/>
        <v>1</v>
      </c>
      <c r="E1042" s="8" t="s">
        <v>898</v>
      </c>
    </row>
    <row r="1043" ht="15.75" customHeight="1">
      <c r="A1043" s="5" t="s">
        <v>1017</v>
      </c>
      <c r="B1043" s="6">
        <v>320.0</v>
      </c>
      <c r="C1043" s="6">
        <v>900.0</v>
      </c>
      <c r="D1043" s="11" t="b">
        <f t="shared" si="239"/>
        <v>1</v>
      </c>
      <c r="E1043" s="8" t="s">
        <v>898</v>
      </c>
    </row>
    <row r="1044" ht="15.75" customHeight="1">
      <c r="A1044" s="5" t="s">
        <v>1018</v>
      </c>
      <c r="B1044" s="6">
        <v>355.0</v>
      </c>
      <c r="C1044" s="6">
        <v>1000.0</v>
      </c>
      <c r="D1044" s="11" t="b">
        <f t="shared" si="239"/>
        <v>1</v>
      </c>
      <c r="E1044" s="8" t="s">
        <v>898</v>
      </c>
    </row>
    <row r="1045" ht="15.75" customHeight="1">
      <c r="A1045" s="5" t="s">
        <v>1019</v>
      </c>
      <c r="B1045" s="6">
        <v>580.0</v>
      </c>
      <c r="C1045" s="6">
        <v>1200.0</v>
      </c>
      <c r="D1045" s="11" t="b">
        <f t="shared" si="239"/>
        <v>1</v>
      </c>
      <c r="E1045" s="8" t="s">
        <v>898</v>
      </c>
    </row>
    <row r="1046" ht="15.75" customHeight="1">
      <c r="A1046" s="9" t="s">
        <v>1020</v>
      </c>
      <c r="B1046" s="10">
        <v>1300.0</v>
      </c>
      <c r="C1046" s="10">
        <v>2000.0</v>
      </c>
      <c r="D1046" s="9" t="b">
        <f t="shared" ref="D1046:D1047" si="240">false</f>
        <v>0</v>
      </c>
      <c r="E1046" s="8" t="s">
        <v>898</v>
      </c>
    </row>
    <row r="1047" ht="15.75" customHeight="1">
      <c r="A1047" s="9" t="s">
        <v>1021</v>
      </c>
      <c r="B1047" s="10">
        <v>1000.0</v>
      </c>
      <c r="C1047" s="10">
        <v>2000.0</v>
      </c>
      <c r="D1047" s="9" t="b">
        <f t="shared" si="240"/>
        <v>0</v>
      </c>
      <c r="E1047" s="8" t="s">
        <v>898</v>
      </c>
    </row>
    <row r="1048" ht="15.75" customHeight="1">
      <c r="A1048" s="7" t="s">
        <v>1022</v>
      </c>
      <c r="B1048" s="6">
        <v>6000.0</v>
      </c>
      <c r="C1048" s="6">
        <v>8500.0</v>
      </c>
      <c r="D1048" s="11" t="b">
        <f t="shared" ref="D1048:D1053" si="241">true</f>
        <v>1</v>
      </c>
      <c r="E1048" s="8" t="s">
        <v>898</v>
      </c>
    </row>
    <row r="1049" ht="15.75" customHeight="1">
      <c r="A1049" s="11" t="s">
        <v>1023</v>
      </c>
      <c r="B1049" s="12">
        <v>2950.0</v>
      </c>
      <c r="C1049" s="12">
        <v>5500.0</v>
      </c>
      <c r="D1049" s="11" t="b">
        <f t="shared" si="241"/>
        <v>1</v>
      </c>
      <c r="E1049" s="8" t="s">
        <v>898</v>
      </c>
    </row>
    <row r="1050" ht="15.75" customHeight="1">
      <c r="A1050" s="11" t="s">
        <v>1024</v>
      </c>
      <c r="B1050" s="12">
        <v>2100.0</v>
      </c>
      <c r="C1050" s="12">
        <v>4000.0</v>
      </c>
      <c r="D1050" s="11" t="b">
        <f t="shared" si="241"/>
        <v>1</v>
      </c>
      <c r="E1050" s="8" t="s">
        <v>898</v>
      </c>
    </row>
    <row r="1051" ht="15.75" customHeight="1">
      <c r="A1051" s="5" t="s">
        <v>1025</v>
      </c>
      <c r="B1051" s="6">
        <v>60.0</v>
      </c>
      <c r="C1051" s="6">
        <v>150.0</v>
      </c>
      <c r="D1051" s="11" t="b">
        <f t="shared" si="241"/>
        <v>1</v>
      </c>
      <c r="E1051" s="8" t="s">
        <v>898</v>
      </c>
    </row>
    <row r="1052" ht="15.75" customHeight="1">
      <c r="A1052" s="5" t="s">
        <v>1026</v>
      </c>
      <c r="B1052" s="6">
        <v>121.0</v>
      </c>
      <c r="C1052" s="6">
        <v>250.0</v>
      </c>
      <c r="D1052" s="11" t="b">
        <f t="shared" si="241"/>
        <v>1</v>
      </c>
      <c r="E1052" s="8" t="s">
        <v>898</v>
      </c>
    </row>
    <row r="1053" ht="15.75" customHeight="1">
      <c r="A1053" s="5" t="s">
        <v>1027</v>
      </c>
      <c r="B1053" s="6">
        <v>500.0</v>
      </c>
      <c r="C1053" s="6">
        <v>1000.0</v>
      </c>
      <c r="D1053" s="11" t="b">
        <f t="shared" si="241"/>
        <v>1</v>
      </c>
      <c r="E1053" s="8" t="s">
        <v>898</v>
      </c>
    </row>
    <row r="1054" ht="15.75" customHeight="1">
      <c r="A1054" s="9" t="s">
        <v>1028</v>
      </c>
      <c r="B1054" s="10">
        <v>583.0</v>
      </c>
      <c r="C1054" s="10">
        <v>1000.0</v>
      </c>
      <c r="D1054" s="9" t="b">
        <f>false</f>
        <v>0</v>
      </c>
      <c r="E1054" s="8" t="s">
        <v>898</v>
      </c>
    </row>
    <row r="1055" ht="15.75" customHeight="1">
      <c r="A1055" s="5" t="s">
        <v>1029</v>
      </c>
      <c r="B1055" s="6">
        <v>160.0</v>
      </c>
      <c r="C1055" s="6">
        <v>300.0</v>
      </c>
      <c r="D1055" s="11" t="b">
        <f>true</f>
        <v>1</v>
      </c>
      <c r="E1055" s="8" t="s">
        <v>898</v>
      </c>
    </row>
    <row r="1056" ht="15.75" customHeight="1">
      <c r="A1056" s="9" t="s">
        <v>1030</v>
      </c>
      <c r="B1056" s="10">
        <v>167.0</v>
      </c>
      <c r="C1056" s="10">
        <v>500.0</v>
      </c>
      <c r="D1056" s="9" t="b">
        <f t="shared" ref="D1056:D1057" si="242">false</f>
        <v>0</v>
      </c>
      <c r="E1056" s="8" t="s">
        <v>898</v>
      </c>
    </row>
    <row r="1057" ht="15.75" customHeight="1">
      <c r="A1057" s="9" t="s">
        <v>1030</v>
      </c>
      <c r="B1057" s="10">
        <v>125.0</v>
      </c>
      <c r="C1057" s="10">
        <v>500.0</v>
      </c>
      <c r="D1057" s="9" t="b">
        <f t="shared" si="242"/>
        <v>0</v>
      </c>
      <c r="E1057" s="8" t="s">
        <v>898</v>
      </c>
    </row>
    <row r="1058" ht="15.75" customHeight="1">
      <c r="A1058" s="5" t="s">
        <v>1031</v>
      </c>
      <c r="B1058" s="6">
        <v>200.0</v>
      </c>
      <c r="C1058" s="6">
        <v>500.0</v>
      </c>
      <c r="D1058" s="11" t="b">
        <f t="shared" ref="D1058:D1060" si="243">true</f>
        <v>1</v>
      </c>
      <c r="E1058" s="8" t="s">
        <v>898</v>
      </c>
    </row>
    <row r="1059" ht="15.75" customHeight="1">
      <c r="A1059" s="5" t="s">
        <v>1032</v>
      </c>
      <c r="B1059" s="6">
        <v>1000.0</v>
      </c>
      <c r="C1059" s="6">
        <v>2000.0</v>
      </c>
      <c r="D1059" s="11" t="b">
        <f t="shared" si="243"/>
        <v>1</v>
      </c>
      <c r="E1059" s="8" t="s">
        <v>898</v>
      </c>
    </row>
    <row r="1060" ht="15.75" customHeight="1">
      <c r="A1060" s="7" t="s">
        <v>1033</v>
      </c>
      <c r="B1060" s="6">
        <v>6000.0</v>
      </c>
      <c r="C1060" s="6">
        <v>10000.0</v>
      </c>
      <c r="D1060" s="11" t="b">
        <f t="shared" si="243"/>
        <v>1</v>
      </c>
      <c r="E1060" s="8" t="s">
        <v>898</v>
      </c>
    </row>
    <row r="1061" ht="15.75" customHeight="1">
      <c r="A1061" s="9" t="s">
        <v>1034</v>
      </c>
      <c r="B1061" s="10">
        <v>5000.0</v>
      </c>
      <c r="C1061" s="10">
        <v>5000.0</v>
      </c>
      <c r="D1061" s="9" t="b">
        <f>false</f>
        <v>0</v>
      </c>
      <c r="E1061" s="8" t="s">
        <v>898</v>
      </c>
    </row>
    <row r="1062" ht="15.75" customHeight="1">
      <c r="A1062" s="7" t="s">
        <v>1035</v>
      </c>
      <c r="B1062" s="6">
        <v>1000.0</v>
      </c>
      <c r="C1062" s="6">
        <v>2000.0</v>
      </c>
      <c r="D1062" s="11" t="b">
        <f t="shared" ref="D1062:D1064" si="244">true</f>
        <v>1</v>
      </c>
      <c r="E1062" s="8" t="s">
        <v>898</v>
      </c>
    </row>
    <row r="1063" ht="15.75" customHeight="1">
      <c r="A1063" s="5" t="s">
        <v>1036</v>
      </c>
      <c r="B1063" s="6">
        <v>400.0</v>
      </c>
      <c r="C1063" s="6">
        <v>1000.0</v>
      </c>
      <c r="D1063" s="11" t="b">
        <f t="shared" si="244"/>
        <v>1</v>
      </c>
      <c r="E1063" s="8" t="s">
        <v>898</v>
      </c>
    </row>
    <row r="1064" ht="15.75" customHeight="1">
      <c r="A1064" s="5" t="s">
        <v>1037</v>
      </c>
      <c r="B1064" s="6">
        <v>1000.0</v>
      </c>
      <c r="C1064" s="6">
        <v>2000.0</v>
      </c>
      <c r="D1064" s="11" t="b">
        <f t="shared" si="244"/>
        <v>1</v>
      </c>
      <c r="E1064" s="8" t="s">
        <v>898</v>
      </c>
    </row>
    <row r="1065" ht="15.75" customHeight="1">
      <c r="A1065" s="9" t="s">
        <v>1038</v>
      </c>
      <c r="B1065" s="10">
        <v>3000.0</v>
      </c>
      <c r="C1065" s="10">
        <v>5200.0</v>
      </c>
      <c r="D1065" s="9" t="b">
        <f t="shared" ref="D1065:D1068" si="245">false</f>
        <v>0</v>
      </c>
      <c r="E1065" s="8" t="s">
        <v>898</v>
      </c>
    </row>
    <row r="1066" ht="15.75" customHeight="1">
      <c r="A1066" s="9" t="s">
        <v>1039</v>
      </c>
      <c r="B1066" s="10">
        <v>1000.0</v>
      </c>
      <c r="C1066" s="10">
        <v>2500.0</v>
      </c>
      <c r="D1066" s="9" t="b">
        <f t="shared" si="245"/>
        <v>0</v>
      </c>
      <c r="E1066" s="8" t="s">
        <v>898</v>
      </c>
    </row>
    <row r="1067" ht="15.75" customHeight="1">
      <c r="A1067" s="9" t="s">
        <v>1040</v>
      </c>
      <c r="B1067" s="10">
        <v>1500.0</v>
      </c>
      <c r="C1067" s="10">
        <v>2800.0</v>
      </c>
      <c r="D1067" s="9" t="b">
        <f t="shared" si="245"/>
        <v>0</v>
      </c>
      <c r="E1067" s="8" t="s">
        <v>898</v>
      </c>
    </row>
    <row r="1068" ht="15.75" customHeight="1">
      <c r="A1068" s="9" t="s">
        <v>1041</v>
      </c>
      <c r="B1068" s="10">
        <v>2000.0</v>
      </c>
      <c r="C1068" s="10">
        <v>3500.0</v>
      </c>
      <c r="D1068" s="9" t="b">
        <f t="shared" si="245"/>
        <v>0</v>
      </c>
      <c r="E1068" s="8" t="s">
        <v>898</v>
      </c>
    </row>
    <row r="1069" ht="15.75" customHeight="1">
      <c r="A1069" s="5" t="s">
        <v>1042</v>
      </c>
      <c r="B1069" s="6">
        <v>2500.0</v>
      </c>
      <c r="C1069" s="6">
        <v>4000.0</v>
      </c>
      <c r="D1069" s="11" t="b">
        <f>true</f>
        <v>1</v>
      </c>
      <c r="E1069" s="8" t="s">
        <v>898</v>
      </c>
    </row>
    <row r="1070" ht="15.75" customHeight="1">
      <c r="A1070" s="9" t="s">
        <v>1043</v>
      </c>
      <c r="B1070" s="10">
        <v>2000.0</v>
      </c>
      <c r="C1070" s="10">
        <v>3500.0</v>
      </c>
      <c r="D1070" s="9" t="b">
        <f>false</f>
        <v>0</v>
      </c>
      <c r="E1070" s="8" t="s">
        <v>898</v>
      </c>
    </row>
    <row r="1071" ht="15.75" customHeight="1">
      <c r="A1071" s="11" t="s">
        <v>1044</v>
      </c>
      <c r="B1071" s="12">
        <v>2500.0</v>
      </c>
      <c r="C1071" s="12">
        <v>3500.0</v>
      </c>
      <c r="D1071" s="11" t="b">
        <f t="shared" ref="D1071:D1073" si="246">true</f>
        <v>1</v>
      </c>
      <c r="E1071" s="8" t="s">
        <v>898</v>
      </c>
    </row>
    <row r="1072" ht="15.75" customHeight="1">
      <c r="A1072" s="5" t="s">
        <v>1045</v>
      </c>
      <c r="B1072" s="6">
        <v>1000.0</v>
      </c>
      <c r="C1072" s="6">
        <v>2500.0</v>
      </c>
      <c r="D1072" s="11" t="b">
        <f t="shared" si="246"/>
        <v>1</v>
      </c>
      <c r="E1072" s="8" t="s">
        <v>898</v>
      </c>
    </row>
    <row r="1073" ht="15.75" customHeight="1">
      <c r="A1073" s="5" t="s">
        <v>1046</v>
      </c>
      <c r="B1073" s="6">
        <v>380.0</v>
      </c>
      <c r="C1073" s="6">
        <v>1500.0</v>
      </c>
      <c r="D1073" s="11" t="b">
        <f t="shared" si="246"/>
        <v>1</v>
      </c>
      <c r="E1073" s="8" t="s">
        <v>898</v>
      </c>
    </row>
    <row r="1074" ht="15.75" customHeight="1">
      <c r="A1074" s="9" t="s">
        <v>1047</v>
      </c>
      <c r="B1074" s="10">
        <v>1300.0</v>
      </c>
      <c r="C1074" s="10">
        <v>2000.0</v>
      </c>
      <c r="D1074" s="9" t="b">
        <f>false</f>
        <v>0</v>
      </c>
      <c r="E1074" s="8" t="s">
        <v>898</v>
      </c>
    </row>
    <row r="1075" ht="15.75" customHeight="1">
      <c r="A1075" s="5" t="s">
        <v>1048</v>
      </c>
      <c r="B1075" s="6">
        <v>1084.0</v>
      </c>
      <c r="C1075" s="6">
        <v>1500.0</v>
      </c>
      <c r="D1075" s="11" t="b">
        <f t="shared" ref="D1075:D1080" si="247">true</f>
        <v>1</v>
      </c>
      <c r="E1075" s="8" t="s">
        <v>898</v>
      </c>
    </row>
    <row r="1076" ht="15.75" customHeight="1">
      <c r="A1076" s="5" t="s">
        <v>1049</v>
      </c>
      <c r="B1076" s="6">
        <v>541.66</v>
      </c>
      <c r="C1076" s="6">
        <v>1200.0</v>
      </c>
      <c r="D1076" s="11" t="b">
        <f t="shared" si="247"/>
        <v>1</v>
      </c>
      <c r="E1076" s="8" t="s">
        <v>898</v>
      </c>
    </row>
    <row r="1077" ht="15.75" customHeight="1">
      <c r="A1077" s="5" t="s">
        <v>1050</v>
      </c>
      <c r="B1077" s="6">
        <v>1350.0</v>
      </c>
      <c r="C1077" s="6">
        <v>3000.0</v>
      </c>
      <c r="D1077" s="11" t="b">
        <f t="shared" si="247"/>
        <v>1</v>
      </c>
      <c r="E1077" s="8" t="s">
        <v>898</v>
      </c>
    </row>
    <row r="1078" ht="15.75" customHeight="1">
      <c r="A1078" s="5" t="s">
        <v>1051</v>
      </c>
      <c r="B1078" s="6">
        <v>265.0</v>
      </c>
      <c r="C1078" s="6">
        <v>1000.0</v>
      </c>
      <c r="D1078" s="11" t="b">
        <f t="shared" si="247"/>
        <v>1</v>
      </c>
      <c r="E1078" s="8" t="s">
        <v>898</v>
      </c>
    </row>
    <row r="1079" ht="15.75" customHeight="1">
      <c r="A1079" s="5" t="s">
        <v>1052</v>
      </c>
      <c r="B1079" s="6">
        <v>2990.0</v>
      </c>
      <c r="C1079" s="6">
        <v>4500.0</v>
      </c>
      <c r="D1079" s="11" t="b">
        <f t="shared" si="247"/>
        <v>1</v>
      </c>
      <c r="E1079" s="8" t="s">
        <v>898</v>
      </c>
    </row>
    <row r="1080" ht="15.75" customHeight="1">
      <c r="A1080" s="5" t="s">
        <v>1053</v>
      </c>
      <c r="B1080" s="6">
        <v>6000.0</v>
      </c>
      <c r="C1080" s="6">
        <v>9000.0</v>
      </c>
      <c r="D1080" s="11" t="b">
        <f t="shared" si="247"/>
        <v>1</v>
      </c>
      <c r="E1080" s="8" t="s">
        <v>898</v>
      </c>
    </row>
    <row r="1081" ht="15.75" customHeight="1">
      <c r="A1081" s="9" t="s">
        <v>1054</v>
      </c>
      <c r="B1081" s="10">
        <v>290.0</v>
      </c>
      <c r="C1081" s="10">
        <v>450.0</v>
      </c>
      <c r="D1081" s="9" t="b">
        <f>false</f>
        <v>0</v>
      </c>
      <c r="E1081" s="8" t="s">
        <v>898</v>
      </c>
    </row>
    <row r="1082" ht="15.75" customHeight="1">
      <c r="A1082" s="7" t="s">
        <v>1055</v>
      </c>
      <c r="B1082" s="6">
        <v>2828.0</v>
      </c>
      <c r="C1082" s="6">
        <v>4000.0</v>
      </c>
      <c r="D1082" s="11" t="b">
        <f t="shared" ref="D1082:D1084" si="248">true</f>
        <v>1</v>
      </c>
      <c r="E1082" s="8" t="s">
        <v>898</v>
      </c>
    </row>
    <row r="1083" ht="15.75" customHeight="1">
      <c r="A1083" s="5" t="s">
        <v>1056</v>
      </c>
      <c r="B1083" s="6">
        <v>28.0</v>
      </c>
      <c r="C1083" s="6">
        <v>100.0</v>
      </c>
      <c r="D1083" s="11" t="b">
        <f t="shared" si="248"/>
        <v>1</v>
      </c>
      <c r="E1083" s="8" t="s">
        <v>898</v>
      </c>
    </row>
    <row r="1084" ht="15.75" customHeight="1">
      <c r="A1084" s="5" t="s">
        <v>1057</v>
      </c>
      <c r="B1084" s="6">
        <v>56.0</v>
      </c>
      <c r="C1084" s="6">
        <v>200.0</v>
      </c>
      <c r="D1084" s="11" t="b">
        <f t="shared" si="248"/>
        <v>1</v>
      </c>
      <c r="E1084" s="8" t="s">
        <v>898</v>
      </c>
    </row>
    <row r="1085" ht="15.75" customHeight="1">
      <c r="A1085" s="9" t="s">
        <v>1058</v>
      </c>
      <c r="B1085" s="10">
        <v>600.0</v>
      </c>
      <c r="C1085" s="10">
        <v>900.0</v>
      </c>
      <c r="D1085" s="9" t="b">
        <f>false</f>
        <v>0</v>
      </c>
      <c r="E1085" s="8" t="s">
        <v>898</v>
      </c>
    </row>
    <row r="1086" ht="15.75" customHeight="1">
      <c r="A1086" s="11" t="s">
        <v>1059</v>
      </c>
      <c r="B1086" s="12">
        <v>500.0</v>
      </c>
      <c r="C1086" s="12">
        <v>1300.0</v>
      </c>
      <c r="D1086" s="11" t="b">
        <f t="shared" ref="D1086:D1089" si="249">true</f>
        <v>1</v>
      </c>
      <c r="E1086" s="8" t="s">
        <v>898</v>
      </c>
    </row>
    <row r="1087" ht="15.75" customHeight="1">
      <c r="A1087" s="11" t="s">
        <v>1060</v>
      </c>
      <c r="B1087" s="12">
        <v>640.0</v>
      </c>
      <c r="C1087" s="12">
        <v>1600.0</v>
      </c>
      <c r="D1087" s="11" t="b">
        <f t="shared" si="249"/>
        <v>1</v>
      </c>
      <c r="E1087" s="8" t="s">
        <v>898</v>
      </c>
    </row>
    <row r="1088" ht="15.75" customHeight="1">
      <c r="A1088" s="5" t="s">
        <v>1061</v>
      </c>
      <c r="B1088" s="6">
        <v>1300.0</v>
      </c>
      <c r="C1088" s="6">
        <v>2500.0</v>
      </c>
      <c r="D1088" s="11" t="b">
        <f t="shared" si="249"/>
        <v>1</v>
      </c>
      <c r="E1088" s="8" t="s">
        <v>898</v>
      </c>
    </row>
    <row r="1089" ht="15.75" customHeight="1">
      <c r="A1089" s="5" t="s">
        <v>1062</v>
      </c>
      <c r="B1089" s="6">
        <v>500.0</v>
      </c>
      <c r="C1089" s="6">
        <v>1500.0</v>
      </c>
      <c r="D1089" s="11" t="b">
        <f t="shared" si="249"/>
        <v>1</v>
      </c>
      <c r="E1089" s="8" t="s">
        <v>898</v>
      </c>
    </row>
    <row r="1090" ht="15.75" customHeight="1">
      <c r="A1090" s="9" t="s">
        <v>1063</v>
      </c>
      <c r="B1090" s="10">
        <v>200.0</v>
      </c>
      <c r="C1090" s="10">
        <v>1500.0</v>
      </c>
      <c r="D1090" s="9" t="b">
        <f>false</f>
        <v>0</v>
      </c>
      <c r="E1090" s="8" t="s">
        <v>898</v>
      </c>
    </row>
    <row r="1091" ht="15.75" customHeight="1">
      <c r="A1091" s="5" t="s">
        <v>1064</v>
      </c>
      <c r="B1091" s="6">
        <v>600.0</v>
      </c>
      <c r="C1091" s="6">
        <v>900.0</v>
      </c>
      <c r="D1091" s="11" t="b">
        <f t="shared" ref="D1091:D1092" si="250">true</f>
        <v>1</v>
      </c>
      <c r="E1091" s="8" t="s">
        <v>898</v>
      </c>
    </row>
    <row r="1092" ht="15.75" customHeight="1">
      <c r="A1092" s="5" t="s">
        <v>1065</v>
      </c>
      <c r="B1092" s="6">
        <v>550.0</v>
      </c>
      <c r="C1092" s="6">
        <v>900.0</v>
      </c>
      <c r="D1092" s="11" t="b">
        <f t="shared" si="250"/>
        <v>1</v>
      </c>
      <c r="E1092" s="8" t="s">
        <v>898</v>
      </c>
    </row>
    <row r="1093" ht="15.75" customHeight="1">
      <c r="A1093" s="9" t="s">
        <v>1066</v>
      </c>
      <c r="B1093" s="10">
        <v>550.0</v>
      </c>
      <c r="C1093" s="10">
        <v>800.0</v>
      </c>
      <c r="D1093" s="9" t="b">
        <f t="shared" ref="D1093:D1094" si="251">false</f>
        <v>0</v>
      </c>
      <c r="E1093" s="8" t="s">
        <v>898</v>
      </c>
    </row>
    <row r="1094" ht="15.75" customHeight="1">
      <c r="A1094" s="9" t="s">
        <v>1066</v>
      </c>
      <c r="B1094" s="10">
        <v>400.0</v>
      </c>
      <c r="C1094" s="10">
        <v>800.0</v>
      </c>
      <c r="D1094" s="9" t="b">
        <f t="shared" si="251"/>
        <v>0</v>
      </c>
      <c r="E1094" s="8" t="s">
        <v>898</v>
      </c>
    </row>
    <row r="1095" ht="15.75" customHeight="1">
      <c r="A1095" s="7" t="s">
        <v>1066</v>
      </c>
      <c r="B1095" s="6">
        <v>500.0</v>
      </c>
      <c r="C1095" s="6">
        <v>800.0</v>
      </c>
      <c r="D1095" s="11" t="b">
        <f t="shared" ref="D1095:D1097" si="252">true</f>
        <v>1</v>
      </c>
      <c r="E1095" s="8" t="s">
        <v>898</v>
      </c>
    </row>
    <row r="1096" ht="15.75" customHeight="1">
      <c r="A1096" s="5" t="s">
        <v>1067</v>
      </c>
      <c r="B1096" s="6">
        <v>300.0</v>
      </c>
      <c r="C1096" s="6">
        <v>800.0</v>
      </c>
      <c r="D1096" s="11" t="b">
        <f t="shared" si="252"/>
        <v>1</v>
      </c>
      <c r="E1096" s="8" t="s">
        <v>898</v>
      </c>
    </row>
    <row r="1097" ht="15.75" customHeight="1">
      <c r="A1097" s="5" t="s">
        <v>1068</v>
      </c>
      <c r="B1097" s="6">
        <v>250.0</v>
      </c>
      <c r="C1097" s="6">
        <v>800.0</v>
      </c>
      <c r="D1097" s="11" t="b">
        <f t="shared" si="252"/>
        <v>1</v>
      </c>
      <c r="E1097" s="8" t="s">
        <v>898</v>
      </c>
    </row>
    <row r="1098" ht="15.75" customHeight="1">
      <c r="A1098" s="9" t="s">
        <v>1069</v>
      </c>
      <c r="B1098" s="10">
        <v>550.0</v>
      </c>
      <c r="C1098" s="10">
        <v>800.0</v>
      </c>
      <c r="D1098" s="9" t="b">
        <f t="shared" ref="D1098:D1104" si="253">false</f>
        <v>0</v>
      </c>
      <c r="E1098" s="8" t="s">
        <v>898</v>
      </c>
    </row>
    <row r="1099" ht="15.75" customHeight="1">
      <c r="A1099" s="9" t="s">
        <v>1069</v>
      </c>
      <c r="B1099" s="10">
        <v>400.0</v>
      </c>
      <c r="C1099" s="10">
        <v>800.0</v>
      </c>
      <c r="D1099" s="9" t="b">
        <f t="shared" si="253"/>
        <v>0</v>
      </c>
      <c r="E1099" s="8" t="s">
        <v>898</v>
      </c>
    </row>
    <row r="1100" ht="15.75" customHeight="1">
      <c r="A1100" s="9" t="s">
        <v>1069</v>
      </c>
      <c r="B1100" s="10">
        <v>490.0</v>
      </c>
      <c r="C1100" s="10">
        <v>800.0</v>
      </c>
      <c r="D1100" s="9" t="b">
        <f t="shared" si="253"/>
        <v>0</v>
      </c>
      <c r="E1100" s="8" t="s">
        <v>898</v>
      </c>
    </row>
    <row r="1101" ht="15.75" customHeight="1">
      <c r="A1101" s="9" t="s">
        <v>1069</v>
      </c>
      <c r="B1101" s="10">
        <v>400.0</v>
      </c>
      <c r="C1101" s="10">
        <v>700.0</v>
      </c>
      <c r="D1101" s="9" t="b">
        <f t="shared" si="253"/>
        <v>0</v>
      </c>
      <c r="E1101" s="8" t="s">
        <v>898</v>
      </c>
    </row>
    <row r="1102" ht="15.75" customHeight="1">
      <c r="A1102" s="9" t="s">
        <v>1070</v>
      </c>
      <c r="B1102" s="10">
        <v>650.0</v>
      </c>
      <c r="C1102" s="10">
        <v>1200.0</v>
      </c>
      <c r="D1102" s="9" t="b">
        <f t="shared" si="253"/>
        <v>0</v>
      </c>
      <c r="E1102" s="8" t="s">
        <v>898</v>
      </c>
    </row>
    <row r="1103" ht="15.75" customHeight="1">
      <c r="A1103" s="9" t="s">
        <v>1071</v>
      </c>
      <c r="B1103" s="10">
        <v>890.0</v>
      </c>
      <c r="C1103" s="10">
        <v>1500.0</v>
      </c>
      <c r="D1103" s="9" t="b">
        <f t="shared" si="253"/>
        <v>0</v>
      </c>
      <c r="E1103" s="8" t="s">
        <v>898</v>
      </c>
    </row>
    <row r="1104" ht="15.75" customHeight="1">
      <c r="A1104" s="9" t="s">
        <v>1071</v>
      </c>
      <c r="B1104" s="10">
        <v>890.0</v>
      </c>
      <c r="C1104" s="10">
        <v>1500.0</v>
      </c>
      <c r="D1104" s="9" t="b">
        <f t="shared" si="253"/>
        <v>0</v>
      </c>
      <c r="E1104" s="8" t="s">
        <v>898</v>
      </c>
    </row>
    <row r="1105" ht="15.75" customHeight="1">
      <c r="A1105" s="11" t="s">
        <v>1072</v>
      </c>
      <c r="B1105" s="12">
        <v>600.0</v>
      </c>
      <c r="C1105" s="12">
        <v>1200.0</v>
      </c>
      <c r="D1105" s="11" t="b">
        <f>true</f>
        <v>1</v>
      </c>
      <c r="E1105" s="8" t="s">
        <v>898</v>
      </c>
    </row>
    <row r="1106" ht="15.75" customHeight="1">
      <c r="A1106" s="9" t="s">
        <v>1073</v>
      </c>
      <c r="B1106" s="10">
        <v>500.0</v>
      </c>
      <c r="C1106" s="10">
        <v>1000.0</v>
      </c>
      <c r="D1106" s="9" t="b">
        <f>false</f>
        <v>0</v>
      </c>
      <c r="E1106" s="8" t="s">
        <v>898</v>
      </c>
    </row>
    <row r="1107" ht="15.75" customHeight="1">
      <c r="A1107" s="11" t="s">
        <v>1074</v>
      </c>
      <c r="B1107" s="12">
        <v>550.0</v>
      </c>
      <c r="C1107" s="12">
        <v>1000.0</v>
      </c>
      <c r="D1107" s="11" t="b">
        <f t="shared" ref="D1107:D1108" si="254">true</f>
        <v>1</v>
      </c>
      <c r="E1107" s="8" t="s">
        <v>898</v>
      </c>
    </row>
    <row r="1108" ht="15.75" customHeight="1">
      <c r="A1108" s="11" t="s">
        <v>1075</v>
      </c>
      <c r="B1108" s="12">
        <v>1000.0</v>
      </c>
      <c r="C1108" s="12">
        <v>3500.0</v>
      </c>
      <c r="D1108" s="11" t="b">
        <f t="shared" si="254"/>
        <v>1</v>
      </c>
      <c r="E1108" s="8" t="s">
        <v>898</v>
      </c>
    </row>
    <row r="1109" ht="15.75" customHeight="1">
      <c r="A1109" s="9" t="s">
        <v>1076</v>
      </c>
      <c r="B1109" s="10">
        <v>790.0</v>
      </c>
      <c r="C1109" s="10">
        <v>1500.0</v>
      </c>
      <c r="D1109" s="9" t="b">
        <f>false</f>
        <v>0</v>
      </c>
      <c r="E1109" s="8" t="s">
        <v>898</v>
      </c>
    </row>
    <row r="1110" ht="15.75" customHeight="1">
      <c r="A1110" s="11" t="s">
        <v>1077</v>
      </c>
      <c r="B1110" s="12">
        <v>1200.0</v>
      </c>
      <c r="C1110" s="12">
        <v>1750.0</v>
      </c>
      <c r="D1110" s="11" t="b">
        <f t="shared" ref="D1110:D1116" si="255">true</f>
        <v>1</v>
      </c>
      <c r="E1110" s="8" t="s">
        <v>898</v>
      </c>
    </row>
    <row r="1111" ht="15.75" customHeight="1">
      <c r="A1111" s="11" t="s">
        <v>1078</v>
      </c>
      <c r="B1111" s="12">
        <v>90.0</v>
      </c>
      <c r="C1111" s="12">
        <v>200.0</v>
      </c>
      <c r="D1111" s="11" t="b">
        <f t="shared" si="255"/>
        <v>1</v>
      </c>
      <c r="E1111" s="8" t="s">
        <v>898</v>
      </c>
    </row>
    <row r="1112" ht="15.75" customHeight="1">
      <c r="A1112" s="11" t="s">
        <v>1079</v>
      </c>
      <c r="B1112" s="12">
        <v>120.0</v>
      </c>
      <c r="C1112" s="12">
        <v>250.0</v>
      </c>
      <c r="D1112" s="11" t="b">
        <f t="shared" si="255"/>
        <v>1</v>
      </c>
      <c r="E1112" s="8" t="s">
        <v>898</v>
      </c>
    </row>
    <row r="1113" ht="15.75" customHeight="1">
      <c r="A1113" s="7" t="s">
        <v>1080</v>
      </c>
      <c r="B1113" s="6">
        <v>80.0</v>
      </c>
      <c r="C1113" s="6">
        <v>150.0</v>
      </c>
      <c r="D1113" s="11" t="b">
        <f t="shared" si="255"/>
        <v>1</v>
      </c>
      <c r="E1113" s="8" t="s">
        <v>898</v>
      </c>
    </row>
    <row r="1114" ht="15.75" customHeight="1">
      <c r="A1114" s="5" t="s">
        <v>1081</v>
      </c>
      <c r="B1114" s="6">
        <v>3990.0</v>
      </c>
      <c r="C1114" s="6">
        <v>7500.0</v>
      </c>
      <c r="D1114" s="11" t="b">
        <f t="shared" si="255"/>
        <v>1</v>
      </c>
      <c r="E1114" s="8" t="s">
        <v>898</v>
      </c>
    </row>
    <row r="1115" ht="15.75" customHeight="1">
      <c r="A1115" s="5" t="s">
        <v>1082</v>
      </c>
      <c r="B1115" s="6">
        <v>167.0</v>
      </c>
      <c r="C1115" s="6">
        <v>300.0</v>
      </c>
      <c r="D1115" s="11" t="b">
        <f t="shared" si="255"/>
        <v>1</v>
      </c>
      <c r="E1115" s="8" t="s">
        <v>898</v>
      </c>
    </row>
    <row r="1116" ht="15.75" customHeight="1">
      <c r="A1116" s="5" t="s">
        <v>1083</v>
      </c>
      <c r="B1116" s="6">
        <v>3990.0</v>
      </c>
      <c r="C1116" s="6">
        <v>7200.0</v>
      </c>
      <c r="D1116" s="11" t="b">
        <f t="shared" si="255"/>
        <v>1</v>
      </c>
      <c r="E1116" s="8" t="s">
        <v>898</v>
      </c>
    </row>
    <row r="1117" ht="15.75" customHeight="1">
      <c r="A1117" s="9" t="s">
        <v>1084</v>
      </c>
      <c r="B1117" s="10">
        <v>1250.0</v>
      </c>
      <c r="C1117" s="10">
        <v>1650.0</v>
      </c>
      <c r="D1117" s="9" t="b">
        <f t="shared" ref="D1117:D1118" si="256">false</f>
        <v>0</v>
      </c>
      <c r="E1117" s="8" t="s">
        <v>898</v>
      </c>
    </row>
    <row r="1118" ht="15.75" customHeight="1">
      <c r="A1118" s="9" t="s">
        <v>1085</v>
      </c>
      <c r="B1118" s="10">
        <v>63.0</v>
      </c>
      <c r="C1118" s="10">
        <v>75.0</v>
      </c>
      <c r="D1118" s="9" t="b">
        <f t="shared" si="256"/>
        <v>0</v>
      </c>
      <c r="E1118" s="8" t="s">
        <v>898</v>
      </c>
    </row>
    <row r="1119" ht="15.75" customHeight="1">
      <c r="A1119" s="5" t="s">
        <v>1086</v>
      </c>
      <c r="B1119" s="6">
        <v>1200.0</v>
      </c>
      <c r="C1119" s="6">
        <v>1650.0</v>
      </c>
      <c r="D1119" s="11" t="b">
        <f t="shared" ref="D1119:D1122" si="257">true</f>
        <v>1</v>
      </c>
      <c r="E1119" s="8" t="s">
        <v>898</v>
      </c>
    </row>
    <row r="1120" ht="15.75" customHeight="1">
      <c r="A1120" s="5" t="s">
        <v>1087</v>
      </c>
      <c r="B1120" s="6">
        <v>1190.0</v>
      </c>
      <c r="C1120" s="6">
        <v>1650.0</v>
      </c>
      <c r="D1120" s="11" t="b">
        <f t="shared" si="257"/>
        <v>1</v>
      </c>
      <c r="E1120" s="8" t="s">
        <v>898</v>
      </c>
    </row>
    <row r="1121" ht="15.75" customHeight="1">
      <c r="A1121" s="7" t="s">
        <v>1088</v>
      </c>
      <c r="B1121" s="6">
        <v>750.0</v>
      </c>
      <c r="C1121" s="6">
        <v>1000.0</v>
      </c>
      <c r="D1121" s="11" t="b">
        <f t="shared" si="257"/>
        <v>1</v>
      </c>
      <c r="E1121" s="8" t="s">
        <v>898</v>
      </c>
    </row>
    <row r="1122" ht="15.75" customHeight="1">
      <c r="A1122" s="7" t="s">
        <v>1089</v>
      </c>
      <c r="B1122" s="6">
        <v>75.0</v>
      </c>
      <c r="C1122" s="6">
        <v>100.0</v>
      </c>
      <c r="D1122" s="11" t="b">
        <f t="shared" si="257"/>
        <v>1</v>
      </c>
      <c r="E1122" s="8" t="s">
        <v>898</v>
      </c>
    </row>
    <row r="1123" ht="15.75" customHeight="1">
      <c r="A1123" s="9" t="s">
        <v>1090</v>
      </c>
      <c r="B1123" s="10">
        <v>178.0</v>
      </c>
      <c r="C1123" s="10">
        <v>300.0</v>
      </c>
      <c r="D1123" s="9" t="b">
        <f>false</f>
        <v>0</v>
      </c>
      <c r="E1123" s="8" t="s">
        <v>898</v>
      </c>
    </row>
    <row r="1124" ht="15.75" customHeight="1">
      <c r="A1124" s="5" t="s">
        <v>1090</v>
      </c>
      <c r="B1124" s="6">
        <v>170.0</v>
      </c>
      <c r="C1124" s="6">
        <v>300.0</v>
      </c>
      <c r="D1124" s="11" t="b">
        <f t="shared" ref="D1124:D1128" si="258">true</f>
        <v>1</v>
      </c>
      <c r="E1124" s="8" t="s">
        <v>898</v>
      </c>
    </row>
    <row r="1125" ht="15.75" customHeight="1">
      <c r="A1125" s="5" t="s">
        <v>1091</v>
      </c>
      <c r="B1125" s="6">
        <v>890.0</v>
      </c>
      <c r="C1125" s="6">
        <v>1500.0</v>
      </c>
      <c r="D1125" s="11" t="b">
        <f t="shared" si="258"/>
        <v>1</v>
      </c>
      <c r="E1125" s="8" t="s">
        <v>898</v>
      </c>
    </row>
    <row r="1126" ht="15.75" customHeight="1">
      <c r="A1126" s="5" t="s">
        <v>1092</v>
      </c>
      <c r="B1126" s="6">
        <v>890.0</v>
      </c>
      <c r="C1126" s="6">
        <v>1500.0</v>
      </c>
      <c r="D1126" s="11" t="b">
        <f t="shared" si="258"/>
        <v>1</v>
      </c>
      <c r="E1126" s="8" t="s">
        <v>898</v>
      </c>
    </row>
    <row r="1127" ht="15.75" customHeight="1">
      <c r="A1127" s="5" t="s">
        <v>1093</v>
      </c>
      <c r="B1127" s="6">
        <v>2200.0</v>
      </c>
      <c r="C1127" s="6">
        <v>3000.0</v>
      </c>
      <c r="D1127" s="11" t="b">
        <f t="shared" si="258"/>
        <v>1</v>
      </c>
      <c r="E1127" s="8" t="s">
        <v>898</v>
      </c>
    </row>
    <row r="1128" ht="15.75" customHeight="1">
      <c r="A1128" s="11" t="s">
        <v>1094</v>
      </c>
      <c r="B1128" s="12">
        <v>1150.0</v>
      </c>
      <c r="C1128" s="12">
        <v>1800.0</v>
      </c>
      <c r="D1128" s="11" t="b">
        <f t="shared" si="258"/>
        <v>1</v>
      </c>
      <c r="E1128" s="8" t="s">
        <v>898</v>
      </c>
    </row>
    <row r="1129" ht="15.75" customHeight="1">
      <c r="A1129" s="9" t="s">
        <v>1095</v>
      </c>
      <c r="B1129" s="10">
        <v>910.0</v>
      </c>
      <c r="C1129" s="10">
        <v>1850.0</v>
      </c>
      <c r="D1129" s="9" t="b">
        <f t="shared" ref="D1129:D1130" si="259">false</f>
        <v>0</v>
      </c>
      <c r="E1129" s="8" t="s">
        <v>898</v>
      </c>
    </row>
    <row r="1130" ht="15.75" customHeight="1">
      <c r="A1130" s="9" t="s">
        <v>1096</v>
      </c>
      <c r="B1130" s="10">
        <v>2990.0</v>
      </c>
      <c r="C1130" s="10">
        <v>3800.0</v>
      </c>
      <c r="D1130" s="9" t="b">
        <f t="shared" si="259"/>
        <v>0</v>
      </c>
      <c r="E1130" s="8" t="s">
        <v>898</v>
      </c>
    </row>
    <row r="1131" ht="15.75" customHeight="1">
      <c r="A1131" s="11" t="s">
        <v>1097</v>
      </c>
      <c r="B1131" s="12">
        <v>2500.0</v>
      </c>
      <c r="C1131" s="12">
        <v>3500.0</v>
      </c>
      <c r="D1131" s="11" t="b">
        <f>true</f>
        <v>1</v>
      </c>
      <c r="E1131" s="8" t="s">
        <v>898</v>
      </c>
    </row>
    <row r="1132" ht="15.75" customHeight="1">
      <c r="A1132" s="9" t="s">
        <v>1098</v>
      </c>
      <c r="B1132" s="10">
        <v>480.0</v>
      </c>
      <c r="C1132" s="10">
        <v>700.0</v>
      </c>
      <c r="D1132" s="9" t="b">
        <f>false</f>
        <v>0</v>
      </c>
      <c r="E1132" s="8" t="s">
        <v>898</v>
      </c>
    </row>
    <row r="1133" ht="15.75" customHeight="1">
      <c r="A1133" s="11" t="s">
        <v>1098</v>
      </c>
      <c r="B1133" s="12">
        <v>470.0</v>
      </c>
      <c r="C1133" s="12">
        <v>700.0</v>
      </c>
      <c r="D1133" s="11" t="b">
        <f t="shared" ref="D1133:D1134" si="260">true</f>
        <v>1</v>
      </c>
      <c r="E1133" s="8" t="s">
        <v>898</v>
      </c>
    </row>
    <row r="1134" ht="15.75" customHeight="1">
      <c r="A1134" s="11" t="s">
        <v>1099</v>
      </c>
      <c r="B1134" s="12">
        <v>470.0</v>
      </c>
      <c r="C1134" s="12">
        <v>700.0</v>
      </c>
      <c r="D1134" s="11" t="b">
        <f t="shared" si="260"/>
        <v>1</v>
      </c>
      <c r="E1134" s="8" t="s">
        <v>898</v>
      </c>
    </row>
    <row r="1135" ht="15.75" customHeight="1">
      <c r="A1135" s="9" t="s">
        <v>1099</v>
      </c>
      <c r="B1135" s="10">
        <v>480.0</v>
      </c>
      <c r="C1135" s="10">
        <v>700.0</v>
      </c>
      <c r="D1135" s="9" t="b">
        <f>false</f>
        <v>0</v>
      </c>
      <c r="E1135" s="8" t="s">
        <v>898</v>
      </c>
    </row>
    <row r="1136" ht="15.75" customHeight="1">
      <c r="A1136" s="11" t="s">
        <v>1100</v>
      </c>
      <c r="B1136" s="12">
        <v>600.0</v>
      </c>
      <c r="C1136" s="12">
        <v>1500.0</v>
      </c>
      <c r="D1136" s="11" t="b">
        <f t="shared" ref="D1136:D1137" si="261">true</f>
        <v>1</v>
      </c>
      <c r="E1136" s="8" t="s">
        <v>898</v>
      </c>
    </row>
    <row r="1137" ht="15.75" customHeight="1">
      <c r="A1137" s="11" t="s">
        <v>1101</v>
      </c>
      <c r="B1137" s="12">
        <v>600.0</v>
      </c>
      <c r="C1137" s="12">
        <v>1500.0</v>
      </c>
      <c r="D1137" s="11" t="b">
        <f t="shared" si="261"/>
        <v>1</v>
      </c>
      <c r="E1137" s="8" t="s">
        <v>898</v>
      </c>
    </row>
    <row r="1138" ht="15.75" customHeight="1">
      <c r="A1138" s="9" t="s">
        <v>1102</v>
      </c>
      <c r="B1138" s="10">
        <v>600.0</v>
      </c>
      <c r="C1138" s="10">
        <v>1200.0</v>
      </c>
      <c r="D1138" s="9" t="b">
        <f>false</f>
        <v>0</v>
      </c>
      <c r="E1138" s="8" t="s">
        <v>898</v>
      </c>
    </row>
    <row r="1139" ht="15.75" customHeight="1">
      <c r="A1139" s="11" t="s">
        <v>1103</v>
      </c>
      <c r="B1139" s="12">
        <v>600.0</v>
      </c>
      <c r="C1139" s="12">
        <v>1500.0</v>
      </c>
      <c r="D1139" s="11" t="b">
        <f t="shared" ref="D1139:D1143" si="262">true</f>
        <v>1</v>
      </c>
      <c r="E1139" s="8" t="s">
        <v>898</v>
      </c>
    </row>
    <row r="1140" ht="15.75" customHeight="1">
      <c r="A1140" s="11" t="s">
        <v>1104</v>
      </c>
      <c r="B1140" s="12">
        <v>1000.0</v>
      </c>
      <c r="C1140" s="12">
        <v>1500.0</v>
      </c>
      <c r="D1140" s="11" t="b">
        <f t="shared" si="262"/>
        <v>1</v>
      </c>
      <c r="E1140" s="8" t="s">
        <v>898</v>
      </c>
    </row>
    <row r="1141" ht="15.75" customHeight="1">
      <c r="A1141" s="11" t="s">
        <v>1105</v>
      </c>
      <c r="B1141" s="12">
        <v>1990.0</v>
      </c>
      <c r="C1141" s="12">
        <v>3000.0</v>
      </c>
      <c r="D1141" s="11" t="b">
        <f t="shared" si="262"/>
        <v>1</v>
      </c>
      <c r="E1141" s="8" t="s">
        <v>898</v>
      </c>
    </row>
    <row r="1142" ht="15.75" customHeight="1">
      <c r="A1142" s="11" t="s">
        <v>1106</v>
      </c>
      <c r="B1142" s="12">
        <v>1490.0</v>
      </c>
      <c r="C1142" s="12">
        <v>2500.0</v>
      </c>
      <c r="D1142" s="11" t="b">
        <f t="shared" si="262"/>
        <v>1</v>
      </c>
      <c r="E1142" s="8" t="s">
        <v>898</v>
      </c>
    </row>
    <row r="1143" ht="15.75" customHeight="1">
      <c r="A1143" s="5" t="s">
        <v>1107</v>
      </c>
      <c r="B1143" s="6">
        <v>180.0</v>
      </c>
      <c r="C1143" s="6">
        <v>500.0</v>
      </c>
      <c r="D1143" s="11" t="b">
        <f t="shared" si="262"/>
        <v>1</v>
      </c>
      <c r="E1143" s="8" t="s">
        <v>898</v>
      </c>
    </row>
    <row r="1144" ht="15.75" customHeight="1">
      <c r="A1144" s="9" t="s">
        <v>1108</v>
      </c>
      <c r="B1144" s="10">
        <v>150.0</v>
      </c>
      <c r="C1144" s="10">
        <v>500.0</v>
      </c>
      <c r="D1144" s="9" t="b">
        <f t="shared" ref="D1144:D1145" si="263">false</f>
        <v>0</v>
      </c>
      <c r="E1144" s="8" t="s">
        <v>898</v>
      </c>
    </row>
    <row r="1145" ht="15.75" customHeight="1">
      <c r="A1145" s="9" t="s">
        <v>1109</v>
      </c>
      <c r="B1145" s="10">
        <v>36000.0</v>
      </c>
      <c r="C1145" s="10">
        <v>38000.0</v>
      </c>
      <c r="D1145" s="9" t="b">
        <f t="shared" si="263"/>
        <v>0</v>
      </c>
      <c r="E1145" s="8" t="s">
        <v>898</v>
      </c>
    </row>
    <row r="1146" ht="15.75" customHeight="1">
      <c r="A1146" s="11" t="s">
        <v>1110</v>
      </c>
      <c r="B1146" s="12">
        <v>25000.0</v>
      </c>
      <c r="C1146" s="12">
        <v>35000.0</v>
      </c>
      <c r="D1146" s="11" t="b">
        <f>true</f>
        <v>1</v>
      </c>
      <c r="E1146" s="8" t="s">
        <v>898</v>
      </c>
    </row>
    <row r="1147" ht="15.75" customHeight="1">
      <c r="A1147" s="9" t="s">
        <v>1111</v>
      </c>
      <c r="B1147" s="10">
        <v>27990.0</v>
      </c>
      <c r="C1147" s="10">
        <v>36000.0</v>
      </c>
      <c r="D1147" s="9" t="b">
        <f t="shared" ref="D1147:D1155" si="264">false</f>
        <v>0</v>
      </c>
      <c r="E1147" s="8" t="s">
        <v>898</v>
      </c>
    </row>
    <row r="1148" ht="15.75" customHeight="1">
      <c r="A1148" s="9" t="s">
        <v>1112</v>
      </c>
      <c r="B1148" s="10">
        <v>25990.0</v>
      </c>
      <c r="C1148" s="10">
        <v>35000.0</v>
      </c>
      <c r="D1148" s="9" t="b">
        <f t="shared" si="264"/>
        <v>0</v>
      </c>
      <c r="E1148" s="8" t="s">
        <v>898</v>
      </c>
    </row>
    <row r="1149" ht="15.75" customHeight="1">
      <c r="A1149" s="9" t="s">
        <v>1113</v>
      </c>
      <c r="B1149" s="10">
        <v>25990.0</v>
      </c>
      <c r="C1149" s="10">
        <v>35000.0</v>
      </c>
      <c r="D1149" s="9" t="b">
        <f t="shared" si="264"/>
        <v>0</v>
      </c>
      <c r="E1149" s="8" t="s">
        <v>898</v>
      </c>
    </row>
    <row r="1150" ht="15.75" customHeight="1">
      <c r="A1150" s="9" t="s">
        <v>1114</v>
      </c>
      <c r="B1150" s="10">
        <v>27990.0</v>
      </c>
      <c r="C1150" s="10">
        <v>36000.0</v>
      </c>
      <c r="D1150" s="9" t="b">
        <f t="shared" si="264"/>
        <v>0</v>
      </c>
      <c r="E1150" s="8" t="s">
        <v>898</v>
      </c>
    </row>
    <row r="1151" ht="15.75" customHeight="1">
      <c r="A1151" s="9" t="s">
        <v>1115</v>
      </c>
      <c r="B1151" s="10">
        <v>28990.0</v>
      </c>
      <c r="C1151" s="10">
        <v>35000.0</v>
      </c>
      <c r="D1151" s="9" t="b">
        <f t="shared" si="264"/>
        <v>0</v>
      </c>
      <c r="E1151" s="8" t="s">
        <v>898</v>
      </c>
    </row>
    <row r="1152" ht="15.75" customHeight="1">
      <c r="A1152" s="9" t="s">
        <v>1116</v>
      </c>
      <c r="B1152" s="10">
        <v>28990.0</v>
      </c>
      <c r="C1152" s="10">
        <v>37000.0</v>
      </c>
      <c r="D1152" s="9" t="b">
        <f t="shared" si="264"/>
        <v>0</v>
      </c>
      <c r="E1152" s="8" t="s">
        <v>898</v>
      </c>
    </row>
    <row r="1153" ht="15.75" customHeight="1">
      <c r="A1153" s="9" t="s">
        <v>1117</v>
      </c>
      <c r="B1153" s="10">
        <v>28000.0</v>
      </c>
      <c r="C1153" s="10">
        <v>36000.0</v>
      </c>
      <c r="D1153" s="9" t="b">
        <f t="shared" si="264"/>
        <v>0</v>
      </c>
      <c r="E1153" s="8" t="s">
        <v>898</v>
      </c>
    </row>
    <row r="1154" ht="15.75" customHeight="1">
      <c r="A1154" s="9" t="s">
        <v>1118</v>
      </c>
      <c r="B1154" s="10">
        <v>11000.0</v>
      </c>
      <c r="C1154" s="10">
        <v>16000.0</v>
      </c>
      <c r="D1154" s="9" t="b">
        <f t="shared" si="264"/>
        <v>0</v>
      </c>
      <c r="E1154" s="8" t="s">
        <v>898</v>
      </c>
    </row>
    <row r="1155" ht="15.75" customHeight="1">
      <c r="A1155" s="9" t="s">
        <v>1118</v>
      </c>
      <c r="B1155" s="10">
        <v>10000.0</v>
      </c>
      <c r="C1155" s="10">
        <v>17000.0</v>
      </c>
      <c r="D1155" s="9" t="b">
        <f t="shared" si="264"/>
        <v>0</v>
      </c>
      <c r="E1155" s="8" t="s">
        <v>898</v>
      </c>
    </row>
    <row r="1156" ht="15.75" customHeight="1">
      <c r="A1156" s="11" t="s">
        <v>1119</v>
      </c>
      <c r="B1156" s="12">
        <v>9500.0</v>
      </c>
      <c r="C1156" s="12">
        <v>16000.0</v>
      </c>
      <c r="D1156" s="11" t="b">
        <f>true</f>
        <v>1</v>
      </c>
      <c r="E1156" s="8" t="s">
        <v>898</v>
      </c>
    </row>
    <row r="1157" ht="15.75" customHeight="1">
      <c r="A1157" s="9" t="s">
        <v>1120</v>
      </c>
      <c r="B1157" s="10">
        <v>11000.0</v>
      </c>
      <c r="C1157" s="10">
        <v>15000.0</v>
      </c>
      <c r="D1157" s="9" t="b">
        <f>false</f>
        <v>0</v>
      </c>
      <c r="E1157" s="8" t="s">
        <v>898</v>
      </c>
    </row>
    <row r="1158" ht="15.75" customHeight="1">
      <c r="A1158" s="5" t="s">
        <v>1121</v>
      </c>
      <c r="B1158" s="6">
        <v>11000.0</v>
      </c>
      <c r="C1158" s="6">
        <v>15000.0</v>
      </c>
      <c r="D1158" s="11" t="b">
        <f t="shared" ref="D1158:D1162" si="265">true</f>
        <v>1</v>
      </c>
      <c r="E1158" s="8" t="s">
        <v>898</v>
      </c>
    </row>
    <row r="1159" ht="15.75" customHeight="1">
      <c r="A1159" s="5" t="s">
        <v>1122</v>
      </c>
      <c r="B1159" s="6">
        <v>15000.0</v>
      </c>
      <c r="C1159" s="6">
        <v>20000.0</v>
      </c>
      <c r="D1159" s="11" t="b">
        <f t="shared" si="265"/>
        <v>1</v>
      </c>
      <c r="E1159" s="8" t="s">
        <v>898</v>
      </c>
    </row>
    <row r="1160" ht="15.75" customHeight="1">
      <c r="A1160" s="5" t="s">
        <v>1123</v>
      </c>
      <c r="B1160" s="6">
        <v>5000.0</v>
      </c>
      <c r="C1160" s="6">
        <v>9000.0</v>
      </c>
      <c r="D1160" s="11" t="b">
        <f t="shared" si="265"/>
        <v>1</v>
      </c>
      <c r="E1160" s="8" t="s">
        <v>898</v>
      </c>
    </row>
    <row r="1161" ht="15.75" customHeight="1">
      <c r="A1161" s="5" t="s">
        <v>1124</v>
      </c>
      <c r="B1161" s="6">
        <v>13990.0</v>
      </c>
      <c r="C1161" s="6">
        <v>19000.0</v>
      </c>
      <c r="D1161" s="11" t="b">
        <f t="shared" si="265"/>
        <v>1</v>
      </c>
      <c r="E1161" s="8" t="s">
        <v>898</v>
      </c>
    </row>
    <row r="1162" ht="15.75" customHeight="1">
      <c r="A1162" s="11" t="s">
        <v>1125</v>
      </c>
      <c r="B1162" s="6">
        <v>10000.0</v>
      </c>
      <c r="C1162" s="6">
        <v>18000.0</v>
      </c>
      <c r="D1162" s="11" t="b">
        <f t="shared" si="265"/>
        <v>1</v>
      </c>
      <c r="E1162" s="8" t="s">
        <v>898</v>
      </c>
    </row>
    <row r="1163" ht="15.75" customHeight="1">
      <c r="A1163" s="9" t="s">
        <v>1126</v>
      </c>
      <c r="B1163" s="10">
        <v>12000.0</v>
      </c>
      <c r="C1163" s="10">
        <v>18000.0</v>
      </c>
      <c r="D1163" s="9" t="b">
        <f t="shared" ref="D1163:D1164" si="266">false</f>
        <v>0</v>
      </c>
      <c r="E1163" s="8" t="s">
        <v>898</v>
      </c>
    </row>
    <row r="1164" ht="15.75" customHeight="1">
      <c r="A1164" s="9" t="s">
        <v>1127</v>
      </c>
      <c r="B1164" s="10">
        <v>3000.0</v>
      </c>
      <c r="C1164" s="10">
        <v>7000.0</v>
      </c>
      <c r="D1164" s="9" t="b">
        <f t="shared" si="266"/>
        <v>0</v>
      </c>
      <c r="E1164" s="8" t="s">
        <v>898</v>
      </c>
    </row>
    <row r="1165" ht="15.75" customHeight="1">
      <c r="A1165" s="11" t="s">
        <v>1128</v>
      </c>
      <c r="B1165" s="12">
        <v>2500.0</v>
      </c>
      <c r="C1165" s="12">
        <v>5000.0</v>
      </c>
      <c r="D1165" s="11" t="b">
        <f t="shared" ref="D1165:D1167" si="267">true</f>
        <v>1</v>
      </c>
      <c r="E1165" s="8" t="s">
        <v>898</v>
      </c>
    </row>
    <row r="1166" ht="15.75" customHeight="1">
      <c r="A1166" s="5" t="s">
        <v>1129</v>
      </c>
      <c r="B1166" s="6">
        <v>5500.0</v>
      </c>
      <c r="C1166" s="6">
        <v>8500.0</v>
      </c>
      <c r="D1166" s="11" t="b">
        <f t="shared" si="267"/>
        <v>1</v>
      </c>
      <c r="E1166" s="8" t="s">
        <v>898</v>
      </c>
    </row>
    <row r="1167" ht="15.75" customHeight="1">
      <c r="A1167" s="5" t="s">
        <v>1130</v>
      </c>
      <c r="B1167" s="6">
        <v>3000.0</v>
      </c>
      <c r="C1167" s="6">
        <v>5500.0</v>
      </c>
      <c r="D1167" s="11" t="b">
        <f t="shared" si="267"/>
        <v>1</v>
      </c>
      <c r="E1167" s="8" t="s">
        <v>898</v>
      </c>
    </row>
    <row r="1168" ht="15.75" customHeight="1">
      <c r="A1168" s="9" t="s">
        <v>1131</v>
      </c>
      <c r="B1168" s="10">
        <v>500.0</v>
      </c>
      <c r="C1168" s="10">
        <v>2000.0</v>
      </c>
      <c r="D1168" s="9" t="b">
        <f t="shared" ref="D1168:D1171" si="268">false</f>
        <v>0</v>
      </c>
      <c r="E1168" s="8" t="s">
        <v>898</v>
      </c>
    </row>
    <row r="1169" ht="15.75" customHeight="1">
      <c r="A1169" s="9" t="s">
        <v>1132</v>
      </c>
      <c r="B1169" s="10">
        <v>700.0</v>
      </c>
      <c r="C1169" s="10">
        <v>1200.0</v>
      </c>
      <c r="D1169" s="9" t="b">
        <f t="shared" si="268"/>
        <v>0</v>
      </c>
      <c r="E1169" s="8" t="s">
        <v>898</v>
      </c>
    </row>
    <row r="1170" ht="15.75" customHeight="1">
      <c r="A1170" s="9" t="s">
        <v>1133</v>
      </c>
      <c r="B1170" s="10">
        <v>380.0</v>
      </c>
      <c r="C1170" s="10">
        <v>800.0</v>
      </c>
      <c r="D1170" s="9" t="b">
        <f t="shared" si="268"/>
        <v>0</v>
      </c>
      <c r="E1170" s="8" t="s">
        <v>898</v>
      </c>
    </row>
    <row r="1171" ht="15.75" customHeight="1">
      <c r="A1171" s="9" t="s">
        <v>1133</v>
      </c>
      <c r="B1171" s="10">
        <v>380.0</v>
      </c>
      <c r="C1171" s="10">
        <v>1200.0</v>
      </c>
      <c r="D1171" s="9" t="b">
        <f t="shared" si="268"/>
        <v>0</v>
      </c>
      <c r="E1171" s="8" t="s">
        <v>898</v>
      </c>
    </row>
    <row r="1172" ht="15.75" customHeight="1">
      <c r="A1172" s="11" t="s">
        <v>1134</v>
      </c>
      <c r="B1172" s="12">
        <v>500.0</v>
      </c>
      <c r="C1172" s="12">
        <v>1200.0</v>
      </c>
      <c r="D1172" s="11" t="b">
        <f>true</f>
        <v>1</v>
      </c>
      <c r="E1172" s="8" t="s">
        <v>898</v>
      </c>
    </row>
    <row r="1173" ht="15.75" customHeight="1">
      <c r="A1173" s="9" t="s">
        <v>1135</v>
      </c>
      <c r="B1173" s="10">
        <v>700.0</v>
      </c>
      <c r="C1173" s="10">
        <v>1200.0</v>
      </c>
      <c r="D1173" s="9" t="b">
        <f t="shared" ref="D1173:D1175" si="269">false</f>
        <v>0</v>
      </c>
      <c r="E1173" s="8" t="s">
        <v>898</v>
      </c>
    </row>
    <row r="1174" ht="15.75" customHeight="1">
      <c r="A1174" s="9" t="s">
        <v>1136</v>
      </c>
      <c r="B1174" s="10">
        <v>700.0</v>
      </c>
      <c r="C1174" s="10">
        <v>1500.0</v>
      </c>
      <c r="D1174" s="9" t="b">
        <f t="shared" si="269"/>
        <v>0</v>
      </c>
      <c r="E1174" s="8" t="s">
        <v>898</v>
      </c>
    </row>
    <row r="1175" ht="15.75" customHeight="1">
      <c r="A1175" s="9" t="s">
        <v>1137</v>
      </c>
      <c r="B1175" s="10">
        <v>550.0</v>
      </c>
      <c r="C1175" s="10">
        <v>1200.0</v>
      </c>
      <c r="D1175" s="9" t="b">
        <f t="shared" si="269"/>
        <v>0</v>
      </c>
      <c r="E1175" s="8" t="s">
        <v>898</v>
      </c>
    </row>
    <row r="1176" ht="15.75" customHeight="1">
      <c r="A1176" s="5" t="s">
        <v>1138</v>
      </c>
      <c r="B1176" s="6">
        <v>1000.0</v>
      </c>
      <c r="C1176" s="6">
        <v>2500.0</v>
      </c>
      <c r="D1176" s="11" t="b">
        <f t="shared" ref="D1176:D1179" si="270">true</f>
        <v>1</v>
      </c>
      <c r="E1176" s="8" t="s">
        <v>898</v>
      </c>
    </row>
    <row r="1177" ht="15.75" customHeight="1">
      <c r="A1177" s="5" t="s">
        <v>1139</v>
      </c>
      <c r="B1177" s="6">
        <v>1500.0</v>
      </c>
      <c r="C1177" s="6">
        <v>3000.0</v>
      </c>
      <c r="D1177" s="11" t="b">
        <f t="shared" si="270"/>
        <v>1</v>
      </c>
      <c r="E1177" s="8" t="s">
        <v>898</v>
      </c>
    </row>
    <row r="1178" ht="15.75" customHeight="1">
      <c r="A1178" s="9" t="s">
        <v>1140</v>
      </c>
      <c r="B1178" s="6">
        <v>750.0</v>
      </c>
      <c r="C1178" s="6">
        <v>1400.0</v>
      </c>
      <c r="D1178" s="11" t="b">
        <f t="shared" si="270"/>
        <v>1</v>
      </c>
      <c r="E1178" s="8" t="s">
        <v>898</v>
      </c>
    </row>
    <row r="1179" ht="15.75" customHeight="1">
      <c r="A1179" s="11" t="s">
        <v>1141</v>
      </c>
      <c r="B1179" s="12">
        <v>2000.0</v>
      </c>
      <c r="C1179" s="12">
        <v>3500.0</v>
      </c>
      <c r="D1179" s="11" t="b">
        <f t="shared" si="270"/>
        <v>1</v>
      </c>
      <c r="E1179" s="8" t="s">
        <v>898</v>
      </c>
    </row>
    <row r="1180" ht="15.75" customHeight="1">
      <c r="A1180" s="9" t="s">
        <v>1142</v>
      </c>
      <c r="B1180" s="10">
        <v>2500.0</v>
      </c>
      <c r="C1180" s="10">
        <v>3800.0</v>
      </c>
      <c r="D1180" s="9" t="b">
        <f>false</f>
        <v>0</v>
      </c>
      <c r="E1180" s="8" t="s">
        <v>898</v>
      </c>
    </row>
    <row r="1181" ht="15.75" customHeight="1">
      <c r="A1181" s="5" t="s">
        <v>1143</v>
      </c>
      <c r="B1181" s="6">
        <v>1300.0</v>
      </c>
      <c r="C1181" s="6">
        <v>2500.0</v>
      </c>
      <c r="D1181" s="11" t="b">
        <f t="shared" ref="D1181:D1186" si="271">true</f>
        <v>1</v>
      </c>
      <c r="E1181" s="8" t="s">
        <v>898</v>
      </c>
    </row>
    <row r="1182" ht="15.75" customHeight="1">
      <c r="A1182" s="5" t="s">
        <v>1144</v>
      </c>
      <c r="B1182" s="6">
        <v>510.0</v>
      </c>
      <c r="C1182" s="6">
        <v>1000.0</v>
      </c>
      <c r="D1182" s="11" t="b">
        <f t="shared" si="271"/>
        <v>1</v>
      </c>
      <c r="E1182" s="8" t="s">
        <v>898</v>
      </c>
    </row>
    <row r="1183" ht="15.75" customHeight="1">
      <c r="A1183" s="5" t="s">
        <v>1145</v>
      </c>
      <c r="B1183" s="6">
        <v>800.0</v>
      </c>
      <c r="C1183" s="6">
        <v>1500.0</v>
      </c>
      <c r="D1183" s="11" t="b">
        <f t="shared" si="271"/>
        <v>1</v>
      </c>
      <c r="E1183" s="8" t="s">
        <v>898</v>
      </c>
    </row>
    <row r="1184" ht="15.75" customHeight="1">
      <c r="A1184" s="5" t="s">
        <v>1146</v>
      </c>
      <c r="B1184" s="6">
        <v>500.0</v>
      </c>
      <c r="C1184" s="6">
        <v>1500.0</v>
      </c>
      <c r="D1184" s="11" t="b">
        <f t="shared" si="271"/>
        <v>1</v>
      </c>
      <c r="E1184" s="8" t="s">
        <v>898</v>
      </c>
    </row>
    <row r="1185" ht="15.75" customHeight="1">
      <c r="A1185" s="5" t="s">
        <v>1147</v>
      </c>
      <c r="B1185" s="6">
        <v>1800.0</v>
      </c>
      <c r="C1185" s="6">
        <v>3000.0</v>
      </c>
      <c r="D1185" s="11" t="b">
        <f t="shared" si="271"/>
        <v>1</v>
      </c>
      <c r="E1185" s="8" t="s">
        <v>898</v>
      </c>
    </row>
    <row r="1186" ht="15.75" customHeight="1">
      <c r="A1186" s="5" t="s">
        <v>1148</v>
      </c>
      <c r="B1186" s="6">
        <v>700.0</v>
      </c>
      <c r="C1186" s="6">
        <v>1200.0</v>
      </c>
      <c r="D1186" s="11" t="b">
        <f t="shared" si="271"/>
        <v>1</v>
      </c>
      <c r="E1186" s="8" t="s">
        <v>898</v>
      </c>
    </row>
    <row r="1187" ht="15.75" customHeight="1">
      <c r="A1187" s="9" t="s">
        <v>1149</v>
      </c>
      <c r="B1187" s="10">
        <v>1200.0</v>
      </c>
      <c r="C1187" s="10">
        <v>1800.0</v>
      </c>
      <c r="D1187" s="9" t="b">
        <f>false</f>
        <v>0</v>
      </c>
      <c r="E1187" s="8" t="s">
        <v>898</v>
      </c>
    </row>
    <row r="1188" ht="15.75" customHeight="1">
      <c r="A1188" s="5" t="s">
        <v>1150</v>
      </c>
      <c r="B1188" s="6">
        <v>500.0</v>
      </c>
      <c r="C1188" s="6">
        <v>1600.0</v>
      </c>
      <c r="D1188" s="11" t="b">
        <f t="shared" ref="D1188:D1191" si="272">true</f>
        <v>1</v>
      </c>
      <c r="E1188" s="8" t="s">
        <v>898</v>
      </c>
    </row>
    <row r="1189" ht="15.75" customHeight="1">
      <c r="A1189" s="5" t="s">
        <v>1151</v>
      </c>
      <c r="B1189" s="6">
        <v>125.0</v>
      </c>
      <c r="C1189" s="6">
        <v>400.0</v>
      </c>
      <c r="D1189" s="11" t="b">
        <f t="shared" si="272"/>
        <v>1</v>
      </c>
      <c r="E1189" s="8" t="s">
        <v>898</v>
      </c>
    </row>
    <row r="1190" ht="15.75" customHeight="1">
      <c r="A1190" s="5" t="s">
        <v>1152</v>
      </c>
      <c r="B1190" s="6">
        <v>990.0</v>
      </c>
      <c r="C1190" s="6">
        <v>2000.0</v>
      </c>
      <c r="D1190" s="11" t="b">
        <f t="shared" si="272"/>
        <v>1</v>
      </c>
      <c r="E1190" s="8" t="s">
        <v>898</v>
      </c>
    </row>
    <row r="1191" ht="15.75" customHeight="1">
      <c r="A1191" s="5" t="s">
        <v>1153</v>
      </c>
      <c r="B1191" s="6">
        <v>800.0</v>
      </c>
      <c r="C1191" s="6">
        <v>2000.0</v>
      </c>
      <c r="D1191" s="11" t="b">
        <f t="shared" si="272"/>
        <v>1</v>
      </c>
      <c r="E1191" s="8" t="s">
        <v>898</v>
      </c>
    </row>
    <row r="1192" ht="15.75" customHeight="1">
      <c r="A1192" s="9" t="s">
        <v>1154</v>
      </c>
      <c r="B1192" s="10">
        <v>1500.0</v>
      </c>
      <c r="C1192" s="10">
        <v>3000.0</v>
      </c>
      <c r="D1192" s="9" t="b">
        <f t="shared" ref="D1192:D1193" si="273">false</f>
        <v>0</v>
      </c>
      <c r="E1192" s="8" t="s">
        <v>898</v>
      </c>
    </row>
    <row r="1193" ht="15.75" customHeight="1">
      <c r="A1193" s="9" t="s">
        <v>1155</v>
      </c>
      <c r="B1193" s="10">
        <v>3500.0</v>
      </c>
      <c r="C1193" s="10">
        <v>5500.0</v>
      </c>
      <c r="D1193" s="9" t="b">
        <f t="shared" si="273"/>
        <v>0</v>
      </c>
      <c r="E1193" s="8" t="s">
        <v>898</v>
      </c>
    </row>
    <row r="1194" ht="15.75" customHeight="1">
      <c r="A1194" s="11" t="s">
        <v>1156</v>
      </c>
      <c r="B1194" s="12">
        <v>1500.0</v>
      </c>
      <c r="C1194" s="12">
        <v>2500.0</v>
      </c>
      <c r="D1194" s="11" t="b">
        <f t="shared" ref="D1194:D1196" si="274">true</f>
        <v>1</v>
      </c>
      <c r="E1194" s="8" t="s">
        <v>898</v>
      </c>
    </row>
    <row r="1195" ht="15.75" customHeight="1">
      <c r="A1195" s="5" t="s">
        <v>1157</v>
      </c>
      <c r="B1195" s="6">
        <v>680.0</v>
      </c>
      <c r="C1195" s="6">
        <v>1500.0</v>
      </c>
      <c r="D1195" s="11" t="b">
        <f t="shared" si="274"/>
        <v>1</v>
      </c>
      <c r="E1195" s="8" t="s">
        <v>898</v>
      </c>
    </row>
    <row r="1196" ht="15.75" customHeight="1">
      <c r="A1196" s="5" t="s">
        <v>1158</v>
      </c>
      <c r="B1196" s="6">
        <v>3200.0</v>
      </c>
      <c r="C1196" s="6">
        <v>6500.0</v>
      </c>
      <c r="D1196" s="11" t="b">
        <f t="shared" si="274"/>
        <v>1</v>
      </c>
      <c r="E1196" s="8" t="s">
        <v>898</v>
      </c>
    </row>
    <row r="1197" ht="15.75" customHeight="1">
      <c r="A1197" s="9" t="s">
        <v>1159</v>
      </c>
      <c r="B1197" s="10">
        <v>5990.0</v>
      </c>
      <c r="C1197" s="10">
        <v>10000.0</v>
      </c>
      <c r="D1197" s="9" t="b">
        <f>false</f>
        <v>0</v>
      </c>
      <c r="E1197" s="8" t="s">
        <v>898</v>
      </c>
    </row>
    <row r="1198" ht="15.75" customHeight="1">
      <c r="A1198" s="5" t="s">
        <v>1160</v>
      </c>
      <c r="B1198" s="6">
        <v>1500.0</v>
      </c>
      <c r="C1198" s="6">
        <v>3000.0</v>
      </c>
      <c r="D1198" s="11" t="b">
        <f t="shared" ref="D1198:D1202" si="275">true</f>
        <v>1</v>
      </c>
      <c r="E1198" s="8" t="s">
        <v>898</v>
      </c>
    </row>
    <row r="1199" ht="15.75" customHeight="1">
      <c r="A1199" s="5" t="s">
        <v>1161</v>
      </c>
      <c r="B1199" s="6">
        <v>800.0</v>
      </c>
      <c r="C1199" s="6">
        <v>1500.0</v>
      </c>
      <c r="D1199" s="11" t="b">
        <f t="shared" si="275"/>
        <v>1</v>
      </c>
      <c r="E1199" s="8" t="s">
        <v>898</v>
      </c>
    </row>
    <row r="1200" ht="15.75" customHeight="1">
      <c r="A1200" s="5" t="s">
        <v>1162</v>
      </c>
      <c r="B1200" s="6">
        <v>2500.0</v>
      </c>
      <c r="C1200" s="6">
        <v>5000.0</v>
      </c>
      <c r="D1200" s="11" t="b">
        <f t="shared" si="275"/>
        <v>1</v>
      </c>
      <c r="E1200" s="8" t="s">
        <v>898</v>
      </c>
    </row>
    <row r="1201" ht="15.75" customHeight="1">
      <c r="A1201" s="5" t="s">
        <v>1163</v>
      </c>
      <c r="B1201" s="6">
        <v>1800.0</v>
      </c>
      <c r="C1201" s="6">
        <v>2800.0</v>
      </c>
      <c r="D1201" s="11" t="b">
        <f t="shared" si="275"/>
        <v>1</v>
      </c>
      <c r="E1201" s="8" t="s">
        <v>898</v>
      </c>
    </row>
    <row r="1202" ht="15.75" customHeight="1">
      <c r="A1202" s="5" t="s">
        <v>1164</v>
      </c>
      <c r="B1202" s="6">
        <v>7735.0</v>
      </c>
      <c r="C1202" s="6">
        <v>12000.0</v>
      </c>
      <c r="D1202" s="11" t="b">
        <f t="shared" si="275"/>
        <v>1</v>
      </c>
      <c r="E1202" s="8" t="s">
        <v>898</v>
      </c>
    </row>
    <row r="1203" ht="15.75" customHeight="1">
      <c r="A1203" s="9" t="s">
        <v>1165</v>
      </c>
      <c r="B1203" s="10">
        <v>1500.0</v>
      </c>
      <c r="C1203" s="10">
        <v>3000.0</v>
      </c>
      <c r="D1203" s="9" t="b">
        <f>false</f>
        <v>0</v>
      </c>
      <c r="E1203" s="8" t="s">
        <v>898</v>
      </c>
    </row>
    <row r="1204" ht="15.75" customHeight="1">
      <c r="A1204" s="11" t="s">
        <v>1166</v>
      </c>
      <c r="B1204" s="12">
        <v>23.6</v>
      </c>
      <c r="C1204" s="12">
        <v>100.0</v>
      </c>
      <c r="D1204" s="11" t="b">
        <f t="shared" ref="D1204:D1208" si="276">true</f>
        <v>1</v>
      </c>
      <c r="E1204" s="8" t="s">
        <v>898</v>
      </c>
    </row>
    <row r="1205" ht="15.75" customHeight="1">
      <c r="A1205" s="11" t="s">
        <v>1167</v>
      </c>
      <c r="B1205" s="12">
        <v>34.5</v>
      </c>
      <c r="C1205" s="12">
        <v>150.0</v>
      </c>
      <c r="D1205" s="11" t="b">
        <f t="shared" si="276"/>
        <v>1</v>
      </c>
      <c r="E1205" s="8" t="s">
        <v>898</v>
      </c>
    </row>
    <row r="1206" ht="15.75" customHeight="1">
      <c r="A1206" s="11" t="s">
        <v>1168</v>
      </c>
      <c r="B1206" s="12">
        <v>16.66</v>
      </c>
      <c r="C1206" s="12">
        <v>100.0</v>
      </c>
      <c r="D1206" s="11" t="b">
        <f t="shared" si="276"/>
        <v>1</v>
      </c>
      <c r="E1206" s="8" t="s">
        <v>898</v>
      </c>
    </row>
    <row r="1207" ht="15.75" customHeight="1">
      <c r="A1207" s="5" t="s">
        <v>1169</v>
      </c>
      <c r="B1207" s="6">
        <v>1049.0</v>
      </c>
      <c r="C1207" s="6">
        <v>1800.0</v>
      </c>
      <c r="D1207" s="11" t="b">
        <f t="shared" si="276"/>
        <v>1</v>
      </c>
      <c r="E1207" s="8" t="s">
        <v>898</v>
      </c>
    </row>
    <row r="1208" ht="15.75" customHeight="1">
      <c r="A1208" s="5" t="s">
        <v>1170</v>
      </c>
      <c r="B1208" s="6">
        <v>820.0</v>
      </c>
      <c r="C1208" s="6">
        <v>1800.0</v>
      </c>
      <c r="D1208" s="11" t="b">
        <f t="shared" si="276"/>
        <v>1</v>
      </c>
      <c r="E1208" s="8" t="s">
        <v>898</v>
      </c>
    </row>
    <row r="1209" ht="15.75" customHeight="1">
      <c r="A1209" s="9" t="s">
        <v>1171</v>
      </c>
      <c r="B1209" s="10">
        <v>12000.0</v>
      </c>
      <c r="C1209" s="10">
        <v>18000.0</v>
      </c>
      <c r="D1209" s="9" t="b">
        <f t="shared" ref="D1209:D1210" si="277">false</f>
        <v>0</v>
      </c>
      <c r="E1209" s="8" t="s">
        <v>898</v>
      </c>
    </row>
    <row r="1210" ht="15.75" customHeight="1">
      <c r="A1210" s="9" t="s">
        <v>1172</v>
      </c>
      <c r="B1210" s="10">
        <v>1000.0</v>
      </c>
      <c r="C1210" s="10">
        <v>2000.0</v>
      </c>
      <c r="D1210" s="9" t="b">
        <f t="shared" si="277"/>
        <v>0</v>
      </c>
      <c r="E1210" s="8" t="s">
        <v>898</v>
      </c>
    </row>
    <row r="1211" ht="15.75" customHeight="1">
      <c r="A1211" s="5" t="s">
        <v>1173</v>
      </c>
      <c r="B1211" s="6">
        <v>1700.0</v>
      </c>
      <c r="C1211" s="6">
        <v>2700.0</v>
      </c>
      <c r="D1211" s="11" t="b">
        <f t="shared" ref="D1211:D1214" si="278">true</f>
        <v>1</v>
      </c>
      <c r="E1211" s="8" t="s">
        <v>898</v>
      </c>
    </row>
    <row r="1212" ht="15.75" customHeight="1">
      <c r="A1212" s="5" t="s">
        <v>1174</v>
      </c>
      <c r="B1212" s="6">
        <v>2490.0</v>
      </c>
      <c r="C1212" s="6">
        <v>3500.0</v>
      </c>
      <c r="D1212" s="11" t="b">
        <f t="shared" si="278"/>
        <v>1</v>
      </c>
      <c r="E1212" s="8" t="s">
        <v>898</v>
      </c>
    </row>
    <row r="1213" ht="15.75" customHeight="1">
      <c r="A1213" s="5" t="s">
        <v>1175</v>
      </c>
      <c r="B1213" s="6">
        <v>900.0</v>
      </c>
      <c r="C1213" s="6">
        <v>2000.0</v>
      </c>
      <c r="D1213" s="11" t="b">
        <f t="shared" si="278"/>
        <v>1</v>
      </c>
      <c r="E1213" s="8" t="s">
        <v>898</v>
      </c>
    </row>
    <row r="1214" ht="15.75" customHeight="1">
      <c r="A1214" s="5" t="s">
        <v>1176</v>
      </c>
      <c r="B1214" s="6">
        <v>1300.0</v>
      </c>
      <c r="C1214" s="6">
        <v>2800.0</v>
      </c>
      <c r="D1214" s="11" t="b">
        <f t="shared" si="278"/>
        <v>1</v>
      </c>
      <c r="E1214" s="8" t="s">
        <v>898</v>
      </c>
    </row>
    <row r="1215" ht="15.75" customHeight="1">
      <c r="A1215" s="9" t="s">
        <v>1177</v>
      </c>
      <c r="B1215" s="10">
        <v>6000.0</v>
      </c>
      <c r="C1215" s="10">
        <v>10000.0</v>
      </c>
      <c r="D1215" s="9" t="b">
        <f t="shared" ref="D1215:D1216" si="279">false</f>
        <v>0</v>
      </c>
      <c r="E1215" s="8" t="s">
        <v>898</v>
      </c>
    </row>
    <row r="1216" ht="15.75" customHeight="1">
      <c r="A1216" s="9" t="s">
        <v>1177</v>
      </c>
      <c r="B1216" s="10">
        <v>10000.0</v>
      </c>
      <c r="C1216" s="10">
        <v>15000.0</v>
      </c>
      <c r="D1216" s="9" t="b">
        <f t="shared" si="279"/>
        <v>0</v>
      </c>
      <c r="E1216" s="8" t="s">
        <v>898</v>
      </c>
    </row>
    <row r="1217" ht="15.75" customHeight="1">
      <c r="A1217" s="5" t="s">
        <v>1178</v>
      </c>
      <c r="B1217" s="6">
        <v>1170.0</v>
      </c>
      <c r="C1217" s="6">
        <v>2350.0</v>
      </c>
      <c r="D1217" s="11" t="b">
        <f t="shared" ref="D1217:D1219" si="280">true</f>
        <v>1</v>
      </c>
      <c r="E1217" s="8" t="s">
        <v>898</v>
      </c>
    </row>
    <row r="1218" ht="15.75" customHeight="1">
      <c r="A1218" s="11" t="s">
        <v>1179</v>
      </c>
      <c r="B1218" s="6">
        <v>1200.0</v>
      </c>
      <c r="C1218" s="6">
        <v>2500.0</v>
      </c>
      <c r="D1218" s="11" t="b">
        <f t="shared" si="280"/>
        <v>1</v>
      </c>
      <c r="E1218" s="8" t="s">
        <v>898</v>
      </c>
    </row>
    <row r="1219" ht="15.75" customHeight="1">
      <c r="A1219" s="11" t="s">
        <v>1180</v>
      </c>
      <c r="B1219" s="6">
        <v>1250.0</v>
      </c>
      <c r="C1219" s="6">
        <v>2500.0</v>
      </c>
      <c r="D1219" s="11" t="b">
        <f t="shared" si="280"/>
        <v>1</v>
      </c>
      <c r="E1219" s="8" t="s">
        <v>898</v>
      </c>
    </row>
    <row r="1220" ht="15.75" customHeight="1">
      <c r="A1220" s="9" t="s">
        <v>1181</v>
      </c>
      <c r="B1220" s="10">
        <v>1000.0</v>
      </c>
      <c r="C1220" s="10">
        <v>2500.0</v>
      </c>
      <c r="D1220" s="9" t="b">
        <f t="shared" ref="D1220:D1222" si="281">false</f>
        <v>0</v>
      </c>
      <c r="E1220" s="8" t="s">
        <v>898</v>
      </c>
    </row>
    <row r="1221" ht="15.75" customHeight="1">
      <c r="A1221" s="9" t="s">
        <v>1182</v>
      </c>
      <c r="B1221" s="10">
        <v>1200.0</v>
      </c>
      <c r="C1221" s="10">
        <v>2500.0</v>
      </c>
      <c r="D1221" s="9" t="b">
        <f t="shared" si="281"/>
        <v>0</v>
      </c>
      <c r="E1221" s="8" t="s">
        <v>898</v>
      </c>
    </row>
    <row r="1222" ht="15.75" customHeight="1">
      <c r="A1222" s="9" t="s">
        <v>1180</v>
      </c>
      <c r="B1222" s="10">
        <v>1500.0</v>
      </c>
      <c r="C1222" s="10">
        <v>2500.0</v>
      </c>
      <c r="D1222" s="9" t="b">
        <f t="shared" si="281"/>
        <v>0</v>
      </c>
      <c r="E1222" s="8" t="s">
        <v>898</v>
      </c>
    </row>
    <row r="1223" ht="15.75" customHeight="1">
      <c r="A1223" s="5" t="s">
        <v>1183</v>
      </c>
      <c r="B1223" s="6">
        <v>333.0</v>
      </c>
      <c r="C1223" s="6">
        <v>1500.0</v>
      </c>
      <c r="D1223" s="11" t="b">
        <f t="shared" ref="D1223:D1227" si="282">true</f>
        <v>1</v>
      </c>
      <c r="E1223" s="8" t="s">
        <v>898</v>
      </c>
    </row>
    <row r="1224" ht="15.75" customHeight="1">
      <c r="A1224" s="5" t="s">
        <v>1184</v>
      </c>
      <c r="B1224" s="6">
        <v>1000.0</v>
      </c>
      <c r="C1224" s="6">
        <v>2500.0</v>
      </c>
      <c r="D1224" s="11" t="b">
        <f t="shared" si="282"/>
        <v>1</v>
      </c>
      <c r="E1224" s="8" t="s">
        <v>898</v>
      </c>
    </row>
    <row r="1225" ht="15.75" customHeight="1">
      <c r="A1225" s="5" t="s">
        <v>1185</v>
      </c>
      <c r="B1225" s="6">
        <v>3500.0</v>
      </c>
      <c r="C1225" s="6">
        <v>5500.0</v>
      </c>
      <c r="D1225" s="11" t="b">
        <f t="shared" si="282"/>
        <v>1</v>
      </c>
      <c r="E1225" s="8" t="s">
        <v>898</v>
      </c>
    </row>
    <row r="1226" ht="15.75" customHeight="1">
      <c r="A1226" s="5" t="s">
        <v>1186</v>
      </c>
      <c r="B1226" s="6">
        <v>650.0</v>
      </c>
      <c r="C1226" s="6">
        <v>1300.0</v>
      </c>
      <c r="D1226" s="11" t="b">
        <f t="shared" si="282"/>
        <v>1</v>
      </c>
      <c r="E1226" s="8" t="s">
        <v>898</v>
      </c>
    </row>
    <row r="1227" ht="15.75" customHeight="1">
      <c r="A1227" s="5" t="s">
        <v>1187</v>
      </c>
      <c r="B1227" s="6">
        <v>1000.0</v>
      </c>
      <c r="C1227" s="6">
        <v>2000.0</v>
      </c>
      <c r="D1227" s="11" t="b">
        <f t="shared" si="282"/>
        <v>1</v>
      </c>
      <c r="E1227" s="8" t="s">
        <v>898</v>
      </c>
    </row>
    <row r="1228" ht="15.75" customHeight="1">
      <c r="A1228" s="9" t="s">
        <v>1188</v>
      </c>
      <c r="B1228" s="10">
        <v>1100.0</v>
      </c>
      <c r="C1228" s="10">
        <v>3000.0</v>
      </c>
      <c r="D1228" s="9" t="b">
        <f>false</f>
        <v>0</v>
      </c>
      <c r="E1228" s="8" t="s">
        <v>898</v>
      </c>
    </row>
    <row r="1229" ht="15.75" customHeight="1">
      <c r="A1229" s="5" t="s">
        <v>1189</v>
      </c>
      <c r="B1229" s="6">
        <v>1600.0</v>
      </c>
      <c r="C1229" s="6">
        <v>3500.0</v>
      </c>
      <c r="D1229" s="11" t="b">
        <f t="shared" ref="D1229:D1230" si="283">true</f>
        <v>1</v>
      </c>
      <c r="E1229" s="8" t="s">
        <v>898</v>
      </c>
    </row>
    <row r="1230" ht="15.75" customHeight="1">
      <c r="A1230" s="5" t="s">
        <v>1190</v>
      </c>
      <c r="B1230" s="6">
        <v>1900.0</v>
      </c>
      <c r="C1230" s="6">
        <v>4500.0</v>
      </c>
      <c r="D1230" s="11" t="b">
        <f t="shared" si="283"/>
        <v>1</v>
      </c>
      <c r="E1230" s="8" t="s">
        <v>898</v>
      </c>
    </row>
    <row r="1231" ht="15.75" customHeight="1">
      <c r="A1231" s="9" t="s">
        <v>1191</v>
      </c>
      <c r="B1231" s="10">
        <v>2000.0</v>
      </c>
      <c r="C1231" s="10">
        <v>4000.0</v>
      </c>
      <c r="D1231" s="9" t="b">
        <f>false</f>
        <v>0</v>
      </c>
      <c r="E1231" s="8" t="s">
        <v>898</v>
      </c>
    </row>
    <row r="1232" ht="15.75" customHeight="1">
      <c r="A1232" s="11" t="s">
        <v>1192</v>
      </c>
      <c r="B1232" s="12">
        <v>1900.0</v>
      </c>
      <c r="C1232" s="12">
        <v>4500.0</v>
      </c>
      <c r="D1232" s="11" t="b">
        <f>true</f>
        <v>1</v>
      </c>
      <c r="E1232" s="8" t="s">
        <v>898</v>
      </c>
    </row>
    <row r="1233" ht="15.75" customHeight="1">
      <c r="A1233" s="9" t="s">
        <v>1193</v>
      </c>
      <c r="B1233" s="10">
        <v>2000.0</v>
      </c>
      <c r="C1233" s="10">
        <v>5000.0</v>
      </c>
      <c r="D1233" s="9" t="b">
        <f>false</f>
        <v>0</v>
      </c>
      <c r="E1233" s="8" t="s">
        <v>898</v>
      </c>
    </row>
    <row r="1234" ht="15.75" customHeight="1">
      <c r="A1234" s="5" t="s">
        <v>1194</v>
      </c>
      <c r="B1234" s="6">
        <v>1500.0</v>
      </c>
      <c r="C1234" s="6">
        <v>3500.0</v>
      </c>
      <c r="D1234" s="11" t="b">
        <f t="shared" ref="D1234:D1236" si="284">true</f>
        <v>1</v>
      </c>
      <c r="E1234" s="8" t="s">
        <v>898</v>
      </c>
    </row>
    <row r="1235" ht="15.75" customHeight="1">
      <c r="A1235" s="5" t="s">
        <v>1195</v>
      </c>
      <c r="B1235" s="6">
        <v>6500.0</v>
      </c>
      <c r="C1235" s="6">
        <v>10000.0</v>
      </c>
      <c r="D1235" s="11" t="b">
        <f t="shared" si="284"/>
        <v>1</v>
      </c>
      <c r="E1235" s="8" t="s">
        <v>898</v>
      </c>
    </row>
    <row r="1236" ht="15.75" customHeight="1">
      <c r="A1236" s="11" t="s">
        <v>1196</v>
      </c>
      <c r="B1236" s="12">
        <v>700.0</v>
      </c>
      <c r="C1236" s="12">
        <v>1200.0</v>
      </c>
      <c r="D1236" s="11" t="b">
        <f t="shared" si="284"/>
        <v>1</v>
      </c>
      <c r="E1236" s="8" t="s">
        <v>898</v>
      </c>
    </row>
    <row r="1237" ht="15.75" customHeight="1">
      <c r="A1237" s="9" t="s">
        <v>1197</v>
      </c>
      <c r="B1237" s="10">
        <v>900.0</v>
      </c>
      <c r="C1237" s="10">
        <v>1500.0</v>
      </c>
      <c r="D1237" s="9" t="b">
        <f>false</f>
        <v>0</v>
      </c>
      <c r="E1237" s="8" t="s">
        <v>898</v>
      </c>
    </row>
    <row r="1238" ht="15.75" customHeight="1">
      <c r="A1238" s="5" t="s">
        <v>1198</v>
      </c>
      <c r="B1238" s="6">
        <v>800.0</v>
      </c>
      <c r="C1238" s="6">
        <v>1500.0</v>
      </c>
      <c r="D1238" s="11" t="b">
        <f t="shared" ref="D1238:D1240" si="285">true</f>
        <v>1</v>
      </c>
      <c r="E1238" s="8" t="s">
        <v>898</v>
      </c>
    </row>
    <row r="1239" ht="15.75" customHeight="1">
      <c r="A1239" s="5" t="s">
        <v>1199</v>
      </c>
      <c r="B1239" s="6">
        <v>206.0</v>
      </c>
      <c r="C1239" s="6">
        <v>1000.0</v>
      </c>
      <c r="D1239" s="11" t="b">
        <f t="shared" si="285"/>
        <v>1</v>
      </c>
      <c r="E1239" s="8" t="s">
        <v>898</v>
      </c>
    </row>
    <row r="1240" ht="15.75" customHeight="1">
      <c r="A1240" s="11" t="s">
        <v>1200</v>
      </c>
      <c r="B1240" s="6">
        <v>1800.0</v>
      </c>
      <c r="C1240" s="6">
        <v>2500.0</v>
      </c>
      <c r="D1240" s="11" t="b">
        <f t="shared" si="285"/>
        <v>1</v>
      </c>
      <c r="E1240" s="8" t="s">
        <v>898</v>
      </c>
    </row>
    <row r="1241" ht="15.75" customHeight="1">
      <c r="A1241" s="9" t="s">
        <v>1201</v>
      </c>
      <c r="B1241" s="10">
        <v>1500.0</v>
      </c>
      <c r="C1241" s="10">
        <v>2500.0</v>
      </c>
      <c r="D1241" s="9" t="b">
        <f>false</f>
        <v>0</v>
      </c>
      <c r="E1241" s="8" t="s">
        <v>898</v>
      </c>
    </row>
    <row r="1242" ht="15.75" customHeight="1">
      <c r="A1242" s="5" t="s">
        <v>1202</v>
      </c>
      <c r="B1242" s="6">
        <v>800.0</v>
      </c>
      <c r="C1242" s="6">
        <v>1500.0</v>
      </c>
      <c r="D1242" s="11" t="b">
        <f t="shared" ref="D1242:D1243" si="286">true</f>
        <v>1</v>
      </c>
      <c r="E1242" s="8" t="s">
        <v>898</v>
      </c>
    </row>
    <row r="1243" ht="15.75" customHeight="1">
      <c r="A1243" s="5" t="s">
        <v>1203</v>
      </c>
      <c r="B1243" s="6">
        <v>3500.0</v>
      </c>
      <c r="C1243" s="6">
        <v>6500.0</v>
      </c>
      <c r="D1243" s="11" t="b">
        <f t="shared" si="286"/>
        <v>1</v>
      </c>
      <c r="E1243" s="8" t="s">
        <v>898</v>
      </c>
    </row>
    <row r="1244" ht="15.75" customHeight="1">
      <c r="A1244" s="9" t="s">
        <v>1204</v>
      </c>
      <c r="B1244" s="10">
        <v>5000.0</v>
      </c>
      <c r="C1244" s="10">
        <v>8500.0</v>
      </c>
      <c r="D1244" s="9" t="b">
        <f>false</f>
        <v>0</v>
      </c>
      <c r="E1244" s="8" t="s">
        <v>898</v>
      </c>
    </row>
    <row r="1245" ht="15.75" customHeight="1">
      <c r="A1245" s="5" t="s">
        <v>1205</v>
      </c>
      <c r="B1245" s="6">
        <v>5000.0</v>
      </c>
      <c r="C1245" s="6">
        <v>9000.0</v>
      </c>
      <c r="D1245" s="11" t="b">
        <f t="shared" ref="D1245:D1249" si="287">true</f>
        <v>1</v>
      </c>
      <c r="E1245" s="8" t="s">
        <v>898</v>
      </c>
    </row>
    <row r="1246" ht="15.75" customHeight="1">
      <c r="A1246" s="5" t="s">
        <v>1206</v>
      </c>
      <c r="B1246" s="6">
        <v>1500.0</v>
      </c>
      <c r="C1246" s="6">
        <v>3500.0</v>
      </c>
      <c r="D1246" s="11" t="b">
        <f t="shared" si="287"/>
        <v>1</v>
      </c>
      <c r="E1246" s="8" t="s">
        <v>898</v>
      </c>
    </row>
    <row r="1247" ht="15.75" customHeight="1">
      <c r="A1247" s="5" t="s">
        <v>1207</v>
      </c>
      <c r="B1247" s="6">
        <v>1800.0</v>
      </c>
      <c r="C1247" s="6">
        <v>4000.0</v>
      </c>
      <c r="D1247" s="11" t="b">
        <f t="shared" si="287"/>
        <v>1</v>
      </c>
      <c r="E1247" s="8" t="s">
        <v>898</v>
      </c>
    </row>
    <row r="1248" ht="15.75" customHeight="1">
      <c r="A1248" s="5" t="s">
        <v>1208</v>
      </c>
      <c r="B1248" s="6">
        <v>2000.0</v>
      </c>
      <c r="C1248" s="6">
        <v>4000.0</v>
      </c>
      <c r="D1248" s="11" t="b">
        <f t="shared" si="287"/>
        <v>1</v>
      </c>
      <c r="E1248" s="8" t="s">
        <v>898</v>
      </c>
    </row>
    <row r="1249" ht="15.75" customHeight="1">
      <c r="A1249" s="5" t="s">
        <v>1209</v>
      </c>
      <c r="B1249" s="6">
        <v>1600.0</v>
      </c>
      <c r="C1249" s="6">
        <v>3500.0</v>
      </c>
      <c r="D1249" s="11" t="b">
        <f t="shared" si="287"/>
        <v>1</v>
      </c>
      <c r="E1249" s="8" t="s">
        <v>898</v>
      </c>
    </row>
    <row r="1250" ht="15.75" customHeight="1">
      <c r="A1250" s="9" t="s">
        <v>1210</v>
      </c>
      <c r="B1250" s="10">
        <v>1500.0</v>
      </c>
      <c r="C1250" s="10">
        <v>2000.0</v>
      </c>
      <c r="D1250" s="9" t="b">
        <f>false</f>
        <v>0</v>
      </c>
      <c r="E1250" s="8" t="s">
        <v>898</v>
      </c>
    </row>
    <row r="1251" ht="15.75" customHeight="1">
      <c r="A1251" s="5" t="s">
        <v>1211</v>
      </c>
      <c r="B1251" s="6">
        <v>250.0</v>
      </c>
      <c r="C1251" s="6">
        <v>600.0</v>
      </c>
      <c r="D1251" s="11" t="b">
        <f t="shared" ref="D1251:D1263" si="288">true</f>
        <v>1</v>
      </c>
      <c r="E1251" s="8" t="s">
        <v>898</v>
      </c>
    </row>
    <row r="1252" ht="15.75" customHeight="1">
      <c r="A1252" s="5" t="s">
        <v>1212</v>
      </c>
      <c r="B1252" s="6">
        <v>1000.0</v>
      </c>
      <c r="C1252" s="6">
        <v>2000.0</v>
      </c>
      <c r="D1252" s="11" t="b">
        <f t="shared" si="288"/>
        <v>1</v>
      </c>
      <c r="E1252" s="8" t="s">
        <v>898</v>
      </c>
    </row>
    <row r="1253" ht="15.75" customHeight="1">
      <c r="A1253" s="5" t="s">
        <v>1213</v>
      </c>
      <c r="B1253" s="6">
        <v>1200.0</v>
      </c>
      <c r="C1253" s="6">
        <v>2500.0</v>
      </c>
      <c r="D1253" s="11" t="b">
        <f t="shared" si="288"/>
        <v>1</v>
      </c>
      <c r="E1253" s="8" t="s">
        <v>898</v>
      </c>
    </row>
    <row r="1254" ht="15.75" customHeight="1">
      <c r="A1254" s="5" t="s">
        <v>1214</v>
      </c>
      <c r="B1254" s="6">
        <v>69.0</v>
      </c>
      <c r="C1254" s="6">
        <v>150.0</v>
      </c>
      <c r="D1254" s="11" t="b">
        <f t="shared" si="288"/>
        <v>1</v>
      </c>
      <c r="E1254" s="8" t="s">
        <v>898</v>
      </c>
    </row>
    <row r="1255" ht="15.75" customHeight="1">
      <c r="A1255" s="5" t="s">
        <v>1215</v>
      </c>
      <c r="B1255" s="6">
        <v>180.0</v>
      </c>
      <c r="C1255" s="6">
        <v>400.0</v>
      </c>
      <c r="D1255" s="11" t="b">
        <f t="shared" si="288"/>
        <v>1</v>
      </c>
      <c r="E1255" s="8" t="s">
        <v>898</v>
      </c>
    </row>
    <row r="1256" ht="15.75" customHeight="1">
      <c r="A1256" s="5" t="s">
        <v>1216</v>
      </c>
      <c r="B1256" s="6">
        <v>750.0</v>
      </c>
      <c r="C1256" s="6">
        <v>1800.0</v>
      </c>
      <c r="D1256" s="11" t="b">
        <f t="shared" si="288"/>
        <v>1</v>
      </c>
      <c r="E1256" s="8" t="s">
        <v>898</v>
      </c>
    </row>
    <row r="1257" ht="15.75" customHeight="1">
      <c r="A1257" s="5" t="s">
        <v>1217</v>
      </c>
      <c r="B1257" s="6">
        <v>500.0</v>
      </c>
      <c r="C1257" s="6">
        <v>1500.0</v>
      </c>
      <c r="D1257" s="11" t="b">
        <f t="shared" si="288"/>
        <v>1</v>
      </c>
      <c r="E1257" s="8" t="s">
        <v>898</v>
      </c>
    </row>
    <row r="1258" ht="15.75" customHeight="1">
      <c r="A1258" s="5" t="s">
        <v>1218</v>
      </c>
      <c r="B1258" s="6">
        <v>550.0</v>
      </c>
      <c r="C1258" s="6">
        <v>1500.0</v>
      </c>
      <c r="D1258" s="11" t="b">
        <f t="shared" si="288"/>
        <v>1</v>
      </c>
      <c r="E1258" s="8" t="s">
        <v>898</v>
      </c>
    </row>
    <row r="1259" ht="15.75" customHeight="1">
      <c r="A1259" s="5" t="s">
        <v>1219</v>
      </c>
      <c r="B1259" s="6">
        <v>400.0</v>
      </c>
      <c r="C1259" s="6">
        <v>1600.0</v>
      </c>
      <c r="D1259" s="11" t="b">
        <f t="shared" si="288"/>
        <v>1</v>
      </c>
      <c r="E1259" s="8" t="s">
        <v>898</v>
      </c>
    </row>
    <row r="1260" ht="15.75" customHeight="1">
      <c r="A1260" s="5" t="s">
        <v>1220</v>
      </c>
      <c r="B1260" s="6">
        <v>1100.0</v>
      </c>
      <c r="C1260" s="6">
        <v>2000.0</v>
      </c>
      <c r="D1260" s="11" t="b">
        <f t="shared" si="288"/>
        <v>1</v>
      </c>
      <c r="E1260" s="8" t="s">
        <v>898</v>
      </c>
    </row>
    <row r="1261" ht="15.75" customHeight="1">
      <c r="A1261" s="5" t="s">
        <v>1221</v>
      </c>
      <c r="B1261" s="6">
        <v>1000.0</v>
      </c>
      <c r="C1261" s="6">
        <v>2000.0</v>
      </c>
      <c r="D1261" s="11" t="b">
        <f t="shared" si="288"/>
        <v>1</v>
      </c>
      <c r="E1261" s="8" t="s">
        <v>898</v>
      </c>
    </row>
    <row r="1262" ht="15.75" customHeight="1">
      <c r="A1262" s="5" t="s">
        <v>1222</v>
      </c>
      <c r="B1262" s="6">
        <v>2990.0</v>
      </c>
      <c r="C1262" s="6">
        <v>5000.0</v>
      </c>
      <c r="D1262" s="11" t="b">
        <f t="shared" si="288"/>
        <v>1</v>
      </c>
      <c r="E1262" s="8" t="s">
        <v>898</v>
      </c>
    </row>
    <row r="1263" ht="15.75" customHeight="1">
      <c r="A1263" s="5" t="s">
        <v>1223</v>
      </c>
      <c r="B1263" s="6">
        <v>500.0</v>
      </c>
      <c r="C1263" s="6">
        <v>1200.0</v>
      </c>
      <c r="D1263" s="11" t="b">
        <f t="shared" si="288"/>
        <v>1</v>
      </c>
      <c r="E1263" s="8" t="s">
        <v>898</v>
      </c>
    </row>
    <row r="1264" ht="15.75" customHeight="1">
      <c r="A1264" s="9" t="s">
        <v>1224</v>
      </c>
      <c r="B1264" s="10">
        <v>1250.0</v>
      </c>
      <c r="C1264" s="10">
        <v>2200.0</v>
      </c>
      <c r="D1264" s="9" t="b">
        <f t="shared" ref="D1264:D1266" si="289">false</f>
        <v>0</v>
      </c>
      <c r="E1264" s="8" t="s">
        <v>898</v>
      </c>
    </row>
    <row r="1265" ht="15.75" customHeight="1">
      <c r="A1265" s="9" t="s">
        <v>1225</v>
      </c>
      <c r="B1265" s="10">
        <v>2100.0</v>
      </c>
      <c r="C1265" s="10">
        <v>3500.0</v>
      </c>
      <c r="D1265" s="9" t="b">
        <f t="shared" si="289"/>
        <v>0</v>
      </c>
      <c r="E1265" s="8" t="s">
        <v>898</v>
      </c>
    </row>
    <row r="1266" ht="15.75" customHeight="1">
      <c r="A1266" s="9" t="s">
        <v>1226</v>
      </c>
      <c r="B1266" s="10">
        <v>2100.0</v>
      </c>
      <c r="C1266" s="10">
        <v>3500.0</v>
      </c>
      <c r="D1266" s="9" t="b">
        <f t="shared" si="289"/>
        <v>0</v>
      </c>
      <c r="E1266" s="8" t="s">
        <v>898</v>
      </c>
    </row>
    <row r="1267" ht="15.75" customHeight="1">
      <c r="A1267" s="5" t="s">
        <v>1227</v>
      </c>
      <c r="B1267" s="6">
        <v>1600.0</v>
      </c>
      <c r="C1267" s="6">
        <v>3000.0</v>
      </c>
      <c r="D1267" s="11" t="b">
        <f>true</f>
        <v>1</v>
      </c>
      <c r="E1267" s="8" t="s">
        <v>898</v>
      </c>
    </row>
    <row r="1268" ht="15.75" customHeight="1">
      <c r="A1268" s="9" t="s">
        <v>1228</v>
      </c>
      <c r="B1268" s="10">
        <v>2100.0</v>
      </c>
      <c r="C1268" s="10">
        <v>3600.0</v>
      </c>
      <c r="D1268" s="9" t="b">
        <f>false</f>
        <v>0</v>
      </c>
      <c r="E1268" s="8" t="s">
        <v>898</v>
      </c>
    </row>
    <row r="1269" ht="15.75" customHeight="1">
      <c r="A1269" s="5" t="s">
        <v>1229</v>
      </c>
      <c r="B1269" s="6">
        <v>3000.0</v>
      </c>
      <c r="C1269" s="6">
        <v>5500.0</v>
      </c>
      <c r="D1269" s="11" t="b">
        <f t="shared" ref="D1269:D1273" si="290">true</f>
        <v>1</v>
      </c>
      <c r="E1269" s="8" t="s">
        <v>898</v>
      </c>
    </row>
    <row r="1270" ht="15.75" customHeight="1">
      <c r="A1270" s="5" t="s">
        <v>1230</v>
      </c>
      <c r="B1270" s="6">
        <v>3300.0</v>
      </c>
      <c r="C1270" s="6">
        <v>6000.0</v>
      </c>
      <c r="D1270" s="11" t="b">
        <f t="shared" si="290"/>
        <v>1</v>
      </c>
      <c r="E1270" s="8" t="s">
        <v>898</v>
      </c>
    </row>
    <row r="1271" ht="15.75" customHeight="1">
      <c r="A1271" s="5" t="s">
        <v>1231</v>
      </c>
      <c r="B1271" s="6">
        <v>3500.0</v>
      </c>
      <c r="C1271" s="6">
        <v>6000.0</v>
      </c>
      <c r="D1271" s="11" t="b">
        <f t="shared" si="290"/>
        <v>1</v>
      </c>
      <c r="E1271" s="8" t="s">
        <v>898</v>
      </c>
    </row>
    <row r="1272" ht="15.75" customHeight="1">
      <c r="A1272" s="5" t="s">
        <v>1232</v>
      </c>
      <c r="B1272" s="6">
        <v>700.0</v>
      </c>
      <c r="C1272" s="6">
        <v>1200.0</v>
      </c>
      <c r="D1272" s="11" t="b">
        <f t="shared" si="290"/>
        <v>1</v>
      </c>
      <c r="E1272" s="8" t="s">
        <v>898</v>
      </c>
    </row>
    <row r="1273" ht="15.75" customHeight="1">
      <c r="A1273" s="5" t="s">
        <v>1233</v>
      </c>
      <c r="B1273" s="6">
        <v>1090.0</v>
      </c>
      <c r="C1273" s="6">
        <v>2000.0</v>
      </c>
      <c r="D1273" s="11" t="b">
        <f t="shared" si="290"/>
        <v>1</v>
      </c>
      <c r="E1273" s="8" t="s">
        <v>898</v>
      </c>
    </row>
    <row r="1274" ht="15.75" customHeight="1">
      <c r="A1274" s="9" t="s">
        <v>1234</v>
      </c>
      <c r="B1274" s="10">
        <v>1000.0</v>
      </c>
      <c r="C1274" s="10">
        <v>2000.0</v>
      </c>
      <c r="D1274" s="9" t="b">
        <f>false</f>
        <v>0</v>
      </c>
      <c r="E1274" s="8" t="s">
        <v>898</v>
      </c>
    </row>
    <row r="1275" ht="15.75" customHeight="1">
      <c r="A1275" s="5" t="s">
        <v>1235</v>
      </c>
      <c r="B1275" s="6">
        <v>790.0</v>
      </c>
      <c r="C1275" s="6">
        <v>1500.0</v>
      </c>
      <c r="D1275" s="11" t="b">
        <f t="shared" ref="D1275:D1284" si="291">true</f>
        <v>1</v>
      </c>
      <c r="E1275" s="8" t="s">
        <v>898</v>
      </c>
    </row>
    <row r="1276" ht="15.75" customHeight="1">
      <c r="A1276" s="5" t="s">
        <v>1236</v>
      </c>
      <c r="B1276" s="6">
        <v>1790.0</v>
      </c>
      <c r="C1276" s="6">
        <v>2500.0</v>
      </c>
      <c r="D1276" s="11" t="b">
        <f t="shared" si="291"/>
        <v>1</v>
      </c>
      <c r="E1276" s="8" t="s">
        <v>898</v>
      </c>
    </row>
    <row r="1277" ht="15.75" customHeight="1">
      <c r="A1277" s="5" t="s">
        <v>1237</v>
      </c>
      <c r="B1277" s="6">
        <v>1500.0</v>
      </c>
      <c r="C1277" s="6">
        <v>3200.0</v>
      </c>
      <c r="D1277" s="11" t="b">
        <f t="shared" si="291"/>
        <v>1</v>
      </c>
      <c r="E1277" s="8" t="s">
        <v>898</v>
      </c>
    </row>
    <row r="1278" ht="15.75" customHeight="1">
      <c r="A1278" s="5" t="s">
        <v>1238</v>
      </c>
      <c r="B1278" s="6">
        <v>850.0</v>
      </c>
      <c r="C1278" s="6">
        <v>1500.0</v>
      </c>
      <c r="D1278" s="11" t="b">
        <f t="shared" si="291"/>
        <v>1</v>
      </c>
      <c r="E1278" s="8" t="s">
        <v>898</v>
      </c>
    </row>
    <row r="1279" ht="15.75" customHeight="1">
      <c r="A1279" s="5" t="s">
        <v>1239</v>
      </c>
      <c r="B1279" s="6">
        <v>500.0</v>
      </c>
      <c r="C1279" s="6">
        <v>1500.0</v>
      </c>
      <c r="D1279" s="11" t="b">
        <f t="shared" si="291"/>
        <v>1</v>
      </c>
      <c r="E1279" s="8" t="s">
        <v>898</v>
      </c>
    </row>
    <row r="1280" ht="15.75" customHeight="1">
      <c r="A1280" s="5" t="s">
        <v>1240</v>
      </c>
      <c r="B1280" s="6">
        <v>800.0</v>
      </c>
      <c r="C1280" s="6">
        <v>2000.0</v>
      </c>
      <c r="D1280" s="11" t="b">
        <f t="shared" si="291"/>
        <v>1</v>
      </c>
      <c r="E1280" s="8" t="s">
        <v>898</v>
      </c>
    </row>
    <row r="1281" ht="15.75" customHeight="1">
      <c r="A1281" s="5" t="s">
        <v>1241</v>
      </c>
      <c r="B1281" s="6">
        <v>1000.0</v>
      </c>
      <c r="C1281" s="6">
        <v>3000.0</v>
      </c>
      <c r="D1281" s="11" t="b">
        <f t="shared" si="291"/>
        <v>1</v>
      </c>
      <c r="E1281" s="8" t="s">
        <v>898</v>
      </c>
    </row>
    <row r="1282" ht="15.75" customHeight="1">
      <c r="A1282" s="5" t="s">
        <v>1242</v>
      </c>
      <c r="B1282" s="6">
        <v>2900.0</v>
      </c>
      <c r="C1282" s="6">
        <v>4700.0</v>
      </c>
      <c r="D1282" s="11" t="b">
        <f t="shared" si="291"/>
        <v>1</v>
      </c>
      <c r="E1282" s="8" t="s">
        <v>898</v>
      </c>
    </row>
    <row r="1283" ht="15.75" customHeight="1">
      <c r="A1283" s="5" t="s">
        <v>1243</v>
      </c>
      <c r="B1283" s="6">
        <v>5390.0</v>
      </c>
      <c r="C1283" s="6">
        <v>9000.0</v>
      </c>
      <c r="D1283" s="11" t="b">
        <f t="shared" si="291"/>
        <v>1</v>
      </c>
      <c r="E1283" s="8" t="s">
        <v>898</v>
      </c>
    </row>
    <row r="1284" ht="15.75" customHeight="1">
      <c r="A1284" s="5" t="s">
        <v>1244</v>
      </c>
      <c r="B1284" s="6">
        <v>450.0</v>
      </c>
      <c r="C1284" s="6">
        <v>1000.0</v>
      </c>
      <c r="D1284" s="11" t="b">
        <f t="shared" si="291"/>
        <v>1</v>
      </c>
      <c r="E1284" s="8" t="s">
        <v>898</v>
      </c>
    </row>
    <row r="1285" ht="15.75" customHeight="1">
      <c r="A1285" s="9" t="s">
        <v>1245</v>
      </c>
      <c r="B1285" s="10">
        <v>375.0</v>
      </c>
      <c r="C1285" s="10">
        <v>1000.0</v>
      </c>
      <c r="D1285" s="9" t="b">
        <f>false</f>
        <v>0</v>
      </c>
      <c r="E1285" s="8" t="s">
        <v>898</v>
      </c>
    </row>
    <row r="1286" ht="15.75" customHeight="1">
      <c r="A1286" s="5" t="s">
        <v>1246</v>
      </c>
      <c r="B1286" s="6">
        <v>600.0</v>
      </c>
      <c r="C1286" s="6">
        <v>3000.0</v>
      </c>
      <c r="D1286" s="11" t="b">
        <f t="shared" ref="D1286:D1287" si="292">true</f>
        <v>1</v>
      </c>
      <c r="E1286" s="8" t="s">
        <v>898</v>
      </c>
    </row>
    <row r="1287" ht="15.75" customHeight="1">
      <c r="A1287" s="5" t="s">
        <v>1247</v>
      </c>
      <c r="B1287" s="6">
        <v>650.0</v>
      </c>
      <c r="C1287" s="6">
        <v>2000.0</v>
      </c>
      <c r="D1287" s="11" t="b">
        <f t="shared" si="292"/>
        <v>1</v>
      </c>
      <c r="E1287" s="8" t="s">
        <v>898</v>
      </c>
    </row>
    <row r="1288" ht="15.75" customHeight="1">
      <c r="A1288" s="9" t="s">
        <v>1248</v>
      </c>
      <c r="B1288" s="10">
        <v>2750.0</v>
      </c>
      <c r="C1288" s="10">
        <v>6000.0</v>
      </c>
      <c r="D1288" s="9" t="b">
        <f>false</f>
        <v>0</v>
      </c>
      <c r="E1288" s="8" t="s">
        <v>898</v>
      </c>
    </row>
    <row r="1289" ht="15.75" customHeight="1">
      <c r="A1289" s="11" t="s">
        <v>1249</v>
      </c>
      <c r="B1289" s="12">
        <v>2000.0</v>
      </c>
      <c r="C1289" s="12">
        <v>3800.0</v>
      </c>
      <c r="D1289" s="11" t="b">
        <f t="shared" ref="D1289:D1298" si="293">true</f>
        <v>1</v>
      </c>
      <c r="E1289" s="8" t="s">
        <v>898</v>
      </c>
    </row>
    <row r="1290" ht="15.75" customHeight="1">
      <c r="A1290" s="11" t="s">
        <v>1250</v>
      </c>
      <c r="B1290" s="12">
        <v>2000.0</v>
      </c>
      <c r="C1290" s="12">
        <v>4500.0</v>
      </c>
      <c r="D1290" s="11" t="b">
        <f t="shared" si="293"/>
        <v>1</v>
      </c>
      <c r="E1290" s="8" t="s">
        <v>898</v>
      </c>
    </row>
    <row r="1291" ht="15.75" customHeight="1">
      <c r="A1291" s="11" t="s">
        <v>1251</v>
      </c>
      <c r="B1291" s="12">
        <v>1900.0</v>
      </c>
      <c r="C1291" s="12">
        <v>3500.0</v>
      </c>
      <c r="D1291" s="11" t="b">
        <f t="shared" si="293"/>
        <v>1</v>
      </c>
      <c r="E1291" s="8" t="s">
        <v>898</v>
      </c>
    </row>
    <row r="1292" ht="15.75" customHeight="1">
      <c r="A1292" s="11" t="s">
        <v>1252</v>
      </c>
      <c r="B1292" s="12">
        <v>2500.0</v>
      </c>
      <c r="C1292" s="12">
        <v>4500.0</v>
      </c>
      <c r="D1292" s="11" t="b">
        <f t="shared" si="293"/>
        <v>1</v>
      </c>
      <c r="E1292" s="8" t="s">
        <v>898</v>
      </c>
    </row>
    <row r="1293" ht="15.75" customHeight="1">
      <c r="A1293" s="11" t="s">
        <v>1253</v>
      </c>
      <c r="B1293" s="12">
        <v>3000.0</v>
      </c>
      <c r="C1293" s="12">
        <v>5500.0</v>
      </c>
      <c r="D1293" s="11" t="b">
        <f t="shared" si="293"/>
        <v>1</v>
      </c>
      <c r="E1293" s="8" t="s">
        <v>898</v>
      </c>
    </row>
    <row r="1294" ht="15.75" customHeight="1">
      <c r="A1294" s="5" t="s">
        <v>1254</v>
      </c>
      <c r="B1294" s="6">
        <v>800.0</v>
      </c>
      <c r="C1294" s="6">
        <v>1500.0</v>
      </c>
      <c r="D1294" s="11" t="b">
        <f t="shared" si="293"/>
        <v>1</v>
      </c>
      <c r="E1294" s="8" t="s">
        <v>898</v>
      </c>
    </row>
    <row r="1295" ht="15.75" customHeight="1">
      <c r="A1295" s="5" t="s">
        <v>1255</v>
      </c>
      <c r="B1295" s="6">
        <v>500.0</v>
      </c>
      <c r="C1295" s="6">
        <v>1500.0</v>
      </c>
      <c r="D1295" s="11" t="b">
        <f t="shared" si="293"/>
        <v>1</v>
      </c>
      <c r="E1295" s="8" t="s">
        <v>898</v>
      </c>
    </row>
    <row r="1296" ht="15.75" customHeight="1">
      <c r="A1296" s="5" t="s">
        <v>1256</v>
      </c>
      <c r="B1296" s="6">
        <v>2500.0</v>
      </c>
      <c r="C1296" s="6">
        <v>5500.0</v>
      </c>
      <c r="D1296" s="11" t="b">
        <f t="shared" si="293"/>
        <v>1</v>
      </c>
      <c r="E1296" s="8" t="s">
        <v>898</v>
      </c>
    </row>
    <row r="1297" ht="15.75" customHeight="1">
      <c r="A1297" s="5" t="s">
        <v>1257</v>
      </c>
      <c r="B1297" s="6">
        <v>3500.0</v>
      </c>
      <c r="C1297" s="6">
        <v>5800.0</v>
      </c>
      <c r="D1297" s="11" t="b">
        <f t="shared" si="293"/>
        <v>1</v>
      </c>
      <c r="E1297" s="8" t="s">
        <v>898</v>
      </c>
    </row>
    <row r="1298" ht="15.75" customHeight="1">
      <c r="A1298" s="5" t="s">
        <v>1258</v>
      </c>
      <c r="B1298" s="6">
        <v>1000.0</v>
      </c>
      <c r="C1298" s="6">
        <v>2000.0</v>
      </c>
      <c r="D1298" s="11" t="b">
        <f t="shared" si="293"/>
        <v>1</v>
      </c>
      <c r="E1298" s="8" t="s">
        <v>898</v>
      </c>
    </row>
    <row r="1299" ht="15.75" customHeight="1">
      <c r="A1299" s="9" t="s">
        <v>1259</v>
      </c>
      <c r="B1299" s="10">
        <v>4500.0</v>
      </c>
      <c r="C1299" s="10">
        <v>6000.0</v>
      </c>
      <c r="D1299" s="9" t="b">
        <f t="shared" ref="D1299:D1304" si="294">false</f>
        <v>0</v>
      </c>
      <c r="E1299" s="8" t="s">
        <v>1260</v>
      </c>
    </row>
    <row r="1300" ht="15.75" customHeight="1">
      <c r="A1300" s="9" t="s">
        <v>1261</v>
      </c>
      <c r="B1300" s="10">
        <v>4500.0</v>
      </c>
      <c r="C1300" s="10">
        <v>6000.0</v>
      </c>
      <c r="D1300" s="9" t="b">
        <f t="shared" si="294"/>
        <v>0</v>
      </c>
      <c r="E1300" s="8" t="s">
        <v>1260</v>
      </c>
    </row>
    <row r="1301" ht="15.75" customHeight="1">
      <c r="A1301" s="9" t="s">
        <v>1262</v>
      </c>
      <c r="B1301" s="10">
        <v>4500.0</v>
      </c>
      <c r="C1301" s="10">
        <v>6000.0</v>
      </c>
      <c r="D1301" s="9" t="b">
        <f t="shared" si="294"/>
        <v>0</v>
      </c>
      <c r="E1301" s="8" t="s">
        <v>1260</v>
      </c>
    </row>
    <row r="1302" ht="15.75" customHeight="1">
      <c r="A1302" s="9" t="s">
        <v>1263</v>
      </c>
      <c r="B1302" s="10">
        <v>4500.0</v>
      </c>
      <c r="C1302" s="10">
        <v>6000.0</v>
      </c>
      <c r="D1302" s="9" t="b">
        <f t="shared" si="294"/>
        <v>0</v>
      </c>
      <c r="E1302" s="8" t="s">
        <v>1260</v>
      </c>
    </row>
    <row r="1303" ht="15.75" customHeight="1">
      <c r="A1303" s="9" t="s">
        <v>1264</v>
      </c>
      <c r="B1303" s="10">
        <v>4500.0</v>
      </c>
      <c r="C1303" s="10">
        <v>6000.0</v>
      </c>
      <c r="D1303" s="9" t="b">
        <f t="shared" si="294"/>
        <v>0</v>
      </c>
      <c r="E1303" s="8" t="s">
        <v>1260</v>
      </c>
    </row>
    <row r="1304" ht="15.75" customHeight="1">
      <c r="A1304" s="9" t="s">
        <v>1265</v>
      </c>
      <c r="B1304" s="10">
        <v>4500.0</v>
      </c>
      <c r="C1304" s="10">
        <v>6000.0</v>
      </c>
      <c r="D1304" s="9" t="b">
        <f t="shared" si="294"/>
        <v>0</v>
      </c>
      <c r="E1304" s="8" t="s">
        <v>1260</v>
      </c>
    </row>
    <row r="1305" ht="15.75" customHeight="1">
      <c r="A1305" s="5" t="s">
        <v>1266</v>
      </c>
      <c r="B1305" s="6">
        <v>3000.0</v>
      </c>
      <c r="C1305" s="6">
        <v>4500.0</v>
      </c>
      <c r="D1305" s="11" t="b">
        <f t="shared" ref="D1305:D1309" si="295">true</f>
        <v>1</v>
      </c>
      <c r="E1305" s="8" t="s">
        <v>1260</v>
      </c>
    </row>
    <row r="1306" ht="15.75" customHeight="1">
      <c r="A1306" s="5" t="s">
        <v>1267</v>
      </c>
      <c r="B1306" s="6">
        <v>4500.0</v>
      </c>
      <c r="C1306" s="6">
        <v>6000.0</v>
      </c>
      <c r="D1306" s="11" t="b">
        <f t="shared" si="295"/>
        <v>1</v>
      </c>
      <c r="E1306" s="8" t="s">
        <v>1260</v>
      </c>
    </row>
    <row r="1307" ht="15.75" customHeight="1">
      <c r="A1307" s="7" t="s">
        <v>1268</v>
      </c>
      <c r="B1307" s="6">
        <v>5000.0</v>
      </c>
      <c r="C1307" s="6">
        <v>6500.0</v>
      </c>
      <c r="D1307" s="11" t="b">
        <f t="shared" si="295"/>
        <v>1</v>
      </c>
      <c r="E1307" s="8" t="s">
        <v>1260</v>
      </c>
    </row>
    <row r="1308" ht="15.75" customHeight="1">
      <c r="A1308" s="7" t="s">
        <v>1269</v>
      </c>
      <c r="B1308" s="6">
        <v>5000.0</v>
      </c>
      <c r="C1308" s="6">
        <v>6500.0</v>
      </c>
      <c r="D1308" s="11" t="b">
        <f t="shared" si="295"/>
        <v>1</v>
      </c>
      <c r="E1308" s="8" t="s">
        <v>1260</v>
      </c>
    </row>
    <row r="1309" ht="15.75" customHeight="1">
      <c r="A1309" s="5" t="s">
        <v>1270</v>
      </c>
      <c r="B1309" s="6">
        <v>4500.0</v>
      </c>
      <c r="C1309" s="6">
        <v>6500.0</v>
      </c>
      <c r="D1309" s="11" t="b">
        <f t="shared" si="295"/>
        <v>1</v>
      </c>
      <c r="E1309" s="8" t="s">
        <v>1260</v>
      </c>
    </row>
    <row r="1310" ht="15.75" customHeight="1">
      <c r="A1310" s="9" t="s">
        <v>1271</v>
      </c>
      <c r="B1310" s="10">
        <v>4500.0</v>
      </c>
      <c r="C1310" s="10">
        <v>6500.0</v>
      </c>
      <c r="D1310" s="9" t="b">
        <f t="shared" ref="D1310:D1311" si="296">false</f>
        <v>0</v>
      </c>
      <c r="E1310" s="8" t="s">
        <v>1260</v>
      </c>
    </row>
    <row r="1311" ht="15.75" customHeight="1">
      <c r="A1311" s="9" t="s">
        <v>1272</v>
      </c>
      <c r="B1311" s="10">
        <v>3500.0</v>
      </c>
      <c r="C1311" s="10">
        <v>6500.0</v>
      </c>
      <c r="D1311" s="9" t="b">
        <f t="shared" si="296"/>
        <v>0</v>
      </c>
      <c r="E1311" s="8" t="s">
        <v>1260</v>
      </c>
    </row>
    <row r="1312" ht="15.75" customHeight="1">
      <c r="A1312" s="5" t="s">
        <v>1273</v>
      </c>
      <c r="B1312" s="6">
        <v>1300.0</v>
      </c>
      <c r="C1312" s="6">
        <v>2000.0</v>
      </c>
      <c r="D1312" s="11" t="b">
        <f t="shared" ref="D1312:D1319" si="297">true</f>
        <v>1</v>
      </c>
      <c r="E1312" s="8" t="s">
        <v>1260</v>
      </c>
    </row>
    <row r="1313" ht="15.75" customHeight="1">
      <c r="A1313" s="7" t="s">
        <v>1274</v>
      </c>
      <c r="B1313" s="6">
        <v>3000.0</v>
      </c>
      <c r="C1313" s="6">
        <v>4500.0</v>
      </c>
      <c r="D1313" s="11" t="b">
        <f t="shared" si="297"/>
        <v>1</v>
      </c>
      <c r="E1313" s="8" t="s">
        <v>1260</v>
      </c>
    </row>
    <row r="1314" ht="15.75" customHeight="1">
      <c r="A1314" s="7" t="s">
        <v>1275</v>
      </c>
      <c r="B1314" s="6">
        <v>3000.0</v>
      </c>
      <c r="C1314" s="6">
        <v>5000.0</v>
      </c>
      <c r="D1314" s="11" t="b">
        <f t="shared" si="297"/>
        <v>1</v>
      </c>
      <c r="E1314" s="8" t="s">
        <v>1260</v>
      </c>
    </row>
    <row r="1315" ht="15.75" customHeight="1">
      <c r="A1315" s="5" t="s">
        <v>1276</v>
      </c>
      <c r="B1315" s="6">
        <v>3500.0</v>
      </c>
      <c r="C1315" s="6">
        <v>5000.0</v>
      </c>
      <c r="D1315" s="11" t="b">
        <f t="shared" si="297"/>
        <v>1</v>
      </c>
      <c r="E1315" s="8" t="s">
        <v>1260</v>
      </c>
    </row>
    <row r="1316" ht="15.75" customHeight="1">
      <c r="A1316" s="7" t="s">
        <v>1277</v>
      </c>
      <c r="B1316" s="6">
        <v>7000.0</v>
      </c>
      <c r="C1316" s="6">
        <v>10000.0</v>
      </c>
      <c r="D1316" s="11" t="b">
        <f t="shared" si="297"/>
        <v>1</v>
      </c>
      <c r="E1316" s="8" t="s">
        <v>1278</v>
      </c>
    </row>
    <row r="1317" ht="15.75" customHeight="1">
      <c r="A1317" s="7" t="s">
        <v>1279</v>
      </c>
      <c r="B1317" s="6">
        <v>5000.0</v>
      </c>
      <c r="C1317" s="6">
        <v>8000.0</v>
      </c>
      <c r="D1317" s="11" t="b">
        <f t="shared" si="297"/>
        <v>1</v>
      </c>
      <c r="E1317" s="8" t="s">
        <v>1278</v>
      </c>
    </row>
    <row r="1318" ht="15.75" customHeight="1">
      <c r="A1318" s="7" t="s">
        <v>1280</v>
      </c>
      <c r="B1318" s="6">
        <v>4000.0</v>
      </c>
      <c r="C1318" s="6">
        <v>6000.0</v>
      </c>
      <c r="D1318" s="11" t="b">
        <f t="shared" si="297"/>
        <v>1</v>
      </c>
      <c r="E1318" s="8" t="s">
        <v>1278</v>
      </c>
    </row>
    <row r="1319" ht="15.75" customHeight="1">
      <c r="A1319" s="7" t="s">
        <v>1281</v>
      </c>
      <c r="B1319" s="6">
        <v>6000.0</v>
      </c>
      <c r="C1319" s="6">
        <v>8000.0</v>
      </c>
      <c r="D1319" s="11" t="b">
        <f t="shared" si="297"/>
        <v>1</v>
      </c>
      <c r="E1319" s="8" t="s">
        <v>1278</v>
      </c>
    </row>
    <row r="1320" ht="15.75" customHeight="1">
      <c r="A1320" s="9" t="s">
        <v>1282</v>
      </c>
      <c r="B1320" s="10">
        <v>292.0</v>
      </c>
      <c r="C1320" s="10">
        <v>500.0</v>
      </c>
      <c r="D1320" s="9" t="b">
        <f t="shared" ref="D1320:D1321" si="298">false</f>
        <v>0</v>
      </c>
      <c r="E1320" s="8" t="s">
        <v>1278</v>
      </c>
    </row>
    <row r="1321" ht="15.75" customHeight="1">
      <c r="A1321" s="9" t="s">
        <v>1283</v>
      </c>
      <c r="B1321" s="10">
        <v>100.0</v>
      </c>
      <c r="C1321" s="10">
        <v>100.0</v>
      </c>
      <c r="D1321" s="9" t="b">
        <f t="shared" si="298"/>
        <v>0</v>
      </c>
      <c r="E1321" s="8" t="s">
        <v>1278</v>
      </c>
    </row>
    <row r="1322" ht="15.75" customHeight="1">
      <c r="A1322" s="9" t="s">
        <v>1284</v>
      </c>
      <c r="B1322" s="6">
        <v>5000.0</v>
      </c>
      <c r="C1322" s="6">
        <v>12000.0</v>
      </c>
      <c r="D1322" s="11" t="b">
        <f>true</f>
        <v>1</v>
      </c>
      <c r="E1322" s="8" t="s">
        <v>1285</v>
      </c>
    </row>
    <row r="1323" ht="15.75" customHeight="1">
      <c r="A1323" s="9" t="s">
        <v>1286</v>
      </c>
      <c r="B1323" s="10">
        <v>5500.0</v>
      </c>
      <c r="C1323" s="10">
        <v>8500.0</v>
      </c>
      <c r="D1323" s="9" t="b">
        <f t="shared" ref="D1323:D1324" si="299">false</f>
        <v>0</v>
      </c>
      <c r="E1323" s="8" t="s">
        <v>1285</v>
      </c>
    </row>
    <row r="1324" ht="15.75" customHeight="1">
      <c r="A1324" s="9" t="s">
        <v>1286</v>
      </c>
      <c r="B1324" s="10">
        <v>3450.0</v>
      </c>
      <c r="C1324" s="10">
        <v>6000.0</v>
      </c>
      <c r="D1324" s="9" t="b">
        <f t="shared" si="299"/>
        <v>0</v>
      </c>
      <c r="E1324" s="8" t="s">
        <v>1285</v>
      </c>
    </row>
    <row r="1325" ht="15.75" customHeight="1">
      <c r="A1325" s="11" t="s">
        <v>1287</v>
      </c>
      <c r="B1325" s="12">
        <v>2800.0</v>
      </c>
      <c r="C1325" s="12">
        <v>6000.0</v>
      </c>
      <c r="D1325" s="11" t="b">
        <f t="shared" ref="D1325:D1326" si="300">true</f>
        <v>1</v>
      </c>
      <c r="E1325" s="8" t="s">
        <v>1285</v>
      </c>
    </row>
    <row r="1326" ht="15.75" customHeight="1">
      <c r="A1326" s="11" t="s">
        <v>1288</v>
      </c>
      <c r="B1326" s="12">
        <v>3000.0</v>
      </c>
      <c r="C1326" s="12">
        <v>6500.0</v>
      </c>
      <c r="D1326" s="11" t="b">
        <f t="shared" si="300"/>
        <v>1</v>
      </c>
      <c r="E1326" s="8" t="s">
        <v>1285</v>
      </c>
    </row>
    <row r="1327" ht="15.75" customHeight="1">
      <c r="A1327" s="9" t="s">
        <v>1289</v>
      </c>
      <c r="B1327" s="10">
        <v>5500.0</v>
      </c>
      <c r="C1327" s="10">
        <v>7000.0</v>
      </c>
      <c r="D1327" s="9" t="b">
        <f t="shared" ref="D1327:D1328" si="301">false</f>
        <v>0</v>
      </c>
      <c r="E1327" s="8" t="s">
        <v>1285</v>
      </c>
    </row>
    <row r="1328" ht="15.75" customHeight="1">
      <c r="A1328" s="9" t="s">
        <v>1290</v>
      </c>
      <c r="B1328" s="10">
        <v>5900.0</v>
      </c>
      <c r="C1328" s="10">
        <v>8500.0</v>
      </c>
      <c r="D1328" s="9" t="b">
        <f t="shared" si="301"/>
        <v>0</v>
      </c>
      <c r="E1328" s="8" t="s">
        <v>1285</v>
      </c>
    </row>
    <row r="1329" ht="15.75" customHeight="1">
      <c r="A1329" s="11" t="s">
        <v>1291</v>
      </c>
      <c r="B1329" s="12">
        <v>2800.0</v>
      </c>
      <c r="C1329" s="12">
        <v>6500.0</v>
      </c>
      <c r="D1329" s="11" t="b">
        <f t="shared" ref="D1329:D1331" si="302">true</f>
        <v>1</v>
      </c>
      <c r="E1329" s="8" t="s">
        <v>1285</v>
      </c>
    </row>
    <row r="1330" ht="15.75" customHeight="1">
      <c r="A1330" s="5" t="s">
        <v>1292</v>
      </c>
      <c r="B1330" s="6">
        <v>5500.0</v>
      </c>
      <c r="C1330" s="6">
        <v>8000.0</v>
      </c>
      <c r="D1330" s="11" t="b">
        <f t="shared" si="302"/>
        <v>1</v>
      </c>
      <c r="E1330" s="8" t="s">
        <v>1285</v>
      </c>
    </row>
    <row r="1331" ht="15.75" customHeight="1">
      <c r="A1331" s="5" t="s">
        <v>1293</v>
      </c>
      <c r="B1331" s="6">
        <v>5950.0</v>
      </c>
      <c r="C1331" s="6">
        <v>8500.0</v>
      </c>
      <c r="D1331" s="11" t="b">
        <f t="shared" si="302"/>
        <v>1</v>
      </c>
      <c r="E1331" s="8" t="s">
        <v>1285</v>
      </c>
    </row>
    <row r="1332" ht="15.75" customHeight="1">
      <c r="A1332" s="9" t="s">
        <v>1294</v>
      </c>
      <c r="B1332" s="10">
        <v>8500.0</v>
      </c>
      <c r="C1332" s="10">
        <v>12000.0</v>
      </c>
      <c r="D1332" s="9" t="b">
        <f t="shared" ref="D1332:D1333" si="303">false</f>
        <v>0</v>
      </c>
      <c r="E1332" s="8" t="s">
        <v>1285</v>
      </c>
    </row>
    <row r="1333" ht="15.75" customHeight="1">
      <c r="A1333" s="9" t="s">
        <v>1295</v>
      </c>
      <c r="B1333" s="10">
        <v>3450.0</v>
      </c>
      <c r="C1333" s="10">
        <v>6000.0</v>
      </c>
      <c r="D1333" s="9" t="b">
        <f t="shared" si="303"/>
        <v>0</v>
      </c>
      <c r="E1333" s="8" t="s">
        <v>1285</v>
      </c>
    </row>
    <row r="1334" ht="15.75" customHeight="1">
      <c r="A1334" s="11" t="s">
        <v>1296</v>
      </c>
      <c r="B1334" s="12">
        <v>2500.0</v>
      </c>
      <c r="C1334" s="12">
        <v>6000.0</v>
      </c>
      <c r="D1334" s="11" t="b">
        <f t="shared" ref="D1334:D1339" si="304">true</f>
        <v>1</v>
      </c>
      <c r="E1334" s="8" t="s">
        <v>1285</v>
      </c>
    </row>
    <row r="1335" ht="15.75" customHeight="1">
      <c r="A1335" s="5" t="s">
        <v>1297</v>
      </c>
      <c r="B1335" s="6">
        <v>2990.0</v>
      </c>
      <c r="C1335" s="6">
        <v>6500.0</v>
      </c>
      <c r="D1335" s="11" t="b">
        <f t="shared" si="304"/>
        <v>1</v>
      </c>
      <c r="E1335" s="8" t="s">
        <v>1285</v>
      </c>
    </row>
    <row r="1336" ht="15.75" customHeight="1">
      <c r="A1336" s="5" t="s">
        <v>1298</v>
      </c>
      <c r="B1336" s="6">
        <v>3500.0</v>
      </c>
      <c r="C1336" s="6">
        <v>6500.0</v>
      </c>
      <c r="D1336" s="11" t="b">
        <f t="shared" si="304"/>
        <v>1</v>
      </c>
      <c r="E1336" s="8" t="s">
        <v>1285</v>
      </c>
    </row>
    <row r="1337" ht="15.75" customHeight="1">
      <c r="A1337" s="5" t="s">
        <v>1299</v>
      </c>
      <c r="B1337" s="6">
        <v>3500.0</v>
      </c>
      <c r="C1337" s="6">
        <v>6500.0</v>
      </c>
      <c r="D1337" s="11" t="b">
        <f t="shared" si="304"/>
        <v>1</v>
      </c>
      <c r="E1337" s="8" t="s">
        <v>1285</v>
      </c>
    </row>
    <row r="1338" ht="15.75" customHeight="1">
      <c r="A1338" s="5" t="s">
        <v>1300</v>
      </c>
      <c r="B1338" s="6">
        <v>600.0</v>
      </c>
      <c r="C1338" s="6">
        <v>1500.0</v>
      </c>
      <c r="D1338" s="11" t="b">
        <f t="shared" si="304"/>
        <v>1</v>
      </c>
      <c r="E1338" s="8" t="s">
        <v>1285</v>
      </c>
    </row>
    <row r="1339" ht="15.75" customHeight="1">
      <c r="A1339" s="5" t="s">
        <v>1300</v>
      </c>
      <c r="B1339" s="6">
        <v>525.0</v>
      </c>
      <c r="C1339" s="6">
        <v>1500.0</v>
      </c>
      <c r="D1339" s="11" t="b">
        <f t="shared" si="304"/>
        <v>1</v>
      </c>
      <c r="E1339" s="8" t="s">
        <v>1285</v>
      </c>
    </row>
    <row r="1340" ht="15.75" customHeight="1">
      <c r="A1340" s="9" t="s">
        <v>1301</v>
      </c>
      <c r="B1340" s="10">
        <v>690.0</v>
      </c>
      <c r="C1340" s="10">
        <v>1600.0</v>
      </c>
      <c r="D1340" s="9" t="b">
        <f t="shared" ref="D1340:D1341" si="305">false</f>
        <v>0</v>
      </c>
      <c r="E1340" s="8" t="s">
        <v>1285</v>
      </c>
    </row>
    <row r="1341" ht="15.75" customHeight="1">
      <c r="A1341" s="9" t="s">
        <v>1302</v>
      </c>
      <c r="B1341" s="10">
        <v>3700.0</v>
      </c>
      <c r="C1341" s="10">
        <v>6500.0</v>
      </c>
      <c r="D1341" s="9" t="b">
        <f t="shared" si="305"/>
        <v>0</v>
      </c>
      <c r="E1341" s="8" t="s">
        <v>1285</v>
      </c>
    </row>
    <row r="1342" ht="15.75" customHeight="1">
      <c r="A1342" s="5" t="s">
        <v>1303</v>
      </c>
      <c r="B1342" s="6">
        <v>3500.0</v>
      </c>
      <c r="C1342" s="6">
        <v>6500.0</v>
      </c>
      <c r="D1342" s="11" t="b">
        <f t="shared" ref="D1342:D1346" si="306">true</f>
        <v>1</v>
      </c>
      <c r="E1342" s="8" t="s">
        <v>1285</v>
      </c>
    </row>
    <row r="1343" ht="15.75" customHeight="1">
      <c r="A1343" s="5" t="s">
        <v>1304</v>
      </c>
      <c r="B1343" s="6">
        <v>4850.0</v>
      </c>
      <c r="C1343" s="6">
        <v>7500.0</v>
      </c>
      <c r="D1343" s="11" t="b">
        <f t="shared" si="306"/>
        <v>1</v>
      </c>
      <c r="E1343" s="8" t="s">
        <v>1285</v>
      </c>
    </row>
    <row r="1344" ht="15.75" customHeight="1">
      <c r="A1344" s="5" t="s">
        <v>1305</v>
      </c>
      <c r="B1344" s="6">
        <v>2450.0</v>
      </c>
      <c r="C1344" s="6">
        <v>5000.0</v>
      </c>
      <c r="D1344" s="11" t="b">
        <f t="shared" si="306"/>
        <v>1</v>
      </c>
      <c r="E1344" s="8" t="s">
        <v>1285</v>
      </c>
    </row>
    <row r="1345" ht="15.75" customHeight="1">
      <c r="A1345" s="5" t="s">
        <v>1306</v>
      </c>
      <c r="B1345" s="6">
        <v>5000.0</v>
      </c>
      <c r="C1345" s="6">
        <v>10000.0</v>
      </c>
      <c r="D1345" s="11" t="b">
        <f t="shared" si="306"/>
        <v>1</v>
      </c>
      <c r="E1345" s="8" t="s">
        <v>1285</v>
      </c>
    </row>
    <row r="1346" ht="15.75" customHeight="1">
      <c r="A1346" s="5" t="s">
        <v>1307</v>
      </c>
      <c r="B1346" s="6">
        <v>2000.0</v>
      </c>
      <c r="C1346" s="6">
        <v>4000.0</v>
      </c>
      <c r="D1346" s="11" t="b">
        <f t="shared" si="306"/>
        <v>1</v>
      </c>
      <c r="E1346" s="8" t="s">
        <v>1285</v>
      </c>
    </row>
    <row r="1347" ht="15.75" customHeight="1">
      <c r="A1347" s="9" t="s">
        <v>1308</v>
      </c>
      <c r="B1347" s="10">
        <v>3390.0</v>
      </c>
      <c r="C1347" s="10">
        <v>5500.0</v>
      </c>
      <c r="D1347" s="9" t="b">
        <f t="shared" ref="D1347:D1349" si="307">false</f>
        <v>0</v>
      </c>
      <c r="E1347" s="8" t="s">
        <v>1285</v>
      </c>
    </row>
    <row r="1348" ht="15.75" customHeight="1">
      <c r="A1348" s="9" t="s">
        <v>1309</v>
      </c>
      <c r="B1348" s="10">
        <v>3790.0</v>
      </c>
      <c r="C1348" s="10">
        <v>6000.0</v>
      </c>
      <c r="D1348" s="9" t="b">
        <f t="shared" si="307"/>
        <v>0</v>
      </c>
      <c r="E1348" s="8" t="s">
        <v>1285</v>
      </c>
    </row>
    <row r="1349" ht="15.75" customHeight="1">
      <c r="A1349" s="9" t="s">
        <v>1310</v>
      </c>
      <c r="B1349" s="10">
        <v>1950.0</v>
      </c>
      <c r="C1349" s="10">
        <v>3800.0</v>
      </c>
      <c r="D1349" s="9" t="b">
        <f t="shared" si="307"/>
        <v>0</v>
      </c>
      <c r="E1349" s="8" t="s">
        <v>1285</v>
      </c>
    </row>
    <row r="1350" ht="15.75" customHeight="1">
      <c r="A1350" s="11" t="s">
        <v>1310</v>
      </c>
      <c r="B1350" s="12">
        <v>1900.0</v>
      </c>
      <c r="C1350" s="12">
        <v>3800.0</v>
      </c>
      <c r="D1350" s="11" t="b">
        <f t="shared" ref="D1350:D1351" si="308">true</f>
        <v>1</v>
      </c>
      <c r="E1350" s="8" t="s">
        <v>1285</v>
      </c>
    </row>
    <row r="1351" ht="15.75" customHeight="1">
      <c r="A1351" s="11" t="s">
        <v>1311</v>
      </c>
      <c r="B1351" s="12">
        <v>2850.0</v>
      </c>
      <c r="C1351" s="12">
        <v>6000.0</v>
      </c>
      <c r="D1351" s="11" t="b">
        <f t="shared" si="308"/>
        <v>1</v>
      </c>
      <c r="E1351" s="8" t="s">
        <v>1285</v>
      </c>
    </row>
    <row r="1352" ht="15.75" customHeight="1">
      <c r="A1352" s="9" t="s">
        <v>1311</v>
      </c>
      <c r="B1352" s="10">
        <v>2950.0</v>
      </c>
      <c r="C1352" s="10">
        <v>6000.0</v>
      </c>
      <c r="D1352" s="9" t="b">
        <f>false</f>
        <v>0</v>
      </c>
      <c r="E1352" s="8" t="s">
        <v>1285</v>
      </c>
    </row>
    <row r="1353" ht="15.75" customHeight="1">
      <c r="A1353" s="5" t="s">
        <v>1312</v>
      </c>
      <c r="B1353" s="6">
        <v>3000.0</v>
      </c>
      <c r="C1353" s="6">
        <v>9000.0</v>
      </c>
      <c r="D1353" s="11" t="b">
        <f>true</f>
        <v>1</v>
      </c>
      <c r="E1353" s="8" t="s">
        <v>1285</v>
      </c>
    </row>
    <row r="1354" ht="15.75" customHeight="1">
      <c r="A1354" s="9" t="s">
        <v>1313</v>
      </c>
      <c r="B1354" s="10">
        <v>1200.0</v>
      </c>
      <c r="C1354" s="10">
        <v>2000.0</v>
      </c>
      <c r="D1354" s="9" t="b">
        <f t="shared" ref="D1354:D1355" si="309">false</f>
        <v>0</v>
      </c>
      <c r="E1354" s="8" t="s">
        <v>1285</v>
      </c>
    </row>
    <row r="1355" ht="15.75" customHeight="1">
      <c r="A1355" s="9" t="s">
        <v>1314</v>
      </c>
      <c r="B1355" s="10">
        <v>1400.0</v>
      </c>
      <c r="C1355" s="10">
        <v>2200.0</v>
      </c>
      <c r="D1355" s="9" t="b">
        <f t="shared" si="309"/>
        <v>0</v>
      </c>
      <c r="E1355" s="8" t="s">
        <v>1285</v>
      </c>
    </row>
    <row r="1356" ht="15.75" customHeight="1">
      <c r="A1356" s="5" t="s">
        <v>1315</v>
      </c>
      <c r="B1356" s="6">
        <v>290.0</v>
      </c>
      <c r="C1356" s="6">
        <v>1500.0</v>
      </c>
      <c r="D1356" s="11" t="b">
        <f t="shared" ref="D1356:D1361" si="310">true</f>
        <v>1</v>
      </c>
      <c r="E1356" s="8" t="s">
        <v>1285</v>
      </c>
    </row>
    <row r="1357" ht="15.75" customHeight="1">
      <c r="A1357" s="5" t="s">
        <v>1316</v>
      </c>
      <c r="B1357" s="6">
        <v>1300.0</v>
      </c>
      <c r="C1357" s="6">
        <v>2500.0</v>
      </c>
      <c r="D1357" s="11" t="b">
        <f t="shared" si="310"/>
        <v>1</v>
      </c>
      <c r="E1357" s="8" t="s">
        <v>1285</v>
      </c>
    </row>
    <row r="1358" ht="15.75" customHeight="1">
      <c r="A1358" s="11" t="s">
        <v>1317</v>
      </c>
      <c r="B1358" s="6">
        <v>1300.0</v>
      </c>
      <c r="C1358" s="6">
        <v>3000.0</v>
      </c>
      <c r="D1358" s="11" t="b">
        <f t="shared" si="310"/>
        <v>1</v>
      </c>
      <c r="E1358" s="8" t="s">
        <v>1285</v>
      </c>
    </row>
    <row r="1359" ht="15.75" customHeight="1">
      <c r="A1359" s="11" t="s">
        <v>1318</v>
      </c>
      <c r="B1359" s="6">
        <v>1190.0</v>
      </c>
      <c r="C1359" s="6">
        <v>2500.0</v>
      </c>
      <c r="D1359" s="11" t="b">
        <f t="shared" si="310"/>
        <v>1</v>
      </c>
      <c r="E1359" s="8" t="s">
        <v>1285</v>
      </c>
    </row>
    <row r="1360" ht="15.75" customHeight="1">
      <c r="A1360" s="11" t="s">
        <v>1319</v>
      </c>
      <c r="B1360" s="6">
        <v>1300.0</v>
      </c>
      <c r="C1360" s="6">
        <v>2500.0</v>
      </c>
      <c r="D1360" s="11" t="b">
        <f t="shared" si="310"/>
        <v>1</v>
      </c>
      <c r="E1360" s="8" t="s">
        <v>1285</v>
      </c>
    </row>
    <row r="1361" ht="15.75" customHeight="1">
      <c r="A1361" s="11" t="s">
        <v>1320</v>
      </c>
      <c r="B1361" s="6">
        <v>1000.0</v>
      </c>
      <c r="C1361" s="6">
        <v>2500.0</v>
      </c>
      <c r="D1361" s="11" t="b">
        <f t="shared" si="310"/>
        <v>1</v>
      </c>
      <c r="E1361" s="8" t="s">
        <v>1285</v>
      </c>
    </row>
    <row r="1362" ht="15.75" customHeight="1">
      <c r="A1362" s="9" t="s">
        <v>1321</v>
      </c>
      <c r="B1362" s="10">
        <v>800.0</v>
      </c>
      <c r="C1362" s="10">
        <v>1500.0</v>
      </c>
      <c r="D1362" s="9" t="b">
        <f t="shared" ref="D1362:D1363" si="311">false</f>
        <v>0</v>
      </c>
      <c r="E1362" s="8" t="s">
        <v>1285</v>
      </c>
    </row>
    <row r="1363" ht="15.75" customHeight="1">
      <c r="A1363" s="9" t="s">
        <v>1322</v>
      </c>
      <c r="B1363" s="10">
        <v>470.0</v>
      </c>
      <c r="C1363" s="10">
        <v>1500.0</v>
      </c>
      <c r="D1363" s="9" t="b">
        <f t="shared" si="311"/>
        <v>0</v>
      </c>
      <c r="E1363" s="8" t="s">
        <v>1285</v>
      </c>
    </row>
    <row r="1364" ht="15.75" customHeight="1">
      <c r="A1364" s="11" t="s">
        <v>1323</v>
      </c>
      <c r="B1364" s="12">
        <v>800.0</v>
      </c>
      <c r="C1364" s="12">
        <v>2000.0</v>
      </c>
      <c r="D1364" s="11" t="b">
        <f t="shared" ref="D1364:D1366" si="312">true</f>
        <v>1</v>
      </c>
      <c r="E1364" s="8" t="s">
        <v>1285</v>
      </c>
    </row>
    <row r="1365" ht="15.75" customHeight="1">
      <c r="A1365" s="11" t="s">
        <v>1324</v>
      </c>
      <c r="B1365" s="12">
        <v>800.0</v>
      </c>
      <c r="C1365" s="12">
        <v>2000.0</v>
      </c>
      <c r="D1365" s="11" t="b">
        <f t="shared" si="312"/>
        <v>1</v>
      </c>
      <c r="E1365" s="8" t="s">
        <v>1285</v>
      </c>
    </row>
    <row r="1366" ht="15.75" customHeight="1">
      <c r="A1366" s="11" t="s">
        <v>1325</v>
      </c>
      <c r="B1366" s="12">
        <v>1000.0</v>
      </c>
      <c r="C1366" s="12">
        <v>2000.0</v>
      </c>
      <c r="D1366" s="11" t="b">
        <f t="shared" si="312"/>
        <v>1</v>
      </c>
      <c r="E1366" s="8" t="s">
        <v>1285</v>
      </c>
    </row>
    <row r="1367" ht="15.75" customHeight="1">
      <c r="A1367" s="9" t="s">
        <v>1326</v>
      </c>
      <c r="B1367" s="10">
        <v>800.0</v>
      </c>
      <c r="C1367" s="10">
        <v>3000.0</v>
      </c>
      <c r="D1367" s="9" t="b">
        <f>false</f>
        <v>0</v>
      </c>
      <c r="E1367" s="8" t="s">
        <v>1285</v>
      </c>
    </row>
    <row r="1368" ht="15.75" customHeight="1">
      <c r="A1368" s="11" t="s">
        <v>1327</v>
      </c>
      <c r="B1368" s="12">
        <v>1000.0</v>
      </c>
      <c r="C1368" s="12">
        <v>2000.0</v>
      </c>
      <c r="D1368" s="11" t="b">
        <f t="shared" ref="D1368:D1369" si="313">true</f>
        <v>1</v>
      </c>
      <c r="E1368" s="8" t="s">
        <v>1285</v>
      </c>
    </row>
    <row r="1369" ht="15.75" customHeight="1">
      <c r="A1369" s="11" t="s">
        <v>1328</v>
      </c>
      <c r="B1369" s="12">
        <v>950.0</v>
      </c>
      <c r="C1369" s="12">
        <v>2000.0</v>
      </c>
      <c r="D1369" s="11" t="b">
        <f t="shared" si="313"/>
        <v>1</v>
      </c>
      <c r="E1369" s="8" t="s">
        <v>1285</v>
      </c>
    </row>
    <row r="1370" ht="15.75" customHeight="1">
      <c r="A1370" s="9" t="s">
        <v>1329</v>
      </c>
      <c r="B1370" s="10">
        <v>850.0</v>
      </c>
      <c r="C1370" s="10">
        <v>3000.0</v>
      </c>
      <c r="D1370" s="9" t="b">
        <f t="shared" ref="D1370:D1373" si="314">false</f>
        <v>0</v>
      </c>
      <c r="E1370" s="8" t="s">
        <v>1285</v>
      </c>
    </row>
    <row r="1371" ht="15.75" customHeight="1">
      <c r="A1371" s="9" t="s">
        <v>1330</v>
      </c>
      <c r="B1371" s="10">
        <v>500.0</v>
      </c>
      <c r="C1371" s="10">
        <v>2500.0</v>
      </c>
      <c r="D1371" s="9" t="b">
        <f t="shared" si="314"/>
        <v>0</v>
      </c>
      <c r="E1371" s="8" t="s">
        <v>1285</v>
      </c>
    </row>
    <row r="1372" ht="15.75" customHeight="1">
      <c r="A1372" s="9" t="s">
        <v>1331</v>
      </c>
      <c r="B1372" s="10">
        <v>350.0</v>
      </c>
      <c r="C1372" s="10">
        <v>2500.0</v>
      </c>
      <c r="D1372" s="9" t="b">
        <f t="shared" si="314"/>
        <v>0</v>
      </c>
      <c r="E1372" s="8" t="s">
        <v>1285</v>
      </c>
    </row>
    <row r="1373" ht="15.75" customHeight="1">
      <c r="A1373" s="9" t="s">
        <v>1332</v>
      </c>
      <c r="B1373" s="10">
        <v>350.0</v>
      </c>
      <c r="C1373" s="10">
        <v>3000.0</v>
      </c>
      <c r="D1373" s="9" t="b">
        <f t="shared" si="314"/>
        <v>0</v>
      </c>
      <c r="E1373" s="8" t="s">
        <v>1285</v>
      </c>
    </row>
    <row r="1374" ht="15.75" customHeight="1">
      <c r="A1374" s="11" t="s">
        <v>1333</v>
      </c>
      <c r="B1374" s="12">
        <v>1000.0</v>
      </c>
      <c r="C1374" s="12">
        <v>3500.0</v>
      </c>
      <c r="D1374" s="11" t="b">
        <f t="shared" ref="D1374:D1375" si="315">true</f>
        <v>1</v>
      </c>
      <c r="E1374" s="8" t="s">
        <v>1285</v>
      </c>
    </row>
    <row r="1375" ht="15.75" customHeight="1">
      <c r="A1375" s="11" t="s">
        <v>1334</v>
      </c>
      <c r="B1375" s="12">
        <v>500.0</v>
      </c>
      <c r="C1375" s="12">
        <v>2000.0</v>
      </c>
      <c r="D1375" s="11" t="b">
        <f t="shared" si="315"/>
        <v>1</v>
      </c>
      <c r="E1375" s="8" t="s">
        <v>1285</v>
      </c>
    </row>
    <row r="1376" ht="15.75" customHeight="1">
      <c r="A1376" s="9" t="s">
        <v>1335</v>
      </c>
      <c r="B1376" s="10">
        <v>475.0</v>
      </c>
      <c r="C1376" s="10">
        <v>1500.0</v>
      </c>
      <c r="D1376" s="9" t="b">
        <f t="shared" ref="D1376:D1377" si="316">false</f>
        <v>0</v>
      </c>
      <c r="E1376" s="8" t="s">
        <v>1285</v>
      </c>
    </row>
    <row r="1377" ht="15.75" customHeight="1">
      <c r="A1377" s="9" t="s">
        <v>1336</v>
      </c>
      <c r="B1377" s="10">
        <v>350.0</v>
      </c>
      <c r="C1377" s="10">
        <v>2500.0</v>
      </c>
      <c r="D1377" s="9" t="b">
        <f t="shared" si="316"/>
        <v>0</v>
      </c>
      <c r="E1377" s="8" t="s">
        <v>1285</v>
      </c>
    </row>
    <row r="1378" ht="15.75" customHeight="1">
      <c r="A1378" s="11" t="s">
        <v>1337</v>
      </c>
      <c r="B1378" s="12">
        <v>890.0</v>
      </c>
      <c r="C1378" s="12">
        <v>2000.0</v>
      </c>
      <c r="D1378" s="11" t="b">
        <f>true</f>
        <v>1</v>
      </c>
      <c r="E1378" s="8" t="s">
        <v>1285</v>
      </c>
    </row>
    <row r="1379" ht="15.75" customHeight="1">
      <c r="A1379" s="9" t="s">
        <v>1338</v>
      </c>
      <c r="B1379" s="10">
        <v>850.0</v>
      </c>
      <c r="C1379" s="10">
        <v>2000.0</v>
      </c>
      <c r="D1379" s="9" t="b">
        <f t="shared" ref="D1379:D1380" si="317">false</f>
        <v>0</v>
      </c>
      <c r="E1379" s="8" t="s">
        <v>1285</v>
      </c>
    </row>
    <row r="1380" ht="15.75" customHeight="1">
      <c r="A1380" s="9" t="s">
        <v>1339</v>
      </c>
      <c r="B1380" s="10">
        <v>900.0</v>
      </c>
      <c r="C1380" s="10">
        <v>2500.0</v>
      </c>
      <c r="D1380" s="9" t="b">
        <f t="shared" si="317"/>
        <v>0</v>
      </c>
      <c r="E1380" s="8" t="s">
        <v>1285</v>
      </c>
    </row>
    <row r="1381" ht="15.75" customHeight="1">
      <c r="A1381" s="5" t="s">
        <v>1340</v>
      </c>
      <c r="B1381" s="6">
        <v>5000.0</v>
      </c>
      <c r="C1381" s="6">
        <v>8500.0</v>
      </c>
      <c r="D1381" s="11" t="b">
        <f t="shared" ref="D1381:D1383" si="318">true</f>
        <v>1</v>
      </c>
      <c r="E1381" s="8" t="s">
        <v>1285</v>
      </c>
    </row>
    <row r="1382" ht="15.75" customHeight="1">
      <c r="A1382" s="5" t="s">
        <v>1341</v>
      </c>
      <c r="B1382" s="6">
        <v>5750.0</v>
      </c>
      <c r="C1382" s="6">
        <v>12000.0</v>
      </c>
      <c r="D1382" s="11" t="b">
        <f t="shared" si="318"/>
        <v>1</v>
      </c>
      <c r="E1382" s="8" t="s">
        <v>1285</v>
      </c>
    </row>
    <row r="1383" ht="15.75" customHeight="1">
      <c r="A1383" s="5" t="s">
        <v>1342</v>
      </c>
      <c r="B1383" s="6">
        <v>6000.0</v>
      </c>
      <c r="C1383" s="6">
        <v>10000.0</v>
      </c>
      <c r="D1383" s="11" t="b">
        <f t="shared" si="318"/>
        <v>1</v>
      </c>
      <c r="E1383" s="8" t="s">
        <v>1285</v>
      </c>
    </row>
    <row r="1384" ht="15.75" customHeight="1">
      <c r="A1384" s="9" t="s">
        <v>1343</v>
      </c>
      <c r="B1384" s="10">
        <v>5500.0</v>
      </c>
      <c r="C1384" s="10">
        <v>7000.0</v>
      </c>
      <c r="D1384" s="9" t="b">
        <f>false</f>
        <v>0</v>
      </c>
      <c r="E1384" s="8" t="s">
        <v>1285</v>
      </c>
    </row>
    <row r="1385" ht="15.75" customHeight="1">
      <c r="A1385" s="5" t="s">
        <v>1344</v>
      </c>
      <c r="B1385" s="6">
        <v>5500.0</v>
      </c>
      <c r="C1385" s="6">
        <v>10000.0</v>
      </c>
      <c r="D1385" s="11" t="b">
        <f t="shared" ref="D1385:D1388" si="319">true</f>
        <v>1</v>
      </c>
      <c r="E1385" s="8" t="s">
        <v>1285</v>
      </c>
    </row>
    <row r="1386" ht="15.75" customHeight="1">
      <c r="A1386" s="5" t="s">
        <v>1345</v>
      </c>
      <c r="B1386" s="6">
        <v>6000.0</v>
      </c>
      <c r="C1386" s="6">
        <v>12000.0</v>
      </c>
      <c r="D1386" s="11" t="b">
        <f t="shared" si="319"/>
        <v>1</v>
      </c>
      <c r="E1386" s="8" t="s">
        <v>1285</v>
      </c>
    </row>
    <row r="1387" ht="15.75" customHeight="1">
      <c r="A1387" s="5" t="s">
        <v>1346</v>
      </c>
      <c r="B1387" s="6">
        <v>2000.0</v>
      </c>
      <c r="C1387" s="6">
        <v>3000.0</v>
      </c>
      <c r="D1387" s="11" t="b">
        <f t="shared" si="319"/>
        <v>1</v>
      </c>
      <c r="E1387" s="8" t="s">
        <v>1285</v>
      </c>
    </row>
    <row r="1388" ht="15.75" customHeight="1">
      <c r="A1388" s="5" t="s">
        <v>1347</v>
      </c>
      <c r="B1388" s="6">
        <v>2975.0</v>
      </c>
      <c r="C1388" s="6">
        <v>5000.0</v>
      </c>
      <c r="D1388" s="11" t="b">
        <f t="shared" si="319"/>
        <v>1</v>
      </c>
      <c r="E1388" s="8" t="s">
        <v>1285</v>
      </c>
    </row>
    <row r="1389" ht="15.75" customHeight="1">
      <c r="A1389" s="9" t="s">
        <v>1348</v>
      </c>
      <c r="B1389" s="10">
        <v>5000.0</v>
      </c>
      <c r="C1389" s="10">
        <v>8000.0</v>
      </c>
      <c r="D1389" s="9" t="b">
        <f>false</f>
        <v>0</v>
      </c>
      <c r="E1389" s="8" t="s">
        <v>1285</v>
      </c>
    </row>
    <row r="1390" ht="15.75" customHeight="1">
      <c r="A1390" s="5" t="s">
        <v>1349</v>
      </c>
      <c r="B1390" s="6">
        <v>1000.0</v>
      </c>
      <c r="C1390" s="6">
        <v>2000.0</v>
      </c>
      <c r="D1390" s="11" t="b">
        <f t="shared" ref="D1390:D1391" si="320">true</f>
        <v>1</v>
      </c>
      <c r="E1390" s="8" t="s">
        <v>1285</v>
      </c>
    </row>
    <row r="1391" ht="15.75" customHeight="1">
      <c r="A1391" s="5" t="s">
        <v>1350</v>
      </c>
      <c r="B1391" s="6">
        <v>1800.0</v>
      </c>
      <c r="C1391" s="6">
        <v>3500.0</v>
      </c>
      <c r="D1391" s="11" t="b">
        <f t="shared" si="320"/>
        <v>1</v>
      </c>
      <c r="E1391" s="8" t="s">
        <v>1285</v>
      </c>
    </row>
    <row r="1392" ht="15.75" customHeight="1">
      <c r="A1392" s="9" t="s">
        <v>1351</v>
      </c>
      <c r="B1392" s="10">
        <v>1000.0</v>
      </c>
      <c r="C1392" s="10">
        <v>2000.0</v>
      </c>
      <c r="D1392" s="9" t="b">
        <f t="shared" ref="D1392:D1393" si="321">false</f>
        <v>0</v>
      </c>
      <c r="E1392" s="8" t="s">
        <v>1285</v>
      </c>
    </row>
    <row r="1393" ht="15.75" customHeight="1">
      <c r="A1393" s="9" t="s">
        <v>1352</v>
      </c>
      <c r="B1393" s="10">
        <v>800.0</v>
      </c>
      <c r="C1393" s="10">
        <v>1500.0</v>
      </c>
      <c r="D1393" s="9" t="b">
        <f t="shared" si="321"/>
        <v>0</v>
      </c>
      <c r="E1393" s="8" t="s">
        <v>1285</v>
      </c>
    </row>
    <row r="1394" ht="15.75" customHeight="1">
      <c r="A1394" s="5" t="s">
        <v>1353</v>
      </c>
      <c r="B1394" s="6">
        <v>650.0</v>
      </c>
      <c r="C1394" s="6">
        <v>1500.0</v>
      </c>
      <c r="D1394" s="11" t="b">
        <f t="shared" ref="D1394:D1397" si="322">true</f>
        <v>1</v>
      </c>
      <c r="E1394" s="8" t="s">
        <v>1285</v>
      </c>
    </row>
    <row r="1395" ht="15.75" customHeight="1">
      <c r="A1395" s="5" t="s">
        <v>1354</v>
      </c>
      <c r="B1395" s="6">
        <v>500.0</v>
      </c>
      <c r="C1395" s="6">
        <v>2000.0</v>
      </c>
      <c r="D1395" s="11" t="b">
        <f t="shared" si="322"/>
        <v>1</v>
      </c>
      <c r="E1395" s="8" t="s">
        <v>1285</v>
      </c>
    </row>
    <row r="1396" ht="15.75" customHeight="1">
      <c r="A1396" s="5" t="s">
        <v>1355</v>
      </c>
      <c r="B1396" s="6">
        <v>200.0</v>
      </c>
      <c r="C1396" s="6">
        <v>1000.0</v>
      </c>
      <c r="D1396" s="11" t="b">
        <f t="shared" si="322"/>
        <v>1</v>
      </c>
      <c r="E1396" s="8" t="s">
        <v>1285</v>
      </c>
    </row>
    <row r="1397" ht="15.75" customHeight="1">
      <c r="A1397" s="5" t="s">
        <v>1356</v>
      </c>
      <c r="B1397" s="6">
        <v>1800.0</v>
      </c>
      <c r="C1397" s="6">
        <v>3500.0</v>
      </c>
      <c r="D1397" s="11" t="b">
        <f t="shared" si="322"/>
        <v>1</v>
      </c>
      <c r="E1397" s="8" t="s">
        <v>1285</v>
      </c>
    </row>
    <row r="1398" ht="15.75" customHeight="1">
      <c r="A1398" s="9" t="s">
        <v>1357</v>
      </c>
      <c r="B1398" s="10">
        <v>1000.0</v>
      </c>
      <c r="C1398" s="10">
        <v>4000.0</v>
      </c>
      <c r="D1398" s="9" t="b">
        <f>false</f>
        <v>0</v>
      </c>
      <c r="E1398" s="8" t="s">
        <v>1285</v>
      </c>
    </row>
    <row r="1399" ht="15.75" customHeight="1">
      <c r="A1399" s="11" t="s">
        <v>1358</v>
      </c>
      <c r="B1399" s="12">
        <v>1000.0</v>
      </c>
      <c r="C1399" s="12">
        <v>3000.0</v>
      </c>
      <c r="D1399" s="11" t="b">
        <f t="shared" ref="D1399:D1400" si="323">true</f>
        <v>1</v>
      </c>
      <c r="E1399" s="8" t="s">
        <v>1285</v>
      </c>
    </row>
    <row r="1400" ht="15.75" customHeight="1">
      <c r="A1400" s="5" t="s">
        <v>1359</v>
      </c>
      <c r="B1400" s="6">
        <v>2690.0</v>
      </c>
      <c r="C1400" s="6">
        <v>5000.0</v>
      </c>
      <c r="D1400" s="11" t="b">
        <f t="shared" si="323"/>
        <v>1</v>
      </c>
      <c r="E1400" s="8" t="s">
        <v>1285</v>
      </c>
    </row>
    <row r="1401" ht="15.75" customHeight="1">
      <c r="A1401" s="9" t="s">
        <v>1360</v>
      </c>
      <c r="B1401" s="10">
        <v>2000.0</v>
      </c>
      <c r="C1401" s="10">
        <v>5000.0</v>
      </c>
      <c r="D1401" s="9" t="b">
        <f t="shared" ref="D1401:D1402" si="324">false</f>
        <v>0</v>
      </c>
      <c r="E1401" s="8" t="s">
        <v>1285</v>
      </c>
    </row>
    <row r="1402" ht="15.75" customHeight="1">
      <c r="A1402" s="9" t="s">
        <v>1361</v>
      </c>
      <c r="B1402" s="10">
        <v>3800.0</v>
      </c>
      <c r="C1402" s="10">
        <v>5800.0</v>
      </c>
      <c r="D1402" s="9" t="b">
        <f t="shared" si="324"/>
        <v>0</v>
      </c>
      <c r="E1402" s="8" t="s">
        <v>1285</v>
      </c>
    </row>
    <row r="1403" ht="15.75" customHeight="1">
      <c r="A1403" s="11" t="s">
        <v>1361</v>
      </c>
      <c r="B1403" s="12">
        <v>4990.0</v>
      </c>
      <c r="C1403" s="12">
        <v>7000.0</v>
      </c>
      <c r="D1403" s="11" t="b">
        <f t="shared" ref="D1403:D1404" si="325">true</f>
        <v>1</v>
      </c>
      <c r="E1403" s="8" t="s">
        <v>1285</v>
      </c>
    </row>
    <row r="1404" ht="15.75" customHeight="1">
      <c r="A1404" s="5" t="s">
        <v>1362</v>
      </c>
      <c r="B1404" s="6">
        <v>2814.0</v>
      </c>
      <c r="C1404" s="6">
        <v>5000.0</v>
      </c>
      <c r="D1404" s="11" t="b">
        <f t="shared" si="325"/>
        <v>1</v>
      </c>
      <c r="E1404" s="8" t="s">
        <v>1285</v>
      </c>
    </row>
    <row r="1405" ht="15.75" customHeight="1">
      <c r="A1405" s="9" t="s">
        <v>1363</v>
      </c>
      <c r="B1405" s="10">
        <v>8900.0</v>
      </c>
      <c r="C1405" s="10">
        <v>13000.0</v>
      </c>
      <c r="D1405" s="9" t="b">
        <f>false</f>
        <v>0</v>
      </c>
      <c r="E1405" s="8" t="s">
        <v>1285</v>
      </c>
    </row>
    <row r="1406" ht="15.75" customHeight="1">
      <c r="A1406" s="5" t="s">
        <v>1364</v>
      </c>
      <c r="B1406" s="6">
        <v>1400.0</v>
      </c>
      <c r="C1406" s="6">
        <v>3000.0</v>
      </c>
      <c r="D1406" s="11" t="b">
        <f t="shared" ref="D1406:D1408" si="326">true</f>
        <v>1</v>
      </c>
      <c r="E1406" s="8" t="s">
        <v>1285</v>
      </c>
    </row>
    <row r="1407" ht="15.75" customHeight="1">
      <c r="A1407" s="5" t="s">
        <v>1365</v>
      </c>
      <c r="B1407" s="6">
        <v>500.0</v>
      </c>
      <c r="C1407" s="6">
        <v>1000.0</v>
      </c>
      <c r="D1407" s="11" t="b">
        <f t="shared" si="326"/>
        <v>1</v>
      </c>
      <c r="E1407" s="8" t="s">
        <v>1285</v>
      </c>
    </row>
    <row r="1408" ht="15.75" customHeight="1">
      <c r="A1408" s="5" t="s">
        <v>1366</v>
      </c>
      <c r="B1408" s="6">
        <v>250.0</v>
      </c>
      <c r="C1408" s="6">
        <v>850.0</v>
      </c>
      <c r="D1408" s="11" t="b">
        <f t="shared" si="326"/>
        <v>1</v>
      </c>
      <c r="E1408" s="8" t="s">
        <v>1285</v>
      </c>
    </row>
    <row r="1409" ht="15.75" customHeight="1">
      <c r="A1409" s="9" t="s">
        <v>1366</v>
      </c>
      <c r="B1409" s="10">
        <v>600.0</v>
      </c>
      <c r="C1409" s="10">
        <v>1300.0</v>
      </c>
      <c r="D1409" s="9" t="b">
        <f>false</f>
        <v>0</v>
      </c>
      <c r="E1409" s="8" t="s">
        <v>1285</v>
      </c>
    </row>
    <row r="1410" ht="15.75" customHeight="1">
      <c r="A1410" s="5" t="s">
        <v>1367</v>
      </c>
      <c r="B1410" s="6">
        <v>4500.0</v>
      </c>
      <c r="C1410" s="6">
        <v>7000.0</v>
      </c>
      <c r="D1410" s="11" t="b">
        <f t="shared" ref="D1410:D1413" si="327">true</f>
        <v>1</v>
      </c>
      <c r="E1410" s="8" t="s">
        <v>1285</v>
      </c>
    </row>
    <row r="1411" ht="15.75" customHeight="1">
      <c r="A1411" s="5" t="s">
        <v>1368</v>
      </c>
      <c r="B1411" s="6">
        <v>500.0</v>
      </c>
      <c r="C1411" s="6">
        <v>1200.0</v>
      </c>
      <c r="D1411" s="11" t="b">
        <f t="shared" si="327"/>
        <v>1</v>
      </c>
      <c r="E1411" s="8" t="s">
        <v>1285</v>
      </c>
    </row>
    <row r="1412" ht="15.75" customHeight="1">
      <c r="A1412" s="5" t="s">
        <v>1369</v>
      </c>
      <c r="B1412" s="6">
        <v>2000.0</v>
      </c>
      <c r="C1412" s="6">
        <v>5000.0</v>
      </c>
      <c r="D1412" s="11" t="b">
        <f t="shared" si="327"/>
        <v>1</v>
      </c>
      <c r="E1412" s="8" t="s">
        <v>1285</v>
      </c>
    </row>
    <row r="1413" ht="15.75" customHeight="1">
      <c r="A1413" s="5" t="s">
        <v>1370</v>
      </c>
      <c r="B1413" s="6">
        <v>1500.0</v>
      </c>
      <c r="C1413" s="6">
        <v>3500.0</v>
      </c>
      <c r="D1413" s="11" t="b">
        <f t="shared" si="327"/>
        <v>1</v>
      </c>
      <c r="E1413" s="8" t="s">
        <v>1285</v>
      </c>
    </row>
    <row r="1414" ht="15.75" customHeight="1">
      <c r="A1414" s="9" t="s">
        <v>1371</v>
      </c>
      <c r="B1414" s="10">
        <v>1000.0</v>
      </c>
      <c r="C1414" s="10">
        <v>2500.0</v>
      </c>
      <c r="D1414" s="9" t="b">
        <f>false</f>
        <v>0</v>
      </c>
      <c r="E1414" s="8" t="s">
        <v>1285</v>
      </c>
    </row>
    <row r="1415" ht="15.75" customHeight="1">
      <c r="A1415" s="11" t="s">
        <v>1372</v>
      </c>
      <c r="B1415" s="12">
        <v>60.0</v>
      </c>
      <c r="C1415" s="12">
        <v>500.0</v>
      </c>
      <c r="D1415" s="11" t="b">
        <f t="shared" ref="D1415:D1425" si="328">true</f>
        <v>1</v>
      </c>
      <c r="E1415" s="8" t="s">
        <v>1285</v>
      </c>
    </row>
    <row r="1416" ht="15.75" customHeight="1">
      <c r="A1416" s="5" t="s">
        <v>1373</v>
      </c>
      <c r="B1416" s="6">
        <v>700.0</v>
      </c>
      <c r="C1416" s="6">
        <v>3000.0</v>
      </c>
      <c r="D1416" s="11" t="b">
        <f t="shared" si="328"/>
        <v>1</v>
      </c>
      <c r="E1416" s="8" t="s">
        <v>1285</v>
      </c>
    </row>
    <row r="1417" ht="15.75" customHeight="1">
      <c r="A1417" s="5" t="s">
        <v>1374</v>
      </c>
      <c r="B1417" s="6">
        <v>2000.0</v>
      </c>
      <c r="C1417" s="6">
        <v>5000.0</v>
      </c>
      <c r="D1417" s="11" t="b">
        <f t="shared" si="328"/>
        <v>1</v>
      </c>
      <c r="E1417" s="8" t="s">
        <v>1285</v>
      </c>
    </row>
    <row r="1418" ht="15.75" customHeight="1">
      <c r="A1418" s="5" t="s">
        <v>1375</v>
      </c>
      <c r="B1418" s="6">
        <v>2200.0</v>
      </c>
      <c r="C1418" s="6">
        <v>5000.0</v>
      </c>
      <c r="D1418" s="11" t="b">
        <f t="shared" si="328"/>
        <v>1</v>
      </c>
      <c r="E1418" s="8" t="s">
        <v>1285</v>
      </c>
    </row>
    <row r="1419" ht="15.75" customHeight="1">
      <c r="A1419" s="5" t="s">
        <v>1376</v>
      </c>
      <c r="B1419" s="6">
        <v>3000.0</v>
      </c>
      <c r="C1419" s="6">
        <v>5000.0</v>
      </c>
      <c r="D1419" s="11" t="b">
        <f t="shared" si="328"/>
        <v>1</v>
      </c>
      <c r="E1419" s="8" t="s">
        <v>1285</v>
      </c>
    </row>
    <row r="1420" ht="15.75" customHeight="1">
      <c r="A1420" s="5" t="s">
        <v>1377</v>
      </c>
      <c r="B1420" s="6">
        <v>2000.0</v>
      </c>
      <c r="C1420" s="6">
        <v>5000.0</v>
      </c>
      <c r="D1420" s="11" t="b">
        <f t="shared" si="328"/>
        <v>1</v>
      </c>
      <c r="E1420" s="8" t="s">
        <v>1285</v>
      </c>
    </row>
    <row r="1421" ht="15.75" customHeight="1">
      <c r="A1421" s="5" t="s">
        <v>1378</v>
      </c>
      <c r="B1421" s="6">
        <v>2000.0</v>
      </c>
      <c r="C1421" s="6">
        <v>5000.0</v>
      </c>
      <c r="D1421" s="11" t="b">
        <f t="shared" si="328"/>
        <v>1</v>
      </c>
      <c r="E1421" s="8" t="s">
        <v>1285</v>
      </c>
    </row>
    <row r="1422" ht="15.75" customHeight="1">
      <c r="A1422" s="5" t="s">
        <v>1379</v>
      </c>
      <c r="B1422" s="6">
        <v>2500.0</v>
      </c>
      <c r="C1422" s="6">
        <v>6000.0</v>
      </c>
      <c r="D1422" s="11" t="b">
        <f t="shared" si="328"/>
        <v>1</v>
      </c>
      <c r="E1422" s="8" t="s">
        <v>1285</v>
      </c>
    </row>
    <row r="1423" ht="15.75" customHeight="1">
      <c r="A1423" s="5" t="s">
        <v>1380</v>
      </c>
      <c r="B1423" s="6">
        <v>3000.0</v>
      </c>
      <c r="C1423" s="6">
        <v>6000.0</v>
      </c>
      <c r="D1423" s="11" t="b">
        <f t="shared" si="328"/>
        <v>1</v>
      </c>
      <c r="E1423" s="8" t="s">
        <v>1285</v>
      </c>
    </row>
    <row r="1424" ht="15.75" customHeight="1">
      <c r="A1424" s="5" t="s">
        <v>1381</v>
      </c>
      <c r="B1424" s="6">
        <v>2500.0</v>
      </c>
      <c r="C1424" s="6">
        <v>6000.0</v>
      </c>
      <c r="D1424" s="11" t="b">
        <f t="shared" si="328"/>
        <v>1</v>
      </c>
      <c r="E1424" s="8" t="s">
        <v>1285</v>
      </c>
    </row>
    <row r="1425" ht="15.75" customHeight="1">
      <c r="A1425" s="5" t="s">
        <v>1382</v>
      </c>
      <c r="B1425" s="6">
        <v>2500.0</v>
      </c>
      <c r="C1425" s="6">
        <v>6000.0</v>
      </c>
      <c r="D1425" s="11" t="b">
        <f t="shared" si="328"/>
        <v>1</v>
      </c>
      <c r="E1425" s="8" t="s">
        <v>1285</v>
      </c>
    </row>
    <row r="1426" ht="15.75" customHeight="1">
      <c r="A1426" s="9" t="s">
        <v>1383</v>
      </c>
      <c r="B1426" s="10">
        <v>925.0</v>
      </c>
      <c r="C1426" s="10">
        <v>1400.0</v>
      </c>
      <c r="D1426" s="9" t="b">
        <f>false</f>
        <v>0</v>
      </c>
      <c r="E1426" s="8" t="s">
        <v>1384</v>
      </c>
    </row>
    <row r="1427" ht="15.75" customHeight="1">
      <c r="A1427" s="5" t="s">
        <v>1385</v>
      </c>
      <c r="B1427" s="6">
        <v>1479.0</v>
      </c>
      <c r="C1427" s="6">
        <v>2500.0</v>
      </c>
      <c r="D1427" s="11" t="b">
        <f t="shared" ref="D1427:D1428" si="329">true</f>
        <v>1</v>
      </c>
      <c r="E1427" s="8" t="s">
        <v>1384</v>
      </c>
    </row>
    <row r="1428" ht="15.75" customHeight="1">
      <c r="A1428" s="5" t="s">
        <v>1386</v>
      </c>
      <c r="B1428" s="6">
        <v>1239.0</v>
      </c>
      <c r="C1428" s="6">
        <v>2500.0</v>
      </c>
      <c r="D1428" s="11" t="b">
        <f t="shared" si="329"/>
        <v>1</v>
      </c>
      <c r="E1428" s="8" t="s">
        <v>1384</v>
      </c>
    </row>
    <row r="1429" ht="15.75" customHeight="1">
      <c r="A1429" s="9" t="s">
        <v>1387</v>
      </c>
      <c r="B1429" s="10">
        <v>1949.0</v>
      </c>
      <c r="C1429" s="10">
        <v>2900.0</v>
      </c>
      <c r="D1429" s="9" t="b">
        <f>false</f>
        <v>0</v>
      </c>
      <c r="E1429" s="8" t="s">
        <v>1384</v>
      </c>
    </row>
    <row r="1430" ht="15.75" customHeight="1">
      <c r="A1430" s="5" t="s">
        <v>1388</v>
      </c>
      <c r="B1430" s="6">
        <v>1939.0</v>
      </c>
      <c r="C1430" s="6">
        <v>3600.0</v>
      </c>
      <c r="D1430" s="11" t="b">
        <f>true</f>
        <v>1</v>
      </c>
      <c r="E1430" s="8" t="s">
        <v>1384</v>
      </c>
    </row>
    <row r="1431" ht="15.75" customHeight="1">
      <c r="A1431" s="9" t="s">
        <v>1389</v>
      </c>
      <c r="B1431" s="10">
        <v>3469.0</v>
      </c>
      <c r="C1431" s="10">
        <v>5000.0</v>
      </c>
      <c r="D1431" s="9" t="b">
        <f>false</f>
        <v>0</v>
      </c>
      <c r="E1431" s="8" t="s">
        <v>1384</v>
      </c>
    </row>
    <row r="1432" ht="15.75" customHeight="1">
      <c r="A1432" s="11" t="s">
        <v>1390</v>
      </c>
      <c r="B1432" s="12">
        <v>360.0</v>
      </c>
      <c r="C1432" s="12">
        <v>650.0</v>
      </c>
      <c r="D1432" s="11" t="b">
        <f t="shared" ref="D1432:D1436" si="330">true</f>
        <v>1</v>
      </c>
      <c r="E1432" s="8" t="s">
        <v>1384</v>
      </c>
    </row>
    <row r="1433" ht="15.75" customHeight="1">
      <c r="A1433" s="11" t="s">
        <v>1391</v>
      </c>
      <c r="B1433" s="12">
        <v>400.0</v>
      </c>
      <c r="C1433" s="12">
        <v>700.0</v>
      </c>
      <c r="D1433" s="11" t="b">
        <f t="shared" si="330"/>
        <v>1</v>
      </c>
      <c r="E1433" s="8" t="s">
        <v>1384</v>
      </c>
    </row>
    <row r="1434" ht="15.75" customHeight="1">
      <c r="A1434" s="11" t="s">
        <v>1392</v>
      </c>
      <c r="B1434" s="12">
        <v>350.0</v>
      </c>
      <c r="C1434" s="12">
        <v>1200.0</v>
      </c>
      <c r="D1434" s="11" t="b">
        <f t="shared" si="330"/>
        <v>1</v>
      </c>
      <c r="E1434" s="8" t="s">
        <v>1384</v>
      </c>
    </row>
    <row r="1435" ht="15.75" customHeight="1">
      <c r="A1435" s="7" t="s">
        <v>1393</v>
      </c>
      <c r="B1435" s="6">
        <v>110.0</v>
      </c>
      <c r="C1435" s="6">
        <v>150.0</v>
      </c>
      <c r="D1435" s="11" t="b">
        <f t="shared" si="330"/>
        <v>1</v>
      </c>
      <c r="E1435" s="8" t="s">
        <v>1384</v>
      </c>
    </row>
    <row r="1436" ht="15.75" customHeight="1">
      <c r="A1436" s="5" t="s">
        <v>1394</v>
      </c>
      <c r="B1436" s="6">
        <v>30.0</v>
      </c>
      <c r="C1436" s="6">
        <v>150.0</v>
      </c>
      <c r="D1436" s="11" t="b">
        <f t="shared" si="330"/>
        <v>1</v>
      </c>
      <c r="E1436" s="8" t="s">
        <v>1384</v>
      </c>
    </row>
    <row r="1437" ht="15.75" customHeight="1">
      <c r="A1437" s="9" t="s">
        <v>1395</v>
      </c>
      <c r="B1437" s="10">
        <v>1279.0</v>
      </c>
      <c r="C1437" s="10">
        <v>1500.0</v>
      </c>
      <c r="D1437" s="9" t="b">
        <f>false</f>
        <v>0</v>
      </c>
      <c r="E1437" s="8" t="s">
        <v>1384</v>
      </c>
    </row>
    <row r="1438" ht="15.75" customHeight="1">
      <c r="A1438" s="5" t="s">
        <v>1396</v>
      </c>
      <c r="B1438" s="6">
        <v>1369.0</v>
      </c>
      <c r="C1438" s="6">
        <v>1500.0</v>
      </c>
      <c r="D1438" s="11" t="b">
        <f t="shared" ref="D1438:D1440" si="331">true</f>
        <v>1</v>
      </c>
      <c r="E1438" s="8" t="s">
        <v>1384</v>
      </c>
    </row>
    <row r="1439" ht="15.75" customHeight="1">
      <c r="A1439" s="5" t="s">
        <v>1397</v>
      </c>
      <c r="B1439" s="6">
        <v>300.0</v>
      </c>
      <c r="C1439" s="6">
        <v>700.0</v>
      </c>
      <c r="D1439" s="11" t="b">
        <f t="shared" si="331"/>
        <v>1</v>
      </c>
      <c r="E1439" s="8" t="s">
        <v>1384</v>
      </c>
    </row>
    <row r="1440" ht="15.75" customHeight="1">
      <c r="A1440" s="5" t="s">
        <v>1398</v>
      </c>
      <c r="B1440" s="6">
        <v>450.0</v>
      </c>
      <c r="C1440" s="6">
        <v>1200.0</v>
      </c>
      <c r="D1440" s="11" t="b">
        <f t="shared" si="331"/>
        <v>1</v>
      </c>
      <c r="E1440" s="8" t="s">
        <v>1384</v>
      </c>
    </row>
    <row r="1441" ht="15.75" customHeight="1">
      <c r="A1441" s="9" t="s">
        <v>1398</v>
      </c>
      <c r="B1441" s="10">
        <v>450.0</v>
      </c>
      <c r="C1441" s="10">
        <v>1000.0</v>
      </c>
      <c r="D1441" s="9" t="b">
        <f t="shared" ref="D1441:D1445" si="332">false</f>
        <v>0</v>
      </c>
      <c r="E1441" s="8" t="s">
        <v>1384</v>
      </c>
    </row>
    <row r="1442" ht="15.75" customHeight="1">
      <c r="A1442" s="9" t="s">
        <v>1399</v>
      </c>
      <c r="B1442" s="10">
        <v>2000.0</v>
      </c>
      <c r="C1442" s="10">
        <v>2500.0</v>
      </c>
      <c r="D1442" s="9" t="b">
        <f t="shared" si="332"/>
        <v>0</v>
      </c>
      <c r="E1442" s="8" t="s">
        <v>1384</v>
      </c>
    </row>
    <row r="1443" ht="15.75" customHeight="1">
      <c r="A1443" s="9" t="s">
        <v>1400</v>
      </c>
      <c r="B1443" s="10">
        <v>2750.0</v>
      </c>
      <c r="C1443" s="10">
        <v>3200.0</v>
      </c>
      <c r="D1443" s="9" t="b">
        <f t="shared" si="332"/>
        <v>0</v>
      </c>
      <c r="E1443" s="8" t="s">
        <v>1384</v>
      </c>
    </row>
    <row r="1444" ht="15.75" customHeight="1">
      <c r="A1444" s="9" t="s">
        <v>1401</v>
      </c>
      <c r="B1444" s="10">
        <v>2000.0</v>
      </c>
      <c r="C1444" s="10">
        <v>3500.0</v>
      </c>
      <c r="D1444" s="9" t="b">
        <f t="shared" si="332"/>
        <v>0</v>
      </c>
      <c r="E1444" s="8" t="s">
        <v>1384</v>
      </c>
    </row>
    <row r="1445" ht="15.75" customHeight="1">
      <c r="A1445" s="15" t="s">
        <v>1402</v>
      </c>
      <c r="B1445" s="16">
        <v>2000.0</v>
      </c>
      <c r="C1445" s="16">
        <v>3500.0</v>
      </c>
      <c r="D1445" s="15" t="b">
        <f t="shared" si="332"/>
        <v>0</v>
      </c>
      <c r="E1445" s="8" t="s">
        <v>1384</v>
      </c>
    </row>
    <row r="1446" ht="15.75" customHeight="1">
      <c r="A1446" s="11" t="s">
        <v>1402</v>
      </c>
      <c r="B1446" s="12">
        <v>1500.0</v>
      </c>
      <c r="C1446" s="12">
        <v>3500.0</v>
      </c>
      <c r="D1446" s="11" t="b">
        <f>true</f>
        <v>1</v>
      </c>
      <c r="E1446" s="8" t="s">
        <v>1384</v>
      </c>
    </row>
    <row r="1447" ht="15.75" customHeight="1">
      <c r="A1447" s="9" t="s">
        <v>1402</v>
      </c>
      <c r="B1447" s="10">
        <v>1200.0</v>
      </c>
      <c r="C1447" s="10">
        <v>3500.0</v>
      </c>
      <c r="D1447" s="9" t="b">
        <f t="shared" ref="D1447:D1448" si="333">false</f>
        <v>0</v>
      </c>
      <c r="E1447" s="8" t="s">
        <v>1384</v>
      </c>
    </row>
    <row r="1448" ht="15.75" customHeight="1">
      <c r="A1448" s="15" t="s">
        <v>1403</v>
      </c>
      <c r="B1448" s="16">
        <v>1500.0</v>
      </c>
      <c r="C1448" s="16">
        <v>3500.0</v>
      </c>
      <c r="D1448" s="15" t="b">
        <f t="shared" si="333"/>
        <v>0</v>
      </c>
      <c r="E1448" s="8" t="s">
        <v>1384</v>
      </c>
    </row>
    <row r="1449" ht="15.75" customHeight="1">
      <c r="A1449" s="5" t="s">
        <v>1404</v>
      </c>
      <c r="B1449" s="6">
        <v>149.0</v>
      </c>
      <c r="C1449" s="6">
        <v>250.0</v>
      </c>
      <c r="D1449" s="11" t="b">
        <f t="shared" ref="D1449:D1451" si="334">true</f>
        <v>1</v>
      </c>
      <c r="E1449" s="8" t="s">
        <v>1384</v>
      </c>
    </row>
    <row r="1450" ht="15.75" customHeight="1">
      <c r="A1450" s="5" t="s">
        <v>1405</v>
      </c>
      <c r="B1450" s="6">
        <v>87.0</v>
      </c>
      <c r="C1450" s="6">
        <v>250.0</v>
      </c>
      <c r="D1450" s="11" t="b">
        <f t="shared" si="334"/>
        <v>1</v>
      </c>
      <c r="E1450" s="8" t="s">
        <v>1384</v>
      </c>
    </row>
    <row r="1451" ht="15.75" customHeight="1">
      <c r="A1451" s="5" t="s">
        <v>1406</v>
      </c>
      <c r="B1451" s="6">
        <v>388.0</v>
      </c>
      <c r="C1451" s="6">
        <v>800.0</v>
      </c>
      <c r="D1451" s="11" t="b">
        <f t="shared" si="334"/>
        <v>1</v>
      </c>
      <c r="E1451" s="8" t="s">
        <v>1384</v>
      </c>
    </row>
    <row r="1452" ht="15.75" customHeight="1">
      <c r="A1452" s="9" t="s">
        <v>1407</v>
      </c>
      <c r="B1452" s="10">
        <v>939.0</v>
      </c>
      <c r="C1452" s="10">
        <v>1300.0</v>
      </c>
      <c r="D1452" s="9" t="b">
        <f>false</f>
        <v>0</v>
      </c>
      <c r="E1452" s="8" t="s">
        <v>1384</v>
      </c>
    </row>
    <row r="1453" ht="15.75" customHeight="1">
      <c r="A1453" s="5" t="s">
        <v>1408</v>
      </c>
      <c r="B1453" s="6">
        <v>810.0</v>
      </c>
      <c r="C1453" s="6">
        <v>1500.0</v>
      </c>
      <c r="D1453" s="11" t="b">
        <f t="shared" ref="D1453:D1455" si="335">true</f>
        <v>1</v>
      </c>
      <c r="E1453" s="8" t="s">
        <v>1384</v>
      </c>
    </row>
    <row r="1454" ht="15.75" customHeight="1">
      <c r="A1454" s="5" t="s">
        <v>1409</v>
      </c>
      <c r="B1454" s="6">
        <v>1080.0</v>
      </c>
      <c r="C1454" s="6">
        <v>1600.0</v>
      </c>
      <c r="D1454" s="11" t="b">
        <f t="shared" si="335"/>
        <v>1</v>
      </c>
      <c r="E1454" s="8" t="s">
        <v>1384</v>
      </c>
    </row>
    <row r="1455" ht="15.75" customHeight="1">
      <c r="A1455" s="7" t="s">
        <v>1410</v>
      </c>
      <c r="B1455" s="6">
        <v>2000.0</v>
      </c>
      <c r="C1455" s="6">
        <v>3000.0</v>
      </c>
      <c r="D1455" s="11" t="b">
        <f t="shared" si="335"/>
        <v>1</v>
      </c>
      <c r="E1455" s="8" t="s">
        <v>1384</v>
      </c>
    </row>
    <row r="1456" ht="15.75" customHeight="1">
      <c r="A1456" s="9" t="s">
        <v>1411</v>
      </c>
      <c r="B1456" s="10">
        <v>899.0</v>
      </c>
      <c r="C1456" s="10">
        <v>1500.0</v>
      </c>
      <c r="D1456" s="9" t="b">
        <f t="shared" ref="D1456:D1457" si="336">false</f>
        <v>0</v>
      </c>
      <c r="E1456" s="8" t="s">
        <v>1384</v>
      </c>
    </row>
    <row r="1457" ht="15.75" customHeight="1">
      <c r="A1457" s="9" t="s">
        <v>1412</v>
      </c>
      <c r="B1457" s="10">
        <v>828.0</v>
      </c>
      <c r="C1457" s="10">
        <v>1700.0</v>
      </c>
      <c r="D1457" s="9" t="b">
        <f t="shared" si="336"/>
        <v>0</v>
      </c>
      <c r="E1457" s="8" t="s">
        <v>1384</v>
      </c>
    </row>
    <row r="1458" ht="15.75" customHeight="1">
      <c r="A1458" s="5" t="s">
        <v>1413</v>
      </c>
      <c r="B1458" s="6">
        <v>475.0</v>
      </c>
      <c r="C1458" s="6">
        <v>1500.0</v>
      </c>
      <c r="D1458" s="11" t="b">
        <f t="shared" ref="D1458:D1459" si="337">true</f>
        <v>1</v>
      </c>
      <c r="E1458" s="8" t="s">
        <v>1384</v>
      </c>
    </row>
    <row r="1459" ht="15.75" customHeight="1">
      <c r="A1459" s="5" t="s">
        <v>1414</v>
      </c>
      <c r="B1459" s="6">
        <v>495.0</v>
      </c>
      <c r="C1459" s="6">
        <v>1500.0</v>
      </c>
      <c r="D1459" s="11" t="b">
        <f t="shared" si="337"/>
        <v>1</v>
      </c>
      <c r="E1459" s="8" t="s">
        <v>1384</v>
      </c>
    </row>
    <row r="1460" ht="15.75" customHeight="1">
      <c r="A1460" s="9" t="s">
        <v>1415</v>
      </c>
      <c r="B1460" s="10">
        <v>820.0</v>
      </c>
      <c r="C1460" s="10">
        <v>1500.0</v>
      </c>
      <c r="D1460" s="9" t="b">
        <f>false</f>
        <v>0</v>
      </c>
      <c r="E1460" s="8" t="s">
        <v>1384</v>
      </c>
    </row>
    <row r="1461" ht="15.75" customHeight="1">
      <c r="A1461" s="5" t="s">
        <v>1416</v>
      </c>
      <c r="B1461" s="6">
        <v>850.0</v>
      </c>
      <c r="C1461" s="6">
        <v>1500.0</v>
      </c>
      <c r="D1461" s="11" t="b">
        <f>true</f>
        <v>1</v>
      </c>
      <c r="E1461" s="8" t="s">
        <v>1384</v>
      </c>
    </row>
    <row r="1462" ht="15.75" customHeight="1">
      <c r="A1462" s="9" t="s">
        <v>1417</v>
      </c>
      <c r="B1462" s="10">
        <v>1699.0</v>
      </c>
      <c r="C1462" s="10">
        <v>2300.0</v>
      </c>
      <c r="D1462" s="9" t="b">
        <f t="shared" ref="D1462:D1463" si="338">false</f>
        <v>0</v>
      </c>
      <c r="E1462" s="8" t="s">
        <v>1384</v>
      </c>
    </row>
    <row r="1463" ht="15.75" customHeight="1">
      <c r="A1463" s="9" t="s">
        <v>1417</v>
      </c>
      <c r="B1463" s="10">
        <v>1609.0</v>
      </c>
      <c r="C1463" s="10">
        <v>2200.0</v>
      </c>
      <c r="D1463" s="9" t="b">
        <f t="shared" si="338"/>
        <v>0</v>
      </c>
      <c r="E1463" s="8" t="s">
        <v>1384</v>
      </c>
    </row>
    <row r="1464" ht="15.75" customHeight="1">
      <c r="A1464" s="11" t="s">
        <v>1418</v>
      </c>
      <c r="B1464" s="12">
        <v>2169.0</v>
      </c>
      <c r="C1464" s="12">
        <v>3300.0</v>
      </c>
      <c r="D1464" s="11" t="b">
        <f t="shared" ref="D1464:D1467" si="339">true</f>
        <v>1</v>
      </c>
      <c r="E1464" s="8" t="s">
        <v>1384</v>
      </c>
    </row>
    <row r="1465" ht="15.75" customHeight="1">
      <c r="A1465" s="11" t="s">
        <v>1419</v>
      </c>
      <c r="B1465" s="12">
        <v>2000.0</v>
      </c>
      <c r="C1465" s="12">
        <v>4000.0</v>
      </c>
      <c r="D1465" s="11" t="b">
        <f t="shared" si="339"/>
        <v>1</v>
      </c>
      <c r="E1465" s="8" t="s">
        <v>1384</v>
      </c>
    </row>
    <row r="1466" ht="15.75" customHeight="1">
      <c r="A1466" s="11" t="s">
        <v>1420</v>
      </c>
      <c r="B1466" s="6">
        <v>1500.0</v>
      </c>
      <c r="C1466" s="6">
        <v>4000.0</v>
      </c>
      <c r="D1466" s="11" t="b">
        <f t="shared" si="339"/>
        <v>1</v>
      </c>
      <c r="E1466" s="8" t="s">
        <v>1384</v>
      </c>
    </row>
    <row r="1467" ht="15.75" customHeight="1">
      <c r="A1467" s="11" t="s">
        <v>1421</v>
      </c>
      <c r="B1467" s="12">
        <v>2000.0</v>
      </c>
      <c r="C1467" s="12">
        <v>7000.0</v>
      </c>
      <c r="D1467" s="11" t="b">
        <f t="shared" si="339"/>
        <v>1</v>
      </c>
      <c r="E1467" s="8" t="s">
        <v>1384</v>
      </c>
    </row>
    <row r="1468" ht="15.75" customHeight="1">
      <c r="A1468" s="9" t="s">
        <v>1422</v>
      </c>
      <c r="B1468" s="10">
        <v>669.0</v>
      </c>
      <c r="C1468" s="10">
        <v>1000.0</v>
      </c>
      <c r="D1468" s="9" t="b">
        <f>false</f>
        <v>0</v>
      </c>
      <c r="E1468" s="8" t="s">
        <v>1384</v>
      </c>
    </row>
    <row r="1469" ht="15.75" customHeight="1">
      <c r="A1469" s="11" t="s">
        <v>1423</v>
      </c>
      <c r="B1469" s="12">
        <v>328.0</v>
      </c>
      <c r="C1469" s="12">
        <v>1000.0</v>
      </c>
      <c r="D1469" s="11" t="b">
        <f t="shared" ref="D1469:D1470" si="340">true</f>
        <v>1</v>
      </c>
      <c r="E1469" s="8" t="s">
        <v>1384</v>
      </c>
    </row>
    <row r="1470" ht="15.75" customHeight="1">
      <c r="A1470" s="11" t="s">
        <v>1424</v>
      </c>
      <c r="B1470" s="12">
        <v>300.0</v>
      </c>
      <c r="C1470" s="12">
        <v>1000.0</v>
      </c>
      <c r="D1470" s="11" t="b">
        <f t="shared" si="340"/>
        <v>1</v>
      </c>
      <c r="E1470" s="8" t="s">
        <v>1384</v>
      </c>
    </row>
    <row r="1471" ht="15.75" customHeight="1">
      <c r="A1471" s="9" t="s">
        <v>1425</v>
      </c>
      <c r="B1471" s="10">
        <v>313.0</v>
      </c>
      <c r="C1471" s="10">
        <v>1000.0</v>
      </c>
      <c r="D1471" s="9" t="b">
        <f t="shared" ref="D1471:D1472" si="341">false</f>
        <v>0</v>
      </c>
      <c r="E1471" s="8" t="s">
        <v>1384</v>
      </c>
    </row>
    <row r="1472" ht="15.75" customHeight="1">
      <c r="A1472" s="9" t="s">
        <v>1426</v>
      </c>
      <c r="B1472" s="10">
        <v>423.0</v>
      </c>
      <c r="C1472" s="10">
        <v>1000.0</v>
      </c>
      <c r="D1472" s="9" t="b">
        <f t="shared" si="341"/>
        <v>0</v>
      </c>
      <c r="E1472" s="8" t="s">
        <v>1384</v>
      </c>
    </row>
    <row r="1473" ht="15.75" customHeight="1">
      <c r="A1473" s="9" t="s">
        <v>1427</v>
      </c>
      <c r="B1473" s="10">
        <v>845.0</v>
      </c>
      <c r="C1473" s="10">
        <v>2000.0</v>
      </c>
      <c r="D1473" s="11" t="b">
        <f t="shared" ref="D1473:D1476" si="342">true</f>
        <v>1</v>
      </c>
      <c r="E1473" s="8" t="s">
        <v>1384</v>
      </c>
    </row>
    <row r="1474" ht="15.75" customHeight="1">
      <c r="A1474" s="5" t="s">
        <v>1428</v>
      </c>
      <c r="B1474" s="6">
        <v>990.0</v>
      </c>
      <c r="C1474" s="6">
        <v>2000.0</v>
      </c>
      <c r="D1474" s="11" t="b">
        <f t="shared" si="342"/>
        <v>1</v>
      </c>
      <c r="E1474" s="8" t="s">
        <v>1384</v>
      </c>
    </row>
    <row r="1475" ht="15.75" customHeight="1">
      <c r="A1475" s="5" t="s">
        <v>1429</v>
      </c>
      <c r="B1475" s="6">
        <v>2000.0</v>
      </c>
      <c r="C1475" s="6">
        <v>4000.0</v>
      </c>
      <c r="D1475" s="11" t="b">
        <f t="shared" si="342"/>
        <v>1</v>
      </c>
      <c r="E1475" s="8" t="s">
        <v>1384</v>
      </c>
    </row>
    <row r="1476" ht="15.75" customHeight="1">
      <c r="A1476" s="11" t="s">
        <v>1430</v>
      </c>
      <c r="B1476" s="12">
        <v>310.0</v>
      </c>
      <c r="C1476" s="12">
        <v>1000.0</v>
      </c>
      <c r="D1476" s="11" t="b">
        <f t="shared" si="342"/>
        <v>1</v>
      </c>
      <c r="E1476" s="8" t="s">
        <v>1384</v>
      </c>
    </row>
    <row r="1477" ht="15.75" customHeight="1">
      <c r="A1477" s="9" t="s">
        <v>1431</v>
      </c>
      <c r="B1477" s="10">
        <v>400.0</v>
      </c>
      <c r="C1477" s="10">
        <v>1500.0</v>
      </c>
      <c r="D1477" s="9" t="b">
        <f t="shared" ref="D1477:D1481" si="343">false</f>
        <v>0</v>
      </c>
      <c r="E1477" s="8" t="s">
        <v>1384</v>
      </c>
    </row>
    <row r="1478" ht="15.75" customHeight="1">
      <c r="A1478" s="9" t="s">
        <v>1432</v>
      </c>
      <c r="B1478" s="10">
        <v>700.0</v>
      </c>
      <c r="C1478" s="10">
        <v>1200.0</v>
      </c>
      <c r="D1478" s="9" t="b">
        <f t="shared" si="343"/>
        <v>0</v>
      </c>
      <c r="E1478" s="8" t="s">
        <v>1384</v>
      </c>
    </row>
    <row r="1479" ht="15.75" customHeight="1">
      <c r="A1479" s="9" t="s">
        <v>1433</v>
      </c>
      <c r="B1479" s="10">
        <v>250.0</v>
      </c>
      <c r="C1479" s="10">
        <v>600.0</v>
      </c>
      <c r="D1479" s="9" t="b">
        <f t="shared" si="343"/>
        <v>0</v>
      </c>
      <c r="E1479" s="8" t="s">
        <v>1384</v>
      </c>
    </row>
    <row r="1480" ht="15.75" customHeight="1">
      <c r="A1480" s="9" t="s">
        <v>1433</v>
      </c>
      <c r="B1480" s="10">
        <v>333.0</v>
      </c>
      <c r="C1480" s="10">
        <v>600.0</v>
      </c>
      <c r="D1480" s="9" t="b">
        <f t="shared" si="343"/>
        <v>0</v>
      </c>
      <c r="E1480" s="8" t="s">
        <v>1384</v>
      </c>
    </row>
    <row r="1481" ht="15.75" customHeight="1">
      <c r="A1481" s="9" t="s">
        <v>1434</v>
      </c>
      <c r="B1481" s="10">
        <v>1000.0</v>
      </c>
      <c r="C1481" s="10">
        <v>1600.0</v>
      </c>
      <c r="D1481" s="9" t="b">
        <f t="shared" si="343"/>
        <v>0</v>
      </c>
      <c r="E1481" s="8" t="s">
        <v>1384</v>
      </c>
    </row>
    <row r="1482" ht="15.75" customHeight="1">
      <c r="A1482" s="11" t="s">
        <v>1435</v>
      </c>
      <c r="B1482" s="12">
        <v>430.0</v>
      </c>
      <c r="C1482" s="12">
        <v>1400.0</v>
      </c>
      <c r="D1482" s="11" t="b">
        <f>true</f>
        <v>1</v>
      </c>
      <c r="E1482" s="8" t="s">
        <v>1384</v>
      </c>
    </row>
    <row r="1483" ht="15.75" customHeight="1">
      <c r="A1483" s="9" t="s">
        <v>1436</v>
      </c>
      <c r="B1483" s="10">
        <v>550.0</v>
      </c>
      <c r="C1483" s="10">
        <v>1500.0</v>
      </c>
      <c r="D1483" s="9" t="b">
        <f t="shared" ref="D1483:D1485" si="344">false</f>
        <v>0</v>
      </c>
      <c r="E1483" s="8" t="s">
        <v>1384</v>
      </c>
    </row>
    <row r="1484" ht="15.75" customHeight="1">
      <c r="A1484" s="9" t="s">
        <v>1437</v>
      </c>
      <c r="B1484" s="10">
        <v>600.0</v>
      </c>
      <c r="C1484" s="10">
        <v>1500.0</v>
      </c>
      <c r="D1484" s="9" t="b">
        <f t="shared" si="344"/>
        <v>0</v>
      </c>
      <c r="E1484" s="8" t="s">
        <v>1384</v>
      </c>
    </row>
    <row r="1485" ht="15.75" customHeight="1">
      <c r="A1485" s="9" t="s">
        <v>1438</v>
      </c>
      <c r="B1485" s="10">
        <v>500.0</v>
      </c>
      <c r="C1485" s="10">
        <v>1500.0</v>
      </c>
      <c r="D1485" s="9" t="b">
        <f t="shared" si="344"/>
        <v>0</v>
      </c>
      <c r="E1485" s="8" t="s">
        <v>1384</v>
      </c>
    </row>
    <row r="1486" ht="15.75" customHeight="1">
      <c r="A1486" s="11" t="s">
        <v>1439</v>
      </c>
      <c r="B1486" s="12">
        <v>494.0</v>
      </c>
      <c r="C1486" s="12">
        <v>1500.0</v>
      </c>
      <c r="D1486" s="11" t="b">
        <f t="shared" ref="D1486:D1488" si="345">true</f>
        <v>1</v>
      </c>
      <c r="E1486" s="8" t="s">
        <v>1384</v>
      </c>
    </row>
    <row r="1487" ht="15.75" customHeight="1">
      <c r="A1487" s="11" t="s">
        <v>1440</v>
      </c>
      <c r="B1487" s="12">
        <v>1500.0</v>
      </c>
      <c r="C1487" s="12">
        <v>2300.0</v>
      </c>
      <c r="D1487" s="11" t="b">
        <f t="shared" si="345"/>
        <v>1</v>
      </c>
      <c r="E1487" s="8" t="s">
        <v>1384</v>
      </c>
    </row>
    <row r="1488" ht="15.75" customHeight="1">
      <c r="A1488" s="9" t="s">
        <v>1441</v>
      </c>
      <c r="B1488" s="10">
        <v>1200.0</v>
      </c>
      <c r="C1488" s="10">
        <v>2000.0</v>
      </c>
      <c r="D1488" s="11" t="b">
        <f t="shared" si="345"/>
        <v>1</v>
      </c>
      <c r="E1488" s="8" t="s">
        <v>1384</v>
      </c>
    </row>
    <row r="1489" ht="15.75" customHeight="1">
      <c r="A1489" s="9" t="s">
        <v>1442</v>
      </c>
      <c r="B1489" s="10">
        <v>850.0</v>
      </c>
      <c r="C1489" s="10">
        <v>2500.0</v>
      </c>
      <c r="D1489" s="9" t="b">
        <f>false</f>
        <v>0</v>
      </c>
      <c r="E1489" s="8" t="s">
        <v>1384</v>
      </c>
    </row>
    <row r="1490" ht="15.75" customHeight="1">
      <c r="A1490" s="5" t="s">
        <v>1443</v>
      </c>
      <c r="B1490" s="6">
        <v>1140.0</v>
      </c>
      <c r="C1490" s="6">
        <v>2500.0</v>
      </c>
      <c r="D1490" s="11" t="b">
        <f t="shared" ref="D1490:D1498" si="346">true</f>
        <v>1</v>
      </c>
      <c r="E1490" s="8" t="s">
        <v>1384</v>
      </c>
    </row>
    <row r="1491" ht="15.75" customHeight="1">
      <c r="A1491" s="5" t="s">
        <v>1444</v>
      </c>
      <c r="B1491" s="6">
        <v>1850.0</v>
      </c>
      <c r="C1491" s="6">
        <v>3000.0</v>
      </c>
      <c r="D1491" s="11" t="b">
        <f t="shared" si="346"/>
        <v>1</v>
      </c>
      <c r="E1491" s="8" t="s">
        <v>1384</v>
      </c>
    </row>
    <row r="1492" ht="15.75" customHeight="1">
      <c r="A1492" s="7" t="s">
        <v>1445</v>
      </c>
      <c r="B1492" s="6">
        <v>15.0</v>
      </c>
      <c r="C1492" s="6">
        <v>40.0</v>
      </c>
      <c r="D1492" s="11" t="b">
        <f t="shared" si="346"/>
        <v>1</v>
      </c>
      <c r="E1492" s="8" t="s">
        <v>1384</v>
      </c>
    </row>
    <row r="1493" ht="15.75" customHeight="1">
      <c r="A1493" s="7" t="s">
        <v>1446</v>
      </c>
      <c r="B1493" s="6">
        <v>719.0</v>
      </c>
      <c r="C1493" s="6">
        <v>2000.0</v>
      </c>
      <c r="D1493" s="11" t="b">
        <f t="shared" si="346"/>
        <v>1</v>
      </c>
      <c r="E1493" s="8" t="s">
        <v>1384</v>
      </c>
    </row>
    <row r="1494" ht="15.75" customHeight="1">
      <c r="A1494" s="7" t="s">
        <v>1447</v>
      </c>
      <c r="B1494" s="6">
        <v>40.0</v>
      </c>
      <c r="C1494" s="6">
        <v>80.0</v>
      </c>
      <c r="D1494" s="11" t="b">
        <f t="shared" si="346"/>
        <v>1</v>
      </c>
      <c r="E1494" s="8" t="s">
        <v>1384</v>
      </c>
    </row>
    <row r="1495" ht="15.75" customHeight="1">
      <c r="A1495" s="7" t="s">
        <v>1448</v>
      </c>
      <c r="B1495" s="6">
        <v>2000.0</v>
      </c>
      <c r="C1495" s="6">
        <v>4000.0</v>
      </c>
      <c r="D1495" s="11" t="b">
        <f t="shared" si="346"/>
        <v>1</v>
      </c>
      <c r="E1495" s="8" t="s">
        <v>1384</v>
      </c>
    </row>
    <row r="1496" ht="15.75" customHeight="1">
      <c r="A1496" s="7" t="s">
        <v>1449</v>
      </c>
      <c r="B1496" s="6">
        <v>60.0</v>
      </c>
      <c r="C1496" s="6">
        <v>100.0</v>
      </c>
      <c r="D1496" s="11" t="b">
        <f t="shared" si="346"/>
        <v>1</v>
      </c>
      <c r="E1496" s="8" t="s">
        <v>1384</v>
      </c>
    </row>
    <row r="1497" ht="15.75" customHeight="1">
      <c r="A1497" s="7" t="s">
        <v>1450</v>
      </c>
      <c r="B1497" s="6">
        <v>619.0</v>
      </c>
      <c r="C1497" s="6">
        <v>2200.0</v>
      </c>
      <c r="D1497" s="11" t="b">
        <f t="shared" si="346"/>
        <v>1</v>
      </c>
      <c r="E1497" s="8" t="s">
        <v>1384</v>
      </c>
    </row>
    <row r="1498" ht="15.75" customHeight="1">
      <c r="A1498" s="7" t="s">
        <v>1451</v>
      </c>
      <c r="B1498" s="6">
        <v>3000.0</v>
      </c>
      <c r="C1498" s="6">
        <v>5000.0</v>
      </c>
      <c r="D1498" s="11" t="b">
        <f t="shared" si="346"/>
        <v>1</v>
      </c>
      <c r="E1498" s="8" t="s">
        <v>1384</v>
      </c>
    </row>
    <row r="1499" ht="15.75" customHeight="1">
      <c r="A1499" s="9" t="s">
        <v>1452</v>
      </c>
      <c r="B1499" s="10">
        <v>379.0</v>
      </c>
      <c r="C1499" s="10">
        <v>650.0</v>
      </c>
      <c r="D1499" s="9" t="b">
        <f t="shared" ref="D1499:D1500" si="347">false</f>
        <v>0</v>
      </c>
      <c r="E1499" s="8" t="s">
        <v>1384</v>
      </c>
    </row>
    <row r="1500" ht="15.75" customHeight="1">
      <c r="A1500" s="9" t="s">
        <v>1453</v>
      </c>
      <c r="B1500" s="10">
        <v>38.0</v>
      </c>
      <c r="C1500" s="10">
        <v>65.0</v>
      </c>
      <c r="D1500" s="9" t="b">
        <f t="shared" si="347"/>
        <v>0</v>
      </c>
      <c r="E1500" s="8" t="s">
        <v>1384</v>
      </c>
    </row>
    <row r="1501" ht="15.75" customHeight="1">
      <c r="A1501" s="7" t="s">
        <v>1454</v>
      </c>
      <c r="B1501" s="6">
        <v>450.0</v>
      </c>
      <c r="C1501" s="6">
        <v>750.0</v>
      </c>
      <c r="D1501" s="11" t="b">
        <f t="shared" ref="D1501:D1511" si="348">true</f>
        <v>1</v>
      </c>
      <c r="E1501" s="8" t="s">
        <v>1384</v>
      </c>
    </row>
    <row r="1502" ht="15.75" customHeight="1">
      <c r="A1502" s="7" t="s">
        <v>1455</v>
      </c>
      <c r="B1502" s="6">
        <v>80.0</v>
      </c>
      <c r="C1502" s="6">
        <v>150.0</v>
      </c>
      <c r="D1502" s="11" t="b">
        <f t="shared" si="348"/>
        <v>1</v>
      </c>
      <c r="E1502" s="8" t="s">
        <v>1384</v>
      </c>
    </row>
    <row r="1503" ht="15.75" customHeight="1">
      <c r="A1503" s="7" t="s">
        <v>1456</v>
      </c>
      <c r="B1503" s="6">
        <v>4000.0</v>
      </c>
      <c r="C1503" s="6">
        <v>7500.0</v>
      </c>
      <c r="D1503" s="11" t="b">
        <f t="shared" si="348"/>
        <v>1</v>
      </c>
      <c r="E1503" s="8" t="s">
        <v>1384</v>
      </c>
    </row>
    <row r="1504" ht="15.75" customHeight="1">
      <c r="A1504" s="7" t="s">
        <v>1457</v>
      </c>
      <c r="B1504" s="6">
        <v>450.0</v>
      </c>
      <c r="C1504" s="6">
        <v>850.0</v>
      </c>
      <c r="D1504" s="11" t="b">
        <f t="shared" si="348"/>
        <v>1</v>
      </c>
      <c r="E1504" s="8" t="s">
        <v>1384</v>
      </c>
    </row>
    <row r="1505" ht="15.75" customHeight="1">
      <c r="A1505" s="7" t="s">
        <v>1458</v>
      </c>
      <c r="B1505" s="6">
        <v>80.0</v>
      </c>
      <c r="C1505" s="6">
        <v>150.0</v>
      </c>
      <c r="D1505" s="11" t="b">
        <f t="shared" si="348"/>
        <v>1</v>
      </c>
      <c r="E1505" s="8" t="s">
        <v>1384</v>
      </c>
    </row>
    <row r="1506" ht="15.75" customHeight="1">
      <c r="A1506" s="7" t="s">
        <v>1459</v>
      </c>
      <c r="B1506" s="6">
        <v>699.0</v>
      </c>
      <c r="C1506" s="6">
        <v>1700.0</v>
      </c>
      <c r="D1506" s="11" t="b">
        <f t="shared" si="348"/>
        <v>1</v>
      </c>
      <c r="E1506" s="8" t="s">
        <v>1384</v>
      </c>
    </row>
    <row r="1507" ht="15.75" customHeight="1">
      <c r="A1507" s="7" t="s">
        <v>1460</v>
      </c>
      <c r="B1507" s="6">
        <v>4000.0</v>
      </c>
      <c r="C1507" s="6">
        <v>7500.0</v>
      </c>
      <c r="D1507" s="11" t="b">
        <f t="shared" si="348"/>
        <v>1</v>
      </c>
      <c r="E1507" s="8" t="s">
        <v>1384</v>
      </c>
    </row>
    <row r="1508" ht="15.75" customHeight="1">
      <c r="A1508" s="5" t="s">
        <v>1461</v>
      </c>
      <c r="B1508" s="6">
        <v>600.0</v>
      </c>
      <c r="C1508" s="6">
        <v>1800.0</v>
      </c>
      <c r="D1508" s="11" t="b">
        <f t="shared" si="348"/>
        <v>1</v>
      </c>
      <c r="E1508" s="8" t="s">
        <v>1384</v>
      </c>
    </row>
    <row r="1509" ht="15.75" customHeight="1">
      <c r="A1509" s="7" t="s">
        <v>1462</v>
      </c>
      <c r="B1509" s="6">
        <v>899.0</v>
      </c>
      <c r="C1509" s="6">
        <v>1700.0</v>
      </c>
      <c r="D1509" s="11" t="b">
        <f t="shared" si="348"/>
        <v>1</v>
      </c>
      <c r="E1509" s="8" t="s">
        <v>1384</v>
      </c>
    </row>
    <row r="1510" ht="15.75" customHeight="1">
      <c r="A1510" s="7" t="s">
        <v>1463</v>
      </c>
      <c r="B1510" s="6">
        <v>1069.0</v>
      </c>
      <c r="C1510" s="6">
        <v>1900.0</v>
      </c>
      <c r="D1510" s="11" t="b">
        <f t="shared" si="348"/>
        <v>1</v>
      </c>
      <c r="E1510" s="8" t="s">
        <v>1384</v>
      </c>
    </row>
    <row r="1511" ht="15.75" customHeight="1">
      <c r="A1511" s="5" t="s">
        <v>1464</v>
      </c>
      <c r="B1511" s="6">
        <v>950.0</v>
      </c>
      <c r="C1511" s="6">
        <v>3500.0</v>
      </c>
      <c r="D1511" s="11" t="b">
        <f t="shared" si="348"/>
        <v>1</v>
      </c>
      <c r="E1511" s="8" t="s">
        <v>1384</v>
      </c>
    </row>
    <row r="1512" ht="15.75" customHeight="1">
      <c r="A1512" s="9" t="s">
        <v>1465</v>
      </c>
      <c r="B1512" s="10">
        <v>1149.0</v>
      </c>
      <c r="C1512" s="10">
        <v>2000.0</v>
      </c>
      <c r="D1512" s="9" t="b">
        <f>false</f>
        <v>0</v>
      </c>
      <c r="E1512" s="8" t="s">
        <v>1384</v>
      </c>
    </row>
    <row r="1513" ht="15.75" customHeight="1">
      <c r="A1513" s="11" t="s">
        <v>1466</v>
      </c>
      <c r="B1513" s="12">
        <v>1300.0</v>
      </c>
      <c r="C1513" s="12">
        <v>2300.0</v>
      </c>
      <c r="D1513" s="11" t="b">
        <f t="shared" ref="D1513:D1515" si="349">true</f>
        <v>1</v>
      </c>
      <c r="E1513" s="8" t="s">
        <v>1384</v>
      </c>
    </row>
    <row r="1514" ht="15.75" customHeight="1">
      <c r="A1514" s="11" t="s">
        <v>1467</v>
      </c>
      <c r="B1514" s="12">
        <v>1300.0</v>
      </c>
      <c r="C1514" s="12">
        <v>2100.0</v>
      </c>
      <c r="D1514" s="11" t="b">
        <f t="shared" si="349"/>
        <v>1</v>
      </c>
      <c r="E1514" s="8" t="s">
        <v>1384</v>
      </c>
    </row>
    <row r="1515" ht="15.75" customHeight="1">
      <c r="A1515" s="11" t="s">
        <v>1468</v>
      </c>
      <c r="B1515" s="12">
        <v>6500.0</v>
      </c>
      <c r="C1515" s="12">
        <v>10000.0</v>
      </c>
      <c r="D1515" s="11" t="b">
        <f t="shared" si="349"/>
        <v>1</v>
      </c>
      <c r="E1515" s="8" t="s">
        <v>1384</v>
      </c>
    </row>
    <row r="1516" ht="15.75" customHeight="1">
      <c r="A1516" s="9" t="s">
        <v>1469</v>
      </c>
      <c r="B1516" s="10">
        <v>929.0</v>
      </c>
      <c r="C1516" s="10">
        <v>1800.0</v>
      </c>
      <c r="D1516" s="9" t="b">
        <f>false</f>
        <v>0</v>
      </c>
      <c r="E1516" s="8" t="s">
        <v>1384</v>
      </c>
    </row>
    <row r="1517" ht="15.75" customHeight="1">
      <c r="A1517" s="11" t="s">
        <v>1470</v>
      </c>
      <c r="B1517" s="12">
        <v>141.0</v>
      </c>
      <c r="C1517" s="12">
        <v>250.0</v>
      </c>
      <c r="D1517" s="11" t="b">
        <f t="shared" ref="D1517:D1519" si="350">true</f>
        <v>1</v>
      </c>
      <c r="E1517" s="8" t="s">
        <v>1384</v>
      </c>
    </row>
    <row r="1518" ht="15.75" customHeight="1">
      <c r="A1518" s="5" t="s">
        <v>1469</v>
      </c>
      <c r="B1518" s="6">
        <v>1409.0</v>
      </c>
      <c r="C1518" s="6">
        <v>2500.0</v>
      </c>
      <c r="D1518" s="11" t="b">
        <f t="shared" si="350"/>
        <v>1</v>
      </c>
      <c r="E1518" s="8" t="s">
        <v>1384</v>
      </c>
    </row>
    <row r="1519" ht="15.75" customHeight="1">
      <c r="A1519" s="5" t="s">
        <v>1471</v>
      </c>
      <c r="B1519" s="6">
        <v>1449.0</v>
      </c>
      <c r="C1519" s="6">
        <v>3000.0</v>
      </c>
      <c r="D1519" s="11" t="b">
        <f t="shared" si="350"/>
        <v>1</v>
      </c>
      <c r="E1519" s="8" t="s">
        <v>1384</v>
      </c>
    </row>
    <row r="1520" ht="15.75" customHeight="1">
      <c r="A1520" s="9" t="s">
        <v>1472</v>
      </c>
      <c r="B1520" s="10">
        <v>619.0</v>
      </c>
      <c r="C1520" s="10">
        <v>1000.0</v>
      </c>
      <c r="D1520" s="9" t="b">
        <f t="shared" ref="D1520:D1521" si="351">false</f>
        <v>0</v>
      </c>
      <c r="E1520" s="8" t="s">
        <v>1384</v>
      </c>
    </row>
    <row r="1521" ht="15.75" customHeight="1">
      <c r="A1521" s="9" t="s">
        <v>1473</v>
      </c>
      <c r="B1521" s="10">
        <v>62.0</v>
      </c>
      <c r="C1521" s="10">
        <v>100.0</v>
      </c>
      <c r="D1521" s="9" t="b">
        <f t="shared" si="351"/>
        <v>0</v>
      </c>
      <c r="E1521" s="8" t="s">
        <v>1384</v>
      </c>
    </row>
    <row r="1522" ht="15.75" customHeight="1">
      <c r="A1522" s="11" t="s">
        <v>1474</v>
      </c>
      <c r="B1522" s="12">
        <v>150.0</v>
      </c>
      <c r="C1522" s="12">
        <v>150.0</v>
      </c>
      <c r="D1522" s="11" t="b">
        <f t="shared" ref="D1522:D1524" si="352">true</f>
        <v>1</v>
      </c>
      <c r="E1522" s="8" t="s">
        <v>1384</v>
      </c>
    </row>
    <row r="1523" ht="15.75" customHeight="1">
      <c r="A1523" s="5" t="s">
        <v>1475</v>
      </c>
      <c r="B1523" s="6">
        <v>3299.0</v>
      </c>
      <c r="C1523" s="6">
        <v>4500.0</v>
      </c>
      <c r="D1523" s="11" t="b">
        <f t="shared" si="352"/>
        <v>1</v>
      </c>
      <c r="E1523" s="8" t="s">
        <v>1384</v>
      </c>
    </row>
    <row r="1524" ht="15.75" customHeight="1">
      <c r="A1524" s="5" t="s">
        <v>1476</v>
      </c>
      <c r="B1524" s="6">
        <v>519.0</v>
      </c>
      <c r="C1524" s="6">
        <v>1000.0</v>
      </c>
      <c r="D1524" s="11" t="b">
        <f t="shared" si="352"/>
        <v>1</v>
      </c>
      <c r="E1524" s="8" t="s">
        <v>1384</v>
      </c>
    </row>
    <row r="1525" ht="12.75" customHeight="1">
      <c r="A1525" s="9" t="s">
        <v>1477</v>
      </c>
      <c r="B1525" s="10">
        <v>519.0</v>
      </c>
      <c r="C1525" s="10">
        <v>1000.0</v>
      </c>
      <c r="D1525" s="9" t="b">
        <f t="shared" ref="D1525:D1529" si="353">false</f>
        <v>0</v>
      </c>
      <c r="E1525" s="8" t="s">
        <v>1384</v>
      </c>
    </row>
    <row r="1526" ht="12.75" customHeight="1">
      <c r="A1526" s="9" t="s">
        <v>1478</v>
      </c>
      <c r="B1526" s="10">
        <v>260.0</v>
      </c>
      <c r="C1526" s="10">
        <v>500.0</v>
      </c>
      <c r="D1526" s="9" t="b">
        <f t="shared" si="353"/>
        <v>0</v>
      </c>
      <c r="E1526" s="8" t="s">
        <v>1384</v>
      </c>
    </row>
    <row r="1527" ht="15.75" customHeight="1">
      <c r="A1527" s="9" t="s">
        <v>1479</v>
      </c>
      <c r="B1527" s="17">
        <v>1049.0</v>
      </c>
      <c r="C1527" s="10">
        <v>1500.0</v>
      </c>
      <c r="D1527" s="9" t="b">
        <f t="shared" si="353"/>
        <v>0</v>
      </c>
      <c r="E1527" s="8" t="s">
        <v>1384</v>
      </c>
    </row>
    <row r="1528" ht="15.75" customHeight="1">
      <c r="A1528" s="9" t="s">
        <v>1480</v>
      </c>
      <c r="B1528" s="10">
        <v>1159.0</v>
      </c>
      <c r="C1528" s="10">
        <v>1500.0</v>
      </c>
      <c r="D1528" s="9" t="b">
        <f t="shared" si="353"/>
        <v>0</v>
      </c>
      <c r="E1528" s="8" t="s">
        <v>1384</v>
      </c>
    </row>
    <row r="1529" ht="15.75" customHeight="1">
      <c r="A1529" s="9" t="s">
        <v>1481</v>
      </c>
      <c r="B1529" s="10">
        <v>832.0</v>
      </c>
      <c r="C1529" s="10">
        <v>1500.0</v>
      </c>
      <c r="D1529" s="9" t="b">
        <f t="shared" si="353"/>
        <v>0</v>
      </c>
      <c r="E1529" s="8" t="s">
        <v>1384</v>
      </c>
    </row>
    <row r="1530" ht="15.75" customHeight="1">
      <c r="A1530" s="5" t="s">
        <v>1482</v>
      </c>
      <c r="B1530" s="6">
        <v>973.0</v>
      </c>
      <c r="C1530" s="6">
        <v>1500.0</v>
      </c>
      <c r="D1530" s="11" t="b">
        <f t="shared" ref="D1530:D1533" si="354">true</f>
        <v>1</v>
      </c>
      <c r="E1530" s="8" t="s">
        <v>1384</v>
      </c>
    </row>
    <row r="1531" ht="15.75" customHeight="1">
      <c r="A1531" s="5" t="s">
        <v>1483</v>
      </c>
      <c r="B1531" s="6">
        <v>375.0</v>
      </c>
      <c r="C1531" s="6">
        <v>800.0</v>
      </c>
      <c r="D1531" s="11" t="b">
        <f t="shared" si="354"/>
        <v>1</v>
      </c>
      <c r="E1531" s="8" t="s">
        <v>1384</v>
      </c>
    </row>
    <row r="1532" ht="15.75" customHeight="1">
      <c r="A1532" s="5" t="s">
        <v>1484</v>
      </c>
      <c r="B1532" s="6">
        <v>129.0</v>
      </c>
      <c r="C1532" s="6">
        <v>250.0</v>
      </c>
      <c r="D1532" s="11" t="b">
        <f t="shared" si="354"/>
        <v>1</v>
      </c>
      <c r="E1532" s="8" t="s">
        <v>1384</v>
      </c>
    </row>
    <row r="1533" ht="15.75" customHeight="1">
      <c r="A1533" s="5" t="s">
        <v>1485</v>
      </c>
      <c r="B1533" s="6">
        <v>61.0</v>
      </c>
      <c r="C1533" s="6">
        <v>200.0</v>
      </c>
      <c r="D1533" s="11" t="b">
        <f t="shared" si="354"/>
        <v>1</v>
      </c>
      <c r="E1533" s="8" t="s">
        <v>1384</v>
      </c>
    </row>
    <row r="1534" ht="15.75" customHeight="1">
      <c r="A1534" s="9" t="s">
        <v>1486</v>
      </c>
      <c r="B1534" s="10">
        <v>50.0</v>
      </c>
      <c r="C1534" s="10">
        <v>200.0</v>
      </c>
      <c r="D1534" s="9" t="b">
        <f>false</f>
        <v>0</v>
      </c>
      <c r="E1534" s="8" t="s">
        <v>1384</v>
      </c>
    </row>
    <row r="1535" ht="15.75" customHeight="1">
      <c r="A1535" s="5" t="s">
        <v>1487</v>
      </c>
      <c r="B1535" s="6">
        <v>150.0</v>
      </c>
      <c r="C1535" s="6">
        <v>200.0</v>
      </c>
      <c r="D1535" s="11" t="b">
        <f t="shared" ref="D1535:D1537" si="355">true</f>
        <v>1</v>
      </c>
      <c r="E1535" s="8" t="s">
        <v>1384</v>
      </c>
    </row>
    <row r="1536" ht="15.75" customHeight="1">
      <c r="A1536" s="5" t="s">
        <v>1488</v>
      </c>
      <c r="B1536" s="6">
        <v>400.0</v>
      </c>
      <c r="C1536" s="6">
        <v>1500.0</v>
      </c>
      <c r="D1536" s="11" t="b">
        <f t="shared" si="355"/>
        <v>1</v>
      </c>
      <c r="E1536" s="8" t="s">
        <v>1384</v>
      </c>
    </row>
    <row r="1537" ht="15.75" customHeight="1">
      <c r="A1537" s="11" t="s">
        <v>1489</v>
      </c>
      <c r="B1537" s="6">
        <v>860.0</v>
      </c>
      <c r="C1537" s="6">
        <v>1500.0</v>
      </c>
      <c r="D1537" s="11" t="b">
        <f t="shared" si="355"/>
        <v>1</v>
      </c>
      <c r="E1537" s="8" t="s">
        <v>1384</v>
      </c>
    </row>
    <row r="1538" ht="15.75" customHeight="1">
      <c r="A1538" s="9" t="s">
        <v>1490</v>
      </c>
      <c r="B1538" s="10">
        <v>940.0</v>
      </c>
      <c r="C1538" s="10">
        <v>1500.0</v>
      </c>
      <c r="D1538" s="9" t="b">
        <f t="shared" ref="D1538:D1541" si="356">false</f>
        <v>0</v>
      </c>
      <c r="E1538" s="8" t="s">
        <v>1384</v>
      </c>
    </row>
    <row r="1539" ht="15.75" customHeight="1">
      <c r="A1539" s="9" t="s">
        <v>1491</v>
      </c>
      <c r="B1539" s="10">
        <v>809.0</v>
      </c>
      <c r="C1539" s="10">
        <v>1200.0</v>
      </c>
      <c r="D1539" s="9" t="b">
        <f t="shared" si="356"/>
        <v>0</v>
      </c>
      <c r="E1539" s="8" t="s">
        <v>1384</v>
      </c>
    </row>
    <row r="1540" ht="15.75" customHeight="1">
      <c r="A1540" s="9" t="s">
        <v>1492</v>
      </c>
      <c r="B1540" s="10">
        <v>1749.0</v>
      </c>
      <c r="C1540" s="10">
        <v>2200.0</v>
      </c>
      <c r="D1540" s="9" t="b">
        <f t="shared" si="356"/>
        <v>0</v>
      </c>
      <c r="E1540" s="8" t="s">
        <v>1384</v>
      </c>
    </row>
    <row r="1541" ht="15.75" customHeight="1">
      <c r="A1541" s="9" t="s">
        <v>1493</v>
      </c>
      <c r="B1541" s="10">
        <v>1799.0</v>
      </c>
      <c r="C1541" s="10">
        <v>2500.0</v>
      </c>
      <c r="D1541" s="9" t="b">
        <f t="shared" si="356"/>
        <v>0</v>
      </c>
      <c r="E1541" s="8" t="s">
        <v>1384</v>
      </c>
    </row>
    <row r="1542" ht="15.75" customHeight="1">
      <c r="A1542" s="11" t="s">
        <v>1494</v>
      </c>
      <c r="B1542" s="12">
        <v>1580.0</v>
      </c>
      <c r="C1542" s="12">
        <v>2300.0</v>
      </c>
      <c r="D1542" s="11" t="b">
        <f t="shared" ref="D1542:D1543" si="357">true</f>
        <v>1</v>
      </c>
      <c r="E1542" s="8" t="s">
        <v>1384</v>
      </c>
    </row>
    <row r="1543" ht="15.75" customHeight="1">
      <c r="A1543" s="11" t="s">
        <v>1495</v>
      </c>
      <c r="B1543" s="12">
        <v>1690.0</v>
      </c>
      <c r="C1543" s="12">
        <v>2400.0</v>
      </c>
      <c r="D1543" s="11" t="b">
        <f t="shared" si="357"/>
        <v>1</v>
      </c>
      <c r="E1543" s="8" t="s">
        <v>1384</v>
      </c>
    </row>
    <row r="1544" ht="15.75" customHeight="1">
      <c r="A1544" s="9" t="s">
        <v>1495</v>
      </c>
      <c r="B1544" s="10">
        <v>1640.0</v>
      </c>
      <c r="C1544" s="10">
        <v>2400.0</v>
      </c>
      <c r="D1544" s="9" t="b">
        <f>false</f>
        <v>0</v>
      </c>
      <c r="E1544" s="8" t="s">
        <v>1384</v>
      </c>
    </row>
    <row r="1545" ht="15.75" customHeight="1">
      <c r="A1545" s="7" t="s">
        <v>1496</v>
      </c>
      <c r="B1545" s="6">
        <v>2459.0</v>
      </c>
      <c r="C1545" s="6">
        <v>3200.0</v>
      </c>
      <c r="D1545" s="11" t="b">
        <f>true</f>
        <v>1</v>
      </c>
      <c r="E1545" s="8" t="s">
        <v>1384</v>
      </c>
    </row>
    <row r="1546" ht="15.75" customHeight="1">
      <c r="A1546" s="9" t="s">
        <v>1497</v>
      </c>
      <c r="B1546" s="10">
        <v>2459.0</v>
      </c>
      <c r="C1546" s="10">
        <v>3200.0</v>
      </c>
      <c r="D1546" s="9" t="b">
        <f t="shared" ref="D1546:D1549" si="358">false</f>
        <v>0</v>
      </c>
      <c r="E1546" s="8" t="s">
        <v>1384</v>
      </c>
    </row>
    <row r="1547" ht="15.75" customHeight="1">
      <c r="A1547" s="9" t="s">
        <v>1498</v>
      </c>
      <c r="B1547" s="10">
        <v>2459.0</v>
      </c>
      <c r="C1547" s="10">
        <v>3200.0</v>
      </c>
      <c r="D1547" s="9" t="b">
        <f t="shared" si="358"/>
        <v>0</v>
      </c>
      <c r="E1547" s="8" t="s">
        <v>1384</v>
      </c>
    </row>
    <row r="1548" ht="15.75" customHeight="1">
      <c r="A1548" s="9" t="s">
        <v>1499</v>
      </c>
      <c r="B1548" s="10">
        <v>2619.0</v>
      </c>
      <c r="C1548" s="10">
        <v>3400.0</v>
      </c>
      <c r="D1548" s="9" t="b">
        <f t="shared" si="358"/>
        <v>0</v>
      </c>
      <c r="E1548" s="8" t="s">
        <v>1384</v>
      </c>
    </row>
    <row r="1549" ht="15.75" customHeight="1">
      <c r="A1549" s="9" t="s">
        <v>1500</v>
      </c>
      <c r="B1549" s="10">
        <v>1919.0</v>
      </c>
      <c r="C1549" s="10">
        <v>2700.0</v>
      </c>
      <c r="D1549" s="9" t="b">
        <f t="shared" si="358"/>
        <v>0</v>
      </c>
      <c r="E1549" s="8" t="s">
        <v>1384</v>
      </c>
    </row>
    <row r="1550" ht="15.75" customHeight="1">
      <c r="A1550" s="11" t="s">
        <v>1501</v>
      </c>
      <c r="B1550" s="12">
        <v>2180.0</v>
      </c>
      <c r="C1550" s="12">
        <v>4500.0</v>
      </c>
      <c r="D1550" s="11" t="b">
        <f t="shared" ref="D1550:D1551" si="359">true</f>
        <v>1</v>
      </c>
      <c r="E1550" s="8" t="s">
        <v>1384</v>
      </c>
    </row>
    <row r="1551" ht="15.75" customHeight="1">
      <c r="A1551" s="11" t="s">
        <v>1502</v>
      </c>
      <c r="B1551" s="12">
        <v>3790.0</v>
      </c>
      <c r="C1551" s="12">
        <v>5500.0</v>
      </c>
      <c r="D1551" s="11" t="b">
        <f t="shared" si="359"/>
        <v>1</v>
      </c>
      <c r="E1551" s="8" t="s">
        <v>1384</v>
      </c>
    </row>
    <row r="1552" ht="15.75" customHeight="1">
      <c r="A1552" s="9" t="s">
        <v>1503</v>
      </c>
      <c r="B1552" s="10">
        <v>3590.0</v>
      </c>
      <c r="C1552" s="10">
        <v>4500.0</v>
      </c>
      <c r="D1552" s="9" t="b">
        <f t="shared" ref="D1552:D1555" si="360">false</f>
        <v>0</v>
      </c>
      <c r="E1552" s="8" t="s">
        <v>1384</v>
      </c>
    </row>
    <row r="1553" ht="15.75" customHeight="1">
      <c r="A1553" s="9" t="s">
        <v>1503</v>
      </c>
      <c r="B1553" s="10">
        <v>3590.0</v>
      </c>
      <c r="C1553" s="10">
        <v>5200.0</v>
      </c>
      <c r="D1553" s="9" t="b">
        <f t="shared" si="360"/>
        <v>0</v>
      </c>
      <c r="E1553" s="8" t="s">
        <v>1384</v>
      </c>
    </row>
    <row r="1554" ht="15.75" customHeight="1">
      <c r="A1554" s="9" t="s">
        <v>1504</v>
      </c>
      <c r="B1554" s="10">
        <v>1300.0</v>
      </c>
      <c r="C1554" s="10">
        <v>1900.0</v>
      </c>
      <c r="D1554" s="9" t="b">
        <f t="shared" si="360"/>
        <v>0</v>
      </c>
      <c r="E1554" s="8" t="s">
        <v>1384</v>
      </c>
    </row>
    <row r="1555" ht="15.75" customHeight="1">
      <c r="A1555" s="9" t="s">
        <v>1505</v>
      </c>
      <c r="B1555" s="10">
        <v>1600.0</v>
      </c>
      <c r="C1555" s="10">
        <v>2200.0</v>
      </c>
      <c r="D1555" s="9" t="b">
        <f t="shared" si="360"/>
        <v>0</v>
      </c>
      <c r="E1555" s="8" t="s">
        <v>1384</v>
      </c>
    </row>
    <row r="1556" ht="15.75" customHeight="1">
      <c r="A1556" s="11" t="s">
        <v>1506</v>
      </c>
      <c r="B1556" s="12">
        <v>1450.0</v>
      </c>
      <c r="C1556" s="12">
        <v>3000.0</v>
      </c>
      <c r="D1556" s="11" t="b">
        <f>true</f>
        <v>1</v>
      </c>
      <c r="E1556" s="8" t="s">
        <v>1384</v>
      </c>
    </row>
    <row r="1557" ht="15.75" customHeight="1">
      <c r="A1557" s="9" t="s">
        <v>1507</v>
      </c>
      <c r="B1557" s="10">
        <v>1350.0</v>
      </c>
      <c r="C1557" s="10">
        <v>2500.0</v>
      </c>
      <c r="D1557" s="9" t="b">
        <f t="shared" ref="D1557:D1559" si="361">false</f>
        <v>0</v>
      </c>
      <c r="E1557" s="8" t="s">
        <v>1384</v>
      </c>
    </row>
    <row r="1558" ht="15.75" customHeight="1">
      <c r="A1558" s="9" t="s">
        <v>1508</v>
      </c>
      <c r="B1558" s="10">
        <v>2990.0</v>
      </c>
      <c r="C1558" s="10">
        <v>3500.0</v>
      </c>
      <c r="D1558" s="9" t="b">
        <f t="shared" si="361"/>
        <v>0</v>
      </c>
      <c r="E1558" s="8" t="s">
        <v>1384</v>
      </c>
    </row>
    <row r="1559" ht="15.75" customHeight="1">
      <c r="A1559" s="9" t="s">
        <v>1509</v>
      </c>
      <c r="B1559" s="10">
        <v>500.0</v>
      </c>
      <c r="C1559" s="10">
        <v>800.0</v>
      </c>
      <c r="D1559" s="9" t="b">
        <f t="shared" si="361"/>
        <v>0</v>
      </c>
      <c r="E1559" s="8" t="s">
        <v>1384</v>
      </c>
    </row>
    <row r="1560" ht="15.75" customHeight="1">
      <c r="A1560" s="11" t="s">
        <v>1510</v>
      </c>
      <c r="B1560" s="12">
        <v>469.0</v>
      </c>
      <c r="C1560" s="12">
        <v>1000.0</v>
      </c>
      <c r="D1560" s="11" t="b">
        <f t="shared" ref="D1560:D1561" si="362">true</f>
        <v>1</v>
      </c>
      <c r="E1560" s="8" t="s">
        <v>1384</v>
      </c>
    </row>
    <row r="1561" ht="15.75" customHeight="1">
      <c r="A1561" s="11" t="s">
        <v>1511</v>
      </c>
      <c r="B1561" s="12">
        <v>1240.0</v>
      </c>
      <c r="C1561" s="12">
        <v>2000.0</v>
      </c>
      <c r="D1561" s="11" t="b">
        <f t="shared" si="362"/>
        <v>1</v>
      </c>
      <c r="E1561" s="8" t="s">
        <v>1384</v>
      </c>
    </row>
    <row r="1562" ht="15.75" customHeight="1">
      <c r="A1562" s="9" t="s">
        <v>1512</v>
      </c>
      <c r="B1562" s="10">
        <v>1129.0</v>
      </c>
      <c r="C1562" s="10">
        <v>2000.0</v>
      </c>
      <c r="D1562" s="9" t="b">
        <f>false</f>
        <v>0</v>
      </c>
      <c r="E1562" s="8" t="s">
        <v>1384</v>
      </c>
    </row>
    <row r="1563" ht="15.75" customHeight="1">
      <c r="A1563" s="11" t="s">
        <v>1513</v>
      </c>
      <c r="B1563" s="12">
        <v>850.0</v>
      </c>
      <c r="C1563" s="12">
        <v>1500.0</v>
      </c>
      <c r="D1563" s="11" t="b">
        <f t="shared" ref="D1563:D1564" si="363">true</f>
        <v>1</v>
      </c>
      <c r="E1563" s="8" t="s">
        <v>1384</v>
      </c>
    </row>
    <row r="1564" ht="15.75" customHeight="1">
      <c r="A1564" s="11" t="s">
        <v>1514</v>
      </c>
      <c r="B1564" s="12">
        <v>850.0</v>
      </c>
      <c r="C1564" s="12">
        <v>1500.0</v>
      </c>
      <c r="D1564" s="11" t="b">
        <f t="shared" si="363"/>
        <v>1</v>
      </c>
      <c r="E1564" s="8" t="s">
        <v>1384</v>
      </c>
    </row>
    <row r="1565" ht="15.75" customHeight="1">
      <c r="A1565" s="9" t="s">
        <v>1515</v>
      </c>
      <c r="B1565" s="10">
        <v>300.0</v>
      </c>
      <c r="C1565" s="10">
        <v>800.0</v>
      </c>
      <c r="D1565" s="9" t="b">
        <f>false</f>
        <v>0</v>
      </c>
      <c r="E1565" s="8" t="s">
        <v>1384</v>
      </c>
    </row>
    <row r="1566" ht="15.75" customHeight="1">
      <c r="A1566" s="11" t="s">
        <v>1516</v>
      </c>
      <c r="B1566" s="6">
        <v>300.0</v>
      </c>
      <c r="C1566" s="6">
        <v>800.0</v>
      </c>
      <c r="D1566" s="11" t="b">
        <f t="shared" ref="D1566:D1569" si="364">true</f>
        <v>1</v>
      </c>
      <c r="E1566" s="8" t="s">
        <v>1384</v>
      </c>
    </row>
    <row r="1567" ht="15.75" customHeight="1">
      <c r="A1567" s="11" t="s">
        <v>1517</v>
      </c>
      <c r="B1567" s="6">
        <v>300.0</v>
      </c>
      <c r="C1567" s="6">
        <v>800.0</v>
      </c>
      <c r="D1567" s="11" t="b">
        <f t="shared" si="364"/>
        <v>1</v>
      </c>
      <c r="E1567" s="8" t="s">
        <v>1384</v>
      </c>
    </row>
    <row r="1568" ht="15.75" customHeight="1">
      <c r="A1568" s="11" t="s">
        <v>1518</v>
      </c>
      <c r="B1568" s="6">
        <v>300.0</v>
      </c>
      <c r="C1568" s="6">
        <v>800.0</v>
      </c>
      <c r="D1568" s="11" t="b">
        <f t="shared" si="364"/>
        <v>1</v>
      </c>
      <c r="E1568" s="8" t="s">
        <v>1384</v>
      </c>
    </row>
    <row r="1569" ht="15.75" customHeight="1">
      <c r="A1569" s="11" t="s">
        <v>1519</v>
      </c>
      <c r="B1569" s="6">
        <v>300.0</v>
      </c>
      <c r="C1569" s="6">
        <v>800.0</v>
      </c>
      <c r="D1569" s="11" t="b">
        <f t="shared" si="364"/>
        <v>1</v>
      </c>
      <c r="E1569" s="8" t="s">
        <v>1384</v>
      </c>
    </row>
    <row r="1570" ht="15.75" customHeight="1">
      <c r="A1570" s="9" t="s">
        <v>1520</v>
      </c>
      <c r="B1570" s="10">
        <v>750.0</v>
      </c>
      <c r="C1570" s="10">
        <v>1200.0</v>
      </c>
      <c r="D1570" s="9" t="b">
        <f t="shared" ref="D1570:D1572" si="365">false</f>
        <v>0</v>
      </c>
      <c r="E1570" s="8" t="s">
        <v>1384</v>
      </c>
    </row>
    <row r="1571" ht="15.75" customHeight="1">
      <c r="A1571" s="9" t="s">
        <v>1521</v>
      </c>
      <c r="B1571" s="10">
        <v>849.0</v>
      </c>
      <c r="C1571" s="10">
        <v>1500.0</v>
      </c>
      <c r="D1571" s="9" t="b">
        <f t="shared" si="365"/>
        <v>0</v>
      </c>
      <c r="E1571" s="8" t="s">
        <v>1384</v>
      </c>
    </row>
    <row r="1572" ht="15.75" customHeight="1">
      <c r="A1572" s="9" t="s">
        <v>1522</v>
      </c>
      <c r="B1572" s="10">
        <v>949.0</v>
      </c>
      <c r="C1572" s="10">
        <v>1600.0</v>
      </c>
      <c r="D1572" s="9" t="b">
        <f t="shared" si="365"/>
        <v>0</v>
      </c>
      <c r="E1572" s="8" t="s">
        <v>1384</v>
      </c>
    </row>
    <row r="1573" ht="15.75" customHeight="1">
      <c r="A1573" s="11" t="s">
        <v>1523</v>
      </c>
      <c r="B1573" s="12">
        <v>249.0</v>
      </c>
      <c r="C1573" s="12">
        <v>400.0</v>
      </c>
      <c r="D1573" s="11" t="b">
        <f t="shared" ref="D1573:D1577" si="366">true</f>
        <v>1</v>
      </c>
      <c r="E1573" s="8" t="s">
        <v>1384</v>
      </c>
    </row>
    <row r="1574" ht="15.75" customHeight="1">
      <c r="A1574" s="11" t="s">
        <v>1524</v>
      </c>
      <c r="B1574" s="12">
        <v>1839.0</v>
      </c>
      <c r="C1574" s="12">
        <v>3000.0</v>
      </c>
      <c r="D1574" s="11" t="b">
        <f t="shared" si="366"/>
        <v>1</v>
      </c>
      <c r="E1574" s="8" t="s">
        <v>1384</v>
      </c>
    </row>
    <row r="1575" ht="15.75" customHeight="1">
      <c r="A1575" s="11" t="s">
        <v>1525</v>
      </c>
      <c r="B1575" s="12">
        <v>184.0</v>
      </c>
      <c r="C1575" s="12">
        <v>300.0</v>
      </c>
      <c r="D1575" s="11" t="b">
        <f t="shared" si="366"/>
        <v>1</v>
      </c>
      <c r="E1575" s="8" t="s">
        <v>1384</v>
      </c>
    </row>
    <row r="1576" ht="15.75" customHeight="1">
      <c r="A1576" s="5" t="s">
        <v>1526</v>
      </c>
      <c r="B1576" s="6">
        <v>2199.0</v>
      </c>
      <c r="C1576" s="6">
        <v>3500.0</v>
      </c>
      <c r="D1576" s="11" t="b">
        <f t="shared" si="366"/>
        <v>1</v>
      </c>
      <c r="E1576" s="8" t="s">
        <v>1384</v>
      </c>
    </row>
    <row r="1577" ht="15.75" customHeight="1">
      <c r="A1577" s="5" t="s">
        <v>1527</v>
      </c>
      <c r="B1577" s="6">
        <v>220.0</v>
      </c>
      <c r="C1577" s="6">
        <v>300.0</v>
      </c>
      <c r="D1577" s="11" t="b">
        <f t="shared" si="366"/>
        <v>1</v>
      </c>
      <c r="E1577" s="8" t="s">
        <v>1384</v>
      </c>
    </row>
    <row r="1578" ht="15.75" customHeight="1">
      <c r="A1578" s="9" t="s">
        <v>1528</v>
      </c>
      <c r="B1578" s="10">
        <v>239.0</v>
      </c>
      <c r="C1578" s="10">
        <v>350.0</v>
      </c>
      <c r="D1578" s="9" t="b">
        <f>false</f>
        <v>0</v>
      </c>
      <c r="E1578" s="8" t="s">
        <v>1384</v>
      </c>
    </row>
    <row r="1579" ht="15.75" customHeight="1">
      <c r="A1579" s="5" t="s">
        <v>1529</v>
      </c>
      <c r="B1579" s="6">
        <v>289.0</v>
      </c>
      <c r="C1579" s="6">
        <v>550.0</v>
      </c>
      <c r="D1579" s="11" t="b">
        <f t="shared" ref="D1579:D1581" si="367">true</f>
        <v>1</v>
      </c>
      <c r="E1579" s="8" t="s">
        <v>1384</v>
      </c>
    </row>
    <row r="1580" ht="15.75" customHeight="1">
      <c r="A1580" s="5" t="s">
        <v>1530</v>
      </c>
      <c r="B1580" s="6">
        <v>409.0</v>
      </c>
      <c r="C1580" s="6">
        <v>750.0</v>
      </c>
      <c r="D1580" s="11" t="b">
        <f t="shared" si="367"/>
        <v>1</v>
      </c>
      <c r="E1580" s="8" t="s">
        <v>1384</v>
      </c>
    </row>
    <row r="1581" ht="15.75" customHeight="1">
      <c r="A1581" s="5" t="s">
        <v>1531</v>
      </c>
      <c r="B1581" s="6">
        <v>360.0</v>
      </c>
      <c r="C1581" s="6">
        <v>1500.0</v>
      </c>
      <c r="D1581" s="11" t="b">
        <f t="shared" si="367"/>
        <v>1</v>
      </c>
      <c r="E1581" s="8" t="s">
        <v>1384</v>
      </c>
    </row>
    <row r="1582" ht="15.75" customHeight="1">
      <c r="A1582" s="9" t="s">
        <v>1532</v>
      </c>
      <c r="B1582" s="10">
        <v>349.0</v>
      </c>
      <c r="C1582" s="10">
        <v>600.0</v>
      </c>
      <c r="D1582" s="9" t="b">
        <f>false</f>
        <v>0</v>
      </c>
      <c r="E1582" s="8" t="s">
        <v>1384</v>
      </c>
    </row>
    <row r="1583" ht="15.75" customHeight="1">
      <c r="A1583" s="5" t="s">
        <v>1533</v>
      </c>
      <c r="B1583" s="6">
        <v>231.0</v>
      </c>
      <c r="C1583" s="6">
        <v>500.0</v>
      </c>
      <c r="D1583" s="11" t="b">
        <f t="shared" ref="D1583:D1587" si="368">true</f>
        <v>1</v>
      </c>
      <c r="E1583" s="8" t="s">
        <v>1384</v>
      </c>
    </row>
    <row r="1584" ht="15.75" customHeight="1">
      <c r="A1584" s="5" t="s">
        <v>1534</v>
      </c>
      <c r="B1584" s="6">
        <v>2310.0</v>
      </c>
      <c r="C1584" s="6">
        <v>4500.0</v>
      </c>
      <c r="D1584" s="11" t="b">
        <f t="shared" si="368"/>
        <v>1</v>
      </c>
      <c r="E1584" s="8" t="s">
        <v>1384</v>
      </c>
    </row>
    <row r="1585" ht="15.75" customHeight="1">
      <c r="A1585" s="5" t="s">
        <v>1535</v>
      </c>
      <c r="B1585" s="6">
        <v>2930.0</v>
      </c>
      <c r="C1585" s="6">
        <v>4200.0</v>
      </c>
      <c r="D1585" s="11" t="b">
        <f t="shared" si="368"/>
        <v>1</v>
      </c>
      <c r="E1585" s="8" t="s">
        <v>1384</v>
      </c>
    </row>
    <row r="1586" ht="15.75" customHeight="1">
      <c r="A1586" s="5" t="s">
        <v>1536</v>
      </c>
      <c r="B1586" s="6">
        <v>2179.0</v>
      </c>
      <c r="C1586" s="6">
        <v>3000.0</v>
      </c>
      <c r="D1586" s="11" t="b">
        <f t="shared" si="368"/>
        <v>1</v>
      </c>
      <c r="E1586" s="8" t="s">
        <v>1384</v>
      </c>
    </row>
    <row r="1587" ht="15.75" customHeight="1">
      <c r="A1587" s="5" t="s">
        <v>1537</v>
      </c>
      <c r="B1587" s="6">
        <v>3019.0</v>
      </c>
      <c r="C1587" s="6">
        <v>4000.0</v>
      </c>
      <c r="D1587" s="11" t="b">
        <f t="shared" si="368"/>
        <v>1</v>
      </c>
      <c r="E1587" s="8" t="s">
        <v>1384</v>
      </c>
    </row>
    <row r="1588" ht="15.75" customHeight="1">
      <c r="A1588" s="9" t="s">
        <v>1538</v>
      </c>
      <c r="B1588" s="10">
        <v>1549.0</v>
      </c>
      <c r="C1588" s="10">
        <v>2100.0</v>
      </c>
      <c r="D1588" s="9" t="b">
        <f>false</f>
        <v>0</v>
      </c>
      <c r="E1588" s="8" t="s">
        <v>1384</v>
      </c>
    </row>
    <row r="1589" ht="15.75" customHeight="1">
      <c r="A1589" s="11" t="s">
        <v>1539</v>
      </c>
      <c r="B1589" s="12">
        <v>800.0</v>
      </c>
      <c r="C1589" s="12">
        <v>2200.0</v>
      </c>
      <c r="D1589" s="11" t="b">
        <f>true</f>
        <v>1</v>
      </c>
      <c r="E1589" s="8" t="s">
        <v>1384</v>
      </c>
    </row>
    <row r="1590" ht="15.75" customHeight="1">
      <c r="A1590" s="9" t="s">
        <v>1539</v>
      </c>
      <c r="B1590" s="10">
        <v>500.0</v>
      </c>
      <c r="C1590" s="10">
        <v>2500.0</v>
      </c>
      <c r="D1590" s="9" t="b">
        <f>false</f>
        <v>0</v>
      </c>
      <c r="E1590" s="8" t="s">
        <v>1384</v>
      </c>
    </row>
    <row r="1591" ht="15.75" customHeight="1">
      <c r="A1591" s="11" t="s">
        <v>1540</v>
      </c>
      <c r="B1591" s="12">
        <v>249.0</v>
      </c>
      <c r="C1591" s="12">
        <v>500.0</v>
      </c>
      <c r="D1591" s="11" t="b">
        <f t="shared" ref="D1591:D1593" si="369">true</f>
        <v>1</v>
      </c>
      <c r="E1591" s="8" t="s">
        <v>1384</v>
      </c>
    </row>
    <row r="1592" ht="15.75" customHeight="1">
      <c r="A1592" s="7" t="s">
        <v>1541</v>
      </c>
      <c r="B1592" s="6">
        <v>50.0</v>
      </c>
      <c r="C1592" s="6">
        <v>150.0</v>
      </c>
      <c r="D1592" s="11" t="b">
        <f t="shared" si="369"/>
        <v>1</v>
      </c>
      <c r="E1592" s="8" t="s">
        <v>1384</v>
      </c>
    </row>
    <row r="1593" ht="15.75" customHeight="1">
      <c r="A1593" s="7" t="s">
        <v>1542</v>
      </c>
      <c r="B1593" s="6">
        <v>99.0</v>
      </c>
      <c r="C1593" s="6">
        <v>200.0</v>
      </c>
      <c r="D1593" s="11" t="b">
        <f t="shared" si="369"/>
        <v>1</v>
      </c>
      <c r="E1593" s="8" t="s">
        <v>1384</v>
      </c>
    </row>
    <row r="1594" ht="15.75" customHeight="1">
      <c r="A1594" s="9" t="s">
        <v>1543</v>
      </c>
      <c r="B1594" s="10">
        <v>680.0</v>
      </c>
      <c r="C1594" s="10">
        <v>1500.0</v>
      </c>
      <c r="D1594" s="9" t="b">
        <f>false</f>
        <v>0</v>
      </c>
      <c r="E1594" s="8" t="s">
        <v>1384</v>
      </c>
    </row>
    <row r="1595" ht="15.75" customHeight="1">
      <c r="A1595" s="5" t="s">
        <v>1544</v>
      </c>
      <c r="B1595" s="6">
        <v>57.0</v>
      </c>
      <c r="C1595" s="6">
        <v>150.0</v>
      </c>
      <c r="D1595" s="11" t="b">
        <f t="shared" ref="D1595:D1601" si="370">true</f>
        <v>1</v>
      </c>
      <c r="E1595" s="8" t="s">
        <v>1384</v>
      </c>
    </row>
    <row r="1596" ht="15.75" customHeight="1">
      <c r="A1596" s="5" t="s">
        <v>1545</v>
      </c>
      <c r="B1596" s="6">
        <v>2000.0</v>
      </c>
      <c r="C1596" s="6">
        <v>3000.0</v>
      </c>
      <c r="D1596" s="11" t="b">
        <f t="shared" si="370"/>
        <v>1</v>
      </c>
      <c r="E1596" s="8" t="s">
        <v>1384</v>
      </c>
    </row>
    <row r="1597" ht="15.75" customHeight="1">
      <c r="A1597" s="5" t="s">
        <v>1546</v>
      </c>
      <c r="B1597" s="6">
        <v>167.0</v>
      </c>
      <c r="C1597" s="6">
        <v>300.0</v>
      </c>
      <c r="D1597" s="11" t="b">
        <f t="shared" si="370"/>
        <v>1</v>
      </c>
      <c r="E1597" s="8" t="s">
        <v>1384</v>
      </c>
    </row>
    <row r="1598" ht="15.75" customHeight="1">
      <c r="A1598" s="5" t="s">
        <v>1547</v>
      </c>
      <c r="B1598" s="6">
        <v>550.0</v>
      </c>
      <c r="C1598" s="6">
        <v>2000.0</v>
      </c>
      <c r="D1598" s="11" t="b">
        <f t="shared" si="370"/>
        <v>1</v>
      </c>
      <c r="E1598" s="8" t="s">
        <v>1384</v>
      </c>
    </row>
    <row r="1599" ht="15.75" customHeight="1">
      <c r="A1599" s="5" t="s">
        <v>1548</v>
      </c>
      <c r="B1599" s="6">
        <v>54.0</v>
      </c>
      <c r="C1599" s="6">
        <v>250.0</v>
      </c>
      <c r="D1599" s="11" t="b">
        <f t="shared" si="370"/>
        <v>1</v>
      </c>
      <c r="E1599" s="8" t="s">
        <v>1384</v>
      </c>
    </row>
    <row r="1600" ht="15.75" customHeight="1">
      <c r="A1600" s="5" t="s">
        <v>1549</v>
      </c>
      <c r="B1600" s="6">
        <v>410.0</v>
      </c>
      <c r="C1600" s="6">
        <v>800.0</v>
      </c>
      <c r="D1600" s="11" t="b">
        <f t="shared" si="370"/>
        <v>1</v>
      </c>
      <c r="E1600" s="8" t="s">
        <v>1384</v>
      </c>
    </row>
    <row r="1601" ht="15.75" customHeight="1">
      <c r="A1601" s="5" t="s">
        <v>1550</v>
      </c>
      <c r="B1601" s="6">
        <v>500.0</v>
      </c>
      <c r="C1601" s="6">
        <v>800.0</v>
      </c>
      <c r="D1601" s="11" t="b">
        <f t="shared" si="370"/>
        <v>1</v>
      </c>
      <c r="E1601" s="8" t="s">
        <v>1384</v>
      </c>
    </row>
    <row r="1602" ht="15.75" customHeight="1">
      <c r="A1602" s="9" t="s">
        <v>1551</v>
      </c>
      <c r="B1602" s="10">
        <v>1080.0</v>
      </c>
      <c r="C1602" s="10">
        <v>1500.0</v>
      </c>
      <c r="D1602" s="9" t="b">
        <f>false</f>
        <v>0</v>
      </c>
      <c r="E1602" s="8" t="s">
        <v>1384</v>
      </c>
    </row>
    <row r="1603" ht="15.75" customHeight="1">
      <c r="A1603" s="11" t="s">
        <v>1552</v>
      </c>
      <c r="B1603" s="12">
        <v>300.0</v>
      </c>
      <c r="C1603" s="12">
        <v>800.0</v>
      </c>
      <c r="D1603" s="11" t="b">
        <f t="shared" ref="D1603:D1611" si="371">true</f>
        <v>1</v>
      </c>
      <c r="E1603" s="8" t="s">
        <v>1384</v>
      </c>
    </row>
    <row r="1604" ht="15.75" customHeight="1">
      <c r="A1604" s="11" t="s">
        <v>1553</v>
      </c>
      <c r="B1604" s="12">
        <v>300.0</v>
      </c>
      <c r="C1604" s="12">
        <v>800.0</v>
      </c>
      <c r="D1604" s="11" t="b">
        <f t="shared" si="371"/>
        <v>1</v>
      </c>
      <c r="E1604" s="8" t="s">
        <v>1384</v>
      </c>
    </row>
    <row r="1605" ht="15.75" customHeight="1">
      <c r="A1605" s="11" t="s">
        <v>1554</v>
      </c>
      <c r="B1605" s="12">
        <v>300.0</v>
      </c>
      <c r="C1605" s="12">
        <v>800.0</v>
      </c>
      <c r="D1605" s="11" t="b">
        <f t="shared" si="371"/>
        <v>1</v>
      </c>
      <c r="E1605" s="8" t="s">
        <v>1384</v>
      </c>
    </row>
    <row r="1606" ht="15.75" customHeight="1">
      <c r="A1606" s="11" t="s">
        <v>1555</v>
      </c>
      <c r="B1606" s="12">
        <v>300.0</v>
      </c>
      <c r="C1606" s="12">
        <v>800.0</v>
      </c>
      <c r="D1606" s="11" t="b">
        <f t="shared" si="371"/>
        <v>1</v>
      </c>
      <c r="E1606" s="8" t="s">
        <v>1384</v>
      </c>
    </row>
    <row r="1607" ht="15.75" customHeight="1">
      <c r="A1607" s="7" t="s">
        <v>1556</v>
      </c>
      <c r="B1607" s="6">
        <v>1049.0</v>
      </c>
      <c r="C1607" s="6">
        <v>1500.0</v>
      </c>
      <c r="D1607" s="11" t="b">
        <f t="shared" si="371"/>
        <v>1</v>
      </c>
      <c r="E1607" s="8" t="s">
        <v>1384</v>
      </c>
    </row>
    <row r="1608" ht="15.75" customHeight="1">
      <c r="A1608" s="5" t="s">
        <v>1557</v>
      </c>
      <c r="B1608" s="6">
        <v>865.0</v>
      </c>
      <c r="C1608" s="6">
        <v>1500.0</v>
      </c>
      <c r="D1608" s="11" t="b">
        <f t="shared" si="371"/>
        <v>1</v>
      </c>
      <c r="E1608" s="8" t="s">
        <v>1384</v>
      </c>
    </row>
    <row r="1609" ht="15.75" customHeight="1">
      <c r="A1609" s="5" t="s">
        <v>1558</v>
      </c>
      <c r="B1609" s="6">
        <v>0.0</v>
      </c>
      <c r="C1609" s="6">
        <v>1100.0</v>
      </c>
      <c r="D1609" s="11" t="b">
        <f t="shared" si="371"/>
        <v>1</v>
      </c>
      <c r="E1609" s="8" t="s">
        <v>1384</v>
      </c>
    </row>
    <row r="1610" ht="15.75" customHeight="1">
      <c r="A1610" s="7" t="s">
        <v>1559</v>
      </c>
      <c r="B1610" s="6">
        <v>199.0</v>
      </c>
      <c r="C1610" s="6">
        <v>400.0</v>
      </c>
      <c r="D1610" s="11" t="b">
        <f t="shared" si="371"/>
        <v>1</v>
      </c>
      <c r="E1610" s="8" t="s">
        <v>1384</v>
      </c>
    </row>
    <row r="1611" ht="15.75" customHeight="1">
      <c r="A1611" s="5" t="s">
        <v>1560</v>
      </c>
      <c r="B1611" s="6">
        <v>300.0</v>
      </c>
      <c r="C1611" s="6">
        <v>1000.0</v>
      </c>
      <c r="D1611" s="11" t="b">
        <f t="shared" si="371"/>
        <v>1</v>
      </c>
      <c r="E1611" s="8" t="s">
        <v>1384</v>
      </c>
    </row>
    <row r="1612" ht="15.75" customHeight="1">
      <c r="A1612" s="9" t="s">
        <v>1561</v>
      </c>
      <c r="B1612" s="10">
        <v>259.0</v>
      </c>
      <c r="C1612" s="10">
        <v>1000.0</v>
      </c>
      <c r="D1612" s="9" t="b">
        <f>false</f>
        <v>0</v>
      </c>
      <c r="E1612" s="8" t="s">
        <v>1384</v>
      </c>
    </row>
    <row r="1613" ht="15.75" customHeight="1">
      <c r="A1613" s="11" t="s">
        <v>1561</v>
      </c>
      <c r="B1613" s="12">
        <v>329.0</v>
      </c>
      <c r="C1613" s="12">
        <v>1000.0</v>
      </c>
      <c r="D1613" s="11" t="b">
        <f>true</f>
        <v>1</v>
      </c>
      <c r="E1613" s="8" t="s">
        <v>1384</v>
      </c>
    </row>
    <row r="1614" ht="15.75" customHeight="1">
      <c r="A1614" s="9" t="s">
        <v>1561</v>
      </c>
      <c r="B1614" s="10">
        <v>469.0</v>
      </c>
      <c r="C1614" s="10">
        <v>700.0</v>
      </c>
      <c r="D1614" s="9" t="b">
        <f>false</f>
        <v>0</v>
      </c>
      <c r="E1614" s="8" t="s">
        <v>1384</v>
      </c>
    </row>
    <row r="1615" ht="15.75" customHeight="1">
      <c r="A1615" s="11" t="s">
        <v>1562</v>
      </c>
      <c r="B1615" s="12">
        <v>16.8</v>
      </c>
      <c r="C1615" s="12">
        <v>100.0</v>
      </c>
      <c r="D1615" s="11" t="b">
        <f>true</f>
        <v>1</v>
      </c>
      <c r="E1615" s="8" t="s">
        <v>1384</v>
      </c>
    </row>
    <row r="1616" ht="15.75" customHeight="1">
      <c r="A1616" s="9" t="s">
        <v>1563</v>
      </c>
      <c r="B1616" s="10">
        <v>41.0</v>
      </c>
      <c r="C1616" s="10">
        <v>200.0</v>
      </c>
      <c r="D1616" s="9" t="b">
        <f>false</f>
        <v>0</v>
      </c>
      <c r="E1616" s="8" t="s">
        <v>1384</v>
      </c>
    </row>
    <row r="1617" ht="15.75" customHeight="1">
      <c r="A1617" s="5" t="s">
        <v>1564</v>
      </c>
      <c r="B1617" s="6">
        <v>245.0</v>
      </c>
      <c r="C1617" s="6">
        <v>600.0</v>
      </c>
      <c r="D1617" s="11" t="b">
        <f>true</f>
        <v>1</v>
      </c>
      <c r="E1617" s="8" t="s">
        <v>1384</v>
      </c>
    </row>
    <row r="1618" ht="15.75" customHeight="1">
      <c r="A1618" s="9" t="s">
        <v>1565</v>
      </c>
      <c r="B1618" s="10">
        <v>495.0</v>
      </c>
      <c r="C1618" s="10">
        <v>1000.0</v>
      </c>
      <c r="D1618" s="9" t="b">
        <f>false</f>
        <v>0</v>
      </c>
      <c r="E1618" s="8" t="s">
        <v>1384</v>
      </c>
    </row>
    <row r="1619" ht="15.75" customHeight="1">
      <c r="A1619" s="5" t="s">
        <v>1566</v>
      </c>
      <c r="B1619" s="6">
        <v>849.0</v>
      </c>
      <c r="C1619" s="6">
        <v>1500.0</v>
      </c>
      <c r="D1619" s="11" t="b">
        <f t="shared" ref="D1619:D1620" si="372">true</f>
        <v>1</v>
      </c>
      <c r="E1619" s="8" t="s">
        <v>1384</v>
      </c>
    </row>
    <row r="1620" ht="15.75" customHeight="1">
      <c r="A1620" s="5" t="s">
        <v>1567</v>
      </c>
      <c r="B1620" s="6">
        <v>549.0</v>
      </c>
      <c r="C1620" s="6">
        <v>2000.0</v>
      </c>
      <c r="D1620" s="11" t="b">
        <f t="shared" si="372"/>
        <v>1</v>
      </c>
      <c r="E1620" s="8" t="s">
        <v>1384</v>
      </c>
    </row>
    <row r="1621" ht="15.75" customHeight="1">
      <c r="A1621" s="9" t="s">
        <v>1567</v>
      </c>
      <c r="B1621" s="10">
        <v>345.0</v>
      </c>
      <c r="C1621" s="10">
        <v>1000.0</v>
      </c>
      <c r="D1621" s="9" t="b">
        <f>false</f>
        <v>0</v>
      </c>
      <c r="E1621" s="8" t="s">
        <v>1384</v>
      </c>
    </row>
    <row r="1622" ht="15.75" customHeight="1">
      <c r="A1622" s="5" t="s">
        <v>1568</v>
      </c>
      <c r="B1622" s="6">
        <v>150.0</v>
      </c>
      <c r="C1622" s="6">
        <v>300.0</v>
      </c>
      <c r="D1622" s="11" t="b">
        <f t="shared" ref="D1622:D1624" si="373">true</f>
        <v>1</v>
      </c>
      <c r="E1622" s="8" t="s">
        <v>1384</v>
      </c>
    </row>
    <row r="1623" ht="15.75" customHeight="1">
      <c r="A1623" s="5" t="s">
        <v>1569</v>
      </c>
      <c r="B1623" s="6">
        <v>200.0</v>
      </c>
      <c r="C1623" s="6">
        <v>400.0</v>
      </c>
      <c r="D1623" s="11" t="b">
        <f t="shared" si="373"/>
        <v>1</v>
      </c>
      <c r="E1623" s="8" t="s">
        <v>1384</v>
      </c>
    </row>
    <row r="1624" ht="15.75" customHeight="1">
      <c r="A1624" s="7" t="s">
        <v>1570</v>
      </c>
      <c r="B1624" s="6">
        <v>1989.0</v>
      </c>
      <c r="C1624" s="6">
        <v>2600.0</v>
      </c>
      <c r="D1624" s="11" t="b">
        <f t="shared" si="373"/>
        <v>1</v>
      </c>
      <c r="E1624" s="8" t="s">
        <v>1384</v>
      </c>
    </row>
    <row r="1625" ht="15.75" customHeight="1">
      <c r="A1625" s="9" t="s">
        <v>1571</v>
      </c>
      <c r="B1625" s="10">
        <v>249.0</v>
      </c>
      <c r="C1625" s="10">
        <v>400.0</v>
      </c>
      <c r="D1625" s="9" t="b">
        <f t="shared" ref="D1625:D1626" si="374">false</f>
        <v>0</v>
      </c>
      <c r="E1625" s="8" t="s">
        <v>1384</v>
      </c>
    </row>
    <row r="1626" ht="15.75" customHeight="1">
      <c r="A1626" s="9" t="s">
        <v>1572</v>
      </c>
      <c r="B1626" s="10">
        <v>639.0</v>
      </c>
      <c r="C1626" s="10">
        <v>850.0</v>
      </c>
      <c r="D1626" s="9" t="b">
        <f t="shared" si="374"/>
        <v>0</v>
      </c>
      <c r="E1626" s="8" t="s">
        <v>1384</v>
      </c>
    </row>
    <row r="1627" ht="15.75" customHeight="1">
      <c r="A1627" s="5" t="s">
        <v>1573</v>
      </c>
      <c r="B1627" s="6">
        <v>407.0</v>
      </c>
      <c r="C1627" s="6">
        <v>900.0</v>
      </c>
      <c r="D1627" s="11" t="b">
        <f t="shared" ref="D1627:D1628" si="375">true</f>
        <v>1</v>
      </c>
      <c r="E1627" s="8" t="s">
        <v>1384</v>
      </c>
    </row>
    <row r="1628" ht="15.75" customHeight="1">
      <c r="A1628" s="5" t="s">
        <v>1574</v>
      </c>
      <c r="B1628" s="6">
        <v>783.0</v>
      </c>
      <c r="C1628" s="6">
        <v>1500.0</v>
      </c>
      <c r="D1628" s="11" t="b">
        <f t="shared" si="375"/>
        <v>1</v>
      </c>
      <c r="E1628" s="8" t="s">
        <v>1384</v>
      </c>
    </row>
    <row r="1629" ht="15.75" customHeight="1">
      <c r="A1629" s="9" t="s">
        <v>1575</v>
      </c>
      <c r="B1629" s="10">
        <v>869.0</v>
      </c>
      <c r="C1629" s="10">
        <v>1500.0</v>
      </c>
      <c r="D1629" s="9" t="b">
        <f t="shared" ref="D1629:D1632" si="376">false</f>
        <v>0</v>
      </c>
      <c r="E1629" s="8" t="s">
        <v>1384</v>
      </c>
    </row>
    <row r="1630" ht="15.75" customHeight="1">
      <c r="A1630" s="9" t="s">
        <v>1576</v>
      </c>
      <c r="B1630" s="10">
        <v>1239.0</v>
      </c>
      <c r="C1630" s="10">
        <v>1650.0</v>
      </c>
      <c r="D1630" s="9" t="b">
        <f t="shared" si="376"/>
        <v>0</v>
      </c>
      <c r="E1630" s="8" t="s">
        <v>1384</v>
      </c>
    </row>
    <row r="1631" ht="15.75" customHeight="1">
      <c r="A1631" s="9" t="s">
        <v>1577</v>
      </c>
      <c r="B1631" s="10">
        <v>1000.0</v>
      </c>
      <c r="C1631" s="10">
        <v>1500.0</v>
      </c>
      <c r="D1631" s="9" t="b">
        <f t="shared" si="376"/>
        <v>0</v>
      </c>
      <c r="E1631" s="8" t="s">
        <v>1384</v>
      </c>
    </row>
    <row r="1632" ht="15.75" customHeight="1">
      <c r="A1632" s="9" t="s">
        <v>1578</v>
      </c>
      <c r="B1632" s="10">
        <v>500.0</v>
      </c>
      <c r="C1632" s="10">
        <v>1500.0</v>
      </c>
      <c r="D1632" s="9" t="b">
        <f t="shared" si="376"/>
        <v>0</v>
      </c>
      <c r="E1632" s="8" t="s">
        <v>1384</v>
      </c>
    </row>
    <row r="1633" ht="15.75" customHeight="1">
      <c r="A1633" s="5" t="s">
        <v>1579</v>
      </c>
      <c r="B1633" s="6">
        <v>523.0</v>
      </c>
      <c r="C1633" s="6">
        <v>1500.0</v>
      </c>
      <c r="D1633" s="11" t="b">
        <f>true</f>
        <v>1</v>
      </c>
      <c r="E1633" s="8" t="s">
        <v>1384</v>
      </c>
    </row>
    <row r="1634" ht="15.75" customHeight="1">
      <c r="A1634" s="9" t="s">
        <v>1580</v>
      </c>
      <c r="B1634" s="10">
        <v>199.0</v>
      </c>
      <c r="C1634" s="10">
        <v>600.0</v>
      </c>
      <c r="D1634" s="9" t="b">
        <f>false</f>
        <v>0</v>
      </c>
      <c r="E1634" s="8" t="s">
        <v>1384</v>
      </c>
    </row>
    <row r="1635" ht="15.75" customHeight="1">
      <c r="A1635" s="5" t="s">
        <v>1581</v>
      </c>
      <c r="B1635" s="6">
        <v>218.0</v>
      </c>
      <c r="C1635" s="6">
        <v>500.0</v>
      </c>
      <c r="D1635" s="11" t="b">
        <f t="shared" ref="D1635:D1637" si="377">true</f>
        <v>1</v>
      </c>
      <c r="E1635" s="8" t="s">
        <v>1384</v>
      </c>
    </row>
    <row r="1636" ht="15.75" customHeight="1">
      <c r="A1636" s="11" t="s">
        <v>1582</v>
      </c>
      <c r="B1636" s="6">
        <v>770.0</v>
      </c>
      <c r="C1636" s="6">
        <v>1400.0</v>
      </c>
      <c r="D1636" s="11" t="b">
        <f t="shared" si="377"/>
        <v>1</v>
      </c>
      <c r="E1636" s="8" t="s">
        <v>1384</v>
      </c>
    </row>
    <row r="1637" ht="15.75" customHeight="1">
      <c r="A1637" s="11" t="s">
        <v>1583</v>
      </c>
      <c r="B1637" s="12">
        <v>750.0</v>
      </c>
      <c r="C1637" s="12">
        <v>1350.0</v>
      </c>
      <c r="D1637" s="11" t="b">
        <f t="shared" si="377"/>
        <v>1</v>
      </c>
      <c r="E1637" s="8" t="s">
        <v>1384</v>
      </c>
    </row>
    <row r="1638" ht="15.75" customHeight="1">
      <c r="A1638" s="9" t="s">
        <v>1584</v>
      </c>
      <c r="B1638" s="10">
        <v>659.0</v>
      </c>
      <c r="C1638" s="10">
        <v>1000.0</v>
      </c>
      <c r="D1638" s="9" t="b">
        <f>false</f>
        <v>0</v>
      </c>
      <c r="E1638" s="8" t="s">
        <v>1384</v>
      </c>
    </row>
    <row r="1639" ht="15.75" customHeight="1">
      <c r="A1639" s="11" t="s">
        <v>1585</v>
      </c>
      <c r="B1639" s="12">
        <v>1800.0</v>
      </c>
      <c r="C1639" s="12">
        <v>3800.0</v>
      </c>
      <c r="D1639" s="11" t="b">
        <f t="shared" ref="D1639:D1640" si="378">true</f>
        <v>1</v>
      </c>
      <c r="E1639" s="8" t="s">
        <v>1384</v>
      </c>
    </row>
    <row r="1640" ht="15.75" customHeight="1">
      <c r="A1640" s="5" t="s">
        <v>1586</v>
      </c>
      <c r="B1640" s="6">
        <v>2280.0</v>
      </c>
      <c r="C1640" s="6">
        <v>3500.0</v>
      </c>
      <c r="D1640" s="11" t="b">
        <f t="shared" si="378"/>
        <v>1</v>
      </c>
      <c r="E1640" s="8" t="s">
        <v>1384</v>
      </c>
    </row>
    <row r="1641" ht="15.75" customHeight="1">
      <c r="A1641" s="9" t="s">
        <v>1587</v>
      </c>
      <c r="B1641" s="10">
        <v>2879.0</v>
      </c>
      <c r="C1641" s="10">
        <v>3800.0</v>
      </c>
      <c r="D1641" s="9" t="b">
        <f>false</f>
        <v>0</v>
      </c>
      <c r="E1641" s="8" t="s">
        <v>1384</v>
      </c>
    </row>
    <row r="1642" ht="15.75" customHeight="1">
      <c r="A1642" s="7" t="s">
        <v>1588</v>
      </c>
      <c r="B1642" s="6">
        <v>329.0</v>
      </c>
      <c r="C1642" s="6">
        <v>600.0</v>
      </c>
      <c r="D1642" s="11" t="b">
        <f t="shared" ref="D1642:D1646" si="379">true</f>
        <v>1</v>
      </c>
      <c r="E1642" s="8" t="s">
        <v>1384</v>
      </c>
    </row>
    <row r="1643" ht="15.75" customHeight="1">
      <c r="A1643" s="5" t="s">
        <v>1589</v>
      </c>
      <c r="B1643" s="6">
        <v>299.0</v>
      </c>
      <c r="C1643" s="6">
        <v>500.0</v>
      </c>
      <c r="D1643" s="11" t="b">
        <f t="shared" si="379"/>
        <v>1</v>
      </c>
      <c r="E1643" s="8" t="s">
        <v>1384</v>
      </c>
    </row>
    <row r="1644" ht="15.75" customHeight="1">
      <c r="A1644" s="7" t="s">
        <v>1590</v>
      </c>
      <c r="B1644" s="6">
        <v>359.0</v>
      </c>
      <c r="C1644" s="6">
        <v>600.0</v>
      </c>
      <c r="D1644" s="11" t="b">
        <f t="shared" si="379"/>
        <v>1</v>
      </c>
      <c r="E1644" s="8" t="s">
        <v>1384</v>
      </c>
    </row>
    <row r="1645" ht="15.75" customHeight="1">
      <c r="A1645" s="7" t="s">
        <v>1591</v>
      </c>
      <c r="B1645" s="6">
        <v>99.0</v>
      </c>
      <c r="C1645" s="6">
        <v>250.0</v>
      </c>
      <c r="D1645" s="11" t="b">
        <f t="shared" si="379"/>
        <v>1</v>
      </c>
      <c r="E1645" s="8" t="s">
        <v>1384</v>
      </c>
    </row>
    <row r="1646" ht="15.75" customHeight="1">
      <c r="A1646" s="7" t="s">
        <v>1592</v>
      </c>
      <c r="B1646" s="6">
        <v>119.0</v>
      </c>
      <c r="C1646" s="6">
        <v>300.0</v>
      </c>
      <c r="D1646" s="11" t="b">
        <f t="shared" si="379"/>
        <v>1</v>
      </c>
      <c r="E1646" s="8" t="s">
        <v>1384</v>
      </c>
    </row>
    <row r="1647" ht="15.75" customHeight="1">
      <c r="A1647" s="9" t="s">
        <v>1593</v>
      </c>
      <c r="B1647" s="10">
        <v>109.0</v>
      </c>
      <c r="C1647" s="10">
        <v>250.0</v>
      </c>
      <c r="D1647" s="9" t="b">
        <f t="shared" ref="D1647:D1653" si="380">false</f>
        <v>0</v>
      </c>
      <c r="E1647" s="8" t="s">
        <v>1384</v>
      </c>
    </row>
    <row r="1648" ht="15.75" customHeight="1">
      <c r="A1648" s="9" t="s">
        <v>1594</v>
      </c>
      <c r="B1648" s="10">
        <v>1800.0</v>
      </c>
      <c r="C1648" s="10">
        <v>2500.0</v>
      </c>
      <c r="D1648" s="9" t="b">
        <f t="shared" si="380"/>
        <v>0</v>
      </c>
      <c r="E1648" s="8" t="s">
        <v>1384</v>
      </c>
    </row>
    <row r="1649" ht="15.75" customHeight="1">
      <c r="A1649" s="9" t="s">
        <v>1595</v>
      </c>
      <c r="B1649" s="10">
        <v>1049.0</v>
      </c>
      <c r="C1649" s="10">
        <v>1600.0</v>
      </c>
      <c r="D1649" s="9" t="b">
        <f t="shared" si="380"/>
        <v>0</v>
      </c>
      <c r="E1649" s="8" t="s">
        <v>1384</v>
      </c>
    </row>
    <row r="1650" ht="15.75" customHeight="1">
      <c r="A1650" s="9" t="s">
        <v>1596</v>
      </c>
      <c r="B1650" s="10">
        <v>1049.0</v>
      </c>
      <c r="C1650" s="10">
        <v>1600.0</v>
      </c>
      <c r="D1650" s="9" t="b">
        <f t="shared" si="380"/>
        <v>0</v>
      </c>
      <c r="E1650" s="8" t="s">
        <v>1384</v>
      </c>
    </row>
    <row r="1651" ht="15.75" customHeight="1">
      <c r="A1651" s="9" t="s">
        <v>1597</v>
      </c>
      <c r="B1651" s="10">
        <v>232.0</v>
      </c>
      <c r="C1651" s="10">
        <v>400.0</v>
      </c>
      <c r="D1651" s="9" t="b">
        <f t="shared" si="380"/>
        <v>0</v>
      </c>
      <c r="E1651" s="8" t="s">
        <v>1384</v>
      </c>
    </row>
    <row r="1652" ht="15.75" customHeight="1">
      <c r="A1652" s="9" t="s">
        <v>1597</v>
      </c>
      <c r="B1652" s="10">
        <v>133.0</v>
      </c>
      <c r="C1652" s="10">
        <v>300.0</v>
      </c>
      <c r="D1652" s="9" t="b">
        <f t="shared" si="380"/>
        <v>0</v>
      </c>
      <c r="E1652" s="8" t="s">
        <v>1384</v>
      </c>
    </row>
    <row r="1653" ht="15.75" customHeight="1">
      <c r="A1653" s="9" t="s">
        <v>1598</v>
      </c>
      <c r="B1653" s="10">
        <v>1590.0</v>
      </c>
      <c r="C1653" s="10">
        <v>3600.0</v>
      </c>
      <c r="D1653" s="9" t="b">
        <f t="shared" si="380"/>
        <v>0</v>
      </c>
      <c r="E1653" s="8" t="s">
        <v>1384</v>
      </c>
    </row>
    <row r="1654" ht="15.75" customHeight="1">
      <c r="A1654" s="11" t="s">
        <v>1599</v>
      </c>
      <c r="B1654" s="12">
        <v>1500.0</v>
      </c>
      <c r="C1654" s="12">
        <v>2400.0</v>
      </c>
      <c r="D1654" s="11" t="b">
        <f t="shared" ref="D1654:D1667" si="381">true</f>
        <v>1</v>
      </c>
      <c r="E1654" s="8" t="s">
        <v>1384</v>
      </c>
    </row>
    <row r="1655" ht="15.75" customHeight="1">
      <c r="A1655" s="11" t="s">
        <v>1600</v>
      </c>
      <c r="B1655" s="12">
        <v>119.16</v>
      </c>
      <c r="C1655" s="12">
        <v>250.0</v>
      </c>
      <c r="D1655" s="11" t="b">
        <f t="shared" si="381"/>
        <v>1</v>
      </c>
      <c r="E1655" s="8" t="s">
        <v>1384</v>
      </c>
    </row>
    <row r="1656" ht="15.75" customHeight="1">
      <c r="A1656" s="5" t="s">
        <v>1601</v>
      </c>
      <c r="B1656" s="6">
        <v>181.0</v>
      </c>
      <c r="C1656" s="6">
        <v>400.0</v>
      </c>
      <c r="D1656" s="11" t="b">
        <f t="shared" si="381"/>
        <v>1</v>
      </c>
      <c r="E1656" s="8" t="s">
        <v>1384</v>
      </c>
    </row>
    <row r="1657" ht="15.75" customHeight="1">
      <c r="A1657" s="5" t="s">
        <v>1602</v>
      </c>
      <c r="B1657" s="6">
        <v>197.0</v>
      </c>
      <c r="C1657" s="6">
        <v>400.0</v>
      </c>
      <c r="D1657" s="11" t="b">
        <f t="shared" si="381"/>
        <v>1</v>
      </c>
      <c r="E1657" s="8" t="s">
        <v>1384</v>
      </c>
    </row>
    <row r="1658" ht="15.75" customHeight="1">
      <c r="A1658" s="5" t="s">
        <v>1603</v>
      </c>
      <c r="B1658" s="6">
        <v>204.0</v>
      </c>
      <c r="C1658" s="6">
        <v>450.0</v>
      </c>
      <c r="D1658" s="11" t="b">
        <f t="shared" si="381"/>
        <v>1</v>
      </c>
      <c r="E1658" s="8" t="s">
        <v>1384</v>
      </c>
    </row>
    <row r="1659" ht="15.75" customHeight="1">
      <c r="A1659" s="5" t="s">
        <v>1604</v>
      </c>
      <c r="B1659" s="6">
        <v>219.0</v>
      </c>
      <c r="C1659" s="6">
        <v>450.0</v>
      </c>
      <c r="D1659" s="11" t="b">
        <f t="shared" si="381"/>
        <v>1</v>
      </c>
      <c r="E1659" s="8" t="s">
        <v>1384</v>
      </c>
    </row>
    <row r="1660" ht="15.75" customHeight="1">
      <c r="A1660" s="5" t="s">
        <v>1605</v>
      </c>
      <c r="B1660" s="6">
        <v>228.0</v>
      </c>
      <c r="C1660" s="6">
        <v>500.0</v>
      </c>
      <c r="D1660" s="11" t="b">
        <f t="shared" si="381"/>
        <v>1</v>
      </c>
      <c r="E1660" s="8" t="s">
        <v>1384</v>
      </c>
    </row>
    <row r="1661" ht="15.75" customHeight="1">
      <c r="A1661" s="5" t="s">
        <v>1606</v>
      </c>
      <c r="B1661" s="6">
        <v>233.0</v>
      </c>
      <c r="C1661" s="6">
        <v>550.0</v>
      </c>
      <c r="D1661" s="11" t="b">
        <f t="shared" si="381"/>
        <v>1</v>
      </c>
      <c r="E1661" s="8" t="s">
        <v>1384</v>
      </c>
    </row>
    <row r="1662" ht="15.75" customHeight="1">
      <c r="A1662" s="5" t="s">
        <v>1607</v>
      </c>
      <c r="B1662" s="6">
        <v>250.0</v>
      </c>
      <c r="C1662" s="6">
        <v>550.0</v>
      </c>
      <c r="D1662" s="11" t="b">
        <f t="shared" si="381"/>
        <v>1</v>
      </c>
      <c r="E1662" s="8" t="s">
        <v>1384</v>
      </c>
    </row>
    <row r="1663" ht="15.75" customHeight="1">
      <c r="A1663" s="5" t="s">
        <v>1608</v>
      </c>
      <c r="B1663" s="6">
        <v>275.0</v>
      </c>
      <c r="C1663" s="6">
        <v>600.0</v>
      </c>
      <c r="D1663" s="11" t="b">
        <f t="shared" si="381"/>
        <v>1</v>
      </c>
      <c r="E1663" s="8" t="s">
        <v>1384</v>
      </c>
    </row>
    <row r="1664" ht="15.75" customHeight="1">
      <c r="A1664" s="5" t="s">
        <v>1609</v>
      </c>
      <c r="B1664" s="6">
        <v>283.0</v>
      </c>
      <c r="C1664" s="6">
        <v>600.0</v>
      </c>
      <c r="D1664" s="11" t="b">
        <f t="shared" si="381"/>
        <v>1</v>
      </c>
      <c r="E1664" s="8" t="s">
        <v>1384</v>
      </c>
    </row>
    <row r="1665" ht="15.75" customHeight="1">
      <c r="A1665" s="5" t="s">
        <v>1610</v>
      </c>
      <c r="B1665" s="6">
        <v>609.0</v>
      </c>
      <c r="C1665" s="6">
        <v>1200.0</v>
      </c>
      <c r="D1665" s="11" t="b">
        <f t="shared" si="381"/>
        <v>1</v>
      </c>
      <c r="E1665" s="8" t="s">
        <v>1384</v>
      </c>
    </row>
    <row r="1666" ht="15.75" customHeight="1">
      <c r="A1666" s="5" t="s">
        <v>1611</v>
      </c>
      <c r="B1666" s="6">
        <v>839.0</v>
      </c>
      <c r="C1666" s="6">
        <v>1200.0</v>
      </c>
      <c r="D1666" s="11" t="b">
        <f t="shared" si="381"/>
        <v>1</v>
      </c>
      <c r="E1666" s="8" t="s">
        <v>1384</v>
      </c>
    </row>
    <row r="1667" ht="15.75" customHeight="1">
      <c r="A1667" s="5" t="s">
        <v>1612</v>
      </c>
      <c r="B1667" s="6">
        <v>100.0</v>
      </c>
      <c r="C1667" s="6">
        <v>250.0</v>
      </c>
      <c r="D1667" s="11" t="b">
        <f t="shared" si="381"/>
        <v>1</v>
      </c>
      <c r="E1667" s="8" t="s">
        <v>1384</v>
      </c>
    </row>
    <row r="1668" ht="15.75" customHeight="1">
      <c r="A1668" s="9" t="s">
        <v>1613</v>
      </c>
      <c r="B1668" s="10">
        <v>749.0</v>
      </c>
      <c r="C1668" s="10">
        <v>1000.0</v>
      </c>
      <c r="D1668" s="9" t="b">
        <f>false</f>
        <v>0</v>
      </c>
      <c r="E1668" s="8" t="s">
        <v>1384</v>
      </c>
    </row>
    <row r="1669" ht="15.75" customHeight="1">
      <c r="A1669" s="11" t="s">
        <v>1614</v>
      </c>
      <c r="B1669" s="12">
        <v>710.0</v>
      </c>
      <c r="C1669" s="12">
        <v>1200.0</v>
      </c>
      <c r="D1669" s="11" t="b">
        <f t="shared" ref="D1669:D1670" si="382">true</f>
        <v>1</v>
      </c>
      <c r="E1669" s="8" t="s">
        <v>1384</v>
      </c>
    </row>
    <row r="1670" ht="15.75" customHeight="1">
      <c r="A1670" s="11" t="s">
        <v>1615</v>
      </c>
      <c r="B1670" s="12">
        <v>750.0</v>
      </c>
      <c r="C1670" s="12">
        <v>1200.0</v>
      </c>
      <c r="D1670" s="11" t="b">
        <f t="shared" si="382"/>
        <v>1</v>
      </c>
      <c r="E1670" s="8" t="s">
        <v>1384</v>
      </c>
    </row>
    <row r="1671" ht="15.75" customHeight="1">
      <c r="A1671" s="9" t="s">
        <v>1616</v>
      </c>
      <c r="B1671" s="10">
        <v>399.0</v>
      </c>
      <c r="C1671" s="10">
        <v>750.0</v>
      </c>
      <c r="D1671" s="9" t="b">
        <f>false</f>
        <v>0</v>
      </c>
      <c r="E1671" s="8" t="s">
        <v>1384</v>
      </c>
    </row>
    <row r="1672" ht="15.75" customHeight="1">
      <c r="A1672" s="5" t="s">
        <v>1617</v>
      </c>
      <c r="B1672" s="6">
        <v>360.0</v>
      </c>
      <c r="C1672" s="6">
        <v>750.0</v>
      </c>
      <c r="D1672" s="11" t="b">
        <f t="shared" ref="D1672:D1673" si="383">true</f>
        <v>1</v>
      </c>
      <c r="E1672" s="8" t="s">
        <v>1384</v>
      </c>
    </row>
    <row r="1673" ht="15.75" customHeight="1">
      <c r="A1673" s="7" t="s">
        <v>1618</v>
      </c>
      <c r="B1673" s="6">
        <v>969.0</v>
      </c>
      <c r="C1673" s="6">
        <v>1200.0</v>
      </c>
      <c r="D1673" s="11" t="b">
        <f t="shared" si="383"/>
        <v>1</v>
      </c>
      <c r="E1673" s="8" t="s">
        <v>1384</v>
      </c>
    </row>
    <row r="1674" ht="15.75" customHeight="1">
      <c r="A1674" s="9" t="s">
        <v>1619</v>
      </c>
      <c r="B1674" s="10">
        <v>799.0</v>
      </c>
      <c r="C1674" s="10">
        <v>1000.0</v>
      </c>
      <c r="D1674" s="9" t="b">
        <f>false</f>
        <v>0</v>
      </c>
      <c r="E1674" s="8" t="s">
        <v>1384</v>
      </c>
    </row>
    <row r="1675" ht="15.75" customHeight="1">
      <c r="A1675" s="5" t="s">
        <v>1620</v>
      </c>
      <c r="B1675" s="6">
        <v>1200.0</v>
      </c>
      <c r="C1675" s="6">
        <v>2000.0</v>
      </c>
      <c r="D1675" s="11" t="b">
        <f t="shared" ref="D1675:D1679" si="384">true</f>
        <v>1</v>
      </c>
      <c r="E1675" s="8" t="s">
        <v>1384</v>
      </c>
    </row>
    <row r="1676" ht="15.75" customHeight="1">
      <c r="A1676" s="5" t="s">
        <v>1621</v>
      </c>
      <c r="B1676" s="6">
        <v>1200.0</v>
      </c>
      <c r="C1676" s="6">
        <v>2000.0</v>
      </c>
      <c r="D1676" s="11" t="b">
        <f t="shared" si="384"/>
        <v>1</v>
      </c>
      <c r="E1676" s="8" t="s">
        <v>1384</v>
      </c>
    </row>
    <row r="1677" ht="15.75" customHeight="1">
      <c r="A1677" s="5" t="s">
        <v>1622</v>
      </c>
      <c r="B1677" s="6">
        <v>650.0</v>
      </c>
      <c r="C1677" s="6">
        <v>1500.0</v>
      </c>
      <c r="D1677" s="11" t="b">
        <f t="shared" si="384"/>
        <v>1</v>
      </c>
      <c r="E1677" s="8" t="s">
        <v>1384</v>
      </c>
    </row>
    <row r="1678" ht="15.75" customHeight="1">
      <c r="A1678" s="5" t="s">
        <v>1623</v>
      </c>
      <c r="B1678" s="6">
        <v>700.0</v>
      </c>
      <c r="C1678" s="6">
        <v>1200.0</v>
      </c>
      <c r="D1678" s="11" t="b">
        <f t="shared" si="384"/>
        <v>1</v>
      </c>
      <c r="E1678" s="8" t="s">
        <v>1384</v>
      </c>
    </row>
    <row r="1679" ht="15.75" customHeight="1">
      <c r="A1679" s="5" t="s">
        <v>1624</v>
      </c>
      <c r="B1679" s="6">
        <v>117.0</v>
      </c>
      <c r="C1679" s="6">
        <v>250.0</v>
      </c>
      <c r="D1679" s="11" t="b">
        <f t="shared" si="384"/>
        <v>1</v>
      </c>
      <c r="E1679" s="8" t="s">
        <v>1384</v>
      </c>
    </row>
    <row r="1680" ht="15.75" customHeight="1">
      <c r="A1680" s="9" t="s">
        <v>1625</v>
      </c>
      <c r="B1680" s="10">
        <v>379.0</v>
      </c>
      <c r="C1680" s="10">
        <v>500.0</v>
      </c>
      <c r="D1680" s="9" t="b">
        <f t="shared" ref="D1680:D1682" si="385">false</f>
        <v>0</v>
      </c>
      <c r="E1680" s="8" t="s">
        <v>1384</v>
      </c>
    </row>
    <row r="1681" ht="15.75" customHeight="1">
      <c r="A1681" s="9" t="s">
        <v>1626</v>
      </c>
      <c r="B1681" s="10">
        <v>649.0</v>
      </c>
      <c r="C1681" s="10">
        <v>700.0</v>
      </c>
      <c r="D1681" s="9" t="b">
        <f t="shared" si="385"/>
        <v>0</v>
      </c>
      <c r="E1681" s="8" t="s">
        <v>1384</v>
      </c>
    </row>
    <row r="1682" ht="15.75" customHeight="1">
      <c r="A1682" s="9" t="s">
        <v>1627</v>
      </c>
      <c r="B1682" s="10">
        <v>299.0</v>
      </c>
      <c r="C1682" s="10">
        <v>700.0</v>
      </c>
      <c r="D1682" s="9" t="b">
        <f t="shared" si="385"/>
        <v>0</v>
      </c>
      <c r="E1682" s="8" t="s">
        <v>1384</v>
      </c>
    </row>
    <row r="1683" ht="15.75" customHeight="1">
      <c r="A1683" s="5" t="s">
        <v>1628</v>
      </c>
      <c r="B1683" s="6">
        <v>328.33</v>
      </c>
      <c r="C1683" s="6">
        <v>700.0</v>
      </c>
      <c r="D1683" s="11" t="b">
        <f t="shared" ref="D1683:D1684" si="386">true</f>
        <v>1</v>
      </c>
      <c r="E1683" s="8" t="s">
        <v>1384</v>
      </c>
    </row>
    <row r="1684" ht="15.75" customHeight="1">
      <c r="A1684" s="5" t="s">
        <v>1629</v>
      </c>
      <c r="B1684" s="6">
        <v>380.0</v>
      </c>
      <c r="C1684" s="6">
        <v>700.0</v>
      </c>
      <c r="D1684" s="11" t="b">
        <f t="shared" si="386"/>
        <v>1</v>
      </c>
      <c r="E1684" s="8" t="s">
        <v>1384</v>
      </c>
    </row>
    <row r="1685" ht="15.75" customHeight="1">
      <c r="A1685" s="9" t="s">
        <v>1630</v>
      </c>
      <c r="B1685" s="10">
        <v>700.0</v>
      </c>
      <c r="C1685" s="10">
        <v>1500.0</v>
      </c>
      <c r="D1685" s="9" t="b">
        <f t="shared" ref="D1685:D1686" si="387">false</f>
        <v>0</v>
      </c>
      <c r="E1685" s="8" t="s">
        <v>1384</v>
      </c>
    </row>
    <row r="1686" ht="15.75" customHeight="1">
      <c r="A1686" s="9" t="s">
        <v>1631</v>
      </c>
      <c r="B1686" s="10">
        <v>299.0</v>
      </c>
      <c r="C1686" s="10">
        <v>500.0</v>
      </c>
      <c r="D1686" s="9" t="b">
        <f t="shared" si="387"/>
        <v>0</v>
      </c>
      <c r="E1686" s="8" t="s">
        <v>1384</v>
      </c>
    </row>
    <row r="1687" ht="15.75" customHeight="1">
      <c r="A1687" s="5" t="s">
        <v>1632</v>
      </c>
      <c r="B1687" s="6">
        <v>124.0</v>
      </c>
      <c r="C1687" s="6">
        <v>350.0</v>
      </c>
      <c r="D1687" s="11" t="b">
        <f t="shared" ref="D1687:D1688" si="388">true</f>
        <v>1</v>
      </c>
      <c r="E1687" s="8" t="s">
        <v>1384</v>
      </c>
    </row>
    <row r="1688" ht="15.75" customHeight="1">
      <c r="A1688" s="5" t="s">
        <v>1633</v>
      </c>
      <c r="B1688" s="6">
        <v>149.0</v>
      </c>
      <c r="C1688" s="6">
        <v>400.0</v>
      </c>
      <c r="D1688" s="11" t="b">
        <f t="shared" si="388"/>
        <v>1</v>
      </c>
      <c r="E1688" s="8" t="s">
        <v>1384</v>
      </c>
    </row>
    <row r="1689" ht="15.75" customHeight="1">
      <c r="A1689" s="9" t="s">
        <v>1634</v>
      </c>
      <c r="B1689" s="10">
        <v>299.0</v>
      </c>
      <c r="C1689" s="10">
        <v>500.0</v>
      </c>
      <c r="D1689" s="9" t="b">
        <f>false</f>
        <v>0</v>
      </c>
      <c r="E1689" s="8" t="s">
        <v>1384</v>
      </c>
    </row>
    <row r="1690" ht="15.75" customHeight="1">
      <c r="A1690" s="5" t="s">
        <v>1635</v>
      </c>
      <c r="B1690" s="6">
        <v>102.0</v>
      </c>
      <c r="C1690" s="6">
        <v>350.0</v>
      </c>
      <c r="D1690" s="11" t="b">
        <f t="shared" ref="D1690:D1691" si="389">true</f>
        <v>1</v>
      </c>
      <c r="E1690" s="8" t="s">
        <v>1384</v>
      </c>
    </row>
    <row r="1691" ht="15.75" customHeight="1">
      <c r="A1691" s="5" t="s">
        <v>1636</v>
      </c>
      <c r="B1691" s="6">
        <v>222.0</v>
      </c>
      <c r="C1691" s="6">
        <v>450.0</v>
      </c>
      <c r="D1691" s="11" t="b">
        <f t="shared" si="389"/>
        <v>1</v>
      </c>
      <c r="E1691" s="8" t="s">
        <v>1384</v>
      </c>
    </row>
    <row r="1692" ht="15.75" customHeight="1">
      <c r="A1692" s="9" t="s">
        <v>1637</v>
      </c>
      <c r="B1692" s="10">
        <v>359.0</v>
      </c>
      <c r="C1692" s="10">
        <v>600.0</v>
      </c>
      <c r="D1692" s="9" t="b">
        <f>false</f>
        <v>0</v>
      </c>
      <c r="E1692" s="8" t="s">
        <v>1384</v>
      </c>
    </row>
    <row r="1693" ht="15.75" customHeight="1">
      <c r="A1693" s="5" t="s">
        <v>1638</v>
      </c>
      <c r="B1693" s="6">
        <v>423.0</v>
      </c>
      <c r="C1693" s="6">
        <v>750.0</v>
      </c>
      <c r="D1693" s="11" t="b">
        <f>true</f>
        <v>1</v>
      </c>
      <c r="E1693" s="8" t="s">
        <v>1384</v>
      </c>
    </row>
    <row r="1694" ht="15.75" customHeight="1">
      <c r="A1694" s="9" t="s">
        <v>1639</v>
      </c>
      <c r="B1694" s="10">
        <v>339.0</v>
      </c>
      <c r="C1694" s="10">
        <v>600.0</v>
      </c>
      <c r="D1694" s="9" t="b">
        <f t="shared" ref="D1694:D1695" si="390">false</f>
        <v>0</v>
      </c>
      <c r="E1694" s="8" t="s">
        <v>1384</v>
      </c>
    </row>
    <row r="1695" ht="15.75" customHeight="1">
      <c r="A1695" s="9" t="s">
        <v>1640</v>
      </c>
      <c r="B1695" s="10">
        <v>266.0</v>
      </c>
      <c r="C1695" s="10">
        <v>600.0</v>
      </c>
      <c r="D1695" s="9" t="b">
        <f t="shared" si="390"/>
        <v>0</v>
      </c>
      <c r="E1695" s="8" t="s">
        <v>1384</v>
      </c>
    </row>
    <row r="1696" ht="15.75" customHeight="1">
      <c r="A1696" s="5" t="s">
        <v>1640</v>
      </c>
      <c r="B1696" s="6">
        <v>548.33</v>
      </c>
      <c r="C1696" s="6">
        <v>1200.0</v>
      </c>
      <c r="D1696" s="11" t="b">
        <f>true</f>
        <v>1</v>
      </c>
      <c r="E1696" s="8" t="s">
        <v>1384</v>
      </c>
    </row>
    <row r="1697" ht="15.75" customHeight="1">
      <c r="A1697" s="9" t="s">
        <v>1641</v>
      </c>
      <c r="B1697" s="10">
        <v>399.0</v>
      </c>
      <c r="C1697" s="10">
        <v>650.0</v>
      </c>
      <c r="D1697" s="9" t="b">
        <f t="shared" ref="D1697:D1698" si="391">false</f>
        <v>0</v>
      </c>
      <c r="E1697" s="8" t="s">
        <v>1384</v>
      </c>
    </row>
    <row r="1698" ht="15.75" customHeight="1">
      <c r="A1698" s="9" t="s">
        <v>1642</v>
      </c>
      <c r="B1698" s="10">
        <v>282.0</v>
      </c>
      <c r="C1698" s="10">
        <v>650.0</v>
      </c>
      <c r="D1698" s="9" t="b">
        <f t="shared" si="391"/>
        <v>0</v>
      </c>
      <c r="E1698" s="8" t="s">
        <v>1384</v>
      </c>
    </row>
    <row r="1699" ht="15.75" customHeight="1">
      <c r="A1699" s="5" t="s">
        <v>1642</v>
      </c>
      <c r="B1699" s="6">
        <v>815.0</v>
      </c>
      <c r="C1699" s="6">
        <v>1500.0</v>
      </c>
      <c r="D1699" s="11" t="b">
        <f>true</f>
        <v>1</v>
      </c>
      <c r="E1699" s="8" t="s">
        <v>1384</v>
      </c>
    </row>
    <row r="1700" ht="15.75" customHeight="1">
      <c r="A1700" s="9" t="s">
        <v>1643</v>
      </c>
      <c r="B1700" s="10">
        <v>789.0</v>
      </c>
      <c r="C1700" s="10">
        <v>1200.0</v>
      </c>
      <c r="D1700" s="9" t="b">
        <f>false</f>
        <v>0</v>
      </c>
      <c r="E1700" s="8" t="s">
        <v>1384</v>
      </c>
    </row>
    <row r="1701" ht="15.75" customHeight="1">
      <c r="A1701" s="5" t="s">
        <v>1644</v>
      </c>
      <c r="B1701" s="6">
        <v>784.0</v>
      </c>
      <c r="C1701" s="6">
        <v>1500.0</v>
      </c>
      <c r="D1701" s="11" t="b">
        <f>true</f>
        <v>1</v>
      </c>
      <c r="E1701" s="8" t="s">
        <v>1384</v>
      </c>
    </row>
    <row r="1702" ht="15.75" customHeight="1">
      <c r="A1702" s="9" t="s">
        <v>1645</v>
      </c>
      <c r="B1702" s="10">
        <v>959.0</v>
      </c>
      <c r="C1702" s="10">
        <v>1400.0</v>
      </c>
      <c r="D1702" s="9" t="b">
        <f t="shared" ref="D1702:D1703" si="392">false</f>
        <v>0</v>
      </c>
      <c r="E1702" s="8" t="s">
        <v>1384</v>
      </c>
    </row>
    <row r="1703" ht="15.75" customHeight="1">
      <c r="A1703" s="9" t="s">
        <v>1646</v>
      </c>
      <c r="B1703" s="10">
        <v>869.0</v>
      </c>
      <c r="C1703" s="10">
        <v>1300.0</v>
      </c>
      <c r="D1703" s="9" t="b">
        <f t="shared" si="392"/>
        <v>0</v>
      </c>
      <c r="E1703" s="8" t="s">
        <v>1384</v>
      </c>
    </row>
    <row r="1704" ht="15.75" customHeight="1">
      <c r="A1704" s="5" t="s">
        <v>1647</v>
      </c>
      <c r="B1704" s="6">
        <v>770.0</v>
      </c>
      <c r="C1704" s="6">
        <v>1300.0</v>
      </c>
      <c r="D1704" s="11" t="b">
        <f t="shared" ref="D1704:D1707" si="393">true</f>
        <v>1</v>
      </c>
      <c r="E1704" s="8" t="s">
        <v>1384</v>
      </c>
    </row>
    <row r="1705" ht="15.75" customHeight="1">
      <c r="A1705" s="7" t="s">
        <v>1648</v>
      </c>
      <c r="B1705" s="6">
        <v>339.0</v>
      </c>
      <c r="C1705" s="6">
        <v>800.0</v>
      </c>
      <c r="D1705" s="11" t="b">
        <f t="shared" si="393"/>
        <v>1</v>
      </c>
      <c r="E1705" s="8" t="s">
        <v>1384</v>
      </c>
    </row>
    <row r="1706" ht="15.75" customHeight="1">
      <c r="A1706" s="7" t="s">
        <v>1649</v>
      </c>
      <c r="B1706" s="6">
        <v>419.0</v>
      </c>
      <c r="C1706" s="6">
        <v>900.0</v>
      </c>
      <c r="D1706" s="11" t="b">
        <f t="shared" si="393"/>
        <v>1</v>
      </c>
      <c r="E1706" s="8" t="s">
        <v>1384</v>
      </c>
    </row>
    <row r="1707" ht="15.75" customHeight="1">
      <c r="A1707" s="7" t="s">
        <v>1650</v>
      </c>
      <c r="B1707" s="6">
        <v>585.0</v>
      </c>
      <c r="C1707" s="6">
        <v>700.0</v>
      </c>
      <c r="D1707" s="11" t="b">
        <f t="shared" si="393"/>
        <v>1</v>
      </c>
      <c r="E1707" s="8" t="s">
        <v>1384</v>
      </c>
    </row>
    <row r="1708" ht="15.75" customHeight="1">
      <c r="A1708" s="9" t="s">
        <v>1651</v>
      </c>
      <c r="B1708" s="10">
        <v>309.0</v>
      </c>
      <c r="C1708" s="10">
        <v>700.0</v>
      </c>
      <c r="D1708" s="9" t="b">
        <f>false</f>
        <v>0</v>
      </c>
      <c r="E1708" s="8" t="s">
        <v>1384</v>
      </c>
    </row>
    <row r="1709" ht="15.75" customHeight="1">
      <c r="A1709" s="5" t="s">
        <v>1652</v>
      </c>
      <c r="B1709" s="6">
        <v>1070.0</v>
      </c>
      <c r="C1709" s="6">
        <v>1800.0</v>
      </c>
      <c r="D1709" s="11" t="b">
        <f t="shared" ref="D1709:D1712" si="394">true</f>
        <v>1</v>
      </c>
      <c r="E1709" s="8" t="s">
        <v>1384</v>
      </c>
    </row>
    <row r="1710" ht="15.75" customHeight="1">
      <c r="A1710" s="5" t="s">
        <v>1653</v>
      </c>
      <c r="B1710" s="6">
        <v>1080.0</v>
      </c>
      <c r="C1710" s="6">
        <v>1800.0</v>
      </c>
      <c r="D1710" s="11" t="b">
        <f t="shared" si="394"/>
        <v>1</v>
      </c>
      <c r="E1710" s="8" t="s">
        <v>1384</v>
      </c>
    </row>
    <row r="1711" ht="15.75" customHeight="1">
      <c r="A1711" s="11" t="s">
        <v>1654</v>
      </c>
      <c r="B1711" s="12">
        <v>489.0</v>
      </c>
      <c r="C1711" s="12">
        <v>1000.0</v>
      </c>
      <c r="D1711" s="11" t="b">
        <f t="shared" si="394"/>
        <v>1</v>
      </c>
      <c r="E1711" s="8" t="s">
        <v>1384</v>
      </c>
    </row>
    <row r="1712" ht="15.75" customHeight="1">
      <c r="A1712" s="11" t="s">
        <v>1655</v>
      </c>
      <c r="B1712" s="12">
        <v>499.0</v>
      </c>
      <c r="C1712" s="12">
        <v>1000.0</v>
      </c>
      <c r="D1712" s="11" t="b">
        <f t="shared" si="394"/>
        <v>1</v>
      </c>
      <c r="E1712" s="8" t="s">
        <v>1384</v>
      </c>
    </row>
    <row r="1713" ht="15.75" customHeight="1">
      <c r="A1713" s="9" t="s">
        <v>1656</v>
      </c>
      <c r="B1713" s="10">
        <v>350.0</v>
      </c>
      <c r="C1713" s="10">
        <v>700.0</v>
      </c>
      <c r="D1713" s="9" t="b">
        <f t="shared" ref="D1713:D1714" si="395">false</f>
        <v>0</v>
      </c>
      <c r="E1713" s="8" t="s">
        <v>1384</v>
      </c>
    </row>
    <row r="1714" ht="15.75" customHeight="1">
      <c r="A1714" s="9" t="s">
        <v>1657</v>
      </c>
      <c r="B1714" s="10">
        <v>689.0</v>
      </c>
      <c r="C1714" s="10">
        <v>850.0</v>
      </c>
      <c r="D1714" s="9" t="b">
        <f t="shared" si="395"/>
        <v>0</v>
      </c>
      <c r="E1714" s="8" t="s">
        <v>1384</v>
      </c>
    </row>
    <row r="1715" ht="15.75" customHeight="1">
      <c r="A1715" s="11" t="s">
        <v>1658</v>
      </c>
      <c r="B1715" s="12">
        <v>285.0</v>
      </c>
      <c r="C1715" s="12">
        <v>1000.0</v>
      </c>
      <c r="D1715" s="11" t="b">
        <f t="shared" ref="D1715:D1717" si="396">true</f>
        <v>1</v>
      </c>
      <c r="E1715" s="8" t="s">
        <v>1384</v>
      </c>
    </row>
    <row r="1716" ht="15.75" customHeight="1">
      <c r="A1716" s="5" t="s">
        <v>1659</v>
      </c>
      <c r="B1716" s="6">
        <v>329.0</v>
      </c>
      <c r="C1716" s="6">
        <v>700.0</v>
      </c>
      <c r="D1716" s="11" t="b">
        <f t="shared" si="396"/>
        <v>1</v>
      </c>
      <c r="E1716" s="8" t="s">
        <v>1384</v>
      </c>
    </row>
    <row r="1717" ht="15.75" customHeight="1">
      <c r="A1717" s="5" t="s">
        <v>1660</v>
      </c>
      <c r="B1717" s="6">
        <v>422.0</v>
      </c>
      <c r="C1717" s="6">
        <v>750.0</v>
      </c>
      <c r="D1717" s="11" t="b">
        <f t="shared" si="396"/>
        <v>1</v>
      </c>
      <c r="E1717" s="8" t="s">
        <v>1384</v>
      </c>
    </row>
    <row r="1718" ht="15.75" customHeight="1">
      <c r="A1718" s="9" t="s">
        <v>1660</v>
      </c>
      <c r="B1718" s="10">
        <v>344.0</v>
      </c>
      <c r="C1718" s="10">
        <v>700.0</v>
      </c>
      <c r="D1718" s="9" t="b">
        <f>false</f>
        <v>0</v>
      </c>
      <c r="E1718" s="8" t="s">
        <v>1384</v>
      </c>
    </row>
    <row r="1719" ht="15.75" customHeight="1">
      <c r="A1719" s="5" t="s">
        <v>1661</v>
      </c>
      <c r="B1719" s="6">
        <v>93.0</v>
      </c>
      <c r="C1719" s="6">
        <v>200.0</v>
      </c>
      <c r="D1719" s="11" t="b">
        <f t="shared" ref="D1719:D1725" si="397">true</f>
        <v>1</v>
      </c>
      <c r="E1719" s="8" t="s">
        <v>1384</v>
      </c>
    </row>
    <row r="1720" ht="15.75" customHeight="1">
      <c r="A1720" s="5" t="s">
        <v>1662</v>
      </c>
      <c r="B1720" s="6">
        <v>93.0</v>
      </c>
      <c r="C1720" s="6">
        <v>200.0</v>
      </c>
      <c r="D1720" s="11" t="b">
        <f t="shared" si="397"/>
        <v>1</v>
      </c>
      <c r="E1720" s="8" t="s">
        <v>1384</v>
      </c>
    </row>
    <row r="1721" ht="15.75" customHeight="1">
      <c r="A1721" s="5" t="s">
        <v>1663</v>
      </c>
      <c r="B1721" s="6">
        <v>75.0</v>
      </c>
      <c r="C1721" s="6">
        <v>200.0</v>
      </c>
      <c r="D1721" s="11" t="b">
        <f t="shared" si="397"/>
        <v>1</v>
      </c>
      <c r="E1721" s="8" t="s">
        <v>1384</v>
      </c>
    </row>
    <row r="1722" ht="15.75" customHeight="1">
      <c r="A1722" s="5" t="s">
        <v>1664</v>
      </c>
      <c r="B1722" s="6">
        <v>172.0</v>
      </c>
      <c r="C1722" s="6">
        <v>350.0</v>
      </c>
      <c r="D1722" s="11" t="b">
        <f t="shared" si="397"/>
        <v>1</v>
      </c>
      <c r="E1722" s="8" t="s">
        <v>1384</v>
      </c>
    </row>
    <row r="1723" ht="15.75" customHeight="1">
      <c r="A1723" s="5" t="s">
        <v>1665</v>
      </c>
      <c r="B1723" s="6">
        <v>190.0</v>
      </c>
      <c r="C1723" s="6">
        <v>350.0</v>
      </c>
      <c r="D1723" s="11" t="b">
        <f t="shared" si="397"/>
        <v>1</v>
      </c>
      <c r="E1723" s="8" t="s">
        <v>1384</v>
      </c>
    </row>
    <row r="1724" ht="15.75" customHeight="1">
      <c r="A1724" s="5" t="s">
        <v>1666</v>
      </c>
      <c r="B1724" s="6">
        <v>410.0</v>
      </c>
      <c r="C1724" s="6">
        <v>700.0</v>
      </c>
      <c r="D1724" s="11" t="b">
        <f t="shared" si="397"/>
        <v>1</v>
      </c>
      <c r="E1724" s="8" t="s">
        <v>1384</v>
      </c>
    </row>
    <row r="1725" ht="15.75" customHeight="1">
      <c r="A1725" s="5" t="s">
        <v>1667</v>
      </c>
      <c r="B1725" s="6">
        <v>175.0</v>
      </c>
      <c r="C1725" s="6">
        <v>700.0</v>
      </c>
      <c r="D1725" s="11" t="b">
        <f t="shared" si="397"/>
        <v>1</v>
      </c>
      <c r="E1725" s="8" t="s">
        <v>1384</v>
      </c>
    </row>
    <row r="1726" ht="15.75" customHeight="1">
      <c r="A1726" s="9" t="s">
        <v>1668</v>
      </c>
      <c r="B1726" s="10">
        <v>199.0</v>
      </c>
      <c r="C1726" s="10">
        <v>350.0</v>
      </c>
      <c r="D1726" s="9" t="b">
        <f t="shared" ref="D1726:D1730" si="398">false</f>
        <v>0</v>
      </c>
      <c r="E1726" s="8" t="s">
        <v>1384</v>
      </c>
    </row>
    <row r="1727" ht="15.75" customHeight="1">
      <c r="A1727" s="9" t="s">
        <v>1669</v>
      </c>
      <c r="B1727" s="10">
        <v>119.0</v>
      </c>
      <c r="C1727" s="10">
        <v>250.0</v>
      </c>
      <c r="D1727" s="9" t="b">
        <f t="shared" si="398"/>
        <v>0</v>
      </c>
      <c r="E1727" s="8" t="s">
        <v>1384</v>
      </c>
    </row>
    <row r="1728" ht="15.75" customHeight="1">
      <c r="A1728" s="9" t="s">
        <v>1670</v>
      </c>
      <c r="B1728" s="10">
        <v>149.0</v>
      </c>
      <c r="C1728" s="10">
        <v>250.0</v>
      </c>
      <c r="D1728" s="9" t="b">
        <f t="shared" si="398"/>
        <v>0</v>
      </c>
      <c r="E1728" s="8" t="s">
        <v>1384</v>
      </c>
    </row>
    <row r="1729" ht="15.75" customHeight="1">
      <c r="A1729" s="9" t="s">
        <v>1671</v>
      </c>
      <c r="B1729" s="10">
        <v>169.0</v>
      </c>
      <c r="C1729" s="10">
        <v>350.0</v>
      </c>
      <c r="D1729" s="9" t="b">
        <f t="shared" si="398"/>
        <v>0</v>
      </c>
      <c r="E1729" s="8" t="s">
        <v>1384</v>
      </c>
    </row>
    <row r="1730" ht="15.75" customHeight="1">
      <c r="A1730" s="9" t="s">
        <v>1672</v>
      </c>
      <c r="B1730" s="10">
        <v>500.0</v>
      </c>
      <c r="C1730" s="10">
        <v>1500.0</v>
      </c>
      <c r="D1730" s="9" t="b">
        <f t="shared" si="398"/>
        <v>0</v>
      </c>
      <c r="E1730" s="8" t="s">
        <v>1384</v>
      </c>
    </row>
    <row r="1731" ht="15.75" customHeight="1">
      <c r="A1731" s="5" t="s">
        <v>1673</v>
      </c>
      <c r="B1731" s="6">
        <v>3000.0</v>
      </c>
      <c r="C1731" s="6">
        <v>5000.0</v>
      </c>
      <c r="D1731" s="11" t="b">
        <f t="shared" ref="D1731:D1732" si="399">true</f>
        <v>1</v>
      </c>
      <c r="E1731" s="8" t="s">
        <v>1384</v>
      </c>
    </row>
    <row r="1732" ht="15.75" customHeight="1">
      <c r="A1732" s="5" t="s">
        <v>1674</v>
      </c>
      <c r="B1732" s="6">
        <v>125.0</v>
      </c>
      <c r="C1732" s="6">
        <v>300.0</v>
      </c>
      <c r="D1732" s="11" t="b">
        <f t="shared" si="399"/>
        <v>1</v>
      </c>
      <c r="E1732" s="8" t="s">
        <v>1384</v>
      </c>
    </row>
    <row r="1733" ht="15.75" customHeight="1">
      <c r="A1733" s="9" t="s">
        <v>1675</v>
      </c>
      <c r="B1733" s="10">
        <v>189.0</v>
      </c>
      <c r="C1733" s="10">
        <v>300.0</v>
      </c>
      <c r="D1733" s="9" t="b">
        <f>false</f>
        <v>0</v>
      </c>
      <c r="E1733" s="8" t="s">
        <v>1384</v>
      </c>
    </row>
    <row r="1734" ht="15.75" customHeight="1">
      <c r="A1734" s="11" t="s">
        <v>1676</v>
      </c>
      <c r="B1734" s="12">
        <v>239.0</v>
      </c>
      <c r="C1734" s="12">
        <v>500.0</v>
      </c>
      <c r="D1734" s="11" t="b">
        <f>true</f>
        <v>1</v>
      </c>
      <c r="E1734" s="8" t="s">
        <v>1384</v>
      </c>
    </row>
    <row r="1735" ht="15.75" customHeight="1">
      <c r="A1735" s="9" t="s">
        <v>1677</v>
      </c>
      <c r="B1735" s="10">
        <v>1000.0</v>
      </c>
      <c r="C1735" s="10">
        <v>2000.0</v>
      </c>
      <c r="D1735" s="9" t="b">
        <f>false</f>
        <v>0</v>
      </c>
      <c r="E1735" s="8" t="s">
        <v>1384</v>
      </c>
    </row>
    <row r="1736" ht="15.75" customHeight="1">
      <c r="A1736" s="5" t="s">
        <v>1678</v>
      </c>
      <c r="B1736" s="6">
        <v>500.0</v>
      </c>
      <c r="C1736" s="6">
        <v>1500.0</v>
      </c>
      <c r="D1736" s="11" t="b">
        <f t="shared" ref="D1736:D1737" si="400">true</f>
        <v>1</v>
      </c>
      <c r="E1736" s="8" t="s">
        <v>1384</v>
      </c>
    </row>
    <row r="1737" ht="15.75" customHeight="1">
      <c r="A1737" s="11" t="s">
        <v>1679</v>
      </c>
      <c r="B1737" s="6">
        <v>200.0</v>
      </c>
      <c r="C1737" s="6">
        <v>700.0</v>
      </c>
      <c r="D1737" s="11" t="b">
        <f t="shared" si="400"/>
        <v>1</v>
      </c>
      <c r="E1737" s="8" t="s">
        <v>1384</v>
      </c>
    </row>
    <row r="1738" ht="15.75" customHeight="1">
      <c r="A1738" s="9" t="s">
        <v>1680</v>
      </c>
      <c r="B1738" s="10">
        <v>579.0</v>
      </c>
      <c r="C1738" s="10">
        <v>780.0</v>
      </c>
      <c r="D1738" s="9" t="b">
        <f t="shared" ref="D1738:D1739" si="401">false</f>
        <v>0</v>
      </c>
      <c r="E1738" s="8" t="s">
        <v>1384</v>
      </c>
    </row>
    <row r="1739" ht="15.75" customHeight="1">
      <c r="A1739" s="9" t="s">
        <v>1681</v>
      </c>
      <c r="B1739" s="10">
        <v>219.0</v>
      </c>
      <c r="C1739" s="10">
        <v>500.0</v>
      </c>
      <c r="D1739" s="9" t="b">
        <f t="shared" si="401"/>
        <v>0</v>
      </c>
      <c r="E1739" s="8" t="s">
        <v>1384</v>
      </c>
    </row>
    <row r="1740" ht="15.75" customHeight="1">
      <c r="A1740" s="11" t="s">
        <v>1682</v>
      </c>
      <c r="B1740" s="12">
        <v>347.0</v>
      </c>
      <c r="C1740" s="12">
        <v>700.0</v>
      </c>
      <c r="D1740" s="11" t="b">
        <f t="shared" ref="D1740:D1742" si="402">true</f>
        <v>1</v>
      </c>
      <c r="E1740" s="8" t="s">
        <v>1384</v>
      </c>
    </row>
    <row r="1741" ht="15.75" customHeight="1">
      <c r="A1741" s="11" t="s">
        <v>1683</v>
      </c>
      <c r="B1741" s="12">
        <v>347.0</v>
      </c>
      <c r="C1741" s="12">
        <v>700.0</v>
      </c>
      <c r="D1741" s="11" t="b">
        <f t="shared" si="402"/>
        <v>1</v>
      </c>
      <c r="E1741" s="8" t="s">
        <v>1384</v>
      </c>
    </row>
    <row r="1742" ht="15.75" customHeight="1">
      <c r="A1742" s="11" t="s">
        <v>1684</v>
      </c>
      <c r="B1742" s="12">
        <v>343.0</v>
      </c>
      <c r="C1742" s="12">
        <v>700.0</v>
      </c>
      <c r="D1742" s="11" t="b">
        <f t="shared" si="402"/>
        <v>1</v>
      </c>
      <c r="E1742" s="8" t="s">
        <v>1384</v>
      </c>
    </row>
    <row r="1743" ht="15.75" customHeight="1">
      <c r="A1743" s="9" t="s">
        <v>1685</v>
      </c>
      <c r="B1743" s="10">
        <v>328.0</v>
      </c>
      <c r="C1743" s="10">
        <v>700.0</v>
      </c>
      <c r="D1743" s="9" t="b">
        <f t="shared" ref="D1743:D1745" si="403">false</f>
        <v>0</v>
      </c>
      <c r="E1743" s="8" t="s">
        <v>1384</v>
      </c>
    </row>
    <row r="1744" ht="15.75" customHeight="1">
      <c r="A1744" s="9" t="s">
        <v>1686</v>
      </c>
      <c r="B1744" s="10">
        <v>329.0</v>
      </c>
      <c r="C1744" s="10">
        <v>550.0</v>
      </c>
      <c r="D1744" s="9" t="b">
        <f t="shared" si="403"/>
        <v>0</v>
      </c>
      <c r="E1744" s="8" t="s">
        <v>1384</v>
      </c>
    </row>
    <row r="1745" ht="15.75" customHeight="1">
      <c r="A1745" s="9" t="s">
        <v>1687</v>
      </c>
      <c r="B1745" s="10">
        <v>320.0</v>
      </c>
      <c r="C1745" s="10">
        <v>950.0</v>
      </c>
      <c r="D1745" s="9" t="b">
        <f t="shared" si="403"/>
        <v>0</v>
      </c>
      <c r="E1745" s="8" t="s">
        <v>1384</v>
      </c>
    </row>
    <row r="1746" ht="15.75" customHeight="1">
      <c r="A1746" s="11" t="s">
        <v>1688</v>
      </c>
      <c r="B1746" s="12">
        <v>287.0</v>
      </c>
      <c r="C1746" s="12">
        <v>500.0</v>
      </c>
      <c r="D1746" s="11" t="b">
        <f t="shared" ref="D1746:D1748" si="404">true</f>
        <v>1</v>
      </c>
      <c r="E1746" s="8" t="s">
        <v>1384</v>
      </c>
    </row>
    <row r="1747" ht="15.75" customHeight="1">
      <c r="A1747" s="11" t="s">
        <v>1689</v>
      </c>
      <c r="B1747" s="12">
        <v>289.0</v>
      </c>
      <c r="C1747" s="12">
        <v>500.0</v>
      </c>
      <c r="D1747" s="11" t="b">
        <f t="shared" si="404"/>
        <v>1</v>
      </c>
      <c r="E1747" s="8" t="s">
        <v>1384</v>
      </c>
    </row>
    <row r="1748" ht="15.75" customHeight="1">
      <c r="A1748" s="5" t="s">
        <v>1690</v>
      </c>
      <c r="B1748" s="6">
        <v>290.0</v>
      </c>
      <c r="C1748" s="6">
        <v>600.0</v>
      </c>
      <c r="D1748" s="11" t="b">
        <f t="shared" si="404"/>
        <v>1</v>
      </c>
      <c r="E1748" s="8" t="s">
        <v>1384</v>
      </c>
    </row>
    <row r="1749" ht="15.75" customHeight="1">
      <c r="A1749" s="9" t="s">
        <v>1691</v>
      </c>
      <c r="B1749" s="10">
        <v>200.0</v>
      </c>
      <c r="C1749" s="10">
        <v>600.0</v>
      </c>
      <c r="D1749" s="9" t="b">
        <f t="shared" ref="D1749:D1752" si="405">false</f>
        <v>0</v>
      </c>
      <c r="E1749" s="8" t="s">
        <v>1384</v>
      </c>
    </row>
    <row r="1750" ht="15.75" customHeight="1">
      <c r="A1750" s="9" t="s">
        <v>1692</v>
      </c>
      <c r="B1750" s="10">
        <v>333.0</v>
      </c>
      <c r="C1750" s="10">
        <v>750.0</v>
      </c>
      <c r="D1750" s="9" t="b">
        <f t="shared" si="405"/>
        <v>0</v>
      </c>
      <c r="E1750" s="8" t="s">
        <v>1384</v>
      </c>
    </row>
    <row r="1751" ht="15.75" customHeight="1">
      <c r="A1751" s="9" t="s">
        <v>1693</v>
      </c>
      <c r="B1751" s="10">
        <v>559.0</v>
      </c>
      <c r="C1751" s="10">
        <v>750.0</v>
      </c>
      <c r="D1751" s="9" t="b">
        <f t="shared" si="405"/>
        <v>0</v>
      </c>
      <c r="E1751" s="8" t="s">
        <v>1384</v>
      </c>
    </row>
    <row r="1752" ht="15.75" customHeight="1">
      <c r="A1752" s="9" t="s">
        <v>1694</v>
      </c>
      <c r="B1752" s="10">
        <v>430.0</v>
      </c>
      <c r="C1752" s="10">
        <v>750.0</v>
      </c>
      <c r="D1752" s="9" t="b">
        <f t="shared" si="405"/>
        <v>0</v>
      </c>
      <c r="E1752" s="8" t="s">
        <v>1384</v>
      </c>
    </row>
    <row r="1753" ht="15.75" customHeight="1">
      <c r="A1753" s="5" t="s">
        <v>1695</v>
      </c>
      <c r="B1753" s="6">
        <v>440.0</v>
      </c>
      <c r="C1753" s="6">
        <v>750.0</v>
      </c>
      <c r="D1753" s="11" t="b">
        <f t="shared" ref="D1753:D1754" si="406">true</f>
        <v>1</v>
      </c>
      <c r="E1753" s="8" t="s">
        <v>1384</v>
      </c>
    </row>
    <row r="1754" ht="15.75" customHeight="1">
      <c r="A1754" s="5" t="s">
        <v>1696</v>
      </c>
      <c r="B1754" s="6">
        <v>450.0</v>
      </c>
      <c r="C1754" s="6">
        <v>750.0</v>
      </c>
      <c r="D1754" s="11" t="b">
        <f t="shared" si="406"/>
        <v>1</v>
      </c>
      <c r="E1754" s="8" t="s">
        <v>1384</v>
      </c>
    </row>
    <row r="1755" ht="15.75" customHeight="1">
      <c r="A1755" s="9" t="s">
        <v>1697</v>
      </c>
      <c r="B1755" s="10">
        <v>519.0</v>
      </c>
      <c r="C1755" s="10">
        <v>650.0</v>
      </c>
      <c r="D1755" s="9" t="b">
        <f t="shared" ref="D1755:D1758" si="407">false</f>
        <v>0</v>
      </c>
      <c r="E1755" s="8" t="s">
        <v>1384</v>
      </c>
    </row>
    <row r="1756" ht="15.75" customHeight="1">
      <c r="A1756" s="9" t="s">
        <v>1698</v>
      </c>
      <c r="B1756" s="10">
        <v>330.0</v>
      </c>
      <c r="C1756" s="10">
        <v>650.0</v>
      </c>
      <c r="D1756" s="9" t="b">
        <f t="shared" si="407"/>
        <v>0</v>
      </c>
      <c r="E1756" s="8" t="s">
        <v>1384</v>
      </c>
    </row>
    <row r="1757" ht="12.0" customHeight="1">
      <c r="A1757" s="9" t="s">
        <v>1699</v>
      </c>
      <c r="B1757" s="10">
        <v>390.0</v>
      </c>
      <c r="C1757" s="10">
        <v>650.0</v>
      </c>
      <c r="D1757" s="9" t="b">
        <f t="shared" si="407"/>
        <v>0</v>
      </c>
      <c r="E1757" s="8" t="s">
        <v>1384</v>
      </c>
    </row>
    <row r="1758" ht="12.0" customHeight="1">
      <c r="A1758" s="9" t="s">
        <v>1699</v>
      </c>
      <c r="B1758" s="10">
        <v>420.0</v>
      </c>
      <c r="C1758" s="10">
        <v>650.0</v>
      </c>
      <c r="D1758" s="9" t="b">
        <f t="shared" si="407"/>
        <v>0</v>
      </c>
      <c r="E1758" s="8" t="s">
        <v>1384</v>
      </c>
    </row>
    <row r="1759" ht="12.0" customHeight="1">
      <c r="A1759" s="11" t="s">
        <v>1700</v>
      </c>
      <c r="B1759" s="12">
        <v>340.0</v>
      </c>
      <c r="C1759" s="12">
        <v>650.0</v>
      </c>
      <c r="D1759" s="11" t="b">
        <f t="shared" ref="D1759:D1760" si="408">true</f>
        <v>1</v>
      </c>
      <c r="E1759" s="8" t="s">
        <v>1384</v>
      </c>
    </row>
    <row r="1760" ht="15.75" customHeight="1">
      <c r="A1760" s="11" t="s">
        <v>1701</v>
      </c>
      <c r="B1760" s="12">
        <v>395.0</v>
      </c>
      <c r="C1760" s="12">
        <v>650.0</v>
      </c>
      <c r="D1760" s="11" t="b">
        <f t="shared" si="408"/>
        <v>1</v>
      </c>
      <c r="E1760" s="8" t="s">
        <v>1384</v>
      </c>
    </row>
    <row r="1761" ht="15.75" customHeight="1">
      <c r="A1761" s="9" t="s">
        <v>1702</v>
      </c>
      <c r="B1761" s="10">
        <v>550.0</v>
      </c>
      <c r="C1761" s="10">
        <v>1000.0</v>
      </c>
      <c r="D1761" s="9" t="b">
        <f>false</f>
        <v>0</v>
      </c>
      <c r="E1761" s="8" t="s">
        <v>1384</v>
      </c>
    </row>
    <row r="1762" ht="15.75" customHeight="1">
      <c r="A1762" s="5" t="s">
        <v>1703</v>
      </c>
      <c r="B1762" s="6">
        <v>500.0</v>
      </c>
      <c r="C1762" s="6">
        <v>1500.0</v>
      </c>
      <c r="D1762" s="11" t="b">
        <f t="shared" ref="D1762:D1763" si="409">true</f>
        <v>1</v>
      </c>
      <c r="E1762" s="8" t="s">
        <v>1384</v>
      </c>
    </row>
    <row r="1763" ht="15.75" customHeight="1">
      <c r="A1763" s="5" t="s">
        <v>1704</v>
      </c>
      <c r="B1763" s="6">
        <v>380.0</v>
      </c>
      <c r="C1763" s="6">
        <v>750.0</v>
      </c>
      <c r="D1763" s="11" t="b">
        <f t="shared" si="409"/>
        <v>1</v>
      </c>
      <c r="E1763" s="8" t="s">
        <v>1384</v>
      </c>
    </row>
    <row r="1764" ht="15.75" customHeight="1">
      <c r="A1764" s="9" t="s">
        <v>1705</v>
      </c>
      <c r="B1764" s="10">
        <v>400.0</v>
      </c>
      <c r="C1764" s="10">
        <v>1200.0</v>
      </c>
      <c r="D1764" s="9" t="b">
        <f t="shared" ref="D1764:D1765" si="410">false</f>
        <v>0</v>
      </c>
      <c r="E1764" s="8" t="s">
        <v>1384</v>
      </c>
    </row>
    <row r="1765" ht="15.75" customHeight="1">
      <c r="A1765" s="9" t="s">
        <v>1706</v>
      </c>
      <c r="B1765" s="10">
        <v>489.0</v>
      </c>
      <c r="C1765" s="10">
        <v>700.0</v>
      </c>
      <c r="D1765" s="9" t="b">
        <f t="shared" si="410"/>
        <v>0</v>
      </c>
      <c r="E1765" s="8" t="s">
        <v>1384</v>
      </c>
    </row>
    <row r="1766" ht="15.75" customHeight="1">
      <c r="A1766" s="5" t="s">
        <v>1707</v>
      </c>
      <c r="B1766" s="6">
        <v>423.0</v>
      </c>
      <c r="C1766" s="6">
        <v>800.0</v>
      </c>
      <c r="D1766" s="11" t="b">
        <f t="shared" ref="D1766:D1768" si="411">true</f>
        <v>1</v>
      </c>
      <c r="E1766" s="8" t="s">
        <v>1384</v>
      </c>
    </row>
    <row r="1767" ht="15.75" customHeight="1">
      <c r="A1767" s="5" t="s">
        <v>1708</v>
      </c>
      <c r="B1767" s="6">
        <v>438.0</v>
      </c>
      <c r="C1767" s="6">
        <v>800.0</v>
      </c>
      <c r="D1767" s="11" t="b">
        <f t="shared" si="411"/>
        <v>1</v>
      </c>
      <c r="E1767" s="8" t="s">
        <v>1384</v>
      </c>
    </row>
    <row r="1768" ht="15.75" customHeight="1">
      <c r="A1768" s="5" t="s">
        <v>1709</v>
      </c>
      <c r="B1768" s="6">
        <v>643.0</v>
      </c>
      <c r="C1768" s="6">
        <v>1100.0</v>
      </c>
      <c r="D1768" s="11" t="b">
        <f t="shared" si="411"/>
        <v>1</v>
      </c>
      <c r="E1768" s="8" t="s">
        <v>1384</v>
      </c>
    </row>
    <row r="1769" ht="15.75" customHeight="1">
      <c r="A1769" s="9" t="s">
        <v>1709</v>
      </c>
      <c r="B1769" s="10">
        <v>611.0</v>
      </c>
      <c r="C1769" s="10">
        <v>1000.0</v>
      </c>
      <c r="D1769" s="9" t="b">
        <f t="shared" ref="D1769:D1770" si="412">false</f>
        <v>0</v>
      </c>
      <c r="E1769" s="8" t="s">
        <v>1384</v>
      </c>
    </row>
    <row r="1770" ht="15.75" customHeight="1">
      <c r="A1770" s="9" t="s">
        <v>1710</v>
      </c>
      <c r="B1770" s="10">
        <v>300.0</v>
      </c>
      <c r="C1770" s="10">
        <v>450.0</v>
      </c>
      <c r="D1770" s="9" t="b">
        <f t="shared" si="412"/>
        <v>0</v>
      </c>
      <c r="E1770" s="8" t="s">
        <v>1384</v>
      </c>
    </row>
    <row r="1771" ht="15.75" customHeight="1">
      <c r="A1771" s="11" t="s">
        <v>1711</v>
      </c>
      <c r="B1771" s="12">
        <v>178.0</v>
      </c>
      <c r="C1771" s="12">
        <v>350.0</v>
      </c>
      <c r="D1771" s="11" t="b">
        <f>true</f>
        <v>1</v>
      </c>
      <c r="E1771" s="8" t="s">
        <v>1384</v>
      </c>
    </row>
    <row r="1772" ht="15.75" customHeight="1">
      <c r="A1772" s="9" t="s">
        <v>1711</v>
      </c>
      <c r="B1772" s="10">
        <v>222.0</v>
      </c>
      <c r="C1772" s="10">
        <v>450.0</v>
      </c>
      <c r="D1772" s="9" t="b">
        <f>false</f>
        <v>0</v>
      </c>
      <c r="E1772" s="8" t="s">
        <v>1384</v>
      </c>
    </row>
    <row r="1773" ht="15.75" customHeight="1">
      <c r="A1773" s="5" t="s">
        <v>1712</v>
      </c>
      <c r="B1773" s="6">
        <v>790.0</v>
      </c>
      <c r="C1773" s="6">
        <v>1300.0</v>
      </c>
      <c r="D1773" s="11" t="b">
        <f t="shared" ref="D1773:D1774" si="413">true</f>
        <v>1</v>
      </c>
      <c r="E1773" s="8" t="s">
        <v>1384</v>
      </c>
    </row>
    <row r="1774" ht="13.5" customHeight="1">
      <c r="A1774" s="5" t="s">
        <v>1713</v>
      </c>
      <c r="B1774" s="6">
        <v>999.0</v>
      </c>
      <c r="C1774" s="6">
        <v>2000.0</v>
      </c>
      <c r="D1774" s="11" t="b">
        <f t="shared" si="413"/>
        <v>1</v>
      </c>
      <c r="E1774" s="8" t="s">
        <v>1384</v>
      </c>
    </row>
    <row r="1775" ht="13.5" customHeight="1">
      <c r="A1775" s="9" t="s">
        <v>1714</v>
      </c>
      <c r="B1775" s="10">
        <v>1500.0</v>
      </c>
      <c r="C1775" s="10">
        <v>2100.0</v>
      </c>
      <c r="D1775" s="9" t="b">
        <f>false</f>
        <v>0</v>
      </c>
      <c r="E1775" s="8" t="s">
        <v>1384</v>
      </c>
    </row>
    <row r="1776" ht="13.5" customHeight="1">
      <c r="A1776" s="5" t="s">
        <v>1715</v>
      </c>
      <c r="B1776" s="6">
        <v>1180.0</v>
      </c>
      <c r="C1776" s="6">
        <v>2000.0</v>
      </c>
      <c r="D1776" s="11" t="b">
        <f t="shared" ref="D1776:D1778" si="414">true</f>
        <v>1</v>
      </c>
      <c r="E1776" s="8" t="s">
        <v>1384</v>
      </c>
    </row>
    <row r="1777" ht="12.75" customHeight="1">
      <c r="A1777" s="5" t="s">
        <v>1716</v>
      </c>
      <c r="B1777" s="6">
        <v>1089.0</v>
      </c>
      <c r="C1777" s="6">
        <v>2000.0</v>
      </c>
      <c r="D1777" s="11" t="b">
        <f t="shared" si="414"/>
        <v>1</v>
      </c>
      <c r="E1777" s="8" t="s">
        <v>1384</v>
      </c>
    </row>
    <row r="1778" ht="15.75" customHeight="1">
      <c r="A1778" s="11" t="s">
        <v>1717</v>
      </c>
      <c r="B1778" s="12">
        <v>780.0</v>
      </c>
      <c r="C1778" s="12">
        <v>1500.0</v>
      </c>
      <c r="D1778" s="11" t="b">
        <f t="shared" si="414"/>
        <v>1</v>
      </c>
      <c r="E1778" s="8" t="s">
        <v>1384</v>
      </c>
    </row>
    <row r="1779" ht="15.75" customHeight="1">
      <c r="A1779" s="9" t="s">
        <v>1717</v>
      </c>
      <c r="B1779" s="10">
        <v>770.0</v>
      </c>
      <c r="C1779" s="10">
        <v>1500.0</v>
      </c>
      <c r="D1779" s="9" t="b">
        <f t="shared" ref="D1779:D1781" si="415">false</f>
        <v>0</v>
      </c>
      <c r="E1779" s="8" t="s">
        <v>1384</v>
      </c>
    </row>
    <row r="1780" ht="15.75" customHeight="1">
      <c r="A1780" s="9" t="s">
        <v>1718</v>
      </c>
      <c r="B1780" s="10">
        <v>1189.0</v>
      </c>
      <c r="C1780" s="10">
        <v>1500.0</v>
      </c>
      <c r="D1780" s="9" t="b">
        <f t="shared" si="415"/>
        <v>0</v>
      </c>
      <c r="E1780" s="8" t="s">
        <v>1384</v>
      </c>
    </row>
    <row r="1781" ht="15.75" customHeight="1">
      <c r="A1781" s="9" t="s">
        <v>1719</v>
      </c>
      <c r="B1781" s="10">
        <v>700.0</v>
      </c>
      <c r="C1781" s="10">
        <v>1500.0</v>
      </c>
      <c r="D1781" s="9" t="b">
        <f t="shared" si="415"/>
        <v>0</v>
      </c>
      <c r="E1781" s="8" t="s">
        <v>1384</v>
      </c>
    </row>
    <row r="1782" ht="15.75" customHeight="1">
      <c r="A1782" s="11" t="s">
        <v>1720</v>
      </c>
      <c r="B1782" s="12">
        <v>1450.0</v>
      </c>
      <c r="C1782" s="12">
        <v>2500.0</v>
      </c>
      <c r="D1782" s="11" t="b">
        <f t="shared" ref="D1782:D1785" si="416">true</f>
        <v>1</v>
      </c>
      <c r="E1782" s="8" t="s">
        <v>1384</v>
      </c>
    </row>
    <row r="1783" ht="15.75" customHeight="1">
      <c r="A1783" s="5" t="s">
        <v>1721</v>
      </c>
      <c r="B1783" s="6">
        <v>2399.0</v>
      </c>
      <c r="C1783" s="6">
        <v>3500.0</v>
      </c>
      <c r="D1783" s="11" t="b">
        <f t="shared" si="416"/>
        <v>1</v>
      </c>
      <c r="E1783" s="8" t="s">
        <v>1384</v>
      </c>
    </row>
    <row r="1784" ht="15.75" customHeight="1">
      <c r="A1784" s="5" t="s">
        <v>1722</v>
      </c>
      <c r="B1784" s="6">
        <v>2760.0</v>
      </c>
      <c r="C1784" s="6">
        <v>4000.0</v>
      </c>
      <c r="D1784" s="11" t="b">
        <f t="shared" si="416"/>
        <v>1</v>
      </c>
      <c r="E1784" s="8" t="s">
        <v>1384</v>
      </c>
    </row>
    <row r="1785" ht="15.75" customHeight="1">
      <c r="A1785" s="5" t="s">
        <v>1723</v>
      </c>
      <c r="B1785" s="6">
        <v>200.0</v>
      </c>
      <c r="C1785" s="6">
        <v>500.0</v>
      </c>
      <c r="D1785" s="11" t="b">
        <f t="shared" si="416"/>
        <v>1</v>
      </c>
      <c r="E1785" s="8" t="s">
        <v>1384</v>
      </c>
    </row>
    <row r="1786" ht="15.75" customHeight="1">
      <c r="A1786" s="9" t="s">
        <v>1724</v>
      </c>
      <c r="B1786" s="10">
        <v>600.0</v>
      </c>
      <c r="C1786" s="10">
        <v>2300.0</v>
      </c>
      <c r="D1786" s="9" t="b">
        <f>false</f>
        <v>0</v>
      </c>
      <c r="E1786" s="8" t="s">
        <v>1384</v>
      </c>
    </row>
    <row r="1787" ht="15.75" customHeight="1">
      <c r="A1787" s="11" t="s">
        <v>1725</v>
      </c>
      <c r="B1787" s="12">
        <v>1199.0</v>
      </c>
      <c r="C1787" s="12">
        <v>2000.0</v>
      </c>
      <c r="D1787" s="11" t="b">
        <f t="shared" ref="D1787:D1789" si="417">true</f>
        <v>1</v>
      </c>
      <c r="E1787" s="8" t="s">
        <v>1384</v>
      </c>
    </row>
    <row r="1788" ht="15.75" customHeight="1">
      <c r="A1788" s="11" t="s">
        <v>1726</v>
      </c>
      <c r="B1788" s="12">
        <v>1000.0</v>
      </c>
      <c r="C1788" s="12">
        <v>2000.0</v>
      </c>
      <c r="D1788" s="11" t="b">
        <f t="shared" si="417"/>
        <v>1</v>
      </c>
      <c r="E1788" s="8" t="s">
        <v>1384</v>
      </c>
    </row>
    <row r="1789" ht="15.75" customHeight="1">
      <c r="A1789" s="5" t="s">
        <v>1727</v>
      </c>
      <c r="B1789" s="6">
        <v>690.0</v>
      </c>
      <c r="C1789" s="6">
        <v>1300.0</v>
      </c>
      <c r="D1789" s="11" t="b">
        <f t="shared" si="417"/>
        <v>1</v>
      </c>
      <c r="E1789" s="8" t="s">
        <v>1384</v>
      </c>
    </row>
    <row r="1790" ht="15.75" customHeight="1">
      <c r="A1790" s="9" t="s">
        <v>1728</v>
      </c>
      <c r="B1790" s="10">
        <v>790.0</v>
      </c>
      <c r="C1790" s="10">
        <v>1300.0</v>
      </c>
      <c r="D1790" s="9" t="b">
        <f>false</f>
        <v>0</v>
      </c>
      <c r="E1790" s="8" t="s">
        <v>1384</v>
      </c>
    </row>
    <row r="1791" ht="15.75" customHeight="1">
      <c r="A1791" s="11" t="s">
        <v>1729</v>
      </c>
      <c r="B1791" s="12">
        <v>600.0</v>
      </c>
      <c r="C1791" s="12">
        <v>1600.0</v>
      </c>
      <c r="D1791" s="11" t="b">
        <f>true</f>
        <v>1</v>
      </c>
      <c r="E1791" s="8" t="s">
        <v>1384</v>
      </c>
    </row>
    <row r="1792" ht="15.75" customHeight="1">
      <c r="A1792" s="9" t="s">
        <v>1730</v>
      </c>
      <c r="B1792" s="10">
        <v>1000.0</v>
      </c>
      <c r="C1792" s="10">
        <v>2000.0</v>
      </c>
      <c r="D1792" s="9" t="b">
        <f t="shared" ref="D1792:D1793" si="418">false</f>
        <v>0</v>
      </c>
      <c r="E1792" s="8" t="s">
        <v>1384</v>
      </c>
    </row>
    <row r="1793" ht="15.75" customHeight="1">
      <c r="A1793" s="9" t="s">
        <v>1731</v>
      </c>
      <c r="B1793" s="10">
        <v>1000.0</v>
      </c>
      <c r="C1793" s="10">
        <v>2500.0</v>
      </c>
      <c r="D1793" s="9" t="b">
        <f t="shared" si="418"/>
        <v>0</v>
      </c>
      <c r="E1793" s="8" t="s">
        <v>1384</v>
      </c>
    </row>
    <row r="1794" ht="15.75" customHeight="1">
      <c r="A1794" s="5" t="s">
        <v>1732</v>
      </c>
      <c r="B1794" s="6">
        <v>1300.0</v>
      </c>
      <c r="C1794" s="6">
        <v>2000.0</v>
      </c>
      <c r="D1794" s="11" t="b">
        <f t="shared" ref="D1794:D1800" si="419">true</f>
        <v>1</v>
      </c>
      <c r="E1794" s="8" t="s">
        <v>1384</v>
      </c>
    </row>
    <row r="1795" ht="15.75" customHeight="1">
      <c r="A1795" s="7" t="s">
        <v>1733</v>
      </c>
      <c r="B1795" s="6">
        <v>499.0</v>
      </c>
      <c r="C1795" s="6">
        <v>700.0</v>
      </c>
      <c r="D1795" s="11" t="b">
        <f t="shared" si="419"/>
        <v>1</v>
      </c>
      <c r="E1795" s="8" t="s">
        <v>1384</v>
      </c>
    </row>
    <row r="1796" ht="15.75" customHeight="1">
      <c r="A1796" s="7" t="s">
        <v>1734</v>
      </c>
      <c r="B1796" s="6">
        <v>1000.0</v>
      </c>
      <c r="C1796" s="6">
        <v>2000.0</v>
      </c>
      <c r="D1796" s="11" t="b">
        <f t="shared" si="419"/>
        <v>1</v>
      </c>
      <c r="E1796" s="8" t="s">
        <v>1384</v>
      </c>
    </row>
    <row r="1797" ht="15.75" customHeight="1">
      <c r="A1797" s="5" t="s">
        <v>1735</v>
      </c>
      <c r="B1797" s="6">
        <v>1250.0</v>
      </c>
      <c r="C1797" s="6">
        <v>1800.0</v>
      </c>
      <c r="D1797" s="11" t="b">
        <f t="shared" si="419"/>
        <v>1</v>
      </c>
      <c r="E1797" s="8" t="s">
        <v>1384</v>
      </c>
    </row>
    <row r="1798" ht="15.75" customHeight="1">
      <c r="A1798" s="7" t="s">
        <v>1736</v>
      </c>
      <c r="B1798" s="6">
        <v>129.0</v>
      </c>
      <c r="C1798" s="6">
        <v>200.0</v>
      </c>
      <c r="D1798" s="11" t="b">
        <f t="shared" si="419"/>
        <v>1</v>
      </c>
      <c r="E1798" s="8" t="s">
        <v>1384</v>
      </c>
    </row>
    <row r="1799" ht="15.75" customHeight="1">
      <c r="A1799" s="5" t="s">
        <v>1737</v>
      </c>
      <c r="B1799" s="6">
        <v>73.0</v>
      </c>
      <c r="C1799" s="6">
        <v>200.0</v>
      </c>
      <c r="D1799" s="11" t="b">
        <f t="shared" si="419"/>
        <v>1</v>
      </c>
      <c r="E1799" s="8" t="s">
        <v>1384</v>
      </c>
    </row>
    <row r="1800" ht="15.75" customHeight="1">
      <c r="A1800" s="5" t="s">
        <v>1738</v>
      </c>
      <c r="B1800" s="6">
        <v>250.0</v>
      </c>
      <c r="C1800" s="6">
        <v>500.0</v>
      </c>
      <c r="D1800" s="11" t="b">
        <f t="shared" si="419"/>
        <v>1</v>
      </c>
      <c r="E1800" s="8" t="s">
        <v>1384</v>
      </c>
    </row>
    <row r="1801" ht="15.75" customHeight="1">
      <c r="A1801" s="9" t="s">
        <v>1739</v>
      </c>
      <c r="B1801" s="10">
        <v>89.0</v>
      </c>
      <c r="C1801" s="10">
        <v>150.0</v>
      </c>
      <c r="D1801" s="9" t="b">
        <f t="shared" ref="D1801:D1804" si="420">false</f>
        <v>0</v>
      </c>
      <c r="E1801" s="8" t="s">
        <v>1384</v>
      </c>
    </row>
    <row r="1802" ht="15.75" customHeight="1">
      <c r="A1802" s="9" t="s">
        <v>1740</v>
      </c>
      <c r="B1802" s="10">
        <v>80.0</v>
      </c>
      <c r="C1802" s="10">
        <v>150.0</v>
      </c>
      <c r="D1802" s="9" t="b">
        <f t="shared" si="420"/>
        <v>0</v>
      </c>
      <c r="E1802" s="8" t="s">
        <v>1384</v>
      </c>
    </row>
    <row r="1803" ht="15.75" customHeight="1">
      <c r="A1803" s="9" t="s">
        <v>1741</v>
      </c>
      <c r="B1803" s="10">
        <v>53.0</v>
      </c>
      <c r="C1803" s="10">
        <v>150.0</v>
      </c>
      <c r="D1803" s="9" t="b">
        <f t="shared" si="420"/>
        <v>0</v>
      </c>
      <c r="E1803" s="8" t="s">
        <v>1384</v>
      </c>
    </row>
    <row r="1804" ht="15.75" customHeight="1">
      <c r="A1804" s="9" t="s">
        <v>1741</v>
      </c>
      <c r="B1804" s="10">
        <v>76.0</v>
      </c>
      <c r="C1804" s="10">
        <v>150.0</v>
      </c>
      <c r="D1804" s="9" t="b">
        <f t="shared" si="420"/>
        <v>0</v>
      </c>
      <c r="E1804" s="8" t="s">
        <v>1384</v>
      </c>
    </row>
    <row r="1805" ht="15.75" customHeight="1">
      <c r="A1805" s="11" t="s">
        <v>1742</v>
      </c>
      <c r="B1805" s="6">
        <v>66.0</v>
      </c>
      <c r="C1805" s="6">
        <v>150.0</v>
      </c>
      <c r="D1805" s="11" t="b">
        <f t="shared" ref="D1805:D1812" si="421">true</f>
        <v>1</v>
      </c>
      <c r="E1805" s="8" t="s">
        <v>1384</v>
      </c>
    </row>
    <row r="1806" ht="15.75" customHeight="1">
      <c r="A1806" s="5" t="s">
        <v>1743</v>
      </c>
      <c r="B1806" s="6">
        <v>239.0</v>
      </c>
      <c r="C1806" s="6">
        <v>300.0</v>
      </c>
      <c r="D1806" s="11" t="b">
        <f t="shared" si="421"/>
        <v>1</v>
      </c>
      <c r="E1806" s="8" t="s">
        <v>1384</v>
      </c>
    </row>
    <row r="1807" ht="15.75" customHeight="1">
      <c r="A1807" s="5" t="s">
        <v>1744</v>
      </c>
      <c r="B1807" s="6">
        <v>109.0</v>
      </c>
      <c r="C1807" s="6">
        <v>300.0</v>
      </c>
      <c r="D1807" s="11" t="b">
        <f t="shared" si="421"/>
        <v>1</v>
      </c>
      <c r="E1807" s="8" t="s">
        <v>1384</v>
      </c>
    </row>
    <row r="1808" ht="15.75" customHeight="1">
      <c r="A1808" s="11" t="s">
        <v>1745</v>
      </c>
      <c r="B1808" s="12">
        <v>1500.0</v>
      </c>
      <c r="C1808" s="12">
        <v>2500.0</v>
      </c>
      <c r="D1808" s="11" t="b">
        <f t="shared" si="421"/>
        <v>1</v>
      </c>
      <c r="E1808" s="8" t="s">
        <v>1384</v>
      </c>
    </row>
    <row r="1809" ht="15.75" customHeight="1">
      <c r="A1809" s="18" t="s">
        <v>1746</v>
      </c>
      <c r="B1809" s="6">
        <v>190.0</v>
      </c>
      <c r="C1809" s="6">
        <v>400.0</v>
      </c>
      <c r="D1809" s="11" t="b">
        <f t="shared" si="421"/>
        <v>1</v>
      </c>
      <c r="E1809" s="8" t="s">
        <v>1384</v>
      </c>
    </row>
    <row r="1810" ht="15.75" customHeight="1">
      <c r="A1810" s="18" t="s">
        <v>1747</v>
      </c>
      <c r="B1810" s="6">
        <v>159.6</v>
      </c>
      <c r="C1810" s="6">
        <v>400.0</v>
      </c>
      <c r="D1810" s="11" t="b">
        <f t="shared" si="421"/>
        <v>1</v>
      </c>
      <c r="E1810" s="8" t="s">
        <v>1384</v>
      </c>
    </row>
    <row r="1811" ht="15.75" customHeight="1">
      <c r="A1811" s="5" t="s">
        <v>1748</v>
      </c>
      <c r="B1811" s="6">
        <v>395.0</v>
      </c>
      <c r="C1811" s="6">
        <v>600.0</v>
      </c>
      <c r="D1811" s="11" t="b">
        <f t="shared" si="421"/>
        <v>1</v>
      </c>
      <c r="E1811" s="8" t="s">
        <v>1384</v>
      </c>
    </row>
    <row r="1812" ht="15.75" customHeight="1">
      <c r="A1812" s="5" t="s">
        <v>1749</v>
      </c>
      <c r="B1812" s="6">
        <v>80.0</v>
      </c>
      <c r="C1812" s="6">
        <v>200.0</v>
      </c>
      <c r="D1812" s="11" t="b">
        <f t="shared" si="421"/>
        <v>1</v>
      </c>
      <c r="E1812" s="8" t="s">
        <v>1384</v>
      </c>
    </row>
    <row r="1813" ht="15.75" customHeight="1">
      <c r="A1813" s="9" t="s">
        <v>1750</v>
      </c>
      <c r="B1813" s="10">
        <v>229.0</v>
      </c>
      <c r="C1813" s="10">
        <v>300.0</v>
      </c>
      <c r="D1813" s="9" t="b">
        <f t="shared" ref="D1813:D1815" si="422">false</f>
        <v>0</v>
      </c>
      <c r="E1813" s="8" t="s">
        <v>1384</v>
      </c>
    </row>
    <row r="1814" ht="15.75" customHeight="1">
      <c r="A1814" s="9" t="s">
        <v>1751</v>
      </c>
      <c r="B1814" s="10">
        <v>149.0</v>
      </c>
      <c r="C1814" s="10">
        <v>200.0</v>
      </c>
      <c r="D1814" s="9" t="b">
        <f t="shared" si="422"/>
        <v>0</v>
      </c>
      <c r="E1814" s="8" t="s">
        <v>1384</v>
      </c>
    </row>
    <row r="1815" ht="15.75" customHeight="1">
      <c r="A1815" s="9" t="s">
        <v>1752</v>
      </c>
      <c r="B1815" s="10">
        <v>84.0</v>
      </c>
      <c r="C1815" s="10">
        <v>200.0</v>
      </c>
      <c r="D1815" s="9" t="b">
        <f t="shared" si="422"/>
        <v>0</v>
      </c>
      <c r="E1815" s="8" t="s">
        <v>1384</v>
      </c>
    </row>
    <row r="1816" ht="15.75" customHeight="1">
      <c r="A1816" s="5" t="s">
        <v>1752</v>
      </c>
      <c r="B1816" s="6">
        <v>98.0</v>
      </c>
      <c r="C1816" s="6">
        <v>200.0</v>
      </c>
      <c r="D1816" s="11" t="b">
        <f t="shared" ref="D1816:D1818" si="423">true</f>
        <v>1</v>
      </c>
      <c r="E1816" s="8" t="s">
        <v>1384</v>
      </c>
    </row>
    <row r="1817" ht="15.75" customHeight="1">
      <c r="A1817" s="5" t="s">
        <v>1753</v>
      </c>
      <c r="B1817" s="6">
        <v>55.0</v>
      </c>
      <c r="C1817" s="6">
        <v>200.0</v>
      </c>
      <c r="D1817" s="11" t="b">
        <f t="shared" si="423"/>
        <v>1</v>
      </c>
      <c r="E1817" s="8" t="s">
        <v>1384</v>
      </c>
    </row>
    <row r="1818" ht="15.75" customHeight="1">
      <c r="A1818" s="11" t="s">
        <v>1754</v>
      </c>
      <c r="B1818" s="12">
        <v>800.0</v>
      </c>
      <c r="C1818" s="12">
        <v>1500.0</v>
      </c>
      <c r="D1818" s="11" t="b">
        <f t="shared" si="423"/>
        <v>1</v>
      </c>
      <c r="E1818" s="8" t="s">
        <v>1384</v>
      </c>
    </row>
    <row r="1819" ht="15.75" customHeight="1">
      <c r="A1819" s="9" t="s">
        <v>1755</v>
      </c>
      <c r="B1819" s="10">
        <v>600.0</v>
      </c>
      <c r="C1819" s="10">
        <v>1800.0</v>
      </c>
      <c r="D1819" s="9" t="b">
        <f>false</f>
        <v>0</v>
      </c>
      <c r="E1819" s="8" t="s">
        <v>1384</v>
      </c>
    </row>
    <row r="1820" ht="15.75" customHeight="1">
      <c r="A1820" s="11" t="s">
        <v>1756</v>
      </c>
      <c r="B1820" s="12">
        <v>1500.0</v>
      </c>
      <c r="C1820" s="12">
        <v>2800.0</v>
      </c>
      <c r="D1820" s="11" t="b">
        <f>true</f>
        <v>1</v>
      </c>
      <c r="E1820" s="8" t="s">
        <v>1384</v>
      </c>
    </row>
    <row r="1821" ht="15.75" customHeight="1">
      <c r="A1821" s="9" t="s">
        <v>1757</v>
      </c>
      <c r="B1821" s="10">
        <v>2500.0</v>
      </c>
      <c r="C1821" s="10">
        <v>4000.0</v>
      </c>
      <c r="D1821" s="9" t="b">
        <f>false</f>
        <v>0</v>
      </c>
      <c r="E1821" s="8" t="s">
        <v>1384</v>
      </c>
    </row>
    <row r="1822" ht="15.75" customHeight="1">
      <c r="A1822" s="11" t="s">
        <v>1758</v>
      </c>
      <c r="B1822" s="12">
        <v>827.0</v>
      </c>
      <c r="C1822" s="12">
        <v>1500.0</v>
      </c>
      <c r="D1822" s="11" t="b">
        <f t="shared" ref="D1822:D1823" si="424">true</f>
        <v>1</v>
      </c>
      <c r="E1822" s="8" t="s">
        <v>1384</v>
      </c>
    </row>
    <row r="1823" ht="15.75" customHeight="1">
      <c r="A1823" s="11" t="s">
        <v>1759</v>
      </c>
      <c r="B1823" s="12">
        <v>600.0</v>
      </c>
      <c r="C1823" s="12">
        <v>1500.0</v>
      </c>
      <c r="D1823" s="11" t="b">
        <f t="shared" si="424"/>
        <v>1</v>
      </c>
      <c r="E1823" s="8" t="s">
        <v>1384</v>
      </c>
    </row>
    <row r="1824" ht="15.75" customHeight="1">
      <c r="A1824" s="9" t="s">
        <v>1759</v>
      </c>
      <c r="B1824" s="10">
        <v>600.0</v>
      </c>
      <c r="C1824" s="10">
        <v>2000.0</v>
      </c>
      <c r="D1824" s="9" t="b">
        <f t="shared" ref="D1824:D1829" si="425">false</f>
        <v>0</v>
      </c>
      <c r="E1824" s="8" t="s">
        <v>1384</v>
      </c>
    </row>
    <row r="1825" ht="15.75" customHeight="1">
      <c r="A1825" s="9" t="s">
        <v>1760</v>
      </c>
      <c r="B1825" s="10">
        <v>800.0</v>
      </c>
      <c r="C1825" s="10">
        <v>2000.0</v>
      </c>
      <c r="D1825" s="9" t="b">
        <f t="shared" si="425"/>
        <v>0</v>
      </c>
      <c r="E1825" s="8" t="s">
        <v>1384</v>
      </c>
    </row>
    <row r="1826" ht="15.75" customHeight="1">
      <c r="A1826" s="9" t="s">
        <v>1761</v>
      </c>
      <c r="B1826" s="10">
        <v>1000.0</v>
      </c>
      <c r="C1826" s="10">
        <v>2000.0</v>
      </c>
      <c r="D1826" s="9" t="b">
        <f t="shared" si="425"/>
        <v>0</v>
      </c>
      <c r="E1826" s="8" t="s">
        <v>1384</v>
      </c>
    </row>
    <row r="1827" ht="15.75" customHeight="1">
      <c r="A1827" s="9" t="s">
        <v>1762</v>
      </c>
      <c r="B1827" s="10">
        <v>1000.0</v>
      </c>
      <c r="C1827" s="10">
        <v>2000.0</v>
      </c>
      <c r="D1827" s="9" t="b">
        <f t="shared" si="425"/>
        <v>0</v>
      </c>
      <c r="E1827" s="8" t="s">
        <v>1384</v>
      </c>
    </row>
    <row r="1828" ht="15.75" customHeight="1">
      <c r="A1828" s="9" t="s">
        <v>1763</v>
      </c>
      <c r="B1828" s="10">
        <v>700.0</v>
      </c>
      <c r="C1828" s="10">
        <v>2000.0</v>
      </c>
      <c r="D1828" s="9" t="b">
        <f t="shared" si="425"/>
        <v>0</v>
      </c>
      <c r="E1828" s="8" t="s">
        <v>1384</v>
      </c>
    </row>
    <row r="1829" ht="15.75" customHeight="1">
      <c r="A1829" s="9" t="s">
        <v>1764</v>
      </c>
      <c r="B1829" s="10">
        <v>700.0</v>
      </c>
      <c r="C1829" s="10">
        <v>2000.0</v>
      </c>
      <c r="D1829" s="9" t="b">
        <f t="shared" si="425"/>
        <v>0</v>
      </c>
      <c r="E1829" s="8" t="s">
        <v>1384</v>
      </c>
    </row>
    <row r="1830" ht="15.75" customHeight="1">
      <c r="A1830" s="11" t="s">
        <v>1765</v>
      </c>
      <c r="B1830" s="12">
        <v>300.0</v>
      </c>
      <c r="C1830" s="12">
        <v>600.0</v>
      </c>
      <c r="D1830" s="11" t="b">
        <f t="shared" ref="D1830:D1833" si="426">true</f>
        <v>1</v>
      </c>
      <c r="E1830" s="8" t="s">
        <v>1384</v>
      </c>
    </row>
    <row r="1831" ht="15.75" customHeight="1">
      <c r="A1831" s="11" t="s">
        <v>1766</v>
      </c>
      <c r="B1831" s="12">
        <v>2500.0</v>
      </c>
      <c r="C1831" s="12">
        <v>4500.0</v>
      </c>
      <c r="D1831" s="11" t="b">
        <f t="shared" si="426"/>
        <v>1</v>
      </c>
      <c r="E1831" s="8" t="s">
        <v>1384</v>
      </c>
    </row>
    <row r="1832" ht="15.75" customHeight="1">
      <c r="A1832" s="11" t="s">
        <v>1767</v>
      </c>
      <c r="B1832" s="12">
        <v>2000.0</v>
      </c>
      <c r="C1832" s="12">
        <v>4500.0</v>
      </c>
      <c r="D1832" s="11" t="b">
        <f t="shared" si="426"/>
        <v>1</v>
      </c>
      <c r="E1832" s="8" t="s">
        <v>1384</v>
      </c>
    </row>
    <row r="1833" ht="15.75" customHeight="1">
      <c r="A1833" s="11" t="s">
        <v>1768</v>
      </c>
      <c r="B1833" s="12">
        <v>927.0</v>
      </c>
      <c r="C1833" s="12">
        <v>1800.0</v>
      </c>
      <c r="D1833" s="11" t="b">
        <f t="shared" si="426"/>
        <v>1</v>
      </c>
      <c r="E1833" s="8" t="s">
        <v>1384</v>
      </c>
    </row>
    <row r="1834" ht="15.75" customHeight="1">
      <c r="A1834" s="9" t="s">
        <v>1769</v>
      </c>
      <c r="B1834" s="10">
        <v>379.0</v>
      </c>
      <c r="C1834" s="10">
        <v>500.0</v>
      </c>
      <c r="D1834" s="9" t="b">
        <f t="shared" ref="D1834:D1835" si="427">false</f>
        <v>0</v>
      </c>
      <c r="E1834" s="8" t="s">
        <v>1384</v>
      </c>
    </row>
    <row r="1835" ht="15.75" customHeight="1">
      <c r="A1835" s="9" t="s">
        <v>1769</v>
      </c>
      <c r="B1835" s="10">
        <v>389.0</v>
      </c>
      <c r="C1835" s="10">
        <v>500.0</v>
      </c>
      <c r="D1835" s="9" t="b">
        <f t="shared" si="427"/>
        <v>0</v>
      </c>
      <c r="E1835" s="8" t="s">
        <v>1384</v>
      </c>
    </row>
    <row r="1836" ht="15.75" customHeight="1">
      <c r="A1836" s="11" t="s">
        <v>1770</v>
      </c>
      <c r="B1836" s="12">
        <v>313.0</v>
      </c>
      <c r="C1836" s="12">
        <v>600.0</v>
      </c>
      <c r="D1836" s="11" t="b">
        <f>true</f>
        <v>1</v>
      </c>
      <c r="E1836" s="8" t="s">
        <v>1384</v>
      </c>
    </row>
    <row r="1837" ht="15.75" customHeight="1">
      <c r="A1837" s="9" t="s">
        <v>1769</v>
      </c>
      <c r="B1837" s="10">
        <v>429.0</v>
      </c>
      <c r="C1837" s="10">
        <v>500.0</v>
      </c>
      <c r="D1837" s="9" t="b">
        <f t="shared" ref="D1837:D1838" si="428">false</f>
        <v>0</v>
      </c>
      <c r="E1837" s="8" t="s">
        <v>1384</v>
      </c>
    </row>
    <row r="1838" ht="15.75" customHeight="1">
      <c r="A1838" s="9" t="s">
        <v>1771</v>
      </c>
      <c r="B1838" s="10">
        <v>412.0</v>
      </c>
      <c r="C1838" s="10">
        <v>600.0</v>
      </c>
      <c r="D1838" s="9" t="b">
        <f t="shared" si="428"/>
        <v>0</v>
      </c>
      <c r="E1838" s="8" t="s">
        <v>1384</v>
      </c>
    </row>
    <row r="1839" ht="15.75" customHeight="1">
      <c r="A1839" s="9" t="s">
        <v>1772</v>
      </c>
      <c r="B1839" s="10">
        <v>0.0</v>
      </c>
      <c r="C1839" s="10">
        <v>0.0</v>
      </c>
      <c r="D1839" s="11" t="b">
        <f>true</f>
        <v>1</v>
      </c>
      <c r="E1839" s="8" t="s">
        <v>1384</v>
      </c>
    </row>
    <row r="1840" ht="15.75" customHeight="1">
      <c r="A1840" s="9" t="s">
        <v>1773</v>
      </c>
      <c r="B1840" s="10">
        <v>309.0</v>
      </c>
      <c r="C1840" s="10">
        <v>500.0</v>
      </c>
      <c r="D1840" s="9" t="b">
        <f>false</f>
        <v>0</v>
      </c>
      <c r="E1840" s="8" t="s">
        <v>1384</v>
      </c>
    </row>
    <row r="1841" ht="15.75" customHeight="1">
      <c r="A1841" s="5" t="s">
        <v>1774</v>
      </c>
      <c r="B1841" s="6">
        <v>250.0</v>
      </c>
      <c r="C1841" s="6">
        <v>500.0</v>
      </c>
      <c r="D1841" s="11" t="b">
        <f t="shared" ref="D1841:D1842" si="429">true</f>
        <v>1</v>
      </c>
      <c r="E1841" s="8" t="s">
        <v>1384</v>
      </c>
    </row>
    <row r="1842" ht="15.75" customHeight="1">
      <c r="A1842" s="5" t="s">
        <v>1775</v>
      </c>
      <c r="B1842" s="6">
        <v>250.0</v>
      </c>
      <c r="C1842" s="6">
        <v>500.0</v>
      </c>
      <c r="D1842" s="11" t="b">
        <f t="shared" si="429"/>
        <v>1</v>
      </c>
      <c r="E1842" s="8" t="s">
        <v>1384</v>
      </c>
    </row>
    <row r="1843" ht="15.75" customHeight="1">
      <c r="A1843" s="9" t="s">
        <v>1776</v>
      </c>
      <c r="B1843" s="10">
        <v>579.0</v>
      </c>
      <c r="C1843" s="10">
        <v>800.0</v>
      </c>
      <c r="D1843" s="9" t="b">
        <f>false</f>
        <v>0</v>
      </c>
      <c r="E1843" s="8" t="s">
        <v>1384</v>
      </c>
    </row>
    <row r="1844" ht="15.75" customHeight="1">
      <c r="A1844" s="11" t="s">
        <v>1777</v>
      </c>
      <c r="B1844" s="12">
        <v>289.5</v>
      </c>
      <c r="C1844" s="12">
        <v>800.0</v>
      </c>
      <c r="D1844" s="11" t="b">
        <f t="shared" ref="D1844:D1846" si="430">true</f>
        <v>1</v>
      </c>
      <c r="E1844" s="8" t="s">
        <v>1384</v>
      </c>
    </row>
    <row r="1845" ht="15.75" customHeight="1">
      <c r="A1845" s="5" t="s">
        <v>1778</v>
      </c>
      <c r="B1845" s="6">
        <v>328.33</v>
      </c>
      <c r="C1845" s="6">
        <v>800.0</v>
      </c>
      <c r="D1845" s="11" t="b">
        <f t="shared" si="430"/>
        <v>1</v>
      </c>
      <c r="E1845" s="8" t="s">
        <v>1384</v>
      </c>
    </row>
    <row r="1846" ht="15.75" customHeight="1">
      <c r="A1846" s="5" t="s">
        <v>1779</v>
      </c>
      <c r="B1846" s="6">
        <v>690.0</v>
      </c>
      <c r="C1846" s="6">
        <v>1500.0</v>
      </c>
      <c r="D1846" s="11" t="b">
        <f t="shared" si="430"/>
        <v>1</v>
      </c>
      <c r="E1846" s="8" t="s">
        <v>1384</v>
      </c>
    </row>
    <row r="1847" ht="15.75" customHeight="1">
      <c r="A1847" s="9" t="s">
        <v>1780</v>
      </c>
      <c r="B1847" s="10">
        <v>579.0</v>
      </c>
      <c r="C1847" s="10">
        <v>1600.0</v>
      </c>
      <c r="D1847" s="9" t="b">
        <f t="shared" ref="D1847:D1848" si="431">false</f>
        <v>0</v>
      </c>
      <c r="E1847" s="8" t="s">
        <v>1384</v>
      </c>
    </row>
    <row r="1848" ht="15.75" customHeight="1">
      <c r="A1848" s="9" t="s">
        <v>1781</v>
      </c>
      <c r="B1848" s="10">
        <v>800.0</v>
      </c>
      <c r="C1848" s="10">
        <v>1900.0</v>
      </c>
      <c r="D1848" s="9" t="b">
        <f t="shared" si="431"/>
        <v>0</v>
      </c>
      <c r="E1848" s="8" t="s">
        <v>1384</v>
      </c>
    </row>
    <row r="1849" ht="15.75" customHeight="1">
      <c r="A1849" s="11" t="s">
        <v>1782</v>
      </c>
      <c r="B1849" s="12">
        <v>1500.0</v>
      </c>
      <c r="C1849" s="12">
        <v>3000.0</v>
      </c>
      <c r="D1849" s="11" t="b">
        <f t="shared" ref="D1849:D1853" si="432">true</f>
        <v>1</v>
      </c>
      <c r="E1849" s="8" t="s">
        <v>1384</v>
      </c>
    </row>
    <row r="1850" ht="15.75" customHeight="1">
      <c r="A1850" s="11" t="s">
        <v>1783</v>
      </c>
      <c r="B1850" s="12">
        <v>782.0</v>
      </c>
      <c r="C1850" s="12">
        <v>1500.0</v>
      </c>
      <c r="D1850" s="11" t="b">
        <f t="shared" si="432"/>
        <v>1</v>
      </c>
      <c r="E1850" s="8" t="s">
        <v>1384</v>
      </c>
    </row>
    <row r="1851" ht="15.75" customHeight="1">
      <c r="A1851" s="11" t="s">
        <v>1784</v>
      </c>
      <c r="B1851" s="12">
        <v>782.0</v>
      </c>
      <c r="C1851" s="12">
        <v>1500.0</v>
      </c>
      <c r="D1851" s="11" t="b">
        <f t="shared" si="432"/>
        <v>1</v>
      </c>
      <c r="E1851" s="8" t="s">
        <v>1384</v>
      </c>
    </row>
    <row r="1852" ht="15.75" customHeight="1">
      <c r="A1852" s="11" t="s">
        <v>1785</v>
      </c>
      <c r="B1852" s="12">
        <v>244.0</v>
      </c>
      <c r="C1852" s="12">
        <v>700.0</v>
      </c>
      <c r="D1852" s="11" t="b">
        <f t="shared" si="432"/>
        <v>1</v>
      </c>
      <c r="E1852" s="8" t="s">
        <v>1384</v>
      </c>
    </row>
    <row r="1853" ht="15.75" customHeight="1">
      <c r="A1853" s="11" t="s">
        <v>1786</v>
      </c>
      <c r="B1853" s="12">
        <v>235.0</v>
      </c>
      <c r="C1853" s="12">
        <v>700.0</v>
      </c>
      <c r="D1853" s="11" t="b">
        <f t="shared" si="432"/>
        <v>1</v>
      </c>
      <c r="E1853" s="8" t="s">
        <v>1384</v>
      </c>
    </row>
    <row r="1854" ht="15.75" customHeight="1">
      <c r="A1854" s="9" t="s">
        <v>1787</v>
      </c>
      <c r="B1854" s="10">
        <v>1069.0</v>
      </c>
      <c r="C1854" s="10">
        <v>1500.0</v>
      </c>
      <c r="D1854" s="9" t="b">
        <f>false</f>
        <v>0</v>
      </c>
      <c r="E1854" s="8" t="s">
        <v>1384</v>
      </c>
    </row>
    <row r="1855" ht="15.75" customHeight="1">
      <c r="A1855" s="5" t="s">
        <v>1788</v>
      </c>
      <c r="B1855" s="6">
        <v>830.0</v>
      </c>
      <c r="C1855" s="6">
        <v>1500.0</v>
      </c>
      <c r="D1855" s="11" t="b">
        <f t="shared" ref="D1855:D1857" si="433">true</f>
        <v>1</v>
      </c>
      <c r="E1855" s="8" t="s">
        <v>1384</v>
      </c>
    </row>
    <row r="1856" ht="15.75" customHeight="1">
      <c r="A1856" s="5" t="s">
        <v>1789</v>
      </c>
      <c r="B1856" s="6">
        <v>610.0</v>
      </c>
      <c r="C1856" s="6">
        <v>1200.0</v>
      </c>
      <c r="D1856" s="11" t="b">
        <f t="shared" si="433"/>
        <v>1</v>
      </c>
      <c r="E1856" s="8" t="s">
        <v>1384</v>
      </c>
    </row>
    <row r="1857" ht="15.75" customHeight="1">
      <c r="A1857" s="5" t="s">
        <v>1790</v>
      </c>
      <c r="B1857" s="6">
        <v>620.0</v>
      </c>
      <c r="C1857" s="6">
        <v>1450.0</v>
      </c>
      <c r="D1857" s="11" t="b">
        <f t="shared" si="433"/>
        <v>1</v>
      </c>
      <c r="E1857" s="8" t="s">
        <v>1384</v>
      </c>
    </row>
    <row r="1858" ht="15.75" customHeight="1">
      <c r="A1858" s="9" t="s">
        <v>1791</v>
      </c>
      <c r="B1858" s="10">
        <v>698.0</v>
      </c>
      <c r="C1858" s="10">
        <v>1450.0</v>
      </c>
      <c r="D1858" s="9" t="b">
        <f t="shared" ref="D1858:D1863" si="434">false</f>
        <v>0</v>
      </c>
      <c r="E1858" s="8" t="s">
        <v>1384</v>
      </c>
    </row>
    <row r="1859" ht="15.75" customHeight="1">
      <c r="A1859" s="9" t="s">
        <v>1792</v>
      </c>
      <c r="B1859" s="10">
        <v>859.0</v>
      </c>
      <c r="C1859" s="10">
        <v>1250.0</v>
      </c>
      <c r="D1859" s="9" t="b">
        <f t="shared" si="434"/>
        <v>0</v>
      </c>
      <c r="E1859" s="8" t="s">
        <v>1384</v>
      </c>
    </row>
    <row r="1860" ht="15.75" customHeight="1">
      <c r="A1860" s="9" t="s">
        <v>1791</v>
      </c>
      <c r="B1860" s="10">
        <v>748.0</v>
      </c>
      <c r="C1860" s="10">
        <v>1250.0</v>
      </c>
      <c r="D1860" s="9" t="b">
        <f t="shared" si="434"/>
        <v>0</v>
      </c>
      <c r="E1860" s="8" t="s">
        <v>1384</v>
      </c>
    </row>
    <row r="1861" ht="15.75" customHeight="1">
      <c r="A1861" s="9" t="s">
        <v>1793</v>
      </c>
      <c r="B1861" s="10">
        <v>700.0</v>
      </c>
      <c r="C1861" s="10">
        <v>1250.0</v>
      </c>
      <c r="D1861" s="9" t="b">
        <f t="shared" si="434"/>
        <v>0</v>
      </c>
      <c r="E1861" s="8" t="s">
        <v>1384</v>
      </c>
    </row>
    <row r="1862" ht="15.75" customHeight="1">
      <c r="A1862" s="9" t="s">
        <v>1794</v>
      </c>
      <c r="B1862" s="10">
        <v>179.0</v>
      </c>
      <c r="C1862" s="10">
        <v>350.0</v>
      </c>
      <c r="D1862" s="9" t="b">
        <f t="shared" si="434"/>
        <v>0</v>
      </c>
      <c r="E1862" s="8" t="s">
        <v>1384</v>
      </c>
    </row>
    <row r="1863" ht="15.75" customHeight="1">
      <c r="A1863" s="9" t="s">
        <v>1795</v>
      </c>
      <c r="B1863" s="10">
        <v>239.0</v>
      </c>
      <c r="C1863" s="10">
        <v>350.0</v>
      </c>
      <c r="D1863" s="9" t="b">
        <f t="shared" si="434"/>
        <v>0</v>
      </c>
      <c r="E1863" s="8" t="s">
        <v>1384</v>
      </c>
    </row>
    <row r="1864" ht="15.75" customHeight="1">
      <c r="A1864" s="11" t="s">
        <v>1796</v>
      </c>
      <c r="B1864" s="12">
        <v>163.0</v>
      </c>
      <c r="C1864" s="12">
        <v>350.0</v>
      </c>
      <c r="D1864" s="11" t="b">
        <f t="shared" ref="D1864:D1866" si="435">true</f>
        <v>1</v>
      </c>
      <c r="E1864" s="8" t="s">
        <v>1384</v>
      </c>
    </row>
    <row r="1865" ht="15.75" customHeight="1">
      <c r="A1865" s="11" t="s">
        <v>1797</v>
      </c>
      <c r="B1865" s="12">
        <v>136.0</v>
      </c>
      <c r="C1865" s="12">
        <v>350.0</v>
      </c>
      <c r="D1865" s="11" t="b">
        <f t="shared" si="435"/>
        <v>1</v>
      </c>
      <c r="E1865" s="8" t="s">
        <v>1384</v>
      </c>
    </row>
    <row r="1866" ht="15.75" customHeight="1">
      <c r="A1866" s="11" t="s">
        <v>1798</v>
      </c>
      <c r="B1866" s="12">
        <v>165.0</v>
      </c>
      <c r="C1866" s="12">
        <v>350.0</v>
      </c>
      <c r="D1866" s="11" t="b">
        <f t="shared" si="435"/>
        <v>1</v>
      </c>
      <c r="E1866" s="8" t="s">
        <v>1384</v>
      </c>
    </row>
    <row r="1867" ht="15.75" customHeight="1">
      <c r="A1867" s="9" t="s">
        <v>1799</v>
      </c>
      <c r="B1867" s="10">
        <v>123.0</v>
      </c>
      <c r="C1867" s="10">
        <v>350.0</v>
      </c>
      <c r="D1867" s="9" t="b">
        <f>false</f>
        <v>0</v>
      </c>
      <c r="E1867" s="8" t="s">
        <v>1384</v>
      </c>
    </row>
    <row r="1868" ht="15.75" customHeight="1">
      <c r="A1868" s="11" t="s">
        <v>1800</v>
      </c>
      <c r="B1868" s="6">
        <v>83.33</v>
      </c>
      <c r="C1868" s="6">
        <v>200.0</v>
      </c>
      <c r="D1868" s="11" t="b">
        <f>true</f>
        <v>1</v>
      </c>
      <c r="E1868" s="8" t="s">
        <v>1384</v>
      </c>
    </row>
    <row r="1869" ht="15.75" customHeight="1">
      <c r="A1869" s="9" t="s">
        <v>1801</v>
      </c>
      <c r="B1869" s="10">
        <v>84.0</v>
      </c>
      <c r="C1869" s="10">
        <v>250.0</v>
      </c>
      <c r="D1869" s="9" t="b">
        <f t="shared" ref="D1869:D1870" si="436">false</f>
        <v>0</v>
      </c>
      <c r="E1869" s="8" t="s">
        <v>1384</v>
      </c>
    </row>
    <row r="1870" ht="15.75" customHeight="1">
      <c r="A1870" s="9" t="s">
        <v>1802</v>
      </c>
      <c r="B1870" s="10">
        <v>399.0</v>
      </c>
      <c r="C1870" s="10">
        <v>500.0</v>
      </c>
      <c r="D1870" s="9" t="b">
        <f t="shared" si="436"/>
        <v>0</v>
      </c>
      <c r="E1870" s="8" t="s">
        <v>1384</v>
      </c>
    </row>
    <row r="1871" ht="15.75" customHeight="1">
      <c r="A1871" s="11" t="s">
        <v>1803</v>
      </c>
      <c r="B1871" s="12">
        <v>288.0</v>
      </c>
      <c r="C1871" s="12">
        <v>500.0</v>
      </c>
      <c r="D1871" s="11" t="b">
        <f t="shared" ref="D1871:D1873" si="437">true</f>
        <v>1</v>
      </c>
      <c r="E1871" s="8" t="s">
        <v>1384</v>
      </c>
    </row>
    <row r="1872" ht="15.75" customHeight="1">
      <c r="A1872" s="5" t="s">
        <v>1804</v>
      </c>
      <c r="B1872" s="6">
        <v>199.0</v>
      </c>
      <c r="C1872" s="6">
        <v>400.0</v>
      </c>
      <c r="D1872" s="11" t="b">
        <f t="shared" si="437"/>
        <v>1</v>
      </c>
      <c r="E1872" s="8" t="s">
        <v>1384</v>
      </c>
    </row>
    <row r="1873" ht="15.75" customHeight="1">
      <c r="A1873" s="5" t="s">
        <v>1805</v>
      </c>
      <c r="B1873" s="6">
        <v>249.166</v>
      </c>
      <c r="C1873" s="6">
        <v>450.0</v>
      </c>
      <c r="D1873" s="11" t="b">
        <f t="shared" si="437"/>
        <v>1</v>
      </c>
      <c r="E1873" s="8" t="s">
        <v>1384</v>
      </c>
    </row>
    <row r="1874" ht="15.75" customHeight="1">
      <c r="A1874" s="9" t="s">
        <v>1806</v>
      </c>
      <c r="B1874" s="10">
        <v>700.0</v>
      </c>
      <c r="C1874" s="10">
        <v>1500.0</v>
      </c>
      <c r="D1874" s="9" t="b">
        <f>false</f>
        <v>0</v>
      </c>
      <c r="E1874" s="8" t="s">
        <v>1384</v>
      </c>
    </row>
    <row r="1875" ht="15.75" customHeight="1">
      <c r="A1875" s="11" t="s">
        <v>1807</v>
      </c>
      <c r="B1875" s="12">
        <v>618.0</v>
      </c>
      <c r="C1875" s="12">
        <v>1200.0</v>
      </c>
      <c r="D1875" s="11" t="b">
        <f t="shared" ref="D1875:D1879" si="438">true</f>
        <v>1</v>
      </c>
      <c r="E1875" s="8" t="s">
        <v>1384</v>
      </c>
    </row>
    <row r="1876" ht="15.75" customHeight="1">
      <c r="A1876" s="11" t="s">
        <v>1808</v>
      </c>
      <c r="B1876" s="12">
        <v>713.0</v>
      </c>
      <c r="C1876" s="12">
        <v>1500.0</v>
      </c>
      <c r="D1876" s="11" t="b">
        <f t="shared" si="438"/>
        <v>1</v>
      </c>
      <c r="E1876" s="8" t="s">
        <v>1384</v>
      </c>
    </row>
    <row r="1877" ht="15.75" customHeight="1">
      <c r="A1877" s="11" t="s">
        <v>1809</v>
      </c>
      <c r="B1877" s="12">
        <v>523.0</v>
      </c>
      <c r="C1877" s="12">
        <v>1200.0</v>
      </c>
      <c r="D1877" s="11" t="b">
        <f t="shared" si="438"/>
        <v>1</v>
      </c>
      <c r="E1877" s="8" t="s">
        <v>1384</v>
      </c>
    </row>
    <row r="1878" ht="15.75" customHeight="1">
      <c r="A1878" s="11" t="s">
        <v>1810</v>
      </c>
      <c r="B1878" s="12">
        <v>500.0</v>
      </c>
      <c r="C1878" s="12">
        <v>1200.0</v>
      </c>
      <c r="D1878" s="11" t="b">
        <f t="shared" si="438"/>
        <v>1</v>
      </c>
      <c r="E1878" s="8" t="s">
        <v>1384</v>
      </c>
    </row>
    <row r="1879" ht="15.75" customHeight="1">
      <c r="A1879" s="11" t="s">
        <v>1811</v>
      </c>
      <c r="B1879" s="12">
        <v>500.0</v>
      </c>
      <c r="C1879" s="12">
        <v>1200.0</v>
      </c>
      <c r="D1879" s="11" t="b">
        <f t="shared" si="438"/>
        <v>1</v>
      </c>
      <c r="E1879" s="8" t="s">
        <v>1384</v>
      </c>
    </row>
    <row r="1880" ht="15.75" customHeight="1">
      <c r="A1880" s="15" t="s">
        <v>1812</v>
      </c>
      <c r="B1880" s="16">
        <v>650.0</v>
      </c>
      <c r="C1880" s="16">
        <v>2500.0</v>
      </c>
      <c r="D1880" s="15" t="b">
        <f t="shared" ref="D1880:D1882" si="439">false</f>
        <v>0</v>
      </c>
      <c r="E1880" s="8" t="s">
        <v>1384</v>
      </c>
    </row>
    <row r="1881" ht="15.75" customHeight="1">
      <c r="A1881" s="15" t="s">
        <v>1813</v>
      </c>
      <c r="B1881" s="16">
        <v>700.0</v>
      </c>
      <c r="C1881" s="16">
        <v>1500.0</v>
      </c>
      <c r="D1881" s="15" t="b">
        <f t="shared" si="439"/>
        <v>0</v>
      </c>
      <c r="E1881" s="8" t="s">
        <v>1384</v>
      </c>
    </row>
    <row r="1882" ht="15.75" customHeight="1">
      <c r="A1882" s="15" t="s">
        <v>1814</v>
      </c>
      <c r="B1882" s="16">
        <v>1000.0</v>
      </c>
      <c r="C1882" s="16">
        <v>2000.0</v>
      </c>
      <c r="D1882" s="15" t="b">
        <f t="shared" si="439"/>
        <v>0</v>
      </c>
      <c r="E1882" s="8" t="s">
        <v>1384</v>
      </c>
    </row>
    <row r="1883" ht="15.75" customHeight="1">
      <c r="A1883" s="7" t="s">
        <v>1815</v>
      </c>
      <c r="B1883" s="6">
        <v>99.0</v>
      </c>
      <c r="C1883" s="6">
        <v>200.0</v>
      </c>
      <c r="D1883" s="11" t="b">
        <f t="shared" ref="D1883:D1887" si="440">true</f>
        <v>1</v>
      </c>
      <c r="E1883" s="8" t="s">
        <v>1384</v>
      </c>
    </row>
    <row r="1884" ht="15.75" customHeight="1">
      <c r="A1884" s="5" t="s">
        <v>1816</v>
      </c>
      <c r="B1884" s="6">
        <v>53.0</v>
      </c>
      <c r="C1884" s="6">
        <v>150.0</v>
      </c>
      <c r="D1884" s="11" t="b">
        <f t="shared" si="440"/>
        <v>1</v>
      </c>
      <c r="E1884" s="8" t="s">
        <v>1384</v>
      </c>
    </row>
    <row r="1885" ht="15.75" customHeight="1">
      <c r="A1885" s="5" t="s">
        <v>1817</v>
      </c>
      <c r="B1885" s="6">
        <v>80.0</v>
      </c>
      <c r="C1885" s="6">
        <v>150.0</v>
      </c>
      <c r="D1885" s="11" t="b">
        <f t="shared" si="440"/>
        <v>1</v>
      </c>
      <c r="E1885" s="8" t="s">
        <v>1384</v>
      </c>
    </row>
    <row r="1886" ht="15.75" customHeight="1">
      <c r="A1886" s="5" t="s">
        <v>1818</v>
      </c>
      <c r="B1886" s="6">
        <v>89.0</v>
      </c>
      <c r="C1886" s="6">
        <v>150.0</v>
      </c>
      <c r="D1886" s="11" t="b">
        <f t="shared" si="440"/>
        <v>1</v>
      </c>
      <c r="E1886" s="8" t="s">
        <v>1384</v>
      </c>
    </row>
    <row r="1887" ht="15.75" customHeight="1">
      <c r="A1887" s="5" t="s">
        <v>1819</v>
      </c>
      <c r="B1887" s="6">
        <v>179.0</v>
      </c>
      <c r="C1887" s="6">
        <v>400.0</v>
      </c>
      <c r="D1887" s="11" t="b">
        <f t="shared" si="440"/>
        <v>1</v>
      </c>
      <c r="E1887" s="8" t="s">
        <v>1384</v>
      </c>
    </row>
    <row r="1888" ht="15.75" customHeight="1">
      <c r="A1888" s="9" t="s">
        <v>1820</v>
      </c>
      <c r="B1888" s="10">
        <v>210.0</v>
      </c>
      <c r="C1888" s="10">
        <v>400.0</v>
      </c>
      <c r="D1888" s="9" t="b">
        <f t="shared" ref="D1888:D1889" si="441">false</f>
        <v>0</v>
      </c>
      <c r="E1888" s="8" t="s">
        <v>1384</v>
      </c>
    </row>
    <row r="1889" ht="15.75" customHeight="1">
      <c r="A1889" s="9" t="s">
        <v>1821</v>
      </c>
      <c r="B1889" s="10">
        <v>149.0</v>
      </c>
      <c r="C1889" s="10">
        <v>350.0</v>
      </c>
      <c r="D1889" s="9" t="b">
        <f t="shared" si="441"/>
        <v>0</v>
      </c>
      <c r="E1889" s="8" t="s">
        <v>1384</v>
      </c>
    </row>
    <row r="1890" ht="15.75" customHeight="1">
      <c r="A1890" s="11" t="s">
        <v>1822</v>
      </c>
      <c r="B1890" s="12">
        <v>169.0</v>
      </c>
      <c r="C1890" s="12">
        <v>350.0</v>
      </c>
      <c r="D1890" s="11" t="b">
        <f t="shared" ref="D1890:D1891" si="442">true</f>
        <v>1</v>
      </c>
      <c r="E1890" s="8" t="s">
        <v>1384</v>
      </c>
    </row>
    <row r="1891" ht="15.75" customHeight="1">
      <c r="A1891" s="7" t="s">
        <v>1821</v>
      </c>
      <c r="B1891" s="6">
        <v>200.0</v>
      </c>
      <c r="C1891" s="6">
        <v>350.0</v>
      </c>
      <c r="D1891" s="11" t="b">
        <f t="shared" si="442"/>
        <v>1</v>
      </c>
      <c r="E1891" s="8" t="s">
        <v>1384</v>
      </c>
    </row>
    <row r="1892" ht="15.75" customHeight="1">
      <c r="A1892" s="9" t="s">
        <v>1823</v>
      </c>
      <c r="B1892" s="10">
        <v>369.0</v>
      </c>
      <c r="C1892" s="10">
        <v>450.0</v>
      </c>
      <c r="D1892" s="9" t="b">
        <f>false</f>
        <v>0</v>
      </c>
      <c r="E1892" s="8" t="s">
        <v>1384</v>
      </c>
    </row>
    <row r="1893" ht="15.75" customHeight="1">
      <c r="A1893" s="5" t="s">
        <v>1824</v>
      </c>
      <c r="B1893" s="6">
        <v>180.0</v>
      </c>
      <c r="C1893" s="6">
        <v>450.0</v>
      </c>
      <c r="D1893" s="11" t="b">
        <f t="shared" ref="D1893:D1894" si="443">true</f>
        <v>1</v>
      </c>
      <c r="E1893" s="8" t="s">
        <v>1384</v>
      </c>
    </row>
    <row r="1894" ht="15.75" customHeight="1">
      <c r="A1894" s="5" t="s">
        <v>1825</v>
      </c>
      <c r="B1894" s="6">
        <v>1599.0</v>
      </c>
      <c r="C1894" s="6">
        <v>2000.0</v>
      </c>
      <c r="D1894" s="11" t="b">
        <f t="shared" si="443"/>
        <v>1</v>
      </c>
      <c r="E1894" s="8" t="s">
        <v>1384</v>
      </c>
    </row>
    <row r="1895" ht="15.75" customHeight="1">
      <c r="A1895" s="9" t="s">
        <v>1826</v>
      </c>
      <c r="B1895" s="10">
        <v>339.0</v>
      </c>
      <c r="C1895" s="10">
        <v>500.0</v>
      </c>
      <c r="D1895" s="9" t="b">
        <f>false</f>
        <v>0</v>
      </c>
      <c r="E1895" s="8" t="s">
        <v>1384</v>
      </c>
    </row>
    <row r="1896" ht="15.75" customHeight="1">
      <c r="A1896" s="7" t="s">
        <v>1826</v>
      </c>
      <c r="B1896" s="6">
        <v>379.0</v>
      </c>
      <c r="C1896" s="6">
        <v>500.0</v>
      </c>
      <c r="D1896" s="11" t="b">
        <f t="shared" ref="D1896:D1897" si="444">true</f>
        <v>1</v>
      </c>
      <c r="E1896" s="8" t="s">
        <v>1384</v>
      </c>
    </row>
    <row r="1897" ht="15.75" customHeight="1">
      <c r="A1897" s="5" t="s">
        <v>1827</v>
      </c>
      <c r="B1897" s="6">
        <v>300.0</v>
      </c>
      <c r="C1897" s="6">
        <v>500.0</v>
      </c>
      <c r="D1897" s="11" t="b">
        <f t="shared" si="444"/>
        <v>1</v>
      </c>
      <c r="E1897" s="8" t="s">
        <v>1384</v>
      </c>
    </row>
    <row r="1898" ht="15.75" customHeight="1">
      <c r="A1898" s="9" t="s">
        <v>1828</v>
      </c>
      <c r="B1898" s="10">
        <v>1919.0</v>
      </c>
      <c r="C1898" s="10">
        <v>2400.0</v>
      </c>
      <c r="D1898" s="9" t="b">
        <f>false</f>
        <v>0</v>
      </c>
      <c r="E1898" s="8" t="s">
        <v>1384</v>
      </c>
    </row>
    <row r="1899" ht="15.75" customHeight="1">
      <c r="A1899" s="5" t="s">
        <v>1829</v>
      </c>
      <c r="B1899" s="6">
        <v>1650.0</v>
      </c>
      <c r="C1899" s="6">
        <v>2400.0</v>
      </c>
      <c r="D1899" s="11" t="b">
        <f t="shared" ref="D1899:D1902" si="445">true</f>
        <v>1</v>
      </c>
      <c r="E1899" s="8" t="s">
        <v>1384</v>
      </c>
    </row>
    <row r="1900" ht="15.75" customHeight="1">
      <c r="A1900" s="5" t="s">
        <v>1830</v>
      </c>
      <c r="B1900" s="6">
        <v>1100.0</v>
      </c>
      <c r="C1900" s="6">
        <v>2000.0</v>
      </c>
      <c r="D1900" s="11" t="b">
        <f t="shared" si="445"/>
        <v>1</v>
      </c>
      <c r="E1900" s="8" t="s">
        <v>1384</v>
      </c>
    </row>
    <row r="1901" ht="15.75" customHeight="1">
      <c r="A1901" s="7" t="s">
        <v>1831</v>
      </c>
      <c r="B1901" s="6">
        <v>1559.0</v>
      </c>
      <c r="C1901" s="6">
        <v>2000.0</v>
      </c>
      <c r="D1901" s="11" t="b">
        <f t="shared" si="445"/>
        <v>1</v>
      </c>
      <c r="E1901" s="8" t="s">
        <v>1384</v>
      </c>
    </row>
    <row r="1902" ht="15.75" customHeight="1">
      <c r="A1902" s="5" t="s">
        <v>1832</v>
      </c>
      <c r="B1902" s="6">
        <v>1330.0</v>
      </c>
      <c r="C1902" s="6">
        <v>2000.0</v>
      </c>
      <c r="D1902" s="11" t="b">
        <f t="shared" si="445"/>
        <v>1</v>
      </c>
      <c r="E1902" s="8" t="s">
        <v>1384</v>
      </c>
    </row>
    <row r="1903" ht="15.75" customHeight="1">
      <c r="A1903" s="9" t="s">
        <v>1833</v>
      </c>
      <c r="B1903" s="10">
        <v>1839.0</v>
      </c>
      <c r="C1903" s="10">
        <v>2300.0</v>
      </c>
      <c r="D1903" s="9" t="b">
        <f t="shared" ref="D1903:D1905" si="446">false</f>
        <v>0</v>
      </c>
      <c r="E1903" s="8" t="s">
        <v>1384</v>
      </c>
    </row>
    <row r="1904" ht="15.75" customHeight="1">
      <c r="A1904" s="9" t="s">
        <v>1834</v>
      </c>
      <c r="B1904" s="10">
        <v>1299.0</v>
      </c>
      <c r="C1904" s="10">
        <v>1800.0</v>
      </c>
      <c r="D1904" s="9" t="b">
        <f t="shared" si="446"/>
        <v>0</v>
      </c>
      <c r="E1904" s="8" t="s">
        <v>1384</v>
      </c>
    </row>
    <row r="1905" ht="15.75" customHeight="1">
      <c r="A1905" s="9" t="s">
        <v>1835</v>
      </c>
      <c r="B1905" s="10">
        <v>999.0</v>
      </c>
      <c r="C1905" s="10">
        <v>1800.0</v>
      </c>
      <c r="D1905" s="9" t="b">
        <f t="shared" si="446"/>
        <v>0</v>
      </c>
      <c r="E1905" s="8" t="s">
        <v>1384</v>
      </c>
    </row>
    <row r="1906" ht="15.75" customHeight="1">
      <c r="A1906" s="5" t="s">
        <v>1836</v>
      </c>
      <c r="B1906" s="6">
        <v>589.0</v>
      </c>
      <c r="C1906" s="6">
        <v>1500.0</v>
      </c>
      <c r="D1906" s="11" t="b">
        <f t="shared" ref="D1906:D1907" si="447">true</f>
        <v>1</v>
      </c>
      <c r="E1906" s="8" t="s">
        <v>1384</v>
      </c>
    </row>
    <row r="1907" ht="15.75" customHeight="1">
      <c r="A1907" s="5" t="s">
        <v>1837</v>
      </c>
      <c r="B1907" s="6">
        <v>510.0</v>
      </c>
      <c r="C1907" s="6">
        <v>1500.0</v>
      </c>
      <c r="D1907" s="11" t="b">
        <f t="shared" si="447"/>
        <v>1</v>
      </c>
      <c r="E1907" s="8" t="s">
        <v>1384</v>
      </c>
    </row>
    <row r="1908" ht="15.75" customHeight="1">
      <c r="A1908" s="9" t="s">
        <v>1838</v>
      </c>
      <c r="B1908" s="10">
        <v>499.0</v>
      </c>
      <c r="C1908" s="10">
        <v>900.0</v>
      </c>
      <c r="D1908" s="9" t="b">
        <f t="shared" ref="D1908:D1911" si="448">false</f>
        <v>0</v>
      </c>
      <c r="E1908" s="8" t="s">
        <v>1384</v>
      </c>
    </row>
    <row r="1909" ht="15.75" customHeight="1">
      <c r="A1909" s="9" t="s">
        <v>1839</v>
      </c>
      <c r="B1909" s="10">
        <v>312.0</v>
      </c>
      <c r="C1909" s="10">
        <v>900.0</v>
      </c>
      <c r="D1909" s="9" t="b">
        <f t="shared" si="448"/>
        <v>0</v>
      </c>
      <c r="E1909" s="8" t="s">
        <v>1384</v>
      </c>
    </row>
    <row r="1910" ht="15.75" customHeight="1">
      <c r="A1910" s="9" t="s">
        <v>1840</v>
      </c>
      <c r="B1910" s="10">
        <v>261.0</v>
      </c>
      <c r="C1910" s="10">
        <v>800.0</v>
      </c>
      <c r="D1910" s="9" t="b">
        <f t="shared" si="448"/>
        <v>0</v>
      </c>
      <c r="E1910" s="8" t="s">
        <v>1384</v>
      </c>
    </row>
    <row r="1911" ht="15.75" customHeight="1">
      <c r="A1911" s="9" t="s">
        <v>1840</v>
      </c>
      <c r="B1911" s="10">
        <v>294.0</v>
      </c>
      <c r="C1911" s="10">
        <v>800.0</v>
      </c>
      <c r="D1911" s="9" t="b">
        <f t="shared" si="448"/>
        <v>0</v>
      </c>
      <c r="E1911" s="8" t="s">
        <v>1384</v>
      </c>
    </row>
    <row r="1912" ht="15.75" customHeight="1">
      <c r="A1912" s="5" t="s">
        <v>1840</v>
      </c>
      <c r="B1912" s="6">
        <v>303.0</v>
      </c>
      <c r="C1912" s="6">
        <v>800.0</v>
      </c>
      <c r="D1912" s="11" t="b">
        <f t="shared" ref="D1912:D1914" si="449">true</f>
        <v>1</v>
      </c>
      <c r="E1912" s="8" t="s">
        <v>1384</v>
      </c>
    </row>
    <row r="1913" ht="15.75" customHeight="1">
      <c r="A1913" s="5" t="s">
        <v>1841</v>
      </c>
      <c r="B1913" s="6">
        <v>126.0</v>
      </c>
      <c r="C1913" s="6">
        <v>400.0</v>
      </c>
      <c r="D1913" s="11" t="b">
        <f t="shared" si="449"/>
        <v>1</v>
      </c>
      <c r="E1913" s="8" t="s">
        <v>1384</v>
      </c>
    </row>
    <row r="1914" ht="15.75" customHeight="1">
      <c r="A1914" s="5" t="s">
        <v>1842</v>
      </c>
      <c r="B1914" s="6">
        <v>152.0</v>
      </c>
      <c r="C1914" s="6">
        <v>400.0</v>
      </c>
      <c r="D1914" s="11" t="b">
        <f t="shared" si="449"/>
        <v>1</v>
      </c>
      <c r="E1914" s="8" t="s">
        <v>1384</v>
      </c>
    </row>
    <row r="1915" ht="15.75" customHeight="1">
      <c r="A1915" s="9" t="s">
        <v>1843</v>
      </c>
      <c r="B1915" s="10">
        <v>148.0</v>
      </c>
      <c r="C1915" s="10">
        <v>400.0</v>
      </c>
      <c r="D1915" s="9" t="b">
        <f t="shared" ref="D1915:D1917" si="450">false</f>
        <v>0</v>
      </c>
      <c r="E1915" s="8" t="s">
        <v>1384</v>
      </c>
    </row>
    <row r="1916" ht="15.75" customHeight="1">
      <c r="A1916" s="9" t="s">
        <v>1844</v>
      </c>
      <c r="B1916" s="10">
        <v>290.0</v>
      </c>
      <c r="C1916" s="10">
        <v>700.0</v>
      </c>
      <c r="D1916" s="9" t="b">
        <f t="shared" si="450"/>
        <v>0</v>
      </c>
      <c r="E1916" s="8" t="s">
        <v>1384</v>
      </c>
    </row>
    <row r="1917" ht="15.75" customHeight="1">
      <c r="A1917" s="9" t="s">
        <v>1845</v>
      </c>
      <c r="B1917" s="10">
        <v>430.0</v>
      </c>
      <c r="C1917" s="10">
        <v>750.0</v>
      </c>
      <c r="D1917" s="9" t="b">
        <f t="shared" si="450"/>
        <v>0</v>
      </c>
      <c r="E1917" s="8" t="s">
        <v>1384</v>
      </c>
    </row>
    <row r="1918" ht="15.75" customHeight="1">
      <c r="A1918" s="11" t="s">
        <v>1846</v>
      </c>
      <c r="B1918" s="12">
        <v>360.0</v>
      </c>
      <c r="C1918" s="12">
        <v>750.0</v>
      </c>
      <c r="D1918" s="11" t="b">
        <f>true</f>
        <v>1</v>
      </c>
      <c r="E1918" s="8" t="s">
        <v>1384</v>
      </c>
    </row>
    <row r="1919" ht="15.75" customHeight="1">
      <c r="A1919" s="9" t="s">
        <v>1847</v>
      </c>
      <c r="B1919" s="10">
        <v>629.0</v>
      </c>
      <c r="C1919" s="10">
        <v>1400.0</v>
      </c>
      <c r="D1919" s="9" t="b">
        <f>false</f>
        <v>0</v>
      </c>
      <c r="E1919" s="8" t="s">
        <v>1384</v>
      </c>
    </row>
    <row r="1920" ht="15.75" customHeight="1">
      <c r="A1920" s="5" t="s">
        <v>1848</v>
      </c>
      <c r="B1920" s="6">
        <v>860.0</v>
      </c>
      <c r="C1920" s="6">
        <v>1500.0</v>
      </c>
      <c r="D1920" s="11" t="b">
        <f t="shared" ref="D1920:D1921" si="451">true</f>
        <v>1</v>
      </c>
      <c r="E1920" s="8" t="s">
        <v>1384</v>
      </c>
    </row>
    <row r="1921" ht="15.75" customHeight="1">
      <c r="A1921" s="5" t="s">
        <v>1849</v>
      </c>
      <c r="B1921" s="6">
        <v>810.0</v>
      </c>
      <c r="C1921" s="6">
        <v>1500.0</v>
      </c>
      <c r="D1921" s="11" t="b">
        <f t="shared" si="451"/>
        <v>1</v>
      </c>
      <c r="E1921" s="8" t="s">
        <v>1384</v>
      </c>
    </row>
    <row r="1922" ht="15.75" customHeight="1">
      <c r="A1922" s="9" t="s">
        <v>1850</v>
      </c>
      <c r="B1922" s="10">
        <v>919.0</v>
      </c>
      <c r="C1922" s="10">
        <v>1000.0</v>
      </c>
      <c r="D1922" s="9" t="b">
        <f t="shared" ref="D1922:D1923" si="452">false</f>
        <v>0</v>
      </c>
      <c r="E1922" s="8" t="s">
        <v>1384</v>
      </c>
    </row>
    <row r="1923" ht="15.75" customHeight="1">
      <c r="A1923" s="9" t="s">
        <v>1851</v>
      </c>
      <c r="B1923" s="10">
        <v>1369.0</v>
      </c>
      <c r="C1923" s="10">
        <v>1800.0</v>
      </c>
      <c r="D1923" s="9" t="b">
        <f t="shared" si="452"/>
        <v>0</v>
      </c>
      <c r="E1923" s="8" t="s">
        <v>1384</v>
      </c>
    </row>
    <row r="1924" ht="15.75" customHeight="1">
      <c r="A1924" s="11" t="s">
        <v>1851</v>
      </c>
      <c r="B1924" s="12">
        <v>1240.0</v>
      </c>
      <c r="C1924" s="12">
        <v>1800.0</v>
      </c>
      <c r="D1924" s="11" t="b">
        <f>true</f>
        <v>1</v>
      </c>
      <c r="E1924" s="8" t="s">
        <v>1384</v>
      </c>
    </row>
    <row r="1925" ht="15.75" customHeight="1">
      <c r="A1925" s="9" t="s">
        <v>1852</v>
      </c>
      <c r="B1925" s="10">
        <v>930.0</v>
      </c>
      <c r="C1925" s="10">
        <v>1600.0</v>
      </c>
      <c r="D1925" s="9" t="b">
        <f t="shared" ref="D1925:D1926" si="453">false</f>
        <v>0</v>
      </c>
      <c r="E1925" s="8" t="s">
        <v>1384</v>
      </c>
    </row>
    <row r="1926" ht="15.75" customHeight="1">
      <c r="A1926" s="9" t="s">
        <v>1853</v>
      </c>
      <c r="B1926" s="10">
        <v>970.0</v>
      </c>
      <c r="C1926" s="10">
        <v>1800.0</v>
      </c>
      <c r="D1926" s="9" t="b">
        <f t="shared" si="453"/>
        <v>0</v>
      </c>
      <c r="E1926" s="8" t="s">
        <v>1384</v>
      </c>
    </row>
    <row r="1927" ht="15.75" customHeight="1">
      <c r="A1927" s="11" t="s">
        <v>1854</v>
      </c>
      <c r="B1927" s="6">
        <v>180.0</v>
      </c>
      <c r="C1927" s="6">
        <v>400.0</v>
      </c>
      <c r="D1927" s="11" t="b">
        <f>true</f>
        <v>1</v>
      </c>
      <c r="E1927" s="8" t="s">
        <v>1384</v>
      </c>
    </row>
    <row r="1928" ht="15.75" customHeight="1">
      <c r="A1928" s="9" t="s">
        <v>1854</v>
      </c>
      <c r="B1928" s="10">
        <v>170.0</v>
      </c>
      <c r="C1928" s="10">
        <v>400.0</v>
      </c>
      <c r="D1928" s="9" t="b">
        <f t="shared" ref="D1928:D1930" si="454">false</f>
        <v>0</v>
      </c>
      <c r="E1928" s="8" t="s">
        <v>1384</v>
      </c>
    </row>
    <row r="1929" ht="15.75" customHeight="1">
      <c r="A1929" s="9" t="s">
        <v>1854</v>
      </c>
      <c r="B1929" s="10">
        <v>219.0</v>
      </c>
      <c r="C1929" s="10">
        <v>400.0</v>
      </c>
      <c r="D1929" s="9" t="b">
        <f t="shared" si="454"/>
        <v>0</v>
      </c>
      <c r="E1929" s="8" t="s">
        <v>1384</v>
      </c>
    </row>
    <row r="1930" ht="15.75" customHeight="1">
      <c r="A1930" s="9" t="s">
        <v>1855</v>
      </c>
      <c r="B1930" s="10">
        <v>319.0</v>
      </c>
      <c r="C1930" s="10">
        <v>400.0</v>
      </c>
      <c r="D1930" s="9" t="b">
        <f t="shared" si="454"/>
        <v>0</v>
      </c>
      <c r="E1930" s="8" t="s">
        <v>1384</v>
      </c>
    </row>
    <row r="1931" ht="15.75" customHeight="1">
      <c r="A1931" s="9" t="s">
        <v>1856</v>
      </c>
      <c r="B1931" s="10">
        <v>205.0</v>
      </c>
      <c r="C1931" s="10">
        <v>400.0</v>
      </c>
      <c r="D1931" s="11" t="b">
        <f t="shared" ref="D1931:D1933" si="455">true</f>
        <v>1</v>
      </c>
      <c r="E1931" s="8" t="s">
        <v>1384</v>
      </c>
    </row>
    <row r="1932" ht="15.75" customHeight="1">
      <c r="A1932" s="11" t="s">
        <v>1857</v>
      </c>
      <c r="B1932" s="12">
        <v>180.0</v>
      </c>
      <c r="C1932" s="12">
        <v>400.0</v>
      </c>
      <c r="D1932" s="11" t="b">
        <f t="shared" si="455"/>
        <v>1</v>
      </c>
      <c r="E1932" s="8" t="s">
        <v>1384</v>
      </c>
    </row>
    <row r="1933" ht="15.75" customHeight="1">
      <c r="A1933" s="5" t="s">
        <v>1858</v>
      </c>
      <c r="B1933" s="6">
        <v>183.0</v>
      </c>
      <c r="C1933" s="6">
        <v>400.0</v>
      </c>
      <c r="D1933" s="11" t="b">
        <f t="shared" si="455"/>
        <v>1</v>
      </c>
      <c r="E1933" s="8" t="s">
        <v>1384</v>
      </c>
    </row>
    <row r="1934" ht="15.75" customHeight="1">
      <c r="A1934" s="9" t="s">
        <v>1856</v>
      </c>
      <c r="B1934" s="10">
        <v>200.0</v>
      </c>
      <c r="C1934" s="10">
        <v>400.0</v>
      </c>
      <c r="D1934" s="9" t="b">
        <f t="shared" ref="D1934:D1935" si="456">false</f>
        <v>0</v>
      </c>
      <c r="E1934" s="8" t="s">
        <v>1384</v>
      </c>
    </row>
    <row r="1935" ht="15.75" customHeight="1">
      <c r="A1935" s="9" t="s">
        <v>1859</v>
      </c>
      <c r="B1935" s="10">
        <v>369.0</v>
      </c>
      <c r="C1935" s="10">
        <v>600.0</v>
      </c>
      <c r="D1935" s="9" t="b">
        <f t="shared" si="456"/>
        <v>0</v>
      </c>
      <c r="E1935" s="8" t="s">
        <v>1384</v>
      </c>
    </row>
    <row r="1936" ht="15.75" customHeight="1">
      <c r="A1936" s="7" t="s">
        <v>1860</v>
      </c>
      <c r="B1936" s="6">
        <v>328.0</v>
      </c>
      <c r="C1936" s="6">
        <v>500.0</v>
      </c>
      <c r="D1936" s="11" t="b">
        <f t="shared" ref="D1936:D1937" si="457">true</f>
        <v>1</v>
      </c>
      <c r="E1936" s="8" t="s">
        <v>1384</v>
      </c>
    </row>
    <row r="1937" ht="15.75" customHeight="1">
      <c r="A1937" s="9" t="s">
        <v>1860</v>
      </c>
      <c r="B1937" s="10">
        <v>313.0</v>
      </c>
      <c r="C1937" s="10">
        <v>550.0</v>
      </c>
      <c r="D1937" s="11" t="b">
        <f t="shared" si="457"/>
        <v>1</v>
      </c>
      <c r="E1937" s="8" t="s">
        <v>1384</v>
      </c>
    </row>
    <row r="1938" ht="15.75" customHeight="1">
      <c r="A1938" s="9" t="s">
        <v>1861</v>
      </c>
      <c r="B1938" s="10">
        <v>689.0</v>
      </c>
      <c r="C1938" s="10">
        <v>1000.0</v>
      </c>
      <c r="D1938" s="9" t="b">
        <f>false</f>
        <v>0</v>
      </c>
      <c r="E1938" s="8" t="s">
        <v>1384</v>
      </c>
    </row>
    <row r="1939" ht="15.75" customHeight="1">
      <c r="A1939" s="5" t="s">
        <v>1862</v>
      </c>
      <c r="B1939" s="6">
        <v>510.0</v>
      </c>
      <c r="C1939" s="6">
        <v>1000.0</v>
      </c>
      <c r="D1939" s="11" t="b">
        <f>true</f>
        <v>1</v>
      </c>
      <c r="E1939" s="8" t="s">
        <v>1384</v>
      </c>
    </row>
    <row r="1940" ht="15.75" customHeight="1">
      <c r="A1940" s="9" t="s">
        <v>1863</v>
      </c>
      <c r="B1940" s="10">
        <v>1240.0</v>
      </c>
      <c r="C1940" s="10">
        <v>1900.0</v>
      </c>
      <c r="D1940" s="9" t="b">
        <f>false</f>
        <v>0</v>
      </c>
      <c r="E1940" s="8" t="s">
        <v>1384</v>
      </c>
    </row>
    <row r="1941" ht="15.75" customHeight="1">
      <c r="A1941" s="11" t="s">
        <v>1864</v>
      </c>
      <c r="B1941" s="12">
        <v>1290.0</v>
      </c>
      <c r="C1941" s="12">
        <v>1900.0</v>
      </c>
      <c r="D1941" s="11" t="b">
        <f>true</f>
        <v>1</v>
      </c>
      <c r="E1941" s="8" t="s">
        <v>1384</v>
      </c>
    </row>
    <row r="1942" ht="15.75" customHeight="1">
      <c r="A1942" s="9" t="s">
        <v>1865</v>
      </c>
      <c r="B1942" s="10">
        <v>1060.0</v>
      </c>
      <c r="C1942" s="10">
        <v>1900.0</v>
      </c>
      <c r="D1942" s="9" t="b">
        <f>false</f>
        <v>0</v>
      </c>
      <c r="E1942" s="8" t="s">
        <v>1384</v>
      </c>
    </row>
    <row r="1943" ht="15.75" customHeight="1">
      <c r="A1943" s="11" t="s">
        <v>1866</v>
      </c>
      <c r="B1943" s="12">
        <v>1110.0</v>
      </c>
      <c r="C1943" s="12">
        <v>2000.0</v>
      </c>
      <c r="D1943" s="11" t="b">
        <f t="shared" ref="D1943:D1944" si="458">true</f>
        <v>1</v>
      </c>
      <c r="E1943" s="8" t="s">
        <v>1384</v>
      </c>
    </row>
    <row r="1944" ht="15.75" customHeight="1">
      <c r="A1944" s="5" t="s">
        <v>1867</v>
      </c>
      <c r="B1944" s="6">
        <v>1250.0</v>
      </c>
      <c r="C1944" s="6">
        <v>2000.0</v>
      </c>
      <c r="D1944" s="11" t="b">
        <f t="shared" si="458"/>
        <v>1</v>
      </c>
      <c r="E1944" s="8" t="s">
        <v>1384</v>
      </c>
    </row>
    <row r="1945" ht="15.75" customHeight="1">
      <c r="A1945" s="9" t="s">
        <v>1868</v>
      </c>
      <c r="B1945" s="10">
        <v>1200.0</v>
      </c>
      <c r="C1945" s="10">
        <v>2000.0</v>
      </c>
      <c r="D1945" s="9" t="b">
        <f t="shared" ref="D1945:D1947" si="459">false</f>
        <v>0</v>
      </c>
      <c r="E1945" s="8" t="s">
        <v>1384</v>
      </c>
    </row>
    <row r="1946" ht="15.75" customHeight="1">
      <c r="A1946" s="9" t="s">
        <v>1869</v>
      </c>
      <c r="B1946" s="10">
        <v>1499.0</v>
      </c>
      <c r="C1946" s="10">
        <v>1900.0</v>
      </c>
      <c r="D1946" s="9" t="b">
        <f t="shared" si="459"/>
        <v>0</v>
      </c>
      <c r="E1946" s="8" t="s">
        <v>1384</v>
      </c>
    </row>
    <row r="1947" ht="15.75" customHeight="1">
      <c r="A1947" s="9" t="s">
        <v>1870</v>
      </c>
      <c r="B1947" s="10">
        <v>1250.0</v>
      </c>
      <c r="C1947" s="10">
        <v>1900.0</v>
      </c>
      <c r="D1947" s="9" t="b">
        <f t="shared" si="459"/>
        <v>0</v>
      </c>
      <c r="E1947" s="8" t="s">
        <v>1384</v>
      </c>
    </row>
    <row r="1948" ht="15.75" customHeight="1">
      <c r="A1948" s="5" t="s">
        <v>1871</v>
      </c>
      <c r="B1948" s="6">
        <v>1569.0</v>
      </c>
      <c r="C1948" s="6">
        <v>1600.0</v>
      </c>
      <c r="D1948" s="11" t="b">
        <f t="shared" ref="D1948:D1955" si="460">true</f>
        <v>1</v>
      </c>
      <c r="E1948" s="8" t="s">
        <v>1384</v>
      </c>
    </row>
    <row r="1949" ht="15.75" customHeight="1">
      <c r="A1949" s="5" t="s">
        <v>1872</v>
      </c>
      <c r="B1949" s="6">
        <v>910.0</v>
      </c>
      <c r="C1949" s="6">
        <v>1600.0</v>
      </c>
      <c r="D1949" s="11" t="b">
        <f t="shared" si="460"/>
        <v>1</v>
      </c>
      <c r="E1949" s="8" t="s">
        <v>1384</v>
      </c>
    </row>
    <row r="1950" ht="15.75" customHeight="1">
      <c r="A1950" s="5" t="s">
        <v>1873</v>
      </c>
      <c r="B1950" s="6">
        <v>1369.0</v>
      </c>
      <c r="C1950" s="6">
        <v>1800.0</v>
      </c>
      <c r="D1950" s="11" t="b">
        <f t="shared" si="460"/>
        <v>1</v>
      </c>
      <c r="E1950" s="8" t="s">
        <v>1384</v>
      </c>
    </row>
    <row r="1951" ht="15.75" customHeight="1">
      <c r="A1951" s="5" t="s">
        <v>1874</v>
      </c>
      <c r="B1951" s="6">
        <v>1120.0</v>
      </c>
      <c r="C1951" s="6">
        <v>1800.0</v>
      </c>
      <c r="D1951" s="11" t="b">
        <f t="shared" si="460"/>
        <v>1</v>
      </c>
      <c r="E1951" s="8" t="s">
        <v>1384</v>
      </c>
    </row>
    <row r="1952" ht="15.75" customHeight="1">
      <c r="A1952" s="5" t="s">
        <v>1875</v>
      </c>
      <c r="B1952" s="6">
        <v>1560.0</v>
      </c>
      <c r="C1952" s="6">
        <v>2200.0</v>
      </c>
      <c r="D1952" s="11" t="b">
        <f t="shared" si="460"/>
        <v>1</v>
      </c>
      <c r="E1952" s="8" t="s">
        <v>1384</v>
      </c>
    </row>
    <row r="1953" ht="15.75" customHeight="1">
      <c r="A1953" s="5" t="s">
        <v>1876</v>
      </c>
      <c r="B1953" s="6">
        <v>1469.0</v>
      </c>
      <c r="C1953" s="6">
        <v>1800.0</v>
      </c>
      <c r="D1953" s="11" t="b">
        <f t="shared" si="460"/>
        <v>1</v>
      </c>
      <c r="E1953" s="8" t="s">
        <v>1384</v>
      </c>
    </row>
    <row r="1954" ht="15.75" customHeight="1">
      <c r="A1954" s="5" t="s">
        <v>1877</v>
      </c>
      <c r="B1954" s="6">
        <v>1220.0</v>
      </c>
      <c r="C1954" s="6">
        <v>2100.0</v>
      </c>
      <c r="D1954" s="11" t="b">
        <f t="shared" si="460"/>
        <v>1</v>
      </c>
      <c r="E1954" s="8" t="s">
        <v>1384</v>
      </c>
    </row>
    <row r="1955" ht="15.75" customHeight="1">
      <c r="A1955" s="5" t="s">
        <v>1878</v>
      </c>
      <c r="B1955" s="6">
        <v>689.0</v>
      </c>
      <c r="C1955" s="6">
        <v>1500.0</v>
      </c>
      <c r="D1955" s="11" t="b">
        <f t="shared" si="460"/>
        <v>1</v>
      </c>
      <c r="E1955" s="8" t="s">
        <v>1384</v>
      </c>
    </row>
    <row r="1956" ht="15.75" customHeight="1">
      <c r="A1956" s="9" t="s">
        <v>1879</v>
      </c>
      <c r="B1956" s="10">
        <v>1299.0</v>
      </c>
      <c r="C1956" s="10">
        <v>1900.0</v>
      </c>
      <c r="D1956" s="9" t="b">
        <f>false</f>
        <v>0</v>
      </c>
      <c r="E1956" s="8" t="s">
        <v>1384</v>
      </c>
    </row>
    <row r="1957" ht="15.75" customHeight="1">
      <c r="A1957" s="5" t="s">
        <v>1880</v>
      </c>
      <c r="B1957" s="6">
        <v>1240.0</v>
      </c>
      <c r="C1957" s="6">
        <v>1900.0</v>
      </c>
      <c r="D1957" s="11" t="b">
        <f t="shared" ref="D1957:D1960" si="461">true</f>
        <v>1</v>
      </c>
      <c r="E1957" s="8" t="s">
        <v>1384</v>
      </c>
    </row>
    <row r="1958" ht="15.75" customHeight="1">
      <c r="A1958" s="5" t="s">
        <v>1881</v>
      </c>
      <c r="B1958" s="6">
        <v>1369.0</v>
      </c>
      <c r="C1958" s="6">
        <v>2200.0</v>
      </c>
      <c r="D1958" s="11" t="b">
        <f t="shared" si="461"/>
        <v>1</v>
      </c>
      <c r="E1958" s="8" t="s">
        <v>1384</v>
      </c>
    </row>
    <row r="1959" ht="15.75" customHeight="1">
      <c r="A1959" s="5" t="s">
        <v>1882</v>
      </c>
      <c r="B1959" s="6">
        <v>1449.0</v>
      </c>
      <c r="C1959" s="6">
        <v>2500.0</v>
      </c>
      <c r="D1959" s="11" t="b">
        <f t="shared" si="461"/>
        <v>1</v>
      </c>
      <c r="E1959" s="8" t="s">
        <v>1384</v>
      </c>
    </row>
    <row r="1960" ht="15.75" customHeight="1">
      <c r="A1960" s="5" t="s">
        <v>1883</v>
      </c>
      <c r="B1960" s="6">
        <v>1749.0</v>
      </c>
      <c r="C1960" s="6">
        <v>2500.0</v>
      </c>
      <c r="D1960" s="11" t="b">
        <f t="shared" si="461"/>
        <v>1</v>
      </c>
      <c r="E1960" s="8" t="s">
        <v>1384</v>
      </c>
    </row>
    <row r="1961" ht="15.75" customHeight="1">
      <c r="A1961" s="9" t="s">
        <v>1884</v>
      </c>
      <c r="B1961" s="10">
        <v>1749.0</v>
      </c>
      <c r="C1961" s="10">
        <v>2200.0</v>
      </c>
      <c r="D1961" s="9" t="b">
        <f>false</f>
        <v>0</v>
      </c>
      <c r="E1961" s="8" t="s">
        <v>1384</v>
      </c>
    </row>
    <row r="1962" ht="15.75" customHeight="1">
      <c r="A1962" s="5" t="s">
        <v>1885</v>
      </c>
      <c r="B1962" s="6">
        <v>1240.0</v>
      </c>
      <c r="C1962" s="6">
        <v>2000.0</v>
      </c>
      <c r="D1962" s="11" t="b">
        <f t="shared" ref="D1962:D1966" si="462">true</f>
        <v>1</v>
      </c>
      <c r="E1962" s="8" t="s">
        <v>1384</v>
      </c>
    </row>
    <row r="1963" ht="15.75" customHeight="1">
      <c r="A1963" s="5" t="s">
        <v>1886</v>
      </c>
      <c r="B1963" s="6">
        <v>1749.0</v>
      </c>
      <c r="C1963" s="6">
        <v>2500.0</v>
      </c>
      <c r="D1963" s="11" t="b">
        <f t="shared" si="462"/>
        <v>1</v>
      </c>
      <c r="E1963" s="8" t="s">
        <v>1384</v>
      </c>
    </row>
    <row r="1964" ht="15.75" customHeight="1">
      <c r="A1964" s="5" t="s">
        <v>1887</v>
      </c>
      <c r="B1964" s="6">
        <v>1499.0</v>
      </c>
      <c r="C1964" s="6">
        <v>2100.0</v>
      </c>
      <c r="D1964" s="11" t="b">
        <f t="shared" si="462"/>
        <v>1</v>
      </c>
      <c r="E1964" s="8" t="s">
        <v>1384</v>
      </c>
    </row>
    <row r="1965" ht="15.75" customHeight="1">
      <c r="A1965" s="5" t="s">
        <v>1888</v>
      </c>
      <c r="B1965" s="6">
        <v>1870.0</v>
      </c>
      <c r="C1965" s="6">
        <v>2500.0</v>
      </c>
      <c r="D1965" s="11" t="b">
        <f t="shared" si="462"/>
        <v>1</v>
      </c>
      <c r="E1965" s="8" t="s">
        <v>1384</v>
      </c>
    </row>
    <row r="1966" ht="15.75" customHeight="1">
      <c r="A1966" s="7" t="s">
        <v>1889</v>
      </c>
      <c r="B1966" s="6">
        <v>109.0</v>
      </c>
      <c r="C1966" s="6">
        <v>150.0</v>
      </c>
      <c r="D1966" s="11" t="b">
        <f t="shared" si="462"/>
        <v>1</v>
      </c>
      <c r="E1966" s="8" t="s">
        <v>1384</v>
      </c>
    </row>
    <row r="1967" ht="15.75" customHeight="1">
      <c r="A1967" s="9" t="s">
        <v>1890</v>
      </c>
      <c r="B1967" s="10">
        <v>1089.0</v>
      </c>
      <c r="C1967" s="10">
        <v>1500.0</v>
      </c>
      <c r="D1967" s="9" t="b">
        <f>false</f>
        <v>0</v>
      </c>
      <c r="E1967" s="8" t="s">
        <v>1384</v>
      </c>
    </row>
    <row r="1968" ht="15.75" customHeight="1">
      <c r="A1968" s="5" t="s">
        <v>1891</v>
      </c>
      <c r="B1968" s="6">
        <v>920.0</v>
      </c>
      <c r="C1968" s="6">
        <v>1600.0</v>
      </c>
      <c r="D1968" s="11" t="b">
        <f t="shared" ref="D1968:D1969" si="463">true</f>
        <v>1</v>
      </c>
      <c r="E1968" s="8" t="s">
        <v>1384</v>
      </c>
    </row>
    <row r="1969" ht="15.75" customHeight="1">
      <c r="A1969" s="5" t="s">
        <v>1891</v>
      </c>
      <c r="B1969" s="6">
        <v>840.0</v>
      </c>
      <c r="C1969" s="6">
        <v>1600.0</v>
      </c>
      <c r="D1969" s="11" t="b">
        <f t="shared" si="463"/>
        <v>1</v>
      </c>
      <c r="E1969" s="8" t="s">
        <v>1384</v>
      </c>
    </row>
    <row r="1970" ht="15.75" customHeight="1">
      <c r="A1970" s="9" t="s">
        <v>1892</v>
      </c>
      <c r="B1970" s="10">
        <v>1000.0</v>
      </c>
      <c r="C1970" s="10">
        <v>1500.0</v>
      </c>
      <c r="D1970" s="9" t="b">
        <f>false</f>
        <v>0</v>
      </c>
      <c r="E1970" s="8" t="s">
        <v>1384</v>
      </c>
    </row>
    <row r="1971" ht="15.75" customHeight="1">
      <c r="A1971" s="11" t="s">
        <v>1893</v>
      </c>
      <c r="B1971" s="12">
        <v>1180.0</v>
      </c>
      <c r="C1971" s="12">
        <v>1900.0</v>
      </c>
      <c r="D1971" s="11" t="b">
        <f t="shared" ref="D1971:D1972" si="464">true</f>
        <v>1</v>
      </c>
      <c r="E1971" s="8" t="s">
        <v>1384</v>
      </c>
    </row>
    <row r="1972" ht="15.75" customHeight="1">
      <c r="A1972" s="11" t="s">
        <v>1894</v>
      </c>
      <c r="B1972" s="12">
        <v>1500.0</v>
      </c>
      <c r="C1972" s="12">
        <v>2200.0</v>
      </c>
      <c r="D1972" s="11" t="b">
        <f t="shared" si="464"/>
        <v>1</v>
      </c>
      <c r="E1972" s="8" t="s">
        <v>1384</v>
      </c>
    </row>
    <row r="1973" ht="15.75" customHeight="1">
      <c r="A1973" s="9" t="s">
        <v>1895</v>
      </c>
      <c r="B1973" s="10">
        <v>1599.0</v>
      </c>
      <c r="C1973" s="10">
        <v>2000.0</v>
      </c>
      <c r="D1973" s="9" t="b">
        <f>false</f>
        <v>0</v>
      </c>
      <c r="E1973" s="8" t="s">
        <v>1384</v>
      </c>
    </row>
    <row r="1974" ht="15.75" customHeight="1">
      <c r="A1974" s="11" t="s">
        <v>1896</v>
      </c>
      <c r="B1974" s="12">
        <v>1390.0</v>
      </c>
      <c r="C1974" s="12">
        <v>1900.0</v>
      </c>
      <c r="D1974" s="11" t="b">
        <f>true</f>
        <v>1</v>
      </c>
      <c r="E1974" s="8" t="s">
        <v>1384</v>
      </c>
    </row>
    <row r="1975" ht="15.75" customHeight="1">
      <c r="A1975" s="9" t="s">
        <v>1896</v>
      </c>
      <c r="B1975" s="10">
        <v>1240.0</v>
      </c>
      <c r="C1975" s="10">
        <v>1700.0</v>
      </c>
      <c r="D1975" s="9" t="b">
        <f>false</f>
        <v>0</v>
      </c>
      <c r="E1975" s="8" t="s">
        <v>1384</v>
      </c>
    </row>
    <row r="1976" ht="15.75" customHeight="1">
      <c r="A1976" s="5" t="s">
        <v>1897</v>
      </c>
      <c r="B1976" s="6">
        <v>210.0</v>
      </c>
      <c r="C1976" s="6">
        <v>300.0</v>
      </c>
      <c r="D1976" s="11" t="b">
        <f t="shared" ref="D1976:D1977" si="465">true</f>
        <v>1</v>
      </c>
      <c r="E1976" s="8" t="s">
        <v>1384</v>
      </c>
    </row>
    <row r="1977" ht="15.75" customHeight="1">
      <c r="A1977" s="5" t="s">
        <v>1898</v>
      </c>
      <c r="B1977" s="6">
        <v>1870.0</v>
      </c>
      <c r="C1977" s="6">
        <v>2800.0</v>
      </c>
      <c r="D1977" s="11" t="b">
        <f t="shared" si="465"/>
        <v>1</v>
      </c>
      <c r="E1977" s="8" t="s">
        <v>1384</v>
      </c>
    </row>
    <row r="1978" ht="15.75" customHeight="1">
      <c r="A1978" s="9" t="s">
        <v>1899</v>
      </c>
      <c r="B1978" s="10">
        <v>160.0</v>
      </c>
      <c r="C1978" s="10">
        <v>200.0</v>
      </c>
      <c r="D1978" s="9" t="b">
        <f>false</f>
        <v>0</v>
      </c>
      <c r="E1978" s="8" t="s">
        <v>1384</v>
      </c>
    </row>
    <row r="1979" ht="15.75" customHeight="1">
      <c r="A1979" s="5" t="s">
        <v>1900</v>
      </c>
      <c r="B1979" s="6">
        <v>849.0</v>
      </c>
      <c r="C1979" s="6">
        <v>1250.0</v>
      </c>
      <c r="D1979" s="11" t="b">
        <f t="shared" ref="D1979:D1980" si="466">true</f>
        <v>1</v>
      </c>
      <c r="E1979" s="8" t="s">
        <v>1384</v>
      </c>
    </row>
    <row r="1980" ht="15.75" customHeight="1">
      <c r="A1980" s="7" t="s">
        <v>1901</v>
      </c>
      <c r="B1980" s="6">
        <v>959.0</v>
      </c>
      <c r="C1980" s="6">
        <v>1400.0</v>
      </c>
      <c r="D1980" s="11" t="b">
        <f t="shared" si="466"/>
        <v>1</v>
      </c>
      <c r="E1980" s="8" t="s">
        <v>1384</v>
      </c>
    </row>
    <row r="1981" ht="15.75" customHeight="1">
      <c r="A1981" s="9" t="s">
        <v>1902</v>
      </c>
      <c r="B1981" s="10">
        <v>789.0</v>
      </c>
      <c r="C1981" s="10">
        <v>1000.0</v>
      </c>
      <c r="D1981" s="9" t="b">
        <f t="shared" ref="D1981:D1982" si="467">false</f>
        <v>0</v>
      </c>
      <c r="E1981" s="8" t="s">
        <v>1384</v>
      </c>
    </row>
    <row r="1982" ht="15.75" customHeight="1">
      <c r="A1982" s="9" t="s">
        <v>1903</v>
      </c>
      <c r="B1982" s="10">
        <v>508.0</v>
      </c>
      <c r="C1982" s="10">
        <v>1000.0</v>
      </c>
      <c r="D1982" s="9" t="b">
        <f t="shared" si="467"/>
        <v>0</v>
      </c>
      <c r="E1982" s="8" t="s">
        <v>1384</v>
      </c>
    </row>
    <row r="1983" ht="15.75" customHeight="1">
      <c r="A1983" s="11" t="s">
        <v>1904</v>
      </c>
      <c r="B1983" s="12">
        <v>390.0</v>
      </c>
      <c r="C1983" s="12">
        <v>800.0</v>
      </c>
      <c r="D1983" s="11" t="b">
        <f t="shared" ref="D1983:D1984" si="468">true</f>
        <v>1</v>
      </c>
      <c r="E1983" s="8" t="s">
        <v>1384</v>
      </c>
    </row>
    <row r="1984" ht="15.75" customHeight="1">
      <c r="A1984" s="11" t="s">
        <v>1905</v>
      </c>
      <c r="B1984" s="12">
        <v>564.0</v>
      </c>
      <c r="C1984" s="12">
        <v>1000.0</v>
      </c>
      <c r="D1984" s="11" t="b">
        <f t="shared" si="468"/>
        <v>1</v>
      </c>
      <c r="E1984" s="8" t="s">
        <v>1384</v>
      </c>
    </row>
    <row r="1985" ht="15.75" customHeight="1">
      <c r="A1985" s="9" t="s">
        <v>1906</v>
      </c>
      <c r="B1985" s="10">
        <v>818.0</v>
      </c>
      <c r="C1985" s="10">
        <v>1300.0</v>
      </c>
      <c r="D1985" s="9" t="b">
        <f t="shared" ref="D1985:D1986" si="469">false</f>
        <v>0</v>
      </c>
      <c r="E1985" s="8" t="s">
        <v>1384</v>
      </c>
    </row>
    <row r="1986" ht="15.75" customHeight="1">
      <c r="A1986" s="9" t="s">
        <v>1907</v>
      </c>
      <c r="B1986" s="10">
        <v>1000.0</v>
      </c>
      <c r="C1986" s="10">
        <v>1300.0</v>
      </c>
      <c r="D1986" s="9" t="b">
        <f t="shared" si="469"/>
        <v>0</v>
      </c>
      <c r="E1986" s="8" t="s">
        <v>1384</v>
      </c>
    </row>
    <row r="1987" ht="15.75" customHeight="1">
      <c r="A1987" s="7" t="s">
        <v>1908</v>
      </c>
      <c r="B1987" s="6">
        <v>35.0</v>
      </c>
      <c r="C1987" s="6">
        <v>50.0</v>
      </c>
      <c r="D1987" s="11" t="b">
        <f>true</f>
        <v>1</v>
      </c>
      <c r="E1987" s="8" t="s">
        <v>1384</v>
      </c>
    </row>
    <row r="1988" ht="15.75" customHeight="1">
      <c r="A1988" s="9" t="s">
        <v>1909</v>
      </c>
      <c r="B1988" s="10">
        <v>149.0</v>
      </c>
      <c r="C1988" s="10">
        <v>350.0</v>
      </c>
      <c r="D1988" s="9" t="b">
        <f t="shared" ref="D1988:D1989" si="470">false</f>
        <v>0</v>
      </c>
      <c r="E1988" s="8" t="s">
        <v>1384</v>
      </c>
    </row>
    <row r="1989" ht="15.75" customHeight="1">
      <c r="A1989" s="9" t="s">
        <v>1910</v>
      </c>
      <c r="B1989" s="10">
        <v>175.0</v>
      </c>
      <c r="C1989" s="10">
        <v>350.0</v>
      </c>
      <c r="D1989" s="9" t="b">
        <f t="shared" si="470"/>
        <v>0</v>
      </c>
      <c r="E1989" s="8" t="s">
        <v>1384</v>
      </c>
    </row>
    <row r="1990" ht="15.75" customHeight="1">
      <c r="A1990" s="11" t="s">
        <v>1911</v>
      </c>
      <c r="B1990" s="12">
        <v>125.0</v>
      </c>
      <c r="C1990" s="12">
        <v>350.0</v>
      </c>
      <c r="D1990" s="11" t="b">
        <f t="shared" ref="D1990:D1991" si="471">true</f>
        <v>1</v>
      </c>
      <c r="E1990" s="8" t="s">
        <v>1384</v>
      </c>
    </row>
    <row r="1991" ht="15.75" customHeight="1">
      <c r="A1991" s="5" t="s">
        <v>1912</v>
      </c>
      <c r="B1991" s="6">
        <v>179.0</v>
      </c>
      <c r="C1991" s="6">
        <v>350.0</v>
      </c>
      <c r="D1991" s="11" t="b">
        <f t="shared" si="471"/>
        <v>1</v>
      </c>
      <c r="E1991" s="8" t="s">
        <v>1384</v>
      </c>
    </row>
    <row r="1992" ht="15.75" customHeight="1">
      <c r="A1992" s="9" t="s">
        <v>1913</v>
      </c>
      <c r="B1992" s="10">
        <v>1099.0</v>
      </c>
      <c r="C1992" s="10">
        <v>1500.0</v>
      </c>
      <c r="D1992" s="9" t="b">
        <f>false</f>
        <v>0</v>
      </c>
      <c r="E1992" s="8" t="s">
        <v>1384</v>
      </c>
    </row>
    <row r="1993" ht="15.75" customHeight="1">
      <c r="A1993" s="11" t="s">
        <v>1914</v>
      </c>
      <c r="B1993" s="12">
        <v>695.0</v>
      </c>
      <c r="C1993" s="12">
        <v>1800.0</v>
      </c>
      <c r="D1993" s="11" t="b">
        <f>true</f>
        <v>1</v>
      </c>
      <c r="E1993" s="8" t="s">
        <v>1384</v>
      </c>
    </row>
    <row r="1994" ht="15.75" customHeight="1">
      <c r="A1994" s="9" t="s">
        <v>1915</v>
      </c>
      <c r="B1994" s="10">
        <v>1189.0</v>
      </c>
      <c r="C1994" s="10">
        <v>1600.0</v>
      </c>
      <c r="D1994" s="9" t="b">
        <f>false</f>
        <v>0</v>
      </c>
      <c r="E1994" s="8" t="s">
        <v>1384</v>
      </c>
    </row>
    <row r="1995" ht="15.75" customHeight="1">
      <c r="A1995" s="7" t="s">
        <v>1916</v>
      </c>
      <c r="B1995" s="6">
        <v>739.0</v>
      </c>
      <c r="C1995" s="6">
        <v>1250.0</v>
      </c>
      <c r="D1995" s="11" t="b">
        <f>true</f>
        <v>1</v>
      </c>
      <c r="E1995" s="8" t="s">
        <v>1384</v>
      </c>
    </row>
    <row r="1996" ht="15.75" customHeight="1">
      <c r="A1996" s="9" t="s">
        <v>1917</v>
      </c>
      <c r="B1996" s="10">
        <v>299.0</v>
      </c>
      <c r="C1996" s="10">
        <v>500.0</v>
      </c>
      <c r="D1996" s="9" t="b">
        <f>false</f>
        <v>0</v>
      </c>
      <c r="E1996" s="8" t="s">
        <v>1384</v>
      </c>
    </row>
    <row r="1997" ht="15.75" customHeight="1">
      <c r="A1997" s="11" t="s">
        <v>1918</v>
      </c>
      <c r="B1997" s="12">
        <v>380.0</v>
      </c>
      <c r="C1997" s="12">
        <v>800.0</v>
      </c>
      <c r="D1997" s="11" t="b">
        <f t="shared" ref="D1997:D2004" si="472">true</f>
        <v>1</v>
      </c>
      <c r="E1997" s="8" t="s">
        <v>1384</v>
      </c>
    </row>
    <row r="1998" ht="15.75" customHeight="1">
      <c r="A1998" s="5" t="s">
        <v>1919</v>
      </c>
      <c r="B1998" s="6">
        <v>400.0</v>
      </c>
      <c r="C1998" s="6">
        <v>600.0</v>
      </c>
      <c r="D1998" s="11" t="b">
        <f t="shared" si="472"/>
        <v>1</v>
      </c>
      <c r="E1998" s="8" t="s">
        <v>1384</v>
      </c>
    </row>
    <row r="1999" ht="15.75" customHeight="1">
      <c r="A1999" s="5" t="s">
        <v>1920</v>
      </c>
      <c r="B1999" s="6">
        <v>499.0</v>
      </c>
      <c r="C1999" s="6">
        <v>1000.0</v>
      </c>
      <c r="D1999" s="11" t="b">
        <f t="shared" si="472"/>
        <v>1</v>
      </c>
      <c r="E1999" s="8" t="s">
        <v>1384</v>
      </c>
    </row>
    <row r="2000" ht="15.75" customHeight="1">
      <c r="A2000" s="5" t="s">
        <v>1921</v>
      </c>
      <c r="B2000" s="6">
        <v>350.0</v>
      </c>
      <c r="C2000" s="6">
        <v>900.0</v>
      </c>
      <c r="D2000" s="11" t="b">
        <f t="shared" si="472"/>
        <v>1</v>
      </c>
      <c r="E2000" s="8" t="s">
        <v>1384</v>
      </c>
    </row>
    <row r="2001" ht="14.25" customHeight="1">
      <c r="A2001" s="5" t="s">
        <v>1922</v>
      </c>
      <c r="B2001" s="6">
        <v>529.0</v>
      </c>
      <c r="C2001" s="6">
        <v>900.0</v>
      </c>
      <c r="D2001" s="11" t="b">
        <f t="shared" si="472"/>
        <v>1</v>
      </c>
      <c r="E2001" s="8" t="s">
        <v>1384</v>
      </c>
    </row>
    <row r="2002" ht="14.25" customHeight="1">
      <c r="A2002" s="5" t="s">
        <v>1923</v>
      </c>
      <c r="B2002" s="6">
        <v>1080.0</v>
      </c>
      <c r="C2002" s="6">
        <v>1600.0</v>
      </c>
      <c r="D2002" s="11" t="b">
        <f t="shared" si="472"/>
        <v>1</v>
      </c>
      <c r="E2002" s="8" t="s">
        <v>1384</v>
      </c>
    </row>
    <row r="2003" ht="14.25" customHeight="1">
      <c r="A2003" s="5" t="s">
        <v>1924</v>
      </c>
      <c r="B2003" s="6">
        <v>610.0</v>
      </c>
      <c r="C2003" s="6">
        <v>1300.0</v>
      </c>
      <c r="D2003" s="11" t="b">
        <f t="shared" si="472"/>
        <v>1</v>
      </c>
      <c r="E2003" s="8" t="s">
        <v>1384</v>
      </c>
    </row>
    <row r="2004" ht="14.25" customHeight="1">
      <c r="A2004" s="5" t="s">
        <v>1925</v>
      </c>
      <c r="B2004" s="6">
        <v>3200.0</v>
      </c>
      <c r="C2004" s="6">
        <v>5200.0</v>
      </c>
      <c r="D2004" s="11" t="b">
        <f t="shared" si="472"/>
        <v>1</v>
      </c>
      <c r="E2004" s="8" t="s">
        <v>1384</v>
      </c>
    </row>
    <row r="2005" ht="14.25" customHeight="1">
      <c r="A2005" s="9" t="s">
        <v>1926</v>
      </c>
      <c r="B2005" s="10">
        <v>1500.0</v>
      </c>
      <c r="C2005" s="10">
        <v>3500.0</v>
      </c>
      <c r="D2005" s="9" t="b">
        <f>false</f>
        <v>0</v>
      </c>
      <c r="E2005" s="8" t="s">
        <v>1384</v>
      </c>
    </row>
    <row r="2006" ht="14.25" customHeight="1">
      <c r="A2006" s="5" t="s">
        <v>1927</v>
      </c>
      <c r="B2006" s="6">
        <v>1000.0</v>
      </c>
      <c r="C2006" s="6">
        <v>3000.0</v>
      </c>
      <c r="D2006" s="11" t="b">
        <f>true</f>
        <v>1</v>
      </c>
      <c r="E2006" s="8" t="s">
        <v>1384</v>
      </c>
    </row>
    <row r="2007" ht="15.75" customHeight="1">
      <c r="A2007" s="9" t="s">
        <v>1928</v>
      </c>
      <c r="B2007" s="10">
        <v>199.0</v>
      </c>
      <c r="C2007" s="10">
        <v>400.0</v>
      </c>
      <c r="D2007" s="9" t="b">
        <f>false</f>
        <v>0</v>
      </c>
      <c r="E2007" s="8" t="s">
        <v>1384</v>
      </c>
    </row>
    <row r="2008" ht="15.75" customHeight="1">
      <c r="A2008" s="5" t="s">
        <v>1929</v>
      </c>
      <c r="B2008" s="6">
        <v>210.0</v>
      </c>
      <c r="C2008" s="6">
        <v>450.0</v>
      </c>
      <c r="D2008" s="11" t="b">
        <f t="shared" ref="D2008:D2014" si="473">true</f>
        <v>1</v>
      </c>
      <c r="E2008" s="8" t="s">
        <v>1384</v>
      </c>
    </row>
    <row r="2009" ht="15.75" customHeight="1">
      <c r="A2009" s="5" t="s">
        <v>1930</v>
      </c>
      <c r="B2009" s="6">
        <v>239.0</v>
      </c>
      <c r="C2009" s="6">
        <v>600.0</v>
      </c>
      <c r="D2009" s="11" t="b">
        <f t="shared" si="473"/>
        <v>1</v>
      </c>
      <c r="E2009" s="8" t="s">
        <v>1384</v>
      </c>
    </row>
    <row r="2010" ht="15.75" customHeight="1">
      <c r="A2010" s="5" t="s">
        <v>1931</v>
      </c>
      <c r="B2010" s="6">
        <v>179.0</v>
      </c>
      <c r="C2010" s="6">
        <v>400.0</v>
      </c>
      <c r="D2010" s="11" t="b">
        <f t="shared" si="473"/>
        <v>1</v>
      </c>
      <c r="E2010" s="8" t="s">
        <v>1384</v>
      </c>
    </row>
    <row r="2011" ht="15.75" customHeight="1">
      <c r="A2011" s="5" t="s">
        <v>1932</v>
      </c>
      <c r="B2011" s="6">
        <v>280.0</v>
      </c>
      <c r="C2011" s="6">
        <v>500.0</v>
      </c>
      <c r="D2011" s="11" t="b">
        <f t="shared" si="473"/>
        <v>1</v>
      </c>
      <c r="E2011" s="8" t="s">
        <v>1384</v>
      </c>
    </row>
    <row r="2012" ht="15.75" customHeight="1">
      <c r="A2012" s="5" t="s">
        <v>1933</v>
      </c>
      <c r="B2012" s="6">
        <v>570.0</v>
      </c>
      <c r="C2012" s="6">
        <v>1500.0</v>
      </c>
      <c r="D2012" s="11" t="b">
        <f t="shared" si="473"/>
        <v>1</v>
      </c>
      <c r="E2012" s="8" t="s">
        <v>1384</v>
      </c>
    </row>
    <row r="2013" ht="15.75" customHeight="1">
      <c r="A2013" s="5" t="s">
        <v>1934</v>
      </c>
      <c r="B2013" s="6">
        <v>952.0</v>
      </c>
      <c r="C2013" s="6">
        <v>1500.0</v>
      </c>
      <c r="D2013" s="11" t="b">
        <f t="shared" si="473"/>
        <v>1</v>
      </c>
      <c r="E2013" s="8" t="s">
        <v>1384</v>
      </c>
    </row>
    <row r="2014" ht="15.75" customHeight="1">
      <c r="A2014" s="5" t="s">
        <v>1935</v>
      </c>
      <c r="B2014" s="6">
        <v>999.0</v>
      </c>
      <c r="C2014" s="6">
        <v>1800.0</v>
      </c>
      <c r="D2014" s="11" t="b">
        <f t="shared" si="473"/>
        <v>1</v>
      </c>
      <c r="E2014" s="8" t="s">
        <v>1384</v>
      </c>
    </row>
    <row r="2015" ht="15.75" customHeight="1">
      <c r="A2015" s="9" t="s">
        <v>1936</v>
      </c>
      <c r="B2015" s="10">
        <v>590.0</v>
      </c>
      <c r="C2015" s="10">
        <v>1200.0</v>
      </c>
      <c r="D2015" s="9" t="b">
        <f t="shared" ref="D2015:D2016" si="474">false</f>
        <v>0</v>
      </c>
      <c r="E2015" s="8" t="s">
        <v>1384</v>
      </c>
    </row>
    <row r="2016" ht="15.75" customHeight="1">
      <c r="A2016" s="9" t="s">
        <v>1937</v>
      </c>
      <c r="B2016" s="10">
        <v>1070.0</v>
      </c>
      <c r="C2016" s="10">
        <v>1800.0</v>
      </c>
      <c r="D2016" s="9" t="b">
        <f t="shared" si="474"/>
        <v>0</v>
      </c>
      <c r="E2016" s="8" t="s">
        <v>1384</v>
      </c>
    </row>
    <row r="2017" ht="15.75" customHeight="1">
      <c r="A2017" s="5" t="s">
        <v>1938</v>
      </c>
      <c r="B2017" s="6">
        <v>125.0</v>
      </c>
      <c r="C2017" s="6">
        <v>400.0</v>
      </c>
      <c r="D2017" s="11" t="b">
        <f>true</f>
        <v>1</v>
      </c>
      <c r="E2017" s="8" t="s">
        <v>1384</v>
      </c>
    </row>
    <row r="2018" ht="15.75" customHeight="1">
      <c r="A2018" s="9" t="s">
        <v>1939</v>
      </c>
      <c r="B2018" s="10">
        <v>189.0</v>
      </c>
      <c r="C2018" s="10">
        <v>300.0</v>
      </c>
      <c r="D2018" s="9" t="b">
        <f t="shared" ref="D2018:D2020" si="475">false</f>
        <v>0</v>
      </c>
      <c r="E2018" s="8" t="s">
        <v>1384</v>
      </c>
    </row>
    <row r="2019" ht="15.75" customHeight="1">
      <c r="A2019" s="9" t="s">
        <v>1940</v>
      </c>
      <c r="B2019" s="10">
        <v>180.0</v>
      </c>
      <c r="C2019" s="10">
        <v>300.0</v>
      </c>
      <c r="D2019" s="9" t="b">
        <f t="shared" si="475"/>
        <v>0</v>
      </c>
      <c r="E2019" s="8" t="s">
        <v>1384</v>
      </c>
    </row>
    <row r="2020" ht="15.75" customHeight="1">
      <c r="A2020" s="9" t="s">
        <v>1941</v>
      </c>
      <c r="B2020" s="10">
        <v>239.0</v>
      </c>
      <c r="C2020" s="10">
        <v>350.0</v>
      </c>
      <c r="D2020" s="9" t="b">
        <f t="shared" si="475"/>
        <v>0</v>
      </c>
      <c r="E2020" s="8" t="s">
        <v>1384</v>
      </c>
    </row>
    <row r="2021" ht="15.75" customHeight="1">
      <c r="A2021" s="5" t="s">
        <v>1942</v>
      </c>
      <c r="B2021" s="6">
        <v>190.0</v>
      </c>
      <c r="C2021" s="6">
        <v>500.0</v>
      </c>
      <c r="D2021" s="11" t="b">
        <f>true</f>
        <v>1</v>
      </c>
      <c r="E2021" s="8" t="s">
        <v>1384</v>
      </c>
    </row>
    <row r="2022" ht="15.75" customHeight="1">
      <c r="A2022" s="9" t="s">
        <v>1942</v>
      </c>
      <c r="B2022" s="10">
        <v>185.0</v>
      </c>
      <c r="C2022" s="10">
        <v>350.0</v>
      </c>
      <c r="D2022" s="9" t="b">
        <f>false</f>
        <v>0</v>
      </c>
      <c r="E2022" s="8" t="s">
        <v>1384</v>
      </c>
    </row>
    <row r="2023" ht="15.75" customHeight="1">
      <c r="A2023" s="7" t="s">
        <v>1943</v>
      </c>
      <c r="B2023" s="6">
        <v>445.0</v>
      </c>
      <c r="C2023" s="6">
        <v>700.0</v>
      </c>
      <c r="D2023" s="11" t="b">
        <f>true</f>
        <v>1</v>
      </c>
      <c r="E2023" s="8" t="s">
        <v>1384</v>
      </c>
    </row>
    <row r="2024" ht="15.75" customHeight="1">
      <c r="A2024" s="9" t="s">
        <v>1944</v>
      </c>
      <c r="B2024" s="10">
        <v>1189.0</v>
      </c>
      <c r="C2024" s="10">
        <v>1500.0</v>
      </c>
      <c r="D2024" s="9" t="b">
        <f>false</f>
        <v>0</v>
      </c>
      <c r="E2024" s="8" t="s">
        <v>1384</v>
      </c>
    </row>
    <row r="2025" ht="15.75" customHeight="1">
      <c r="A2025" s="5" t="s">
        <v>1945</v>
      </c>
      <c r="B2025" s="6">
        <v>860.0</v>
      </c>
      <c r="C2025" s="6">
        <v>1500.0</v>
      </c>
      <c r="D2025" s="11" t="b">
        <f t="shared" ref="D2025:D2027" si="476">true</f>
        <v>1</v>
      </c>
      <c r="E2025" s="8" t="s">
        <v>1384</v>
      </c>
    </row>
    <row r="2026" ht="15.75" customHeight="1">
      <c r="A2026" s="7" t="s">
        <v>1946</v>
      </c>
      <c r="B2026" s="6">
        <v>2169.0</v>
      </c>
      <c r="C2026" s="6">
        <v>2500.0</v>
      </c>
      <c r="D2026" s="11" t="b">
        <f t="shared" si="476"/>
        <v>1</v>
      </c>
      <c r="E2026" s="8" t="s">
        <v>1384</v>
      </c>
    </row>
    <row r="2027" ht="15.75" customHeight="1">
      <c r="A2027" s="7" t="s">
        <v>1947</v>
      </c>
      <c r="B2027" s="6">
        <v>2399.0</v>
      </c>
      <c r="C2027" s="6">
        <v>2800.0</v>
      </c>
      <c r="D2027" s="11" t="b">
        <f t="shared" si="476"/>
        <v>1</v>
      </c>
      <c r="E2027" s="8" t="s">
        <v>1384</v>
      </c>
    </row>
    <row r="2028" ht="15.75" customHeight="1">
      <c r="A2028" s="9" t="s">
        <v>1948</v>
      </c>
      <c r="B2028" s="10">
        <v>470.0</v>
      </c>
      <c r="C2028" s="10">
        <v>850.0</v>
      </c>
      <c r="D2028" s="9" t="b">
        <f>false</f>
        <v>0</v>
      </c>
      <c r="E2028" s="8" t="s">
        <v>1384</v>
      </c>
    </row>
    <row r="2029" ht="15.75" customHeight="1">
      <c r="A2029" s="5" t="s">
        <v>1949</v>
      </c>
      <c r="B2029" s="6">
        <v>705.0</v>
      </c>
      <c r="C2029" s="6">
        <v>1200.0</v>
      </c>
      <c r="D2029" s="11" t="b">
        <f>true</f>
        <v>1</v>
      </c>
      <c r="E2029" s="8" t="s">
        <v>1384</v>
      </c>
    </row>
    <row r="2030" ht="15.75" customHeight="1">
      <c r="A2030" s="9" t="s">
        <v>1949</v>
      </c>
      <c r="B2030" s="10">
        <v>690.0</v>
      </c>
      <c r="C2030" s="10">
        <v>1200.0</v>
      </c>
      <c r="D2030" s="9" t="b">
        <f t="shared" ref="D2030:D2034" si="477">false</f>
        <v>0</v>
      </c>
      <c r="E2030" s="8" t="s">
        <v>1384</v>
      </c>
    </row>
    <row r="2031" ht="15.75" customHeight="1">
      <c r="A2031" s="9" t="s">
        <v>1950</v>
      </c>
      <c r="B2031" s="10">
        <v>789.0</v>
      </c>
      <c r="C2031" s="10">
        <v>1100.0</v>
      </c>
      <c r="D2031" s="9" t="b">
        <f t="shared" si="477"/>
        <v>0</v>
      </c>
      <c r="E2031" s="8" t="s">
        <v>1384</v>
      </c>
    </row>
    <row r="2032" ht="15.75" customHeight="1">
      <c r="A2032" s="9" t="s">
        <v>1951</v>
      </c>
      <c r="B2032" s="10">
        <v>1489.0</v>
      </c>
      <c r="C2032" s="10">
        <v>2100.0</v>
      </c>
      <c r="D2032" s="9" t="b">
        <f t="shared" si="477"/>
        <v>0</v>
      </c>
      <c r="E2032" s="8" t="s">
        <v>1384</v>
      </c>
    </row>
    <row r="2033" ht="15.75" customHeight="1">
      <c r="A2033" s="9" t="s">
        <v>1952</v>
      </c>
      <c r="B2033" s="10">
        <v>810.0</v>
      </c>
      <c r="C2033" s="10">
        <v>1500.0</v>
      </c>
      <c r="D2033" s="9" t="b">
        <f t="shared" si="477"/>
        <v>0</v>
      </c>
      <c r="E2033" s="8" t="s">
        <v>1384</v>
      </c>
    </row>
    <row r="2034" ht="15.75" customHeight="1">
      <c r="A2034" s="9" t="s">
        <v>1953</v>
      </c>
      <c r="B2034" s="10">
        <v>1390.0</v>
      </c>
      <c r="C2034" s="10">
        <v>2100.0</v>
      </c>
      <c r="D2034" s="9" t="b">
        <f t="shared" si="477"/>
        <v>0</v>
      </c>
      <c r="E2034" s="8" t="s">
        <v>1384</v>
      </c>
    </row>
    <row r="2035" ht="15.75" customHeight="1">
      <c r="A2035" s="5" t="s">
        <v>1954</v>
      </c>
      <c r="B2035" s="6">
        <v>1400.0</v>
      </c>
      <c r="C2035" s="6">
        <v>2100.0</v>
      </c>
      <c r="D2035" s="11" t="b">
        <f t="shared" ref="D2035:D2037" si="478">true</f>
        <v>1</v>
      </c>
      <c r="E2035" s="8" t="s">
        <v>1384</v>
      </c>
    </row>
    <row r="2036" ht="15.75" customHeight="1">
      <c r="A2036" s="5" t="s">
        <v>1955</v>
      </c>
      <c r="B2036" s="6">
        <v>1490.0</v>
      </c>
      <c r="C2036" s="6">
        <v>2100.0</v>
      </c>
      <c r="D2036" s="11" t="b">
        <f t="shared" si="478"/>
        <v>1</v>
      </c>
      <c r="E2036" s="8" t="s">
        <v>1384</v>
      </c>
    </row>
    <row r="2037" ht="15.75" customHeight="1">
      <c r="A2037" s="5" t="s">
        <v>1956</v>
      </c>
      <c r="B2037" s="6">
        <v>1630.0</v>
      </c>
      <c r="C2037" s="6">
        <v>2600.0</v>
      </c>
      <c r="D2037" s="11" t="b">
        <f t="shared" si="478"/>
        <v>1</v>
      </c>
      <c r="E2037" s="8" t="s">
        <v>1384</v>
      </c>
    </row>
    <row r="2038" ht="15.75" customHeight="1">
      <c r="A2038" s="9" t="s">
        <v>1957</v>
      </c>
      <c r="B2038" s="10">
        <v>3939.0</v>
      </c>
      <c r="C2038" s="10">
        <v>5200.0</v>
      </c>
      <c r="D2038" s="9" t="b">
        <f>false</f>
        <v>0</v>
      </c>
      <c r="E2038" s="8" t="s">
        <v>1384</v>
      </c>
    </row>
    <row r="2039" ht="15.75" customHeight="1">
      <c r="A2039" s="11" t="s">
        <v>1958</v>
      </c>
      <c r="B2039" s="12">
        <v>3930.0</v>
      </c>
      <c r="C2039" s="12">
        <v>5200.0</v>
      </c>
      <c r="D2039" s="11" t="b">
        <f>true</f>
        <v>1</v>
      </c>
      <c r="E2039" s="8" t="s">
        <v>1384</v>
      </c>
    </row>
    <row r="2040" ht="15.75" customHeight="1">
      <c r="A2040" s="9" t="s">
        <v>1959</v>
      </c>
      <c r="B2040" s="10">
        <v>4189.0</v>
      </c>
      <c r="C2040" s="10">
        <v>5500.0</v>
      </c>
      <c r="D2040" s="9" t="b">
        <f>false</f>
        <v>0</v>
      </c>
      <c r="E2040" s="8" t="s">
        <v>1384</v>
      </c>
    </row>
    <row r="2041" ht="15.75" customHeight="1">
      <c r="A2041" s="7" t="s">
        <v>1960</v>
      </c>
      <c r="B2041" s="6">
        <v>40.0</v>
      </c>
      <c r="C2041" s="6">
        <v>100.0</v>
      </c>
      <c r="D2041" s="11" t="b">
        <f t="shared" ref="D2041:D2044" si="479">true</f>
        <v>1</v>
      </c>
      <c r="E2041" s="8" t="s">
        <v>1384</v>
      </c>
    </row>
    <row r="2042" ht="15.75" customHeight="1">
      <c r="A2042" s="5" t="s">
        <v>1961</v>
      </c>
      <c r="B2042" s="6">
        <v>25.0</v>
      </c>
      <c r="C2042" s="6">
        <v>100.0</v>
      </c>
      <c r="D2042" s="11" t="b">
        <f t="shared" si="479"/>
        <v>1</v>
      </c>
      <c r="E2042" s="8" t="s">
        <v>1384</v>
      </c>
    </row>
    <row r="2043" ht="15.75" customHeight="1">
      <c r="A2043" s="7" t="s">
        <v>1962</v>
      </c>
      <c r="B2043" s="6">
        <v>50.0</v>
      </c>
      <c r="C2043" s="6">
        <v>120.0</v>
      </c>
      <c r="D2043" s="11" t="b">
        <f t="shared" si="479"/>
        <v>1</v>
      </c>
      <c r="E2043" s="8" t="s">
        <v>1384</v>
      </c>
    </row>
    <row r="2044" ht="15.75" customHeight="1">
      <c r="A2044" s="5" t="s">
        <v>1963</v>
      </c>
      <c r="B2044" s="6">
        <v>952.0</v>
      </c>
      <c r="C2044" s="6">
        <v>1400.0</v>
      </c>
      <c r="D2044" s="11" t="b">
        <f t="shared" si="479"/>
        <v>1</v>
      </c>
      <c r="E2044" s="8" t="s">
        <v>1384</v>
      </c>
    </row>
    <row r="2045" ht="15.75" customHeight="1">
      <c r="A2045" s="9" t="s">
        <v>1964</v>
      </c>
      <c r="B2045" s="10">
        <v>999.0</v>
      </c>
      <c r="C2045" s="10">
        <v>1000.0</v>
      </c>
      <c r="D2045" s="9" t="b">
        <f t="shared" ref="D2045:D2053" si="480">false</f>
        <v>0</v>
      </c>
      <c r="E2045" s="8" t="s">
        <v>1384</v>
      </c>
    </row>
    <row r="2046" ht="15.75" customHeight="1">
      <c r="A2046" s="9" t="s">
        <v>1965</v>
      </c>
      <c r="B2046" s="10">
        <v>560.0</v>
      </c>
      <c r="C2046" s="10">
        <v>1000.0</v>
      </c>
      <c r="D2046" s="9" t="b">
        <f t="shared" si="480"/>
        <v>0</v>
      </c>
      <c r="E2046" s="8" t="s">
        <v>1384</v>
      </c>
    </row>
    <row r="2047" ht="15.75" customHeight="1">
      <c r="A2047" s="9" t="s">
        <v>1965</v>
      </c>
      <c r="B2047" s="10">
        <v>770.0</v>
      </c>
      <c r="C2047" s="10">
        <v>1300.0</v>
      </c>
      <c r="D2047" s="9" t="b">
        <f t="shared" si="480"/>
        <v>0</v>
      </c>
      <c r="E2047" s="8" t="s">
        <v>1384</v>
      </c>
    </row>
    <row r="2048" ht="15.75" customHeight="1">
      <c r="A2048" s="9" t="s">
        <v>1966</v>
      </c>
      <c r="B2048" s="10">
        <v>579.0</v>
      </c>
      <c r="C2048" s="10">
        <v>800.0</v>
      </c>
      <c r="D2048" s="9" t="b">
        <f t="shared" si="480"/>
        <v>0</v>
      </c>
      <c r="E2048" s="8" t="s">
        <v>1384</v>
      </c>
    </row>
    <row r="2049" ht="15.75" customHeight="1">
      <c r="A2049" s="9" t="s">
        <v>1966</v>
      </c>
      <c r="B2049" s="10">
        <v>599.0</v>
      </c>
      <c r="C2049" s="10">
        <v>800.0</v>
      </c>
      <c r="D2049" s="9" t="b">
        <f t="shared" si="480"/>
        <v>0</v>
      </c>
      <c r="E2049" s="8" t="s">
        <v>1384</v>
      </c>
    </row>
    <row r="2050" ht="15.75" customHeight="1">
      <c r="A2050" s="9" t="s">
        <v>1967</v>
      </c>
      <c r="B2050" s="10">
        <v>499.0</v>
      </c>
      <c r="C2050" s="10">
        <v>800.0</v>
      </c>
      <c r="D2050" s="9" t="b">
        <f t="shared" si="480"/>
        <v>0</v>
      </c>
      <c r="E2050" s="8" t="s">
        <v>1384</v>
      </c>
    </row>
    <row r="2051" ht="15.75" customHeight="1">
      <c r="A2051" s="9" t="s">
        <v>1968</v>
      </c>
      <c r="B2051" s="10">
        <v>490.0</v>
      </c>
      <c r="C2051" s="10">
        <v>800.0</v>
      </c>
      <c r="D2051" s="9" t="b">
        <f t="shared" si="480"/>
        <v>0</v>
      </c>
      <c r="E2051" s="8" t="s">
        <v>1384</v>
      </c>
    </row>
    <row r="2052" ht="15.75" customHeight="1">
      <c r="A2052" s="9" t="s">
        <v>1969</v>
      </c>
      <c r="B2052" s="10">
        <v>420.0</v>
      </c>
      <c r="C2052" s="10">
        <v>800.0</v>
      </c>
      <c r="D2052" s="9" t="b">
        <f t="shared" si="480"/>
        <v>0</v>
      </c>
      <c r="E2052" s="8" t="s">
        <v>1384</v>
      </c>
    </row>
    <row r="2053" ht="15.75" customHeight="1">
      <c r="A2053" s="15" t="s">
        <v>1969</v>
      </c>
      <c r="B2053" s="16">
        <v>450.0</v>
      </c>
      <c r="C2053" s="16">
        <v>1000.0</v>
      </c>
      <c r="D2053" s="15" t="b">
        <f t="shared" si="480"/>
        <v>0</v>
      </c>
      <c r="E2053" s="8" t="s">
        <v>1384</v>
      </c>
    </row>
    <row r="2054" ht="15.75" customHeight="1">
      <c r="A2054" s="5" t="s">
        <v>1969</v>
      </c>
      <c r="B2054" s="6">
        <v>480.0</v>
      </c>
      <c r="C2054" s="6">
        <v>1000.0</v>
      </c>
      <c r="D2054" s="11" t="b">
        <f t="shared" ref="D2054:D2056" si="481">true</f>
        <v>1</v>
      </c>
      <c r="E2054" s="8" t="s">
        <v>1384</v>
      </c>
    </row>
    <row r="2055" ht="15.75" customHeight="1">
      <c r="A2055" s="5" t="s">
        <v>1970</v>
      </c>
      <c r="B2055" s="6">
        <v>550.0</v>
      </c>
      <c r="C2055" s="6">
        <v>1000.0</v>
      </c>
      <c r="D2055" s="11" t="b">
        <f t="shared" si="481"/>
        <v>1</v>
      </c>
      <c r="E2055" s="8" t="s">
        <v>1384</v>
      </c>
    </row>
    <row r="2056" ht="15.75" customHeight="1">
      <c r="A2056" s="5" t="s">
        <v>1971</v>
      </c>
      <c r="B2056" s="6">
        <v>525.0</v>
      </c>
      <c r="C2056" s="6">
        <v>1200.0</v>
      </c>
      <c r="D2056" s="11" t="b">
        <f t="shared" si="481"/>
        <v>1</v>
      </c>
      <c r="E2056" s="8" t="s">
        <v>1384</v>
      </c>
    </row>
    <row r="2057" ht="15.75" customHeight="1">
      <c r="A2057" s="9" t="s">
        <v>1971</v>
      </c>
      <c r="B2057" s="10">
        <v>490.0</v>
      </c>
      <c r="C2057" s="10">
        <v>900.0</v>
      </c>
      <c r="D2057" s="9" t="b">
        <f>false</f>
        <v>0</v>
      </c>
      <c r="E2057" s="8" t="s">
        <v>1384</v>
      </c>
    </row>
    <row r="2058" ht="15.75" customHeight="1">
      <c r="A2058" s="11" t="s">
        <v>1972</v>
      </c>
      <c r="B2058" s="12">
        <v>1680.0</v>
      </c>
      <c r="C2058" s="12">
        <v>2700.0</v>
      </c>
      <c r="D2058" s="11" t="b">
        <f t="shared" ref="D2058:D2063" si="482">true</f>
        <v>1</v>
      </c>
      <c r="E2058" s="8" t="s">
        <v>1384</v>
      </c>
    </row>
    <row r="2059" ht="15.75" customHeight="1">
      <c r="A2059" s="5" t="s">
        <v>1973</v>
      </c>
      <c r="B2059" s="6">
        <v>2600.0</v>
      </c>
      <c r="C2059" s="6">
        <v>4500.0</v>
      </c>
      <c r="D2059" s="11" t="b">
        <f t="shared" si="482"/>
        <v>1</v>
      </c>
      <c r="E2059" s="8" t="s">
        <v>1384</v>
      </c>
    </row>
    <row r="2060" ht="15.75" customHeight="1">
      <c r="A2060" s="5" t="s">
        <v>1974</v>
      </c>
      <c r="B2060" s="6">
        <v>1226.0</v>
      </c>
      <c r="C2060" s="6">
        <v>3000.0</v>
      </c>
      <c r="D2060" s="11" t="b">
        <f t="shared" si="482"/>
        <v>1</v>
      </c>
      <c r="E2060" s="8" t="s">
        <v>1384</v>
      </c>
    </row>
    <row r="2061" ht="15.75" customHeight="1">
      <c r="A2061" s="5" t="s">
        <v>1975</v>
      </c>
      <c r="B2061" s="6">
        <v>1550.0</v>
      </c>
      <c r="C2061" s="6">
        <v>3000.0</v>
      </c>
      <c r="D2061" s="11" t="b">
        <f t="shared" si="482"/>
        <v>1</v>
      </c>
      <c r="E2061" s="8" t="s">
        <v>1384</v>
      </c>
    </row>
    <row r="2062" ht="15.75" customHeight="1">
      <c r="A2062" s="5" t="s">
        <v>1976</v>
      </c>
      <c r="B2062" s="6">
        <v>950.0</v>
      </c>
      <c r="C2062" s="6">
        <v>2000.0</v>
      </c>
      <c r="D2062" s="11" t="b">
        <f t="shared" si="482"/>
        <v>1</v>
      </c>
      <c r="E2062" s="8" t="s">
        <v>1384</v>
      </c>
    </row>
    <row r="2063" ht="15.75" customHeight="1">
      <c r="A2063" s="5" t="s">
        <v>1977</v>
      </c>
      <c r="B2063" s="6">
        <v>159.0</v>
      </c>
      <c r="C2063" s="6">
        <v>300.0</v>
      </c>
      <c r="D2063" s="11" t="b">
        <f t="shared" si="482"/>
        <v>1</v>
      </c>
      <c r="E2063" s="8" t="s">
        <v>1384</v>
      </c>
    </row>
    <row r="2064" ht="15.75" customHeight="1">
      <c r="A2064" s="9" t="s">
        <v>1978</v>
      </c>
      <c r="B2064" s="10">
        <v>219.0</v>
      </c>
      <c r="C2064" s="10">
        <v>300.0</v>
      </c>
      <c r="D2064" s="9" t="b">
        <f>false</f>
        <v>0</v>
      </c>
      <c r="E2064" s="8" t="s">
        <v>1384</v>
      </c>
    </row>
    <row r="2065" ht="15.75" customHeight="1">
      <c r="A2065" s="11" t="s">
        <v>1979</v>
      </c>
      <c r="B2065" s="12">
        <v>175.0</v>
      </c>
      <c r="C2065" s="12">
        <v>300.0</v>
      </c>
      <c r="D2065" s="11" t="b">
        <f t="shared" ref="D2065:D2073" si="483">true</f>
        <v>1</v>
      </c>
      <c r="E2065" s="8" t="s">
        <v>1384</v>
      </c>
    </row>
    <row r="2066" ht="15.75" customHeight="1">
      <c r="A2066" s="9" t="s">
        <v>1980</v>
      </c>
      <c r="B2066" s="10">
        <v>139.0</v>
      </c>
      <c r="C2066" s="10">
        <v>300.0</v>
      </c>
      <c r="D2066" s="11" t="b">
        <f t="shared" si="483"/>
        <v>1</v>
      </c>
      <c r="E2066" s="8" t="s">
        <v>1384</v>
      </c>
    </row>
    <row r="2067" ht="15.75" customHeight="1">
      <c r="A2067" s="5" t="s">
        <v>1980</v>
      </c>
      <c r="B2067" s="6">
        <v>148.0</v>
      </c>
      <c r="C2067" s="6">
        <v>300.0</v>
      </c>
      <c r="D2067" s="11" t="b">
        <f t="shared" si="483"/>
        <v>1</v>
      </c>
      <c r="E2067" s="8" t="s">
        <v>1384</v>
      </c>
    </row>
    <row r="2068" ht="15.75" customHeight="1">
      <c r="A2068" s="9" t="s">
        <v>1981</v>
      </c>
      <c r="B2068" s="10">
        <v>147.0</v>
      </c>
      <c r="C2068" s="10">
        <v>300.0</v>
      </c>
      <c r="D2068" s="11" t="b">
        <f t="shared" si="483"/>
        <v>1</v>
      </c>
      <c r="E2068" s="8" t="s">
        <v>1384</v>
      </c>
    </row>
    <row r="2069" ht="15.75" customHeight="1">
      <c r="A2069" s="5" t="s">
        <v>1981</v>
      </c>
      <c r="B2069" s="6">
        <v>156.0</v>
      </c>
      <c r="C2069" s="6">
        <v>300.0</v>
      </c>
      <c r="D2069" s="11" t="b">
        <f t="shared" si="483"/>
        <v>1</v>
      </c>
      <c r="E2069" s="8" t="s">
        <v>1384</v>
      </c>
    </row>
    <row r="2070" ht="15.75" customHeight="1">
      <c r="A2070" s="9" t="s">
        <v>1982</v>
      </c>
      <c r="B2070" s="10">
        <v>174.0</v>
      </c>
      <c r="C2070" s="10">
        <v>400.0</v>
      </c>
      <c r="D2070" s="11" t="b">
        <f t="shared" si="483"/>
        <v>1</v>
      </c>
      <c r="E2070" s="8" t="s">
        <v>1384</v>
      </c>
    </row>
    <row r="2071" ht="15.75" customHeight="1">
      <c r="A2071" s="5" t="s">
        <v>1982</v>
      </c>
      <c r="B2071" s="6">
        <v>185.0</v>
      </c>
      <c r="C2071" s="6">
        <v>400.0</v>
      </c>
      <c r="D2071" s="11" t="b">
        <f t="shared" si="483"/>
        <v>1</v>
      </c>
      <c r="E2071" s="8" t="s">
        <v>1384</v>
      </c>
    </row>
    <row r="2072" ht="15.75" customHeight="1">
      <c r="A2072" s="5" t="s">
        <v>1983</v>
      </c>
      <c r="B2072" s="6">
        <v>174.0</v>
      </c>
      <c r="C2072" s="6">
        <v>400.0</v>
      </c>
      <c r="D2072" s="11" t="b">
        <f t="shared" si="483"/>
        <v>1</v>
      </c>
      <c r="E2072" s="8" t="s">
        <v>1384</v>
      </c>
    </row>
    <row r="2073" ht="15.75" customHeight="1">
      <c r="A2073" s="5" t="s">
        <v>1984</v>
      </c>
      <c r="B2073" s="6">
        <v>220.0</v>
      </c>
      <c r="C2073" s="6">
        <v>400.0</v>
      </c>
      <c r="D2073" s="11" t="b">
        <f t="shared" si="483"/>
        <v>1</v>
      </c>
      <c r="E2073" s="8" t="s">
        <v>1384</v>
      </c>
    </row>
    <row r="2074" ht="15.75" customHeight="1">
      <c r="A2074" s="9" t="s">
        <v>1985</v>
      </c>
      <c r="B2074" s="10">
        <v>259.0</v>
      </c>
      <c r="C2074" s="10">
        <v>400.0</v>
      </c>
      <c r="D2074" s="9" t="b">
        <f t="shared" ref="D2074:D2075" si="484">false</f>
        <v>0</v>
      </c>
      <c r="E2074" s="8" t="s">
        <v>1384</v>
      </c>
    </row>
    <row r="2075" ht="15.75" customHeight="1">
      <c r="A2075" s="9" t="s">
        <v>1986</v>
      </c>
      <c r="B2075" s="10">
        <v>289.0</v>
      </c>
      <c r="C2075" s="10">
        <v>450.0</v>
      </c>
      <c r="D2075" s="9" t="b">
        <f t="shared" si="484"/>
        <v>0</v>
      </c>
      <c r="E2075" s="8" t="s">
        <v>1384</v>
      </c>
    </row>
    <row r="2076" ht="15.75" customHeight="1">
      <c r="A2076" s="5" t="s">
        <v>1987</v>
      </c>
      <c r="B2076" s="6">
        <v>174.0</v>
      </c>
      <c r="C2076" s="6">
        <v>450.0</v>
      </c>
      <c r="D2076" s="11" t="b">
        <f t="shared" ref="D2076:D2081" si="485">true</f>
        <v>1</v>
      </c>
      <c r="E2076" s="8" t="s">
        <v>1384</v>
      </c>
    </row>
    <row r="2077" ht="15.75" customHeight="1">
      <c r="A2077" s="5" t="s">
        <v>1988</v>
      </c>
      <c r="B2077" s="6">
        <v>199.0</v>
      </c>
      <c r="C2077" s="6">
        <v>450.0</v>
      </c>
      <c r="D2077" s="11" t="b">
        <f t="shared" si="485"/>
        <v>1</v>
      </c>
      <c r="E2077" s="8" t="s">
        <v>1384</v>
      </c>
    </row>
    <row r="2078" ht="15.75" customHeight="1">
      <c r="A2078" s="5" t="s">
        <v>1989</v>
      </c>
      <c r="B2078" s="6">
        <v>329.0</v>
      </c>
      <c r="C2078" s="6">
        <v>450.0</v>
      </c>
      <c r="D2078" s="11" t="b">
        <f t="shared" si="485"/>
        <v>1</v>
      </c>
      <c r="E2078" s="8" t="s">
        <v>1384</v>
      </c>
    </row>
    <row r="2079" ht="15.75" customHeight="1">
      <c r="A2079" s="5" t="s">
        <v>1990</v>
      </c>
      <c r="B2079" s="6">
        <v>249.0</v>
      </c>
      <c r="C2079" s="6">
        <v>450.0</v>
      </c>
      <c r="D2079" s="11" t="b">
        <f t="shared" si="485"/>
        <v>1</v>
      </c>
      <c r="E2079" s="8" t="s">
        <v>1384</v>
      </c>
    </row>
    <row r="2080" ht="15.75" customHeight="1">
      <c r="A2080" s="5" t="s">
        <v>1991</v>
      </c>
      <c r="B2080" s="6">
        <v>699.0</v>
      </c>
      <c r="C2080" s="6">
        <v>1400.0</v>
      </c>
      <c r="D2080" s="11" t="b">
        <f t="shared" si="485"/>
        <v>1</v>
      </c>
      <c r="E2080" s="8" t="s">
        <v>1384</v>
      </c>
    </row>
    <row r="2081" ht="15.75" customHeight="1">
      <c r="A2081" s="5" t="s">
        <v>1992</v>
      </c>
      <c r="B2081" s="6">
        <v>399.0</v>
      </c>
      <c r="C2081" s="6">
        <v>1000.0</v>
      </c>
      <c r="D2081" s="11" t="b">
        <f t="shared" si="485"/>
        <v>1</v>
      </c>
      <c r="E2081" s="8" t="s">
        <v>1384</v>
      </c>
    </row>
    <row r="2082" ht="15.75" customHeight="1">
      <c r="A2082" s="9" t="s">
        <v>1993</v>
      </c>
      <c r="B2082" s="10">
        <v>4500.0</v>
      </c>
      <c r="C2082" s="10">
        <v>6000.0</v>
      </c>
      <c r="D2082" s="9" t="b">
        <f>false</f>
        <v>0</v>
      </c>
      <c r="E2082" s="8" t="s">
        <v>1384</v>
      </c>
    </row>
    <row r="2083" ht="15.75" customHeight="1">
      <c r="A2083" s="9" t="s">
        <v>1994</v>
      </c>
      <c r="B2083" s="10">
        <v>4049.0</v>
      </c>
      <c r="C2083" s="10">
        <v>5000.0</v>
      </c>
      <c r="D2083" s="11" t="b">
        <f t="shared" ref="D2083:D2086" si="486">true</f>
        <v>1</v>
      </c>
      <c r="E2083" s="8" t="s">
        <v>1384</v>
      </c>
    </row>
    <row r="2084" ht="15.75" customHeight="1">
      <c r="A2084" s="11" t="s">
        <v>1995</v>
      </c>
      <c r="B2084" s="12">
        <v>353.0</v>
      </c>
      <c r="C2084" s="12">
        <v>750.0</v>
      </c>
      <c r="D2084" s="11" t="b">
        <f t="shared" si="486"/>
        <v>1</v>
      </c>
      <c r="E2084" s="8" t="s">
        <v>1384</v>
      </c>
    </row>
    <row r="2085" ht="15.75" customHeight="1">
      <c r="A2085" s="11" t="s">
        <v>1996</v>
      </c>
      <c r="B2085" s="12">
        <v>526.0</v>
      </c>
      <c r="C2085" s="12">
        <v>950.0</v>
      </c>
      <c r="D2085" s="11" t="b">
        <f t="shared" si="486"/>
        <v>1</v>
      </c>
      <c r="E2085" s="8" t="s">
        <v>1384</v>
      </c>
    </row>
    <row r="2086" ht="15.75" customHeight="1">
      <c r="A2086" s="5" t="s">
        <v>1997</v>
      </c>
      <c r="B2086" s="12">
        <v>690.0</v>
      </c>
      <c r="C2086" s="12">
        <v>1200.0</v>
      </c>
      <c r="D2086" s="11" t="b">
        <f t="shared" si="486"/>
        <v>1</v>
      </c>
      <c r="E2086" s="8" t="s">
        <v>1384</v>
      </c>
    </row>
    <row r="2087" ht="15.75" customHeight="1">
      <c r="A2087" s="9" t="s">
        <v>1998</v>
      </c>
      <c r="B2087" s="10">
        <v>959.0</v>
      </c>
      <c r="C2087" s="10">
        <v>1000.0</v>
      </c>
      <c r="D2087" s="9" t="b">
        <f t="shared" ref="D2087:D2088" si="487">false</f>
        <v>0</v>
      </c>
      <c r="E2087" s="8" t="s">
        <v>1384</v>
      </c>
    </row>
    <row r="2088" ht="15.75" customHeight="1">
      <c r="A2088" s="9" t="s">
        <v>1999</v>
      </c>
      <c r="B2088" s="10">
        <v>500.0</v>
      </c>
      <c r="C2088" s="10">
        <v>1000.0</v>
      </c>
      <c r="D2088" s="9" t="b">
        <f t="shared" si="487"/>
        <v>0</v>
      </c>
      <c r="E2088" s="8" t="s">
        <v>1384</v>
      </c>
    </row>
    <row r="2089" ht="15.75" customHeight="1">
      <c r="A2089" s="5" t="s">
        <v>2000</v>
      </c>
      <c r="B2089" s="6">
        <v>597.0</v>
      </c>
      <c r="C2089" s="6">
        <v>1000.0</v>
      </c>
      <c r="D2089" s="11" t="b">
        <f>true</f>
        <v>1</v>
      </c>
      <c r="E2089" s="8" t="s">
        <v>1384</v>
      </c>
    </row>
    <row r="2090" ht="15.75" customHeight="1">
      <c r="A2090" s="9" t="s">
        <v>2000</v>
      </c>
      <c r="B2090" s="10">
        <v>543.0</v>
      </c>
      <c r="C2090" s="10">
        <v>1000.0</v>
      </c>
      <c r="D2090" s="9" t="b">
        <f>false</f>
        <v>0</v>
      </c>
      <c r="E2090" s="8" t="s">
        <v>1384</v>
      </c>
    </row>
    <row r="2091" ht="15.75" customHeight="1">
      <c r="A2091" s="11" t="s">
        <v>2001</v>
      </c>
      <c r="B2091" s="12">
        <v>543.0</v>
      </c>
      <c r="C2091" s="12">
        <v>1000.0</v>
      </c>
      <c r="D2091" s="11" t="b">
        <f>true</f>
        <v>1</v>
      </c>
      <c r="E2091" s="8" t="s">
        <v>1384</v>
      </c>
    </row>
    <row r="2092" ht="15.75" customHeight="1">
      <c r="A2092" s="9" t="s">
        <v>2001</v>
      </c>
      <c r="B2092" s="10">
        <v>597.0</v>
      </c>
      <c r="C2092" s="10">
        <v>1000.0</v>
      </c>
      <c r="D2092" s="9" t="b">
        <f t="shared" ref="D2092:D2095" si="488">false</f>
        <v>0</v>
      </c>
      <c r="E2092" s="8" t="s">
        <v>1384</v>
      </c>
    </row>
    <row r="2093" ht="15.75" customHeight="1">
      <c r="A2093" s="9" t="s">
        <v>2002</v>
      </c>
      <c r="B2093" s="10">
        <v>1129.0</v>
      </c>
      <c r="C2093" s="10">
        <v>1000.0</v>
      </c>
      <c r="D2093" s="9" t="b">
        <f t="shared" si="488"/>
        <v>0</v>
      </c>
      <c r="E2093" s="8" t="s">
        <v>1384</v>
      </c>
    </row>
    <row r="2094" ht="15.75" customHeight="1">
      <c r="A2094" s="9" t="s">
        <v>2002</v>
      </c>
      <c r="B2094" s="10">
        <v>889.0</v>
      </c>
      <c r="C2094" s="10">
        <v>1200.0</v>
      </c>
      <c r="D2094" s="9" t="b">
        <f t="shared" si="488"/>
        <v>0</v>
      </c>
      <c r="E2094" s="8" t="s">
        <v>1384</v>
      </c>
    </row>
    <row r="2095" ht="15.75" customHeight="1">
      <c r="A2095" s="9" t="s">
        <v>2003</v>
      </c>
      <c r="B2095" s="10">
        <v>959.0</v>
      </c>
      <c r="C2095" s="10">
        <v>1000.0</v>
      </c>
      <c r="D2095" s="9" t="b">
        <f t="shared" si="488"/>
        <v>0</v>
      </c>
      <c r="E2095" s="8" t="s">
        <v>1384</v>
      </c>
    </row>
    <row r="2096" ht="15.75" customHeight="1">
      <c r="A2096" s="5" t="s">
        <v>2004</v>
      </c>
      <c r="B2096" s="6">
        <v>597.0</v>
      </c>
      <c r="C2096" s="6">
        <v>1000.0</v>
      </c>
      <c r="D2096" s="11" t="b">
        <f>true</f>
        <v>1</v>
      </c>
      <c r="E2096" s="8" t="s">
        <v>1384</v>
      </c>
    </row>
    <row r="2097" ht="15.75" customHeight="1">
      <c r="A2097" s="9" t="s">
        <v>2005</v>
      </c>
      <c r="B2097" s="10">
        <v>1250.0</v>
      </c>
      <c r="C2097" s="10">
        <v>1000.0</v>
      </c>
      <c r="D2097" s="9" t="b">
        <f>false</f>
        <v>0</v>
      </c>
      <c r="E2097" s="8" t="s">
        <v>1384</v>
      </c>
    </row>
    <row r="2098" ht="15.75" customHeight="1">
      <c r="A2098" s="5" t="s">
        <v>2006</v>
      </c>
      <c r="B2098" s="6">
        <v>597.0</v>
      </c>
      <c r="C2098" s="6">
        <v>1000.0</v>
      </c>
      <c r="D2098" s="11" t="b">
        <f t="shared" ref="D2098:D2102" si="489">true</f>
        <v>1</v>
      </c>
      <c r="E2098" s="8" t="s">
        <v>1384</v>
      </c>
    </row>
    <row r="2099" ht="15.75" customHeight="1">
      <c r="A2099" s="5" t="s">
        <v>2007</v>
      </c>
      <c r="B2099" s="6">
        <v>597.0</v>
      </c>
      <c r="C2099" s="6">
        <v>1000.0</v>
      </c>
      <c r="D2099" s="11" t="b">
        <f t="shared" si="489"/>
        <v>1</v>
      </c>
      <c r="E2099" s="8" t="s">
        <v>1384</v>
      </c>
    </row>
    <row r="2100" ht="15.75" customHeight="1">
      <c r="A2100" s="5" t="s">
        <v>2008</v>
      </c>
      <c r="B2100" s="6">
        <v>597.0</v>
      </c>
      <c r="C2100" s="6">
        <v>1000.0</v>
      </c>
      <c r="D2100" s="11" t="b">
        <f t="shared" si="489"/>
        <v>1</v>
      </c>
      <c r="E2100" s="8" t="s">
        <v>1384</v>
      </c>
    </row>
    <row r="2101" ht="15.75" customHeight="1">
      <c r="A2101" s="5" t="s">
        <v>2009</v>
      </c>
      <c r="B2101" s="6">
        <v>597.0</v>
      </c>
      <c r="C2101" s="6">
        <v>1000.0</v>
      </c>
      <c r="D2101" s="11" t="b">
        <f t="shared" si="489"/>
        <v>1</v>
      </c>
      <c r="E2101" s="8" t="s">
        <v>1384</v>
      </c>
    </row>
    <row r="2102" ht="15.75" customHeight="1">
      <c r="A2102" s="5" t="s">
        <v>2010</v>
      </c>
      <c r="B2102" s="6">
        <v>1590.0</v>
      </c>
      <c r="C2102" s="6">
        <v>1800.0</v>
      </c>
      <c r="D2102" s="11" t="b">
        <f t="shared" si="489"/>
        <v>1</v>
      </c>
      <c r="E2102" s="8" t="s">
        <v>1384</v>
      </c>
    </row>
    <row r="2103" ht="15.75" customHeight="1">
      <c r="A2103" s="9" t="s">
        <v>2011</v>
      </c>
      <c r="B2103" s="10">
        <v>1265.0</v>
      </c>
      <c r="C2103" s="10">
        <v>1800.0</v>
      </c>
      <c r="D2103" s="9" t="b">
        <f>false</f>
        <v>0</v>
      </c>
      <c r="E2103" s="8" t="s">
        <v>1384</v>
      </c>
    </row>
    <row r="2104" ht="15.75" customHeight="1">
      <c r="A2104" s="5" t="s">
        <v>2012</v>
      </c>
      <c r="B2104" s="6">
        <v>1429.0</v>
      </c>
      <c r="C2104" s="6">
        <v>1800.0</v>
      </c>
      <c r="D2104" s="11" t="b">
        <f>true</f>
        <v>1</v>
      </c>
      <c r="E2104" s="8" t="s">
        <v>1384</v>
      </c>
    </row>
    <row r="2105" ht="15.75" customHeight="1">
      <c r="A2105" s="9" t="s">
        <v>2013</v>
      </c>
      <c r="B2105" s="10">
        <v>1250.0</v>
      </c>
      <c r="C2105" s="10">
        <v>1800.0</v>
      </c>
      <c r="D2105" s="9" t="b">
        <f t="shared" ref="D2105:D2115" si="490">false</f>
        <v>0</v>
      </c>
      <c r="E2105" s="8" t="s">
        <v>1384</v>
      </c>
    </row>
    <row r="2106" ht="15.75" customHeight="1">
      <c r="A2106" s="9" t="s">
        <v>2014</v>
      </c>
      <c r="B2106" s="10">
        <v>1359.0</v>
      </c>
      <c r="C2106" s="10">
        <v>1500.0</v>
      </c>
      <c r="D2106" s="9" t="b">
        <f t="shared" si="490"/>
        <v>0</v>
      </c>
      <c r="E2106" s="8" t="s">
        <v>1384</v>
      </c>
    </row>
    <row r="2107" ht="15.75" customHeight="1">
      <c r="A2107" s="9" t="s">
        <v>2015</v>
      </c>
      <c r="B2107" s="10">
        <v>900.0</v>
      </c>
      <c r="C2107" s="10">
        <v>1600.0</v>
      </c>
      <c r="D2107" s="9" t="b">
        <f t="shared" si="490"/>
        <v>0</v>
      </c>
      <c r="E2107" s="8" t="s">
        <v>1384</v>
      </c>
    </row>
    <row r="2108" ht="15.75" customHeight="1">
      <c r="A2108" s="9" t="s">
        <v>2016</v>
      </c>
      <c r="B2108" s="10">
        <v>1188.0</v>
      </c>
      <c r="C2108" s="10">
        <v>2000.0</v>
      </c>
      <c r="D2108" s="9" t="b">
        <f t="shared" si="490"/>
        <v>0</v>
      </c>
      <c r="E2108" s="8" t="s">
        <v>1384</v>
      </c>
    </row>
    <row r="2109" ht="15.75" customHeight="1">
      <c r="A2109" s="9" t="s">
        <v>2017</v>
      </c>
      <c r="B2109" s="10">
        <v>1300.0</v>
      </c>
      <c r="C2109" s="10">
        <v>2000.0</v>
      </c>
      <c r="D2109" s="9" t="b">
        <f t="shared" si="490"/>
        <v>0</v>
      </c>
      <c r="E2109" s="8" t="s">
        <v>1384</v>
      </c>
    </row>
    <row r="2110" ht="15.75" customHeight="1">
      <c r="A2110" s="13" t="s">
        <v>2018</v>
      </c>
      <c r="B2110" s="10">
        <v>1264.0</v>
      </c>
      <c r="C2110" s="10">
        <v>1800.0</v>
      </c>
      <c r="D2110" s="9" t="b">
        <f t="shared" si="490"/>
        <v>0</v>
      </c>
      <c r="E2110" s="8" t="s">
        <v>1384</v>
      </c>
    </row>
    <row r="2111" ht="15.75" customHeight="1">
      <c r="A2111" s="9" t="s">
        <v>2019</v>
      </c>
      <c r="B2111" s="10">
        <v>1264.0</v>
      </c>
      <c r="C2111" s="10">
        <v>1800.0</v>
      </c>
      <c r="D2111" s="9" t="b">
        <f t="shared" si="490"/>
        <v>0</v>
      </c>
      <c r="E2111" s="8" t="s">
        <v>1384</v>
      </c>
    </row>
    <row r="2112" ht="15.75" customHeight="1">
      <c r="A2112" s="9" t="s">
        <v>2020</v>
      </c>
      <c r="B2112" s="10">
        <v>1264.0</v>
      </c>
      <c r="C2112" s="10">
        <v>1800.0</v>
      </c>
      <c r="D2112" s="9" t="b">
        <f t="shared" si="490"/>
        <v>0</v>
      </c>
      <c r="E2112" s="8" t="s">
        <v>1384</v>
      </c>
    </row>
    <row r="2113" ht="15.75" customHeight="1">
      <c r="A2113" s="9" t="s">
        <v>2021</v>
      </c>
      <c r="B2113" s="10">
        <v>1264.0</v>
      </c>
      <c r="C2113" s="10">
        <v>1800.0</v>
      </c>
      <c r="D2113" s="9" t="b">
        <f t="shared" si="490"/>
        <v>0</v>
      </c>
      <c r="E2113" s="8" t="s">
        <v>1384</v>
      </c>
    </row>
    <row r="2114" ht="15.75" customHeight="1">
      <c r="A2114" s="9" t="s">
        <v>2022</v>
      </c>
      <c r="B2114" s="10">
        <v>1264.0</v>
      </c>
      <c r="C2114" s="10">
        <v>1800.0</v>
      </c>
      <c r="D2114" s="9" t="b">
        <f t="shared" si="490"/>
        <v>0</v>
      </c>
      <c r="E2114" s="8" t="s">
        <v>1384</v>
      </c>
    </row>
    <row r="2115" ht="15.75" customHeight="1">
      <c r="A2115" s="9" t="s">
        <v>2023</v>
      </c>
      <c r="B2115" s="10">
        <v>1264.0</v>
      </c>
      <c r="C2115" s="10">
        <v>1800.0</v>
      </c>
      <c r="D2115" s="9" t="b">
        <f t="shared" si="490"/>
        <v>0</v>
      </c>
      <c r="E2115" s="8" t="s">
        <v>1384</v>
      </c>
    </row>
    <row r="2116" ht="15.75" customHeight="1">
      <c r="A2116" s="5" t="s">
        <v>2023</v>
      </c>
      <c r="B2116" s="6">
        <v>1190.0</v>
      </c>
      <c r="C2116" s="6">
        <v>1800.0</v>
      </c>
      <c r="D2116" s="11" t="b">
        <f t="shared" ref="D2116:D2131" si="491">true</f>
        <v>1</v>
      </c>
      <c r="E2116" s="8" t="s">
        <v>1384</v>
      </c>
    </row>
    <row r="2117" ht="15.75" customHeight="1">
      <c r="A2117" s="11" t="s">
        <v>2024</v>
      </c>
      <c r="B2117" s="12">
        <v>1190.0</v>
      </c>
      <c r="C2117" s="12">
        <v>1800.0</v>
      </c>
      <c r="D2117" s="11" t="b">
        <f t="shared" si="491"/>
        <v>1</v>
      </c>
      <c r="E2117" s="8" t="s">
        <v>1384</v>
      </c>
    </row>
    <row r="2118" ht="15.75" customHeight="1">
      <c r="A2118" s="11" t="s">
        <v>2025</v>
      </c>
      <c r="B2118" s="12">
        <v>1190.0</v>
      </c>
      <c r="C2118" s="12">
        <v>1800.0</v>
      </c>
      <c r="D2118" s="11" t="b">
        <f t="shared" si="491"/>
        <v>1</v>
      </c>
      <c r="E2118" s="8" t="s">
        <v>1384</v>
      </c>
    </row>
    <row r="2119" ht="15.75" customHeight="1">
      <c r="A2119" s="11" t="s">
        <v>2026</v>
      </c>
      <c r="B2119" s="12">
        <v>1190.0</v>
      </c>
      <c r="C2119" s="12">
        <v>1800.0</v>
      </c>
      <c r="D2119" s="11" t="b">
        <f t="shared" si="491"/>
        <v>1</v>
      </c>
      <c r="E2119" s="8" t="s">
        <v>1384</v>
      </c>
    </row>
    <row r="2120" ht="15.75" customHeight="1">
      <c r="A2120" s="11" t="s">
        <v>2018</v>
      </c>
      <c r="B2120" s="12">
        <v>1190.0</v>
      </c>
      <c r="C2120" s="12">
        <v>1800.0</v>
      </c>
      <c r="D2120" s="11" t="b">
        <f t="shared" si="491"/>
        <v>1</v>
      </c>
      <c r="E2120" s="8" t="s">
        <v>1384</v>
      </c>
    </row>
    <row r="2121" ht="15.75" customHeight="1">
      <c r="A2121" s="11" t="s">
        <v>2027</v>
      </c>
      <c r="B2121" s="12">
        <v>1190.0</v>
      </c>
      <c r="C2121" s="12">
        <v>1800.0</v>
      </c>
      <c r="D2121" s="11" t="b">
        <f t="shared" si="491"/>
        <v>1</v>
      </c>
      <c r="E2121" s="8" t="s">
        <v>1384</v>
      </c>
    </row>
    <row r="2122" ht="15.75" customHeight="1">
      <c r="A2122" s="11" t="s">
        <v>2028</v>
      </c>
      <c r="B2122" s="12">
        <v>1190.0</v>
      </c>
      <c r="C2122" s="12">
        <v>1800.0</v>
      </c>
      <c r="D2122" s="11" t="b">
        <f t="shared" si="491"/>
        <v>1</v>
      </c>
      <c r="E2122" s="8" t="s">
        <v>1384</v>
      </c>
    </row>
    <row r="2123" ht="15.75" customHeight="1">
      <c r="A2123" s="11" t="s">
        <v>2029</v>
      </c>
      <c r="B2123" s="12">
        <v>1190.0</v>
      </c>
      <c r="C2123" s="12">
        <v>1800.0</v>
      </c>
      <c r="D2123" s="11" t="b">
        <f t="shared" si="491"/>
        <v>1</v>
      </c>
      <c r="E2123" s="8" t="s">
        <v>1384</v>
      </c>
    </row>
    <row r="2124" ht="15.75" customHeight="1">
      <c r="A2124" s="11" t="s">
        <v>2030</v>
      </c>
      <c r="B2124" s="12">
        <v>1190.0</v>
      </c>
      <c r="C2124" s="12">
        <v>1800.0</v>
      </c>
      <c r="D2124" s="11" t="b">
        <f t="shared" si="491"/>
        <v>1</v>
      </c>
      <c r="E2124" s="8" t="s">
        <v>1384</v>
      </c>
    </row>
    <row r="2125" ht="15.75" customHeight="1">
      <c r="A2125" s="11" t="s">
        <v>2031</v>
      </c>
      <c r="B2125" s="12">
        <v>1190.0</v>
      </c>
      <c r="C2125" s="12">
        <v>1800.0</v>
      </c>
      <c r="D2125" s="11" t="b">
        <f t="shared" si="491"/>
        <v>1</v>
      </c>
      <c r="E2125" s="8" t="s">
        <v>1384</v>
      </c>
    </row>
    <row r="2126" ht="15.75" customHeight="1">
      <c r="A2126" s="11" t="s">
        <v>2032</v>
      </c>
      <c r="B2126" s="12">
        <v>990.0</v>
      </c>
      <c r="C2126" s="12">
        <v>1600.0</v>
      </c>
      <c r="D2126" s="11" t="b">
        <f t="shared" si="491"/>
        <v>1</v>
      </c>
      <c r="E2126" s="8" t="s">
        <v>1384</v>
      </c>
    </row>
    <row r="2127" ht="15.75" customHeight="1">
      <c r="A2127" s="11" t="s">
        <v>2033</v>
      </c>
      <c r="B2127" s="12">
        <v>2030.0</v>
      </c>
      <c r="C2127" s="12">
        <v>3500.0</v>
      </c>
      <c r="D2127" s="11" t="b">
        <f t="shared" si="491"/>
        <v>1</v>
      </c>
      <c r="E2127" s="8" t="s">
        <v>1384</v>
      </c>
    </row>
    <row r="2128" ht="15.75" customHeight="1">
      <c r="A2128" s="11" t="s">
        <v>2033</v>
      </c>
      <c r="B2128" s="12">
        <v>1690.0</v>
      </c>
      <c r="C2128" s="12">
        <v>3500.0</v>
      </c>
      <c r="D2128" s="11" t="b">
        <f t="shared" si="491"/>
        <v>1</v>
      </c>
      <c r="E2128" s="8" t="s">
        <v>1384</v>
      </c>
    </row>
    <row r="2129" ht="15.75" customHeight="1">
      <c r="A2129" s="11" t="s">
        <v>2034</v>
      </c>
      <c r="B2129" s="12">
        <v>1500.0</v>
      </c>
      <c r="C2129" s="12">
        <v>2500.0</v>
      </c>
      <c r="D2129" s="11" t="b">
        <f t="shared" si="491"/>
        <v>1</v>
      </c>
      <c r="E2129" s="8" t="s">
        <v>1384</v>
      </c>
    </row>
    <row r="2130" ht="15.75" customHeight="1">
      <c r="A2130" s="11" t="s">
        <v>2035</v>
      </c>
      <c r="B2130" s="12">
        <v>1400.0</v>
      </c>
      <c r="C2130" s="12">
        <v>2500.0</v>
      </c>
      <c r="D2130" s="11" t="b">
        <f t="shared" si="491"/>
        <v>1</v>
      </c>
      <c r="E2130" s="8" t="s">
        <v>1384</v>
      </c>
    </row>
    <row r="2131" ht="15.75" customHeight="1">
      <c r="A2131" s="11" t="s">
        <v>2036</v>
      </c>
      <c r="B2131" s="12">
        <v>1398.0</v>
      </c>
      <c r="C2131" s="12">
        <v>2500.0</v>
      </c>
      <c r="D2131" s="11" t="b">
        <f t="shared" si="491"/>
        <v>1</v>
      </c>
      <c r="E2131" s="8" t="s">
        <v>1384</v>
      </c>
    </row>
    <row r="2132" ht="15.75" customHeight="1">
      <c r="A2132" s="9" t="s">
        <v>2037</v>
      </c>
      <c r="B2132" s="10">
        <v>2653.0</v>
      </c>
      <c r="C2132" s="10">
        <v>3800.0</v>
      </c>
      <c r="D2132" s="9" t="b">
        <f>false</f>
        <v>0</v>
      </c>
      <c r="E2132" s="8" t="s">
        <v>1384</v>
      </c>
    </row>
    <row r="2133" ht="15.75" customHeight="1">
      <c r="A2133" s="11" t="s">
        <v>2038</v>
      </c>
      <c r="B2133" s="12">
        <v>1722.5</v>
      </c>
      <c r="C2133" s="12">
        <v>3500.0</v>
      </c>
      <c r="D2133" s="11" t="b">
        <f>true</f>
        <v>1</v>
      </c>
      <c r="E2133" s="8" t="s">
        <v>1384</v>
      </c>
    </row>
    <row r="2134" ht="15.75" customHeight="1">
      <c r="A2134" s="9" t="s">
        <v>2039</v>
      </c>
      <c r="B2134" s="10">
        <v>2800.0</v>
      </c>
      <c r="C2134" s="10">
        <v>4500.0</v>
      </c>
      <c r="D2134" s="9" t="b">
        <f>false</f>
        <v>0</v>
      </c>
      <c r="E2134" s="8" t="s">
        <v>1384</v>
      </c>
    </row>
    <row r="2135" ht="15.75" customHeight="1">
      <c r="A2135" s="5" t="s">
        <v>2040</v>
      </c>
      <c r="B2135" s="6">
        <v>3060.0</v>
      </c>
      <c r="C2135" s="6">
        <v>4500.0</v>
      </c>
      <c r="D2135" s="11" t="b">
        <f t="shared" ref="D2135:D2138" si="492">true</f>
        <v>1</v>
      </c>
      <c r="E2135" s="8" t="s">
        <v>1384</v>
      </c>
    </row>
    <row r="2136" ht="15.75" customHeight="1">
      <c r="A2136" s="5" t="s">
        <v>2041</v>
      </c>
      <c r="B2136" s="6">
        <v>2490.0</v>
      </c>
      <c r="C2136" s="6">
        <v>4000.0</v>
      </c>
      <c r="D2136" s="11" t="b">
        <f t="shared" si="492"/>
        <v>1</v>
      </c>
      <c r="E2136" s="8" t="s">
        <v>1384</v>
      </c>
    </row>
    <row r="2137" ht="15.75" customHeight="1">
      <c r="A2137" s="5" t="s">
        <v>2042</v>
      </c>
      <c r="B2137" s="6">
        <v>1650.0</v>
      </c>
      <c r="C2137" s="6">
        <v>3000.0</v>
      </c>
      <c r="D2137" s="11" t="b">
        <f t="shared" si="492"/>
        <v>1</v>
      </c>
      <c r="E2137" s="8" t="s">
        <v>1384</v>
      </c>
    </row>
    <row r="2138" ht="15.75" customHeight="1">
      <c r="A2138" s="5" t="s">
        <v>2043</v>
      </c>
      <c r="B2138" s="6">
        <v>1309.0</v>
      </c>
      <c r="C2138" s="6">
        <v>2700.0</v>
      </c>
      <c r="D2138" s="11" t="b">
        <f t="shared" si="492"/>
        <v>1</v>
      </c>
      <c r="E2138" s="8" t="s">
        <v>1384</v>
      </c>
    </row>
    <row r="2139" ht="15.75" customHeight="1">
      <c r="A2139" s="9" t="s">
        <v>2044</v>
      </c>
      <c r="B2139" s="10">
        <v>1000.0</v>
      </c>
      <c r="C2139" s="10">
        <v>2000.0</v>
      </c>
      <c r="D2139" s="9" t="b">
        <f t="shared" ref="D2139:D2141" si="493">false</f>
        <v>0</v>
      </c>
      <c r="E2139" s="8" t="s">
        <v>1384</v>
      </c>
    </row>
    <row r="2140" ht="15.75" customHeight="1">
      <c r="A2140" s="9" t="s">
        <v>2045</v>
      </c>
      <c r="B2140" s="10">
        <v>1500.0</v>
      </c>
      <c r="C2140" s="10">
        <v>3000.0</v>
      </c>
      <c r="D2140" s="9" t="b">
        <f t="shared" si="493"/>
        <v>0</v>
      </c>
      <c r="E2140" s="8" t="s">
        <v>1384</v>
      </c>
    </row>
    <row r="2141" ht="15.75" customHeight="1">
      <c r="A2141" s="9" t="s">
        <v>2046</v>
      </c>
      <c r="B2141" s="10">
        <v>1500.0</v>
      </c>
      <c r="C2141" s="10">
        <v>3800.0</v>
      </c>
      <c r="D2141" s="9" t="b">
        <f t="shared" si="493"/>
        <v>0</v>
      </c>
      <c r="E2141" s="8" t="s">
        <v>1384</v>
      </c>
    </row>
    <row r="2142" ht="15.75" customHeight="1">
      <c r="A2142" s="5" t="s">
        <v>2047</v>
      </c>
      <c r="B2142" s="6">
        <v>1260.0</v>
      </c>
      <c r="C2142" s="6">
        <v>2500.0</v>
      </c>
      <c r="D2142" s="11" t="b">
        <f t="shared" ref="D2142:D2146" si="494">true</f>
        <v>1</v>
      </c>
      <c r="E2142" s="8" t="s">
        <v>1384</v>
      </c>
    </row>
    <row r="2143" ht="15.75" customHeight="1">
      <c r="A2143" s="11" t="s">
        <v>2048</v>
      </c>
      <c r="B2143" s="12">
        <v>2070.0</v>
      </c>
      <c r="C2143" s="12">
        <v>4000.0</v>
      </c>
      <c r="D2143" s="11" t="b">
        <f t="shared" si="494"/>
        <v>1</v>
      </c>
      <c r="E2143" s="8" t="s">
        <v>1384</v>
      </c>
    </row>
    <row r="2144" ht="15.75" customHeight="1">
      <c r="A2144" s="11" t="s">
        <v>2049</v>
      </c>
      <c r="B2144" s="12">
        <v>2290.0</v>
      </c>
      <c r="C2144" s="12">
        <v>4500.0</v>
      </c>
      <c r="D2144" s="11" t="b">
        <f t="shared" si="494"/>
        <v>1</v>
      </c>
      <c r="E2144" s="8" t="s">
        <v>1384</v>
      </c>
    </row>
    <row r="2145" ht="15.75" customHeight="1">
      <c r="A2145" s="5" t="s">
        <v>2050</v>
      </c>
      <c r="B2145" s="6">
        <v>2510.0</v>
      </c>
      <c r="C2145" s="6">
        <v>3800.0</v>
      </c>
      <c r="D2145" s="11" t="b">
        <f t="shared" si="494"/>
        <v>1</v>
      </c>
      <c r="E2145" s="8" t="s">
        <v>1384</v>
      </c>
    </row>
    <row r="2146" ht="15.75" customHeight="1">
      <c r="A2146" s="5" t="s">
        <v>2051</v>
      </c>
      <c r="B2146" s="6">
        <v>2670.0</v>
      </c>
      <c r="C2146" s="6">
        <v>4000.0</v>
      </c>
      <c r="D2146" s="11" t="b">
        <f t="shared" si="494"/>
        <v>1</v>
      </c>
      <c r="E2146" s="8" t="s">
        <v>1384</v>
      </c>
    </row>
    <row r="2147" ht="15.75" customHeight="1">
      <c r="A2147" s="9" t="s">
        <v>2052</v>
      </c>
      <c r="B2147" s="10">
        <v>3229.0</v>
      </c>
      <c r="C2147" s="10">
        <v>4300.0</v>
      </c>
      <c r="D2147" s="9" t="b">
        <f t="shared" ref="D2147:D2148" si="495">false</f>
        <v>0</v>
      </c>
      <c r="E2147" s="8" t="s">
        <v>1384</v>
      </c>
    </row>
    <row r="2148" ht="15.75" customHeight="1">
      <c r="A2148" s="9" t="s">
        <v>2053</v>
      </c>
      <c r="B2148" s="10">
        <v>3559.0</v>
      </c>
      <c r="C2148" s="10">
        <v>4600.0</v>
      </c>
      <c r="D2148" s="9" t="b">
        <f t="shared" si="495"/>
        <v>0</v>
      </c>
      <c r="E2148" s="8" t="s">
        <v>1384</v>
      </c>
    </row>
    <row r="2149" ht="15.75" customHeight="1">
      <c r="A2149" s="5" t="s">
        <v>2054</v>
      </c>
      <c r="B2149" s="6">
        <v>1500.0</v>
      </c>
      <c r="C2149" s="6">
        <v>3000.0</v>
      </c>
      <c r="D2149" s="11" t="b">
        <f>true</f>
        <v>1</v>
      </c>
      <c r="E2149" s="8" t="s">
        <v>1384</v>
      </c>
    </row>
    <row r="2150" ht="15.75" customHeight="1">
      <c r="A2150" s="9" t="s">
        <v>2055</v>
      </c>
      <c r="B2150" s="10">
        <v>1249.0</v>
      </c>
      <c r="C2150" s="10">
        <v>1800.0</v>
      </c>
      <c r="D2150" s="9" t="b">
        <f>false</f>
        <v>0</v>
      </c>
      <c r="E2150" s="8" t="s">
        <v>1384</v>
      </c>
    </row>
    <row r="2151" ht="15.75" customHeight="1">
      <c r="A2151" s="5" t="s">
        <v>2056</v>
      </c>
      <c r="B2151" s="6">
        <v>1340.0</v>
      </c>
      <c r="C2151" s="6">
        <v>2000.0</v>
      </c>
      <c r="D2151" s="11" t="b">
        <f t="shared" ref="D2151:D2152" si="496">true</f>
        <v>1</v>
      </c>
      <c r="E2151" s="8" t="s">
        <v>1384</v>
      </c>
    </row>
    <row r="2152" ht="15.75" customHeight="1">
      <c r="A2152" s="5" t="s">
        <v>2057</v>
      </c>
      <c r="B2152" s="6">
        <v>1570.0</v>
      </c>
      <c r="C2152" s="6">
        <v>2300.0</v>
      </c>
      <c r="D2152" s="11" t="b">
        <f t="shared" si="496"/>
        <v>1</v>
      </c>
      <c r="E2152" s="8" t="s">
        <v>1384</v>
      </c>
    </row>
    <row r="2153" ht="15.75" customHeight="1">
      <c r="A2153" s="9" t="s">
        <v>2057</v>
      </c>
      <c r="B2153" s="10">
        <v>1610.0</v>
      </c>
      <c r="C2153" s="10">
        <v>2100.0</v>
      </c>
      <c r="D2153" s="9" t="b">
        <f t="shared" ref="D2153:D2154" si="497">false</f>
        <v>0</v>
      </c>
      <c r="E2153" s="8" t="s">
        <v>1384</v>
      </c>
    </row>
    <row r="2154" ht="15.75" customHeight="1">
      <c r="A2154" s="9" t="s">
        <v>2058</v>
      </c>
      <c r="B2154" s="10">
        <v>1319.0</v>
      </c>
      <c r="C2154" s="10">
        <v>2100.0</v>
      </c>
      <c r="D2154" s="9" t="b">
        <f t="shared" si="497"/>
        <v>0</v>
      </c>
      <c r="E2154" s="8" t="s">
        <v>1384</v>
      </c>
    </row>
    <row r="2155" ht="15.75" customHeight="1">
      <c r="A2155" s="5" t="s">
        <v>2059</v>
      </c>
      <c r="B2155" s="6">
        <v>2239.0</v>
      </c>
      <c r="C2155" s="6">
        <v>3000.0</v>
      </c>
      <c r="D2155" s="11" t="b">
        <f t="shared" ref="D2155:D2157" si="498">true</f>
        <v>1</v>
      </c>
      <c r="E2155" s="8" t="s">
        <v>1384</v>
      </c>
    </row>
    <row r="2156" ht="15.75" customHeight="1">
      <c r="A2156" s="5" t="s">
        <v>2060</v>
      </c>
      <c r="B2156" s="6">
        <v>1689.0</v>
      </c>
      <c r="C2156" s="6">
        <v>2000.0</v>
      </c>
      <c r="D2156" s="11" t="b">
        <f t="shared" si="498"/>
        <v>1</v>
      </c>
      <c r="E2156" s="8" t="s">
        <v>1384</v>
      </c>
    </row>
    <row r="2157" ht="15.75" customHeight="1">
      <c r="A2157" s="5" t="s">
        <v>2061</v>
      </c>
      <c r="B2157" s="6">
        <v>700.0</v>
      </c>
      <c r="C2157" s="6">
        <v>1500.0</v>
      </c>
      <c r="D2157" s="11" t="b">
        <f t="shared" si="498"/>
        <v>1</v>
      </c>
      <c r="E2157" s="8" t="s">
        <v>1384</v>
      </c>
    </row>
    <row r="2158" ht="15.75" customHeight="1">
      <c r="A2158" s="9" t="s">
        <v>2062</v>
      </c>
      <c r="B2158" s="10">
        <v>2199.0</v>
      </c>
      <c r="C2158" s="10">
        <v>3300.0</v>
      </c>
      <c r="D2158" s="9" t="b">
        <f>false</f>
        <v>0</v>
      </c>
      <c r="E2158" s="8" t="s">
        <v>1384</v>
      </c>
    </row>
    <row r="2159" ht="15.75" customHeight="1">
      <c r="A2159" s="11" t="s">
        <v>2063</v>
      </c>
      <c r="B2159" s="12">
        <v>1319.0</v>
      </c>
      <c r="C2159" s="12">
        <v>3000.0</v>
      </c>
      <c r="D2159" s="11" t="b">
        <f>true</f>
        <v>1</v>
      </c>
      <c r="E2159" s="8" t="s">
        <v>1384</v>
      </c>
    </row>
    <row r="2160" ht="15.75" customHeight="1">
      <c r="A2160" s="9" t="s">
        <v>2064</v>
      </c>
      <c r="B2160" s="10">
        <v>270.0</v>
      </c>
      <c r="C2160" s="10">
        <v>600.0</v>
      </c>
      <c r="D2160" s="9" t="b">
        <f>false</f>
        <v>0</v>
      </c>
      <c r="E2160" s="8" t="s">
        <v>1384</v>
      </c>
    </row>
    <row r="2161" ht="15.75" customHeight="1">
      <c r="A2161" s="11" t="s">
        <v>2065</v>
      </c>
      <c r="B2161" s="12">
        <v>710.0</v>
      </c>
      <c r="C2161" s="12">
        <v>1300.0</v>
      </c>
      <c r="D2161" s="11" t="b">
        <f>true</f>
        <v>1</v>
      </c>
      <c r="E2161" s="8" t="s">
        <v>1384</v>
      </c>
    </row>
    <row r="2162" ht="15.75" customHeight="1">
      <c r="A2162" s="9" t="s">
        <v>2066</v>
      </c>
      <c r="B2162" s="10">
        <v>779.0</v>
      </c>
      <c r="C2162" s="10">
        <v>1300.0</v>
      </c>
      <c r="D2162" s="9" t="b">
        <f>false</f>
        <v>0</v>
      </c>
      <c r="E2162" s="8" t="s">
        <v>1384</v>
      </c>
    </row>
    <row r="2163" ht="15.75" customHeight="1">
      <c r="A2163" s="11" t="s">
        <v>2067</v>
      </c>
      <c r="B2163" s="12">
        <v>285.0</v>
      </c>
      <c r="C2163" s="12">
        <v>1000.0</v>
      </c>
      <c r="D2163" s="11" t="b">
        <f t="shared" ref="D2163:D2171" si="499">true</f>
        <v>1</v>
      </c>
      <c r="E2163" s="8" t="s">
        <v>1384</v>
      </c>
    </row>
    <row r="2164" ht="15.75" customHeight="1">
      <c r="A2164" s="11" t="s">
        <v>2068</v>
      </c>
      <c r="B2164" s="12">
        <v>589.0</v>
      </c>
      <c r="C2164" s="12">
        <v>1500.0</v>
      </c>
      <c r="D2164" s="11" t="b">
        <f t="shared" si="499"/>
        <v>1</v>
      </c>
      <c r="E2164" s="8" t="s">
        <v>1384</v>
      </c>
    </row>
    <row r="2165" ht="15.75" customHeight="1">
      <c r="A2165" s="5" t="s">
        <v>2069</v>
      </c>
      <c r="B2165" s="6">
        <v>470.0</v>
      </c>
      <c r="C2165" s="6">
        <v>1000.0</v>
      </c>
      <c r="D2165" s="11" t="b">
        <f t="shared" si="499"/>
        <v>1</v>
      </c>
      <c r="E2165" s="8" t="s">
        <v>1384</v>
      </c>
    </row>
    <row r="2166" ht="15.75" customHeight="1">
      <c r="A2166" s="5" t="s">
        <v>2070</v>
      </c>
      <c r="B2166" s="6">
        <v>500.0</v>
      </c>
      <c r="C2166" s="6">
        <v>1500.0</v>
      </c>
      <c r="D2166" s="11" t="b">
        <f t="shared" si="499"/>
        <v>1</v>
      </c>
      <c r="E2166" s="8" t="s">
        <v>1384</v>
      </c>
    </row>
    <row r="2167" ht="15.75" customHeight="1">
      <c r="A2167" s="5" t="s">
        <v>2071</v>
      </c>
      <c r="B2167" s="6">
        <v>500.0</v>
      </c>
      <c r="C2167" s="6">
        <v>1500.0</v>
      </c>
      <c r="D2167" s="11" t="b">
        <f t="shared" si="499"/>
        <v>1</v>
      </c>
      <c r="E2167" s="8" t="s">
        <v>1384</v>
      </c>
    </row>
    <row r="2168" ht="15.75" customHeight="1">
      <c r="A2168" s="5" t="s">
        <v>2072</v>
      </c>
      <c r="B2168" s="6">
        <v>475.0</v>
      </c>
      <c r="C2168" s="6">
        <v>1500.0</v>
      </c>
      <c r="D2168" s="11" t="b">
        <f t="shared" si="499"/>
        <v>1</v>
      </c>
      <c r="E2168" s="8" t="s">
        <v>1384</v>
      </c>
    </row>
    <row r="2169" ht="15.75" customHeight="1">
      <c r="A2169" s="5" t="s">
        <v>2073</v>
      </c>
      <c r="B2169" s="6">
        <v>2300.0</v>
      </c>
      <c r="C2169" s="6">
        <v>3500.0</v>
      </c>
      <c r="D2169" s="11" t="b">
        <f t="shared" si="499"/>
        <v>1</v>
      </c>
      <c r="E2169" s="8" t="s">
        <v>1384</v>
      </c>
    </row>
    <row r="2170" ht="15.75" customHeight="1">
      <c r="A2170" s="5" t="s">
        <v>2074</v>
      </c>
      <c r="B2170" s="6">
        <v>2500.0</v>
      </c>
      <c r="C2170" s="6">
        <v>4000.0</v>
      </c>
      <c r="D2170" s="11" t="b">
        <f t="shared" si="499"/>
        <v>1</v>
      </c>
      <c r="E2170" s="8" t="s">
        <v>1384</v>
      </c>
    </row>
    <row r="2171" ht="15.75" customHeight="1">
      <c r="A2171" s="5" t="s">
        <v>2075</v>
      </c>
      <c r="B2171" s="6">
        <v>2200.0</v>
      </c>
      <c r="C2171" s="6">
        <v>4000.0</v>
      </c>
      <c r="D2171" s="11" t="b">
        <f t="shared" si="499"/>
        <v>1</v>
      </c>
      <c r="E2171" s="8" t="s">
        <v>1384</v>
      </c>
    </row>
    <row r="2172" ht="15.75" customHeight="1">
      <c r="A2172" s="9" t="s">
        <v>2076</v>
      </c>
      <c r="B2172" s="10">
        <v>750.0</v>
      </c>
      <c r="C2172" s="10">
        <v>2000.0</v>
      </c>
      <c r="D2172" s="9" t="b">
        <f>false</f>
        <v>0</v>
      </c>
      <c r="E2172" s="8" t="s">
        <v>1384</v>
      </c>
    </row>
    <row r="2173" ht="15.75" customHeight="1">
      <c r="A2173" s="11" t="s">
        <v>2077</v>
      </c>
      <c r="B2173" s="12">
        <v>1700.0</v>
      </c>
      <c r="C2173" s="12">
        <v>3500.0</v>
      </c>
      <c r="D2173" s="11" t="b">
        <f t="shared" ref="D2173:D2179" si="500">true</f>
        <v>1</v>
      </c>
      <c r="E2173" s="8" t="s">
        <v>1384</v>
      </c>
    </row>
    <row r="2174" ht="15.75" customHeight="1">
      <c r="A2174" s="11" t="s">
        <v>2078</v>
      </c>
      <c r="B2174" s="12">
        <v>1300.0</v>
      </c>
      <c r="C2174" s="12">
        <v>3000.0</v>
      </c>
      <c r="D2174" s="11" t="b">
        <f t="shared" si="500"/>
        <v>1</v>
      </c>
      <c r="E2174" s="8" t="s">
        <v>1384</v>
      </c>
    </row>
    <row r="2175" ht="15.75" customHeight="1">
      <c r="A2175" s="7" t="s">
        <v>2079</v>
      </c>
      <c r="B2175" s="6">
        <v>629.0</v>
      </c>
      <c r="C2175" s="6">
        <v>1500.0</v>
      </c>
      <c r="D2175" s="11" t="b">
        <f t="shared" si="500"/>
        <v>1</v>
      </c>
      <c r="E2175" s="8" t="s">
        <v>1384</v>
      </c>
    </row>
    <row r="2176" ht="15.75" customHeight="1">
      <c r="A2176" s="7" t="s">
        <v>2080</v>
      </c>
      <c r="B2176" s="6">
        <v>1000.0</v>
      </c>
      <c r="C2176" s="6">
        <v>2000.0</v>
      </c>
      <c r="D2176" s="11" t="b">
        <f t="shared" si="500"/>
        <v>1</v>
      </c>
      <c r="E2176" s="8" t="s">
        <v>1384</v>
      </c>
    </row>
    <row r="2177" ht="15.75" customHeight="1">
      <c r="A2177" s="5" t="s">
        <v>2081</v>
      </c>
      <c r="B2177" s="6">
        <v>300.0</v>
      </c>
      <c r="C2177" s="6">
        <v>1000.0</v>
      </c>
      <c r="D2177" s="11" t="b">
        <f t="shared" si="500"/>
        <v>1</v>
      </c>
      <c r="E2177" s="8" t="s">
        <v>1384</v>
      </c>
    </row>
    <row r="2178" ht="15.75" customHeight="1">
      <c r="A2178" s="5" t="s">
        <v>2082</v>
      </c>
      <c r="B2178" s="6">
        <v>1200.0</v>
      </c>
      <c r="C2178" s="6">
        <v>3000.0</v>
      </c>
      <c r="D2178" s="11" t="b">
        <f t="shared" si="500"/>
        <v>1</v>
      </c>
      <c r="E2178" s="8" t="s">
        <v>1384</v>
      </c>
    </row>
    <row r="2179" ht="15.75" customHeight="1">
      <c r="A2179" s="5" t="s">
        <v>2083</v>
      </c>
      <c r="B2179" s="6">
        <v>1600.0</v>
      </c>
      <c r="C2179" s="6">
        <v>2600.0</v>
      </c>
      <c r="D2179" s="11" t="b">
        <f t="shared" si="500"/>
        <v>1</v>
      </c>
      <c r="E2179" s="8" t="s">
        <v>1384</v>
      </c>
    </row>
    <row r="2180" ht="15.75" customHeight="1">
      <c r="A2180" s="9" t="s">
        <v>2084</v>
      </c>
      <c r="B2180" s="10">
        <v>500.0</v>
      </c>
      <c r="C2180" s="10">
        <v>700.0</v>
      </c>
      <c r="D2180" s="9" t="b">
        <f t="shared" ref="D2180:D2181" si="501">false</f>
        <v>0</v>
      </c>
      <c r="E2180" s="8" t="s">
        <v>1384</v>
      </c>
    </row>
    <row r="2181" ht="15.75" customHeight="1">
      <c r="A2181" s="9" t="s">
        <v>2085</v>
      </c>
      <c r="B2181" s="10">
        <v>360.0</v>
      </c>
      <c r="C2181" s="10">
        <v>700.0</v>
      </c>
      <c r="D2181" s="9" t="b">
        <f t="shared" si="501"/>
        <v>0</v>
      </c>
      <c r="E2181" s="8" t="s">
        <v>1384</v>
      </c>
    </row>
    <row r="2182" ht="15.75" customHeight="1">
      <c r="A2182" s="5" t="s">
        <v>2086</v>
      </c>
      <c r="B2182" s="6">
        <v>167.0</v>
      </c>
      <c r="C2182" s="6">
        <v>350.0</v>
      </c>
      <c r="D2182" s="11" t="b">
        <f t="shared" ref="D2182:D2187" si="502">true</f>
        <v>1</v>
      </c>
      <c r="E2182" s="8" t="s">
        <v>1384</v>
      </c>
    </row>
    <row r="2183" ht="15.75" customHeight="1">
      <c r="A2183" s="11" t="s">
        <v>2087</v>
      </c>
      <c r="B2183" s="12">
        <v>180.0</v>
      </c>
      <c r="C2183" s="12">
        <v>500.0</v>
      </c>
      <c r="D2183" s="11" t="b">
        <f t="shared" si="502"/>
        <v>1</v>
      </c>
      <c r="E2183" s="8" t="s">
        <v>1384</v>
      </c>
    </row>
    <row r="2184" ht="15.75" customHeight="1">
      <c r="A2184" s="11" t="s">
        <v>2088</v>
      </c>
      <c r="B2184" s="12">
        <v>240.0</v>
      </c>
      <c r="C2184" s="12">
        <v>800.0</v>
      </c>
      <c r="D2184" s="11" t="b">
        <f t="shared" si="502"/>
        <v>1</v>
      </c>
      <c r="E2184" s="8" t="s">
        <v>1384</v>
      </c>
    </row>
    <row r="2185" ht="15.75" customHeight="1">
      <c r="A2185" s="11" t="s">
        <v>2089</v>
      </c>
      <c r="B2185" s="12">
        <v>500.0</v>
      </c>
      <c r="C2185" s="12">
        <v>1200.0</v>
      </c>
      <c r="D2185" s="11" t="b">
        <f t="shared" si="502"/>
        <v>1</v>
      </c>
      <c r="E2185" s="8" t="s">
        <v>1384</v>
      </c>
    </row>
    <row r="2186" ht="15.75" customHeight="1">
      <c r="A2186" s="5" t="s">
        <v>2090</v>
      </c>
      <c r="B2186" s="6">
        <v>900.0</v>
      </c>
      <c r="C2186" s="6">
        <v>1900.0</v>
      </c>
      <c r="D2186" s="11" t="b">
        <f t="shared" si="502"/>
        <v>1</v>
      </c>
      <c r="E2186" s="8" t="s">
        <v>1384</v>
      </c>
    </row>
    <row r="2187" ht="15.75" customHeight="1">
      <c r="A2187" s="5" t="s">
        <v>2091</v>
      </c>
      <c r="B2187" s="6">
        <v>539.0</v>
      </c>
      <c r="C2187" s="6">
        <v>1000.0</v>
      </c>
      <c r="D2187" s="11" t="b">
        <f t="shared" si="502"/>
        <v>1</v>
      </c>
      <c r="E2187" s="8" t="s">
        <v>1384</v>
      </c>
    </row>
    <row r="2188" ht="15.75" customHeight="1">
      <c r="A2188" s="9" t="s">
        <v>2092</v>
      </c>
      <c r="B2188" s="10">
        <v>745.0</v>
      </c>
      <c r="C2188" s="10">
        <v>1000.0</v>
      </c>
      <c r="D2188" s="9" t="b">
        <f t="shared" ref="D2188:D2190" si="503">false</f>
        <v>0</v>
      </c>
      <c r="E2188" s="8" t="s">
        <v>1384</v>
      </c>
    </row>
    <row r="2189" ht="15.75" customHeight="1">
      <c r="A2189" s="9" t="s">
        <v>2093</v>
      </c>
      <c r="B2189" s="10">
        <v>360.0</v>
      </c>
      <c r="C2189" s="10">
        <v>1000.0</v>
      </c>
      <c r="D2189" s="9" t="b">
        <f t="shared" si="503"/>
        <v>0</v>
      </c>
      <c r="E2189" s="8" t="s">
        <v>1384</v>
      </c>
    </row>
    <row r="2190" ht="15.75" customHeight="1">
      <c r="A2190" s="9" t="s">
        <v>2094</v>
      </c>
      <c r="B2190" s="10">
        <v>1000.0</v>
      </c>
      <c r="C2190" s="10">
        <v>2000.0</v>
      </c>
      <c r="D2190" s="9" t="b">
        <f t="shared" si="503"/>
        <v>0</v>
      </c>
      <c r="E2190" s="8" t="s">
        <v>1384</v>
      </c>
    </row>
    <row r="2191" ht="15.75" customHeight="1">
      <c r="A2191" s="5" t="s">
        <v>2095</v>
      </c>
      <c r="B2191" s="6">
        <v>800.0</v>
      </c>
      <c r="C2191" s="6">
        <v>1500.0</v>
      </c>
      <c r="D2191" s="11" t="b">
        <f t="shared" ref="D2191:D2208" si="504">true</f>
        <v>1</v>
      </c>
      <c r="E2191" s="8" t="s">
        <v>1384</v>
      </c>
    </row>
    <row r="2192" ht="15.75" customHeight="1">
      <c r="A2192" s="5" t="s">
        <v>2096</v>
      </c>
      <c r="B2192" s="6">
        <v>1200.0</v>
      </c>
      <c r="C2192" s="6">
        <v>2500.0</v>
      </c>
      <c r="D2192" s="11" t="b">
        <f t="shared" si="504"/>
        <v>1</v>
      </c>
      <c r="E2192" s="8" t="s">
        <v>1384</v>
      </c>
    </row>
    <row r="2193" ht="15.75" customHeight="1">
      <c r="A2193" s="5" t="s">
        <v>2097</v>
      </c>
      <c r="B2193" s="6">
        <v>1600.0</v>
      </c>
      <c r="C2193" s="6">
        <v>3000.0</v>
      </c>
      <c r="D2193" s="11" t="b">
        <f t="shared" si="504"/>
        <v>1</v>
      </c>
      <c r="E2193" s="8" t="s">
        <v>1384</v>
      </c>
    </row>
    <row r="2194" ht="15.75" customHeight="1">
      <c r="A2194" s="5" t="s">
        <v>2098</v>
      </c>
      <c r="B2194" s="6">
        <v>1500.0</v>
      </c>
      <c r="C2194" s="6">
        <v>2800.0</v>
      </c>
      <c r="D2194" s="11" t="b">
        <f t="shared" si="504"/>
        <v>1</v>
      </c>
      <c r="E2194" s="8" t="s">
        <v>1384</v>
      </c>
    </row>
    <row r="2195" ht="15.75" customHeight="1">
      <c r="A2195" s="5" t="s">
        <v>2099</v>
      </c>
      <c r="B2195" s="6">
        <v>2500.0</v>
      </c>
      <c r="C2195" s="6">
        <v>3000.0</v>
      </c>
      <c r="D2195" s="11" t="b">
        <f t="shared" si="504"/>
        <v>1</v>
      </c>
      <c r="E2195" s="8" t="s">
        <v>1384</v>
      </c>
    </row>
    <row r="2196" ht="15.75" customHeight="1">
      <c r="A2196" s="5" t="s">
        <v>2100</v>
      </c>
      <c r="B2196" s="6">
        <v>2000.0</v>
      </c>
      <c r="C2196" s="6">
        <v>4000.0</v>
      </c>
      <c r="D2196" s="11" t="b">
        <f t="shared" si="504"/>
        <v>1</v>
      </c>
      <c r="E2196" s="8" t="s">
        <v>1384</v>
      </c>
    </row>
    <row r="2197" ht="15.75" customHeight="1">
      <c r="A2197" s="7" t="s">
        <v>2101</v>
      </c>
      <c r="B2197" s="6">
        <v>5000.0</v>
      </c>
      <c r="C2197" s="6">
        <v>7000.0</v>
      </c>
      <c r="D2197" s="11" t="b">
        <f t="shared" si="504"/>
        <v>1</v>
      </c>
      <c r="E2197" s="8" t="s">
        <v>1384</v>
      </c>
    </row>
    <row r="2198" ht="15.75" customHeight="1">
      <c r="A2198" s="7" t="s">
        <v>2102</v>
      </c>
      <c r="B2198" s="6">
        <v>719.0</v>
      </c>
      <c r="C2198" s="6">
        <v>1200.0</v>
      </c>
      <c r="D2198" s="11" t="b">
        <f t="shared" si="504"/>
        <v>1</v>
      </c>
      <c r="E2198" s="8" t="s">
        <v>1384</v>
      </c>
    </row>
    <row r="2199" ht="15.75" customHeight="1">
      <c r="A2199" s="7" t="s">
        <v>2103</v>
      </c>
      <c r="B2199" s="6">
        <v>719.0</v>
      </c>
      <c r="C2199" s="6">
        <v>1200.0</v>
      </c>
      <c r="D2199" s="11" t="b">
        <f t="shared" si="504"/>
        <v>1</v>
      </c>
      <c r="E2199" s="8" t="s">
        <v>1384</v>
      </c>
    </row>
    <row r="2200" ht="15.75" customHeight="1">
      <c r="A2200" s="7" t="s">
        <v>2104</v>
      </c>
      <c r="B2200" s="6">
        <v>659.0</v>
      </c>
      <c r="C2200" s="6">
        <v>1200.0</v>
      </c>
      <c r="D2200" s="11" t="b">
        <f t="shared" si="504"/>
        <v>1</v>
      </c>
      <c r="E2200" s="8" t="s">
        <v>1384</v>
      </c>
    </row>
    <row r="2201" ht="15.75" customHeight="1">
      <c r="A2201" s="7" t="s">
        <v>2105</v>
      </c>
      <c r="B2201" s="6">
        <v>749.0</v>
      </c>
      <c r="C2201" s="6">
        <v>1000.0</v>
      </c>
      <c r="D2201" s="11" t="b">
        <f t="shared" si="504"/>
        <v>1</v>
      </c>
      <c r="E2201" s="8" t="s">
        <v>1384</v>
      </c>
    </row>
    <row r="2202" ht="15.75" customHeight="1">
      <c r="A2202" s="7" t="s">
        <v>2106</v>
      </c>
      <c r="B2202" s="6">
        <v>749.0</v>
      </c>
      <c r="C2202" s="6">
        <v>1000.0</v>
      </c>
      <c r="D2202" s="11" t="b">
        <f t="shared" si="504"/>
        <v>1</v>
      </c>
      <c r="E2202" s="8" t="s">
        <v>1384</v>
      </c>
    </row>
    <row r="2203" ht="15.75" customHeight="1">
      <c r="A2203" s="7" t="s">
        <v>2107</v>
      </c>
      <c r="B2203" s="6">
        <v>749.0</v>
      </c>
      <c r="C2203" s="6">
        <v>1000.0</v>
      </c>
      <c r="D2203" s="11" t="b">
        <f t="shared" si="504"/>
        <v>1</v>
      </c>
      <c r="E2203" s="8" t="s">
        <v>1384</v>
      </c>
    </row>
    <row r="2204" ht="15.75" customHeight="1">
      <c r="A2204" s="5" t="s">
        <v>2108</v>
      </c>
      <c r="B2204" s="6">
        <v>459.0</v>
      </c>
      <c r="C2204" s="6">
        <v>1000.0</v>
      </c>
      <c r="D2204" s="11" t="b">
        <f t="shared" si="504"/>
        <v>1</v>
      </c>
      <c r="E2204" s="8" t="s">
        <v>1384</v>
      </c>
    </row>
    <row r="2205" ht="15.75" customHeight="1">
      <c r="A2205" s="5" t="s">
        <v>2109</v>
      </c>
      <c r="B2205" s="6">
        <v>639.0</v>
      </c>
      <c r="C2205" s="6">
        <v>1200.0</v>
      </c>
      <c r="D2205" s="11" t="b">
        <f t="shared" si="504"/>
        <v>1</v>
      </c>
      <c r="E2205" s="8" t="s">
        <v>1384</v>
      </c>
    </row>
    <row r="2206" ht="15.75" customHeight="1">
      <c r="A2206" s="5" t="s">
        <v>2110</v>
      </c>
      <c r="B2206" s="6">
        <v>589.0</v>
      </c>
      <c r="C2206" s="6">
        <v>1200.0</v>
      </c>
      <c r="D2206" s="11" t="b">
        <f t="shared" si="504"/>
        <v>1</v>
      </c>
      <c r="E2206" s="8" t="s">
        <v>1384</v>
      </c>
    </row>
    <row r="2207" ht="15.75" customHeight="1">
      <c r="A2207" s="5" t="s">
        <v>2111</v>
      </c>
      <c r="B2207" s="6">
        <v>609.0</v>
      </c>
      <c r="C2207" s="6">
        <v>1300.0</v>
      </c>
      <c r="D2207" s="11" t="b">
        <f t="shared" si="504"/>
        <v>1</v>
      </c>
      <c r="E2207" s="8" t="s">
        <v>1384</v>
      </c>
    </row>
    <row r="2208" ht="15.75" customHeight="1">
      <c r="A2208" s="5" t="s">
        <v>2112</v>
      </c>
      <c r="B2208" s="6">
        <v>639.0</v>
      </c>
      <c r="C2208" s="6">
        <v>1400.0</v>
      </c>
      <c r="D2208" s="11" t="b">
        <f t="shared" si="504"/>
        <v>1</v>
      </c>
      <c r="E2208" s="8" t="s">
        <v>1384</v>
      </c>
    </row>
    <row r="2209" ht="15.75" customHeight="1">
      <c r="A2209" s="9" t="s">
        <v>2113</v>
      </c>
      <c r="B2209" s="10">
        <v>329.0</v>
      </c>
      <c r="C2209" s="10">
        <v>530.0</v>
      </c>
      <c r="D2209" s="9" t="b">
        <f>false</f>
        <v>0</v>
      </c>
      <c r="E2209" s="8" t="s">
        <v>1384</v>
      </c>
    </row>
    <row r="2210" ht="15.75" customHeight="1">
      <c r="A2210" s="7" t="s">
        <v>2114</v>
      </c>
      <c r="B2210" s="6">
        <v>349.0</v>
      </c>
      <c r="C2210" s="6">
        <v>700.0</v>
      </c>
      <c r="D2210" s="11" t="b">
        <f>true</f>
        <v>1</v>
      </c>
      <c r="E2210" s="8" t="s">
        <v>1384</v>
      </c>
    </row>
    <row r="2211" ht="15.75" customHeight="1">
      <c r="A2211" s="9" t="s">
        <v>2114</v>
      </c>
      <c r="B2211" s="10">
        <v>249.0</v>
      </c>
      <c r="C2211" s="10">
        <v>550.0</v>
      </c>
      <c r="D2211" s="9" t="b">
        <f>false</f>
        <v>0</v>
      </c>
      <c r="E2211" s="8" t="s">
        <v>1384</v>
      </c>
    </row>
    <row r="2212" ht="15.75" customHeight="1">
      <c r="A2212" s="7" t="s">
        <v>2115</v>
      </c>
      <c r="B2212" s="6">
        <v>359.0</v>
      </c>
      <c r="C2212" s="6">
        <v>800.0</v>
      </c>
      <c r="D2212" s="11" t="b">
        <f>true</f>
        <v>1</v>
      </c>
      <c r="E2212" s="8" t="s">
        <v>1384</v>
      </c>
    </row>
    <row r="2213" ht="15.75" customHeight="1">
      <c r="A2213" s="9" t="s">
        <v>2115</v>
      </c>
      <c r="B2213" s="10">
        <v>359.0</v>
      </c>
      <c r="C2213" s="10">
        <v>570.0</v>
      </c>
      <c r="D2213" s="9" t="b">
        <f>false</f>
        <v>0</v>
      </c>
      <c r="E2213" s="8" t="s">
        <v>1384</v>
      </c>
    </row>
    <row r="2214" ht="15.75" customHeight="1">
      <c r="A2214" s="11" t="s">
        <v>2116</v>
      </c>
      <c r="B2214" s="12">
        <v>399.0</v>
      </c>
      <c r="C2214" s="12">
        <v>900.0</v>
      </c>
      <c r="D2214" s="11" t="b">
        <f>true</f>
        <v>1</v>
      </c>
      <c r="E2214" s="8" t="s">
        <v>1384</v>
      </c>
    </row>
    <row r="2215" ht="15.75" customHeight="1">
      <c r="A2215" s="9" t="s">
        <v>2116</v>
      </c>
      <c r="B2215" s="10">
        <v>399.0</v>
      </c>
      <c r="C2215" s="10">
        <v>600.0</v>
      </c>
      <c r="D2215" s="9" t="b">
        <f t="shared" ref="D2215:D2216" si="505">false</f>
        <v>0</v>
      </c>
      <c r="E2215" s="8" t="s">
        <v>1384</v>
      </c>
    </row>
    <row r="2216" ht="15.75" customHeight="1">
      <c r="A2216" s="9" t="s">
        <v>2117</v>
      </c>
      <c r="B2216" s="10">
        <v>439.0</v>
      </c>
      <c r="C2216" s="10">
        <v>650.0</v>
      </c>
      <c r="D2216" s="9" t="b">
        <f t="shared" si="505"/>
        <v>0</v>
      </c>
      <c r="E2216" s="8" t="s">
        <v>1384</v>
      </c>
    </row>
    <row r="2217" ht="15.75" customHeight="1">
      <c r="A2217" s="11" t="s">
        <v>2118</v>
      </c>
      <c r="B2217" s="12">
        <v>91.0</v>
      </c>
      <c r="C2217" s="12">
        <v>200.0</v>
      </c>
      <c r="D2217" s="11" t="b">
        <f t="shared" ref="D2217:D2219" si="506">true</f>
        <v>1</v>
      </c>
      <c r="E2217" s="8" t="s">
        <v>1384</v>
      </c>
    </row>
    <row r="2218" ht="15.75" customHeight="1">
      <c r="A2218" s="11" t="s">
        <v>2119</v>
      </c>
      <c r="B2218" s="12">
        <v>91.0</v>
      </c>
      <c r="C2218" s="12">
        <v>200.0</v>
      </c>
      <c r="D2218" s="11" t="b">
        <f t="shared" si="506"/>
        <v>1</v>
      </c>
      <c r="E2218" s="8" t="s">
        <v>1384</v>
      </c>
    </row>
    <row r="2219" ht="15.75" customHeight="1">
      <c r="A2219" s="11" t="s">
        <v>2120</v>
      </c>
      <c r="B2219" s="12">
        <v>94.0</v>
      </c>
      <c r="C2219" s="12">
        <v>200.0</v>
      </c>
      <c r="D2219" s="11" t="b">
        <f t="shared" si="506"/>
        <v>1</v>
      </c>
      <c r="E2219" s="8" t="s">
        <v>1384</v>
      </c>
    </row>
    <row r="2220" ht="15.75" customHeight="1">
      <c r="A2220" s="9" t="s">
        <v>2121</v>
      </c>
      <c r="B2220" s="10">
        <v>1559.0</v>
      </c>
      <c r="C2220" s="10">
        <v>2500.0</v>
      </c>
      <c r="D2220" s="9" t="b">
        <f t="shared" ref="D2220:D2225" si="507">false</f>
        <v>0</v>
      </c>
      <c r="E2220" s="8" t="s">
        <v>1384</v>
      </c>
    </row>
    <row r="2221" ht="15.75" customHeight="1">
      <c r="A2221" s="9" t="s">
        <v>2122</v>
      </c>
      <c r="B2221" s="10">
        <v>312.0</v>
      </c>
      <c r="C2221" s="10">
        <v>500.0</v>
      </c>
      <c r="D2221" s="9" t="b">
        <f t="shared" si="507"/>
        <v>0</v>
      </c>
      <c r="E2221" s="8" t="s">
        <v>1384</v>
      </c>
    </row>
    <row r="2222" ht="15.75" customHeight="1">
      <c r="A2222" s="9" t="s">
        <v>2123</v>
      </c>
      <c r="B2222" s="10">
        <v>2599.0</v>
      </c>
      <c r="C2222" s="10">
        <v>4000.0</v>
      </c>
      <c r="D2222" s="9" t="b">
        <f t="shared" si="507"/>
        <v>0</v>
      </c>
      <c r="E2222" s="8" t="s">
        <v>1384</v>
      </c>
    </row>
    <row r="2223" ht="15.75" customHeight="1">
      <c r="A2223" s="9" t="s">
        <v>2124</v>
      </c>
      <c r="B2223" s="10">
        <v>130.0</v>
      </c>
      <c r="C2223" s="10">
        <v>200.0</v>
      </c>
      <c r="D2223" s="9" t="b">
        <f t="shared" si="507"/>
        <v>0</v>
      </c>
      <c r="E2223" s="8" t="s">
        <v>1384</v>
      </c>
    </row>
    <row r="2224" ht="15.75" customHeight="1">
      <c r="A2224" s="9" t="s">
        <v>2125</v>
      </c>
      <c r="B2224" s="10">
        <v>70.0</v>
      </c>
      <c r="C2224" s="10">
        <v>200.0</v>
      </c>
      <c r="D2224" s="9" t="b">
        <f t="shared" si="507"/>
        <v>0</v>
      </c>
      <c r="E2224" s="8" t="s">
        <v>1384</v>
      </c>
    </row>
    <row r="2225" ht="15.75" customHeight="1">
      <c r="A2225" s="9" t="s">
        <v>2126</v>
      </c>
      <c r="B2225" s="10">
        <v>1400.0</v>
      </c>
      <c r="C2225" s="10">
        <v>3000.0</v>
      </c>
      <c r="D2225" s="9" t="b">
        <f t="shared" si="507"/>
        <v>0</v>
      </c>
      <c r="E2225" s="8" t="s">
        <v>1384</v>
      </c>
    </row>
    <row r="2226" ht="15.75" customHeight="1">
      <c r="A2226" s="11" t="s">
        <v>2127</v>
      </c>
      <c r="B2226" s="12">
        <v>1600.0</v>
      </c>
      <c r="C2226" s="12">
        <v>3000.0</v>
      </c>
      <c r="D2226" s="11" t="b">
        <f t="shared" ref="D2226:D2233" si="508">true</f>
        <v>1</v>
      </c>
      <c r="E2226" s="8" t="s">
        <v>1384</v>
      </c>
    </row>
    <row r="2227" ht="15.75" customHeight="1">
      <c r="A2227" s="11" t="s">
        <v>2128</v>
      </c>
      <c r="B2227" s="12">
        <v>3990.0</v>
      </c>
      <c r="C2227" s="12">
        <v>7500.0</v>
      </c>
      <c r="D2227" s="11" t="b">
        <f t="shared" si="508"/>
        <v>1</v>
      </c>
      <c r="E2227" s="8" t="s">
        <v>1384</v>
      </c>
    </row>
    <row r="2228" ht="15.75" customHeight="1">
      <c r="A2228" s="11" t="s">
        <v>2129</v>
      </c>
      <c r="B2228" s="12">
        <v>79.8</v>
      </c>
      <c r="C2228" s="12">
        <v>150.0</v>
      </c>
      <c r="D2228" s="11" t="b">
        <f t="shared" si="508"/>
        <v>1</v>
      </c>
      <c r="E2228" s="8" t="s">
        <v>1384</v>
      </c>
    </row>
    <row r="2229" ht="15.75" customHeight="1">
      <c r="A2229" s="11" t="s">
        <v>2130</v>
      </c>
      <c r="B2229" s="12">
        <v>1190.0</v>
      </c>
      <c r="C2229" s="12">
        <v>3000.0</v>
      </c>
      <c r="D2229" s="11" t="b">
        <f t="shared" si="508"/>
        <v>1</v>
      </c>
      <c r="E2229" s="8" t="s">
        <v>1384</v>
      </c>
    </row>
    <row r="2230" ht="15.75" customHeight="1">
      <c r="A2230" s="11" t="s">
        <v>2131</v>
      </c>
      <c r="B2230" s="12">
        <v>59.5</v>
      </c>
      <c r="C2230" s="12">
        <v>150.0</v>
      </c>
      <c r="D2230" s="11" t="b">
        <f t="shared" si="508"/>
        <v>1</v>
      </c>
      <c r="E2230" s="8" t="s">
        <v>1384</v>
      </c>
    </row>
    <row r="2231" ht="15.75" customHeight="1">
      <c r="A2231" s="11" t="s">
        <v>2132</v>
      </c>
      <c r="B2231" s="12">
        <v>1980.0</v>
      </c>
      <c r="C2231" s="12">
        <v>4000.0</v>
      </c>
      <c r="D2231" s="11" t="b">
        <f t="shared" si="508"/>
        <v>1</v>
      </c>
      <c r="E2231" s="8" t="s">
        <v>1384</v>
      </c>
    </row>
    <row r="2232" ht="15.75" customHeight="1">
      <c r="A2232" s="11" t="s">
        <v>2133</v>
      </c>
      <c r="B2232" s="12">
        <v>99.0</v>
      </c>
      <c r="C2232" s="12">
        <v>200.0</v>
      </c>
      <c r="D2232" s="11" t="b">
        <f t="shared" si="508"/>
        <v>1</v>
      </c>
      <c r="E2232" s="8" t="s">
        <v>1384</v>
      </c>
    </row>
    <row r="2233" ht="15.75" customHeight="1">
      <c r="A2233" s="5" t="s">
        <v>2134</v>
      </c>
      <c r="B2233" s="12">
        <v>8500.0</v>
      </c>
      <c r="C2233" s="12">
        <v>12000.0</v>
      </c>
      <c r="D2233" s="11" t="b">
        <f t="shared" si="508"/>
        <v>1</v>
      </c>
      <c r="E2233" s="8" t="s">
        <v>1384</v>
      </c>
    </row>
    <row r="2234" ht="15.75" customHeight="1">
      <c r="A2234" s="9" t="s">
        <v>2134</v>
      </c>
      <c r="B2234" s="10">
        <v>10000.0</v>
      </c>
      <c r="C2234" s="10">
        <v>15000.0</v>
      </c>
      <c r="D2234" s="9" t="b">
        <f>false</f>
        <v>0</v>
      </c>
      <c r="E2234" s="8" t="s">
        <v>1384</v>
      </c>
    </row>
    <row r="2235" ht="15.75" customHeight="1">
      <c r="A2235" s="5" t="s">
        <v>2135</v>
      </c>
      <c r="B2235" s="6">
        <v>300.0</v>
      </c>
      <c r="C2235" s="6">
        <v>500.0</v>
      </c>
      <c r="D2235" s="11" t="b">
        <f t="shared" ref="D2235:D2238" si="509">true</f>
        <v>1</v>
      </c>
      <c r="E2235" s="8" t="s">
        <v>1384</v>
      </c>
    </row>
    <row r="2236" ht="15.75" customHeight="1">
      <c r="A2236" s="5" t="s">
        <v>2136</v>
      </c>
      <c r="B2236" s="6">
        <v>1500.0</v>
      </c>
      <c r="C2236" s="6">
        <v>2500.0</v>
      </c>
      <c r="D2236" s="11" t="b">
        <f t="shared" si="509"/>
        <v>1</v>
      </c>
      <c r="E2236" s="8" t="s">
        <v>1384</v>
      </c>
    </row>
    <row r="2237" ht="15.75" customHeight="1">
      <c r="A2237" s="5" t="s">
        <v>2137</v>
      </c>
      <c r="B2237" s="6">
        <v>150.0</v>
      </c>
      <c r="C2237" s="6">
        <v>300.0</v>
      </c>
      <c r="D2237" s="11" t="b">
        <f t="shared" si="509"/>
        <v>1</v>
      </c>
      <c r="E2237" s="8" t="s">
        <v>1384</v>
      </c>
    </row>
    <row r="2238" ht="15.75" customHeight="1">
      <c r="A2238" s="5" t="s">
        <v>2138</v>
      </c>
      <c r="B2238" s="6">
        <v>1500.0</v>
      </c>
      <c r="C2238" s="6">
        <v>3000.0</v>
      </c>
      <c r="D2238" s="11" t="b">
        <f t="shared" si="509"/>
        <v>1</v>
      </c>
      <c r="E2238" s="8" t="s">
        <v>1384</v>
      </c>
    </row>
    <row r="2239" ht="15.75" customHeight="1">
      <c r="A2239" s="9" t="s">
        <v>2139</v>
      </c>
      <c r="B2239" s="10">
        <v>4500.0</v>
      </c>
      <c r="C2239" s="10">
        <v>7000.0</v>
      </c>
      <c r="D2239" s="9" t="b">
        <f t="shared" ref="D2239:D2240" si="510">false</f>
        <v>0</v>
      </c>
      <c r="E2239" s="8" t="s">
        <v>1384</v>
      </c>
    </row>
    <row r="2240" ht="15.75" customHeight="1">
      <c r="A2240" s="9" t="s">
        <v>2140</v>
      </c>
      <c r="B2240" s="10">
        <v>4000.0</v>
      </c>
      <c r="C2240" s="10">
        <v>8000.0</v>
      </c>
      <c r="D2240" s="9" t="b">
        <f t="shared" si="510"/>
        <v>0</v>
      </c>
      <c r="E2240" s="8" t="s">
        <v>1384</v>
      </c>
    </row>
    <row r="2241" ht="15.75" customHeight="1">
      <c r="A2241" s="5" t="s">
        <v>2141</v>
      </c>
      <c r="B2241" s="6">
        <v>4000.0</v>
      </c>
      <c r="C2241" s="6">
        <v>8000.0</v>
      </c>
      <c r="D2241" s="11" t="b">
        <f>true</f>
        <v>1</v>
      </c>
      <c r="E2241" s="8" t="s">
        <v>1384</v>
      </c>
    </row>
    <row r="2242" ht="15.75" customHeight="1">
      <c r="A2242" s="9" t="s">
        <v>2142</v>
      </c>
      <c r="B2242" s="10">
        <v>9000.0</v>
      </c>
      <c r="C2242" s="10">
        <v>12000.0</v>
      </c>
      <c r="D2242" s="9" t="b">
        <f t="shared" ref="D2242:D2243" si="511">false</f>
        <v>0</v>
      </c>
      <c r="E2242" s="8" t="s">
        <v>1384</v>
      </c>
    </row>
    <row r="2243" ht="15.75" customHeight="1">
      <c r="A2243" s="9" t="s">
        <v>2143</v>
      </c>
      <c r="B2243" s="10">
        <v>1839.0</v>
      </c>
      <c r="C2243" s="10">
        <v>2300.0</v>
      </c>
      <c r="D2243" s="9" t="b">
        <f t="shared" si="511"/>
        <v>0</v>
      </c>
      <c r="E2243" s="8" t="s">
        <v>1384</v>
      </c>
    </row>
    <row r="2244" ht="15.75" customHeight="1">
      <c r="A2244" s="5" t="s">
        <v>2144</v>
      </c>
      <c r="B2244" s="6">
        <v>1560.0</v>
      </c>
      <c r="C2244" s="6">
        <v>2300.0</v>
      </c>
      <c r="D2244" s="11" t="b">
        <f t="shared" ref="D2244:D2245" si="512">true</f>
        <v>1</v>
      </c>
      <c r="E2244" s="8" t="s">
        <v>1384</v>
      </c>
    </row>
    <row r="2245" ht="15.75" customHeight="1">
      <c r="A2245" s="5" t="s">
        <v>2145</v>
      </c>
      <c r="B2245" s="6">
        <v>90.0</v>
      </c>
      <c r="C2245" s="6">
        <v>250.0</v>
      </c>
      <c r="D2245" s="11" t="b">
        <f t="shared" si="512"/>
        <v>1</v>
      </c>
      <c r="E2245" s="8" t="s">
        <v>1384</v>
      </c>
    </row>
    <row r="2246" ht="15.75" customHeight="1">
      <c r="A2246" s="9" t="s">
        <v>2146</v>
      </c>
      <c r="B2246" s="10">
        <v>639.0</v>
      </c>
      <c r="C2246" s="10">
        <v>1000.0</v>
      </c>
      <c r="D2246" s="9" t="b">
        <f>false</f>
        <v>0</v>
      </c>
      <c r="E2246" s="8" t="s">
        <v>1384</v>
      </c>
    </row>
    <row r="2247" ht="15.75" customHeight="1">
      <c r="A2247" s="11" t="s">
        <v>2147</v>
      </c>
      <c r="B2247" s="12">
        <v>690.0</v>
      </c>
      <c r="C2247" s="12">
        <v>1000.0</v>
      </c>
      <c r="D2247" s="11" t="b">
        <f>true</f>
        <v>1</v>
      </c>
      <c r="E2247" s="8" t="s">
        <v>1384</v>
      </c>
    </row>
    <row r="2248" ht="15.75" customHeight="1">
      <c r="A2248" s="9" t="s">
        <v>2148</v>
      </c>
      <c r="B2248" s="10">
        <v>360.0</v>
      </c>
      <c r="C2248" s="10">
        <v>800.0</v>
      </c>
      <c r="D2248" s="9" t="b">
        <f t="shared" ref="D2248:D2251" si="513">false</f>
        <v>0</v>
      </c>
      <c r="E2248" s="8" t="s">
        <v>1384</v>
      </c>
    </row>
    <row r="2249" ht="15.75" customHeight="1">
      <c r="A2249" s="9" t="s">
        <v>2149</v>
      </c>
      <c r="B2249" s="10">
        <v>1119.0</v>
      </c>
      <c r="C2249" s="10">
        <v>1500.0</v>
      </c>
      <c r="D2249" s="9" t="b">
        <f t="shared" si="513"/>
        <v>0</v>
      </c>
      <c r="E2249" s="8" t="s">
        <v>1384</v>
      </c>
    </row>
    <row r="2250" ht="15.75" customHeight="1">
      <c r="A2250" s="9" t="s">
        <v>2150</v>
      </c>
      <c r="B2250" s="10">
        <v>930.0</v>
      </c>
      <c r="C2250" s="10">
        <v>1500.0</v>
      </c>
      <c r="D2250" s="9" t="b">
        <f t="shared" si="513"/>
        <v>0</v>
      </c>
      <c r="E2250" s="8" t="s">
        <v>1384</v>
      </c>
    </row>
    <row r="2251" ht="15.75" customHeight="1">
      <c r="A2251" s="9" t="s">
        <v>2151</v>
      </c>
      <c r="B2251" s="10">
        <v>1080.0</v>
      </c>
      <c r="C2251" s="10">
        <v>1600.0</v>
      </c>
      <c r="D2251" s="9" t="b">
        <f t="shared" si="513"/>
        <v>0</v>
      </c>
      <c r="E2251" s="8" t="s">
        <v>1384</v>
      </c>
    </row>
    <row r="2252" ht="15.75" customHeight="1">
      <c r="A2252" s="11" t="s">
        <v>2152</v>
      </c>
      <c r="B2252" s="12">
        <v>1235.0</v>
      </c>
      <c r="C2252" s="12">
        <v>2200.0</v>
      </c>
      <c r="D2252" s="11" t="b">
        <f t="shared" ref="D2252:D2253" si="514">true</f>
        <v>1</v>
      </c>
      <c r="E2252" s="8" t="s">
        <v>1384</v>
      </c>
    </row>
    <row r="2253" ht="15.75" customHeight="1">
      <c r="A2253" s="5" t="s">
        <v>2153</v>
      </c>
      <c r="B2253" s="6">
        <v>1100.0</v>
      </c>
      <c r="C2253" s="6">
        <v>2000.0</v>
      </c>
      <c r="D2253" s="11" t="b">
        <f t="shared" si="514"/>
        <v>1</v>
      </c>
      <c r="E2253" s="8" t="s">
        <v>1384</v>
      </c>
    </row>
    <row r="2254" ht="15.75" customHeight="1">
      <c r="A2254" s="9" t="s">
        <v>2154</v>
      </c>
      <c r="B2254" s="10">
        <v>900.0</v>
      </c>
      <c r="C2254" s="10">
        <v>1600.0</v>
      </c>
      <c r="D2254" s="9" t="b">
        <f>false</f>
        <v>0</v>
      </c>
      <c r="E2254" s="8" t="s">
        <v>1384</v>
      </c>
    </row>
    <row r="2255" ht="15.75" customHeight="1">
      <c r="A2255" s="11" t="s">
        <v>2155</v>
      </c>
      <c r="B2255" s="12">
        <v>1500.0</v>
      </c>
      <c r="C2255" s="12">
        <v>4000.0</v>
      </c>
      <c r="D2255" s="11" t="b">
        <f t="shared" ref="D2255:D2261" si="515">true</f>
        <v>1</v>
      </c>
      <c r="E2255" s="8" t="s">
        <v>1384</v>
      </c>
    </row>
    <row r="2256" ht="15.75" customHeight="1">
      <c r="A2256" s="5" t="s">
        <v>2156</v>
      </c>
      <c r="B2256" s="6">
        <v>2800.0</v>
      </c>
      <c r="C2256" s="6">
        <v>4500.0</v>
      </c>
      <c r="D2256" s="11" t="b">
        <f t="shared" si="515"/>
        <v>1</v>
      </c>
      <c r="E2256" s="8" t="s">
        <v>1384</v>
      </c>
    </row>
    <row r="2257" ht="15.75" customHeight="1">
      <c r="A2257" s="5" t="s">
        <v>2157</v>
      </c>
      <c r="B2257" s="6">
        <v>1500.0</v>
      </c>
      <c r="C2257" s="6">
        <v>3000.0</v>
      </c>
      <c r="D2257" s="11" t="b">
        <f t="shared" si="515"/>
        <v>1</v>
      </c>
      <c r="E2257" s="8" t="s">
        <v>1384</v>
      </c>
    </row>
    <row r="2258" ht="15.75" customHeight="1">
      <c r="A2258" s="5" t="s">
        <v>2158</v>
      </c>
      <c r="B2258" s="6">
        <v>700.0</v>
      </c>
      <c r="C2258" s="6">
        <v>1800.0</v>
      </c>
      <c r="D2258" s="11" t="b">
        <f t="shared" si="515"/>
        <v>1</v>
      </c>
      <c r="E2258" s="8" t="s">
        <v>1384</v>
      </c>
    </row>
    <row r="2259" ht="15.75" customHeight="1">
      <c r="A2259" s="5" t="s">
        <v>2159</v>
      </c>
      <c r="B2259" s="6">
        <v>650.0</v>
      </c>
      <c r="C2259" s="6">
        <v>1800.0</v>
      </c>
      <c r="D2259" s="11" t="b">
        <f t="shared" si="515"/>
        <v>1</v>
      </c>
      <c r="E2259" s="8" t="s">
        <v>1384</v>
      </c>
    </row>
    <row r="2260" ht="15.75" customHeight="1">
      <c r="A2260" s="5" t="s">
        <v>2160</v>
      </c>
      <c r="B2260" s="6">
        <v>347.5</v>
      </c>
      <c r="C2260" s="6">
        <v>500.0</v>
      </c>
      <c r="D2260" s="11" t="b">
        <f t="shared" si="515"/>
        <v>1</v>
      </c>
      <c r="E2260" s="8" t="s">
        <v>1384</v>
      </c>
    </row>
    <row r="2261" ht="15.75" customHeight="1">
      <c r="A2261" s="5" t="s">
        <v>2161</v>
      </c>
      <c r="B2261" s="6">
        <v>145.0</v>
      </c>
      <c r="C2261" s="6">
        <v>500.0</v>
      </c>
      <c r="D2261" s="11" t="b">
        <f t="shared" si="515"/>
        <v>1</v>
      </c>
      <c r="E2261" s="8" t="s">
        <v>1384</v>
      </c>
    </row>
    <row r="2262" ht="15.75" customHeight="1">
      <c r="A2262" s="9" t="s">
        <v>2162</v>
      </c>
      <c r="B2262" s="10">
        <v>250.0</v>
      </c>
      <c r="C2262" s="10">
        <v>500.0</v>
      </c>
      <c r="D2262" s="9" t="b">
        <f t="shared" ref="D2262:D2264" si="516">false</f>
        <v>0</v>
      </c>
      <c r="E2262" s="8" t="s">
        <v>1384</v>
      </c>
    </row>
    <row r="2263" ht="15.75" customHeight="1">
      <c r="A2263" s="9" t="s">
        <v>2163</v>
      </c>
      <c r="B2263" s="10">
        <v>375.0</v>
      </c>
      <c r="C2263" s="10">
        <v>600.0</v>
      </c>
      <c r="D2263" s="9" t="b">
        <f t="shared" si="516"/>
        <v>0</v>
      </c>
      <c r="E2263" s="8" t="s">
        <v>1384</v>
      </c>
    </row>
    <row r="2264" ht="15.75" customHeight="1">
      <c r="A2264" s="9" t="s">
        <v>2164</v>
      </c>
      <c r="B2264" s="10">
        <v>1400.0</v>
      </c>
      <c r="C2264" s="10">
        <v>3000.0</v>
      </c>
      <c r="D2264" s="9" t="b">
        <f t="shared" si="516"/>
        <v>0</v>
      </c>
      <c r="E2264" s="8" t="s">
        <v>1384</v>
      </c>
    </row>
    <row r="2265" ht="15.75" customHeight="1">
      <c r="A2265" s="11" t="s">
        <v>2165</v>
      </c>
      <c r="B2265" s="12">
        <v>875.0</v>
      </c>
      <c r="C2265" s="12">
        <v>1500.0</v>
      </c>
      <c r="D2265" s="11" t="b">
        <f t="shared" ref="D2265:D2274" si="517">true</f>
        <v>1</v>
      </c>
      <c r="E2265" s="8" t="s">
        <v>1384</v>
      </c>
    </row>
    <row r="2266" ht="15.75" customHeight="1">
      <c r="A2266" s="11" t="s">
        <v>2166</v>
      </c>
      <c r="B2266" s="12">
        <v>800.0</v>
      </c>
      <c r="C2266" s="12">
        <v>1500.0</v>
      </c>
      <c r="D2266" s="11" t="b">
        <f t="shared" si="517"/>
        <v>1</v>
      </c>
      <c r="E2266" s="8" t="s">
        <v>1384</v>
      </c>
    </row>
    <row r="2267" ht="15.75" customHeight="1">
      <c r="A2267" s="11" t="s">
        <v>2167</v>
      </c>
      <c r="B2267" s="12">
        <v>475.0</v>
      </c>
      <c r="C2267" s="12">
        <v>1500.0</v>
      </c>
      <c r="D2267" s="11" t="b">
        <f t="shared" si="517"/>
        <v>1</v>
      </c>
      <c r="E2267" s="8" t="s">
        <v>1384</v>
      </c>
    </row>
    <row r="2268" ht="15.75" customHeight="1">
      <c r="A2268" s="11" t="s">
        <v>2168</v>
      </c>
      <c r="B2268" s="12">
        <v>500.0</v>
      </c>
      <c r="C2268" s="12">
        <v>1500.0</v>
      </c>
      <c r="D2268" s="11" t="b">
        <f t="shared" si="517"/>
        <v>1</v>
      </c>
      <c r="E2268" s="8" t="s">
        <v>1384</v>
      </c>
    </row>
    <row r="2269" ht="15.75" customHeight="1">
      <c r="A2269" s="11" t="s">
        <v>2169</v>
      </c>
      <c r="B2269" s="12">
        <v>600.0</v>
      </c>
      <c r="C2269" s="12">
        <v>1500.0</v>
      </c>
      <c r="D2269" s="11" t="b">
        <f t="shared" si="517"/>
        <v>1</v>
      </c>
      <c r="E2269" s="8" t="s">
        <v>1384</v>
      </c>
    </row>
    <row r="2270" ht="15.75" customHeight="1">
      <c r="A2270" s="11" t="s">
        <v>2170</v>
      </c>
      <c r="B2270" s="12">
        <v>1500.0</v>
      </c>
      <c r="C2270" s="12">
        <v>2500.0</v>
      </c>
      <c r="D2270" s="11" t="b">
        <f t="shared" si="517"/>
        <v>1</v>
      </c>
      <c r="E2270" s="8" t="s">
        <v>1384</v>
      </c>
    </row>
    <row r="2271" ht="15.75" customHeight="1">
      <c r="A2271" s="11" t="s">
        <v>2171</v>
      </c>
      <c r="B2271" s="12">
        <v>2000.0</v>
      </c>
      <c r="C2271" s="12">
        <v>4200.0</v>
      </c>
      <c r="D2271" s="11" t="b">
        <f t="shared" si="517"/>
        <v>1</v>
      </c>
      <c r="E2271" s="8" t="s">
        <v>1384</v>
      </c>
    </row>
    <row r="2272" ht="15.75" customHeight="1">
      <c r="A2272" s="11" t="s">
        <v>2172</v>
      </c>
      <c r="B2272" s="12">
        <v>2000.0</v>
      </c>
      <c r="C2272" s="12">
        <v>3700.0</v>
      </c>
      <c r="D2272" s="11" t="b">
        <f t="shared" si="517"/>
        <v>1</v>
      </c>
      <c r="E2272" s="8" t="s">
        <v>1384</v>
      </c>
    </row>
    <row r="2273" ht="15.75" customHeight="1">
      <c r="A2273" s="11" t="s">
        <v>2173</v>
      </c>
      <c r="B2273" s="12">
        <v>1950.0</v>
      </c>
      <c r="C2273" s="12">
        <v>3500.0</v>
      </c>
      <c r="D2273" s="11" t="b">
        <f t="shared" si="517"/>
        <v>1</v>
      </c>
      <c r="E2273" s="8" t="s">
        <v>1384</v>
      </c>
    </row>
    <row r="2274" ht="15.75" customHeight="1">
      <c r="A2274" s="11" t="s">
        <v>2174</v>
      </c>
      <c r="B2274" s="12">
        <v>1615.0</v>
      </c>
      <c r="C2274" s="12">
        <v>3200.0</v>
      </c>
      <c r="D2274" s="11" t="b">
        <f t="shared" si="517"/>
        <v>1</v>
      </c>
      <c r="E2274" s="8" t="s">
        <v>1384</v>
      </c>
    </row>
    <row r="2275" ht="15.75" customHeight="1">
      <c r="A2275" s="9" t="s">
        <v>2175</v>
      </c>
      <c r="B2275" s="10">
        <v>1000.0</v>
      </c>
      <c r="C2275" s="10">
        <v>2500.0</v>
      </c>
      <c r="D2275" s="9" t="b">
        <f t="shared" ref="D2275:D2276" si="518">false</f>
        <v>0</v>
      </c>
      <c r="E2275" s="8" t="s">
        <v>1384</v>
      </c>
    </row>
    <row r="2276" ht="15.75" customHeight="1">
      <c r="A2276" s="9" t="s">
        <v>2176</v>
      </c>
      <c r="B2276" s="10">
        <v>700.0</v>
      </c>
      <c r="C2276" s="10">
        <v>2000.0</v>
      </c>
      <c r="D2276" s="9" t="b">
        <f t="shared" si="518"/>
        <v>0</v>
      </c>
      <c r="E2276" s="8" t="s">
        <v>1384</v>
      </c>
    </row>
    <row r="2277" ht="15.75" customHeight="1">
      <c r="A2277" s="5" t="s">
        <v>2177</v>
      </c>
      <c r="B2277" s="6">
        <v>2274.0</v>
      </c>
      <c r="C2277" s="6">
        <v>3300.0</v>
      </c>
      <c r="D2277" s="11" t="b">
        <f>true</f>
        <v>1</v>
      </c>
      <c r="E2277" s="8" t="s">
        <v>1384</v>
      </c>
    </row>
    <row r="2278" ht="15.75" customHeight="1">
      <c r="A2278" s="9" t="s">
        <v>2178</v>
      </c>
      <c r="B2278" s="10">
        <v>2800.0</v>
      </c>
      <c r="C2278" s="10">
        <v>3900.0</v>
      </c>
      <c r="D2278" s="9" t="b">
        <f>false</f>
        <v>0</v>
      </c>
      <c r="E2278" s="8" t="s">
        <v>1384</v>
      </c>
    </row>
    <row r="2279" ht="15.75" customHeight="1">
      <c r="A2279" s="5" t="s">
        <v>2179</v>
      </c>
      <c r="B2279" s="6">
        <v>2990.0</v>
      </c>
      <c r="C2279" s="6">
        <v>4800.0</v>
      </c>
      <c r="D2279" s="11" t="b">
        <f t="shared" ref="D2279:D2280" si="519">true</f>
        <v>1</v>
      </c>
      <c r="E2279" s="8" t="s">
        <v>1384</v>
      </c>
    </row>
    <row r="2280" ht="15.75" customHeight="1">
      <c r="A2280" s="5" t="s">
        <v>2180</v>
      </c>
      <c r="B2280" s="6">
        <v>2790.0</v>
      </c>
      <c r="C2280" s="6">
        <v>4500.0</v>
      </c>
      <c r="D2280" s="11" t="b">
        <f t="shared" si="519"/>
        <v>1</v>
      </c>
      <c r="E2280" s="8" t="s">
        <v>1384</v>
      </c>
    </row>
    <row r="2281" ht="15.75" customHeight="1">
      <c r="A2281" s="9" t="s">
        <v>2180</v>
      </c>
      <c r="B2281" s="10">
        <v>2090.0</v>
      </c>
      <c r="C2281" s="10">
        <v>3800.0</v>
      </c>
      <c r="D2281" s="9" t="b">
        <f>false</f>
        <v>0</v>
      </c>
      <c r="E2281" s="8" t="s">
        <v>1384</v>
      </c>
    </row>
    <row r="2282" ht="15.75" customHeight="1">
      <c r="A2282" s="5" t="s">
        <v>2181</v>
      </c>
      <c r="B2282" s="6">
        <v>2640.0</v>
      </c>
      <c r="C2282" s="6">
        <v>3900.0</v>
      </c>
      <c r="D2282" s="11" t="b">
        <f>true</f>
        <v>1</v>
      </c>
      <c r="E2282" s="8" t="s">
        <v>1384</v>
      </c>
    </row>
    <row r="2283" ht="15.75" customHeight="1">
      <c r="A2283" s="9" t="s">
        <v>2182</v>
      </c>
      <c r="B2283" s="10">
        <v>3280.0</v>
      </c>
      <c r="C2283" s="10">
        <v>5000.0</v>
      </c>
      <c r="D2283" s="9" t="b">
        <f t="shared" ref="D2283:D2287" si="520">false</f>
        <v>0</v>
      </c>
      <c r="E2283" s="8" t="s">
        <v>1384</v>
      </c>
    </row>
    <row r="2284" ht="15.75" customHeight="1">
      <c r="A2284" s="9" t="s">
        <v>2183</v>
      </c>
      <c r="B2284" s="10">
        <v>3950.0</v>
      </c>
      <c r="C2284" s="10">
        <v>5000.0</v>
      </c>
      <c r="D2284" s="9" t="b">
        <f t="shared" si="520"/>
        <v>0</v>
      </c>
      <c r="E2284" s="8" t="s">
        <v>1384</v>
      </c>
    </row>
    <row r="2285" ht="15.75" customHeight="1">
      <c r="A2285" s="9" t="s">
        <v>2184</v>
      </c>
      <c r="B2285" s="10">
        <v>4450.0</v>
      </c>
      <c r="C2285" s="10">
        <v>6000.0</v>
      </c>
      <c r="D2285" s="9" t="b">
        <f t="shared" si="520"/>
        <v>0</v>
      </c>
      <c r="E2285" s="8" t="s">
        <v>1384</v>
      </c>
    </row>
    <row r="2286" ht="15.75" customHeight="1">
      <c r="A2286" s="9" t="s">
        <v>2185</v>
      </c>
      <c r="B2286" s="10">
        <v>3900.0</v>
      </c>
      <c r="C2286" s="10">
        <v>5350.0</v>
      </c>
      <c r="D2286" s="9" t="b">
        <f t="shared" si="520"/>
        <v>0</v>
      </c>
      <c r="E2286" s="8" t="s">
        <v>1384</v>
      </c>
    </row>
    <row r="2287" ht="15.75" customHeight="1">
      <c r="A2287" s="9" t="s">
        <v>2186</v>
      </c>
      <c r="B2287" s="10">
        <v>3600.0</v>
      </c>
      <c r="C2287" s="10">
        <v>5350.0</v>
      </c>
      <c r="D2287" s="9" t="b">
        <f t="shared" si="520"/>
        <v>0</v>
      </c>
      <c r="E2287" s="8" t="s">
        <v>1384</v>
      </c>
    </row>
    <row r="2288" ht="15.75" customHeight="1">
      <c r="A2288" s="5" t="s">
        <v>2187</v>
      </c>
      <c r="B2288" s="6">
        <v>3950.0</v>
      </c>
      <c r="C2288" s="6">
        <v>5500.0</v>
      </c>
      <c r="D2288" s="11" t="b">
        <f t="shared" ref="D2288:D2289" si="521">true</f>
        <v>1</v>
      </c>
      <c r="E2288" s="8" t="s">
        <v>1384</v>
      </c>
    </row>
    <row r="2289" ht="15.75" customHeight="1">
      <c r="A2289" s="11" t="s">
        <v>2188</v>
      </c>
      <c r="B2289" s="6">
        <v>2980.0</v>
      </c>
      <c r="C2289" s="6">
        <v>4500.0</v>
      </c>
      <c r="D2289" s="11" t="b">
        <f t="shared" si="521"/>
        <v>1</v>
      </c>
      <c r="E2289" s="8" t="s">
        <v>1384</v>
      </c>
    </row>
    <row r="2290" ht="15.75" customHeight="1">
      <c r="A2290" s="9" t="s">
        <v>2189</v>
      </c>
      <c r="B2290" s="10">
        <v>4400.0</v>
      </c>
      <c r="C2290" s="10">
        <v>6350.0</v>
      </c>
      <c r="D2290" s="9" t="b">
        <f t="shared" ref="D2290:D2291" si="522">false</f>
        <v>0</v>
      </c>
      <c r="E2290" s="8" t="s">
        <v>1384</v>
      </c>
    </row>
    <row r="2291" ht="15.75" customHeight="1">
      <c r="A2291" s="9" t="s">
        <v>2190</v>
      </c>
      <c r="B2291" s="10">
        <v>4256.0</v>
      </c>
      <c r="C2291" s="10">
        <v>6350.0</v>
      </c>
      <c r="D2291" s="9" t="b">
        <f t="shared" si="522"/>
        <v>0</v>
      </c>
      <c r="E2291" s="8" t="s">
        <v>1384</v>
      </c>
    </row>
    <row r="2292" ht="15.75" customHeight="1">
      <c r="A2292" s="5" t="s">
        <v>2191</v>
      </c>
      <c r="B2292" s="6">
        <v>4722.0</v>
      </c>
      <c r="C2292" s="6">
        <v>6500.0</v>
      </c>
      <c r="D2292" s="11" t="b">
        <f t="shared" ref="D2292:D2293" si="523">true</f>
        <v>1</v>
      </c>
      <c r="E2292" s="8" t="s">
        <v>1384</v>
      </c>
    </row>
    <row r="2293" ht="15.75" customHeight="1">
      <c r="A2293" s="5" t="s">
        <v>2192</v>
      </c>
      <c r="B2293" s="6">
        <v>81.2</v>
      </c>
      <c r="C2293" s="6">
        <v>200.0</v>
      </c>
      <c r="D2293" s="11" t="b">
        <f t="shared" si="523"/>
        <v>1</v>
      </c>
      <c r="E2293" s="8" t="s">
        <v>1384</v>
      </c>
    </row>
    <row r="2294" ht="15.75" customHeight="1">
      <c r="A2294" s="9" t="s">
        <v>2193</v>
      </c>
      <c r="B2294" s="10">
        <v>79.0</v>
      </c>
      <c r="C2294" s="10">
        <v>200.0</v>
      </c>
      <c r="D2294" s="9" t="b">
        <f t="shared" ref="D2294:D2295" si="524">false</f>
        <v>0</v>
      </c>
      <c r="E2294" s="8" t="s">
        <v>1384</v>
      </c>
    </row>
    <row r="2295" ht="15.75" customHeight="1">
      <c r="A2295" s="9" t="s">
        <v>2194</v>
      </c>
      <c r="B2295" s="10">
        <v>75.0</v>
      </c>
      <c r="C2295" s="10">
        <v>200.0</v>
      </c>
      <c r="D2295" s="9" t="b">
        <f t="shared" si="524"/>
        <v>0</v>
      </c>
      <c r="E2295" s="8" t="s">
        <v>1384</v>
      </c>
    </row>
    <row r="2296" ht="15.75" customHeight="1">
      <c r="A2296" s="5" t="s">
        <v>2195</v>
      </c>
      <c r="B2296" s="6">
        <v>234.0</v>
      </c>
      <c r="C2296" s="6">
        <v>550.0</v>
      </c>
      <c r="D2296" s="11" t="b">
        <f t="shared" ref="D2296:D2310" si="525">true</f>
        <v>1</v>
      </c>
      <c r="E2296" s="8" t="s">
        <v>1384</v>
      </c>
    </row>
    <row r="2297" ht="15.75" customHeight="1">
      <c r="A2297" s="5" t="s">
        <v>2196</v>
      </c>
      <c r="B2297" s="6">
        <v>250.0</v>
      </c>
      <c r="C2297" s="6">
        <v>550.0</v>
      </c>
      <c r="D2297" s="11" t="b">
        <f t="shared" si="525"/>
        <v>1</v>
      </c>
      <c r="E2297" s="8" t="s">
        <v>1384</v>
      </c>
    </row>
    <row r="2298" ht="15.75" customHeight="1">
      <c r="A2298" s="5" t="s">
        <v>2197</v>
      </c>
      <c r="B2298" s="6">
        <v>680.0</v>
      </c>
      <c r="C2298" s="6">
        <v>1250.0</v>
      </c>
      <c r="D2298" s="11" t="b">
        <f t="shared" si="525"/>
        <v>1</v>
      </c>
      <c r="E2298" s="8" t="s">
        <v>1384</v>
      </c>
    </row>
    <row r="2299" ht="15.75" customHeight="1">
      <c r="A2299" s="5" t="s">
        <v>2198</v>
      </c>
      <c r="B2299" s="6">
        <v>380.0</v>
      </c>
      <c r="C2299" s="6">
        <v>750.0</v>
      </c>
      <c r="D2299" s="11" t="b">
        <f t="shared" si="525"/>
        <v>1</v>
      </c>
      <c r="E2299" s="8" t="s">
        <v>1384</v>
      </c>
    </row>
    <row r="2300" ht="15.75" customHeight="1">
      <c r="A2300" s="5" t="s">
        <v>2199</v>
      </c>
      <c r="B2300" s="6">
        <v>660.0</v>
      </c>
      <c r="C2300" s="6">
        <v>1250.0</v>
      </c>
      <c r="D2300" s="11" t="b">
        <f t="shared" si="525"/>
        <v>1</v>
      </c>
      <c r="E2300" s="8" t="s">
        <v>1384</v>
      </c>
    </row>
    <row r="2301" ht="15.75" customHeight="1">
      <c r="A2301" s="5" t="s">
        <v>2200</v>
      </c>
      <c r="B2301" s="6">
        <v>910.0</v>
      </c>
      <c r="C2301" s="6">
        <v>2000.0</v>
      </c>
      <c r="D2301" s="11" t="b">
        <f t="shared" si="525"/>
        <v>1</v>
      </c>
      <c r="E2301" s="8" t="s">
        <v>1384</v>
      </c>
    </row>
    <row r="2302" ht="15.75" customHeight="1">
      <c r="A2302" s="5" t="s">
        <v>2201</v>
      </c>
      <c r="B2302" s="6">
        <v>59.0</v>
      </c>
      <c r="C2302" s="6">
        <v>150.0</v>
      </c>
      <c r="D2302" s="11" t="b">
        <f t="shared" si="525"/>
        <v>1</v>
      </c>
      <c r="E2302" s="8" t="s">
        <v>1384</v>
      </c>
    </row>
    <row r="2303" ht="15.75" customHeight="1">
      <c r="A2303" s="5" t="s">
        <v>2202</v>
      </c>
      <c r="B2303" s="6">
        <v>49.0</v>
      </c>
      <c r="C2303" s="6">
        <v>150.0</v>
      </c>
      <c r="D2303" s="11" t="b">
        <f t="shared" si="525"/>
        <v>1</v>
      </c>
      <c r="E2303" s="8" t="s">
        <v>1384</v>
      </c>
    </row>
    <row r="2304" ht="15.75" customHeight="1">
      <c r="A2304" s="5" t="s">
        <v>2203</v>
      </c>
      <c r="B2304" s="6">
        <v>60.0</v>
      </c>
      <c r="C2304" s="6">
        <v>150.0</v>
      </c>
      <c r="D2304" s="11" t="b">
        <f t="shared" si="525"/>
        <v>1</v>
      </c>
      <c r="E2304" s="8" t="s">
        <v>1384</v>
      </c>
    </row>
    <row r="2305" ht="15.75" customHeight="1">
      <c r="A2305" s="5" t="s">
        <v>2204</v>
      </c>
      <c r="B2305" s="6">
        <v>39.6</v>
      </c>
      <c r="C2305" s="6">
        <v>150.0</v>
      </c>
      <c r="D2305" s="11" t="b">
        <f t="shared" si="525"/>
        <v>1</v>
      </c>
      <c r="E2305" s="8" t="s">
        <v>1384</v>
      </c>
    </row>
    <row r="2306" ht="15.75" customHeight="1">
      <c r="A2306" s="5" t="s">
        <v>2205</v>
      </c>
      <c r="B2306" s="6">
        <v>28.0</v>
      </c>
      <c r="C2306" s="6">
        <v>100.0</v>
      </c>
      <c r="D2306" s="11" t="b">
        <f t="shared" si="525"/>
        <v>1</v>
      </c>
      <c r="E2306" s="8" t="s">
        <v>1384</v>
      </c>
    </row>
    <row r="2307" ht="15.75" customHeight="1">
      <c r="A2307" s="5" t="s">
        <v>2206</v>
      </c>
      <c r="B2307" s="6">
        <v>52.0</v>
      </c>
      <c r="C2307" s="6">
        <v>150.0</v>
      </c>
      <c r="D2307" s="11" t="b">
        <f t="shared" si="525"/>
        <v>1</v>
      </c>
      <c r="E2307" s="8" t="s">
        <v>1384</v>
      </c>
    </row>
    <row r="2308" ht="15.75" customHeight="1">
      <c r="A2308" s="5" t="s">
        <v>2207</v>
      </c>
      <c r="B2308" s="6">
        <v>150.0</v>
      </c>
      <c r="C2308" s="6">
        <v>300.0</v>
      </c>
      <c r="D2308" s="11" t="b">
        <f t="shared" si="525"/>
        <v>1</v>
      </c>
      <c r="E2308" s="8" t="s">
        <v>1384</v>
      </c>
    </row>
    <row r="2309" ht="15.75" customHeight="1">
      <c r="A2309" s="5" t="s">
        <v>2208</v>
      </c>
      <c r="B2309" s="6">
        <v>710.0</v>
      </c>
      <c r="C2309" s="6">
        <v>2900.0</v>
      </c>
      <c r="D2309" s="11" t="b">
        <f t="shared" si="525"/>
        <v>1</v>
      </c>
      <c r="E2309" s="8" t="s">
        <v>1384</v>
      </c>
    </row>
    <row r="2310" ht="15.75" customHeight="1">
      <c r="A2310" s="5" t="s">
        <v>2209</v>
      </c>
      <c r="B2310" s="6">
        <v>1399.0</v>
      </c>
      <c r="C2310" s="6">
        <v>2300.0</v>
      </c>
      <c r="D2310" s="11" t="b">
        <f t="shared" si="525"/>
        <v>1</v>
      </c>
      <c r="E2310" s="8" t="s">
        <v>1384</v>
      </c>
    </row>
    <row r="2311" ht="15.75" customHeight="1">
      <c r="A2311" s="9" t="s">
        <v>2210</v>
      </c>
      <c r="B2311" s="10">
        <v>300.0</v>
      </c>
      <c r="C2311" s="10">
        <v>350.0</v>
      </c>
      <c r="D2311" s="9" t="b">
        <f t="shared" ref="D2311:D2312" si="526">false</f>
        <v>0</v>
      </c>
      <c r="E2311" s="8" t="s">
        <v>1384</v>
      </c>
    </row>
    <row r="2312" ht="15.75" customHeight="1">
      <c r="A2312" s="9" t="s">
        <v>2211</v>
      </c>
      <c r="B2312" s="10">
        <v>250.0</v>
      </c>
      <c r="C2312" s="10">
        <v>350.0</v>
      </c>
      <c r="D2312" s="9" t="b">
        <f t="shared" si="526"/>
        <v>0</v>
      </c>
      <c r="E2312" s="8" t="s">
        <v>1384</v>
      </c>
    </row>
    <row r="2313" ht="15.75" customHeight="1">
      <c r="A2313" s="11" t="s">
        <v>2212</v>
      </c>
      <c r="B2313" s="12">
        <v>125.0</v>
      </c>
      <c r="C2313" s="12">
        <v>250.0</v>
      </c>
      <c r="D2313" s="11" t="b">
        <f t="shared" ref="D2313:D2327" si="527">true</f>
        <v>1</v>
      </c>
      <c r="E2313" s="8" t="s">
        <v>1384</v>
      </c>
    </row>
    <row r="2314" ht="15.75" customHeight="1">
      <c r="A2314" s="5" t="s">
        <v>2213</v>
      </c>
      <c r="B2314" s="6">
        <v>175.0</v>
      </c>
      <c r="C2314" s="6">
        <v>250.0</v>
      </c>
      <c r="D2314" s="11" t="b">
        <f t="shared" si="527"/>
        <v>1</v>
      </c>
      <c r="E2314" s="8" t="s">
        <v>1384</v>
      </c>
    </row>
    <row r="2315" ht="15.75" customHeight="1">
      <c r="A2315" s="5" t="s">
        <v>2214</v>
      </c>
      <c r="B2315" s="6">
        <v>420.0</v>
      </c>
      <c r="C2315" s="6">
        <v>1000.0</v>
      </c>
      <c r="D2315" s="11" t="b">
        <f t="shared" si="527"/>
        <v>1</v>
      </c>
      <c r="E2315" s="8" t="s">
        <v>1384</v>
      </c>
    </row>
    <row r="2316" ht="15.75" customHeight="1">
      <c r="A2316" s="5" t="s">
        <v>2215</v>
      </c>
      <c r="B2316" s="6">
        <v>550.0</v>
      </c>
      <c r="C2316" s="6">
        <v>1000.0</v>
      </c>
      <c r="D2316" s="11" t="b">
        <f t="shared" si="527"/>
        <v>1</v>
      </c>
      <c r="E2316" s="8" t="s">
        <v>1384</v>
      </c>
    </row>
    <row r="2317" ht="15.75" customHeight="1">
      <c r="A2317" s="5" t="s">
        <v>2216</v>
      </c>
      <c r="B2317" s="6">
        <v>500.0</v>
      </c>
      <c r="C2317" s="6">
        <v>1000.0</v>
      </c>
      <c r="D2317" s="11" t="b">
        <f t="shared" si="527"/>
        <v>1</v>
      </c>
      <c r="E2317" s="8" t="s">
        <v>1384</v>
      </c>
    </row>
    <row r="2318" ht="15.75" customHeight="1">
      <c r="A2318" s="5" t="s">
        <v>2217</v>
      </c>
      <c r="B2318" s="6">
        <v>25.0</v>
      </c>
      <c r="C2318" s="6">
        <v>60.0</v>
      </c>
      <c r="D2318" s="11" t="b">
        <f t="shared" si="527"/>
        <v>1</v>
      </c>
      <c r="E2318" s="8" t="s">
        <v>1384</v>
      </c>
    </row>
    <row r="2319" ht="15.75" customHeight="1">
      <c r="A2319" s="5" t="s">
        <v>2218</v>
      </c>
      <c r="B2319" s="6">
        <v>29.0</v>
      </c>
      <c r="C2319" s="6">
        <v>70.0</v>
      </c>
      <c r="D2319" s="11" t="b">
        <f t="shared" si="527"/>
        <v>1</v>
      </c>
      <c r="E2319" s="8" t="s">
        <v>1384</v>
      </c>
    </row>
    <row r="2320" ht="15.75" customHeight="1">
      <c r="A2320" s="5" t="s">
        <v>2219</v>
      </c>
      <c r="B2320" s="6">
        <v>870.0</v>
      </c>
      <c r="C2320" s="6">
        <v>1600.0</v>
      </c>
      <c r="D2320" s="11" t="b">
        <f t="shared" si="527"/>
        <v>1</v>
      </c>
      <c r="E2320" s="8" t="s">
        <v>1384</v>
      </c>
    </row>
    <row r="2321" ht="15.75" customHeight="1">
      <c r="A2321" s="5" t="s">
        <v>2220</v>
      </c>
      <c r="B2321" s="6">
        <v>800.0</v>
      </c>
      <c r="C2321" s="6">
        <v>1600.0</v>
      </c>
      <c r="D2321" s="11" t="b">
        <f t="shared" si="527"/>
        <v>1</v>
      </c>
      <c r="E2321" s="8" t="s">
        <v>1384</v>
      </c>
    </row>
    <row r="2322" ht="15.75" customHeight="1">
      <c r="A2322" s="5" t="s">
        <v>2221</v>
      </c>
      <c r="B2322" s="6">
        <v>930.0</v>
      </c>
      <c r="C2322" s="6">
        <v>1700.0</v>
      </c>
      <c r="D2322" s="11" t="b">
        <f t="shared" si="527"/>
        <v>1</v>
      </c>
      <c r="E2322" s="8" t="s">
        <v>1384</v>
      </c>
    </row>
    <row r="2323" ht="15.75" customHeight="1">
      <c r="A2323" s="5" t="s">
        <v>2222</v>
      </c>
      <c r="B2323" s="6">
        <v>400.0</v>
      </c>
      <c r="C2323" s="6">
        <v>1500.0</v>
      </c>
      <c r="D2323" s="11" t="b">
        <f t="shared" si="527"/>
        <v>1</v>
      </c>
      <c r="E2323" s="8" t="s">
        <v>1384</v>
      </c>
    </row>
    <row r="2324" ht="12.75" customHeight="1">
      <c r="A2324" s="5" t="s">
        <v>2223</v>
      </c>
      <c r="B2324" s="6">
        <v>23.6</v>
      </c>
      <c r="C2324" s="6">
        <v>50.0</v>
      </c>
      <c r="D2324" s="11" t="b">
        <f t="shared" si="527"/>
        <v>1</v>
      </c>
      <c r="E2324" s="8" t="s">
        <v>1384</v>
      </c>
    </row>
    <row r="2325" ht="12.75" customHeight="1">
      <c r="A2325" s="5" t="s">
        <v>2224</v>
      </c>
      <c r="B2325" s="6">
        <v>1180.0</v>
      </c>
      <c r="C2325" s="6">
        <v>2500.0</v>
      </c>
      <c r="D2325" s="11" t="b">
        <f t="shared" si="527"/>
        <v>1</v>
      </c>
      <c r="E2325" s="8" t="s">
        <v>1384</v>
      </c>
    </row>
    <row r="2326" ht="12.75" customHeight="1">
      <c r="A2326" s="5" t="s">
        <v>2225</v>
      </c>
      <c r="B2326" s="6">
        <v>279.0</v>
      </c>
      <c r="C2326" s="6">
        <v>700.0</v>
      </c>
      <c r="D2326" s="11" t="b">
        <f t="shared" si="527"/>
        <v>1</v>
      </c>
      <c r="E2326" s="8" t="s">
        <v>1384</v>
      </c>
    </row>
    <row r="2327" ht="12.75" customHeight="1">
      <c r="A2327" s="5" t="s">
        <v>2226</v>
      </c>
      <c r="B2327" s="6">
        <v>700.0</v>
      </c>
      <c r="C2327" s="6">
        <v>1200.0</v>
      </c>
      <c r="D2327" s="11" t="b">
        <f t="shared" si="527"/>
        <v>1</v>
      </c>
      <c r="E2327" s="8" t="s">
        <v>1384</v>
      </c>
    </row>
    <row r="2328" ht="13.5" customHeight="1">
      <c r="A2328" s="9" t="s">
        <v>2227</v>
      </c>
      <c r="B2328" s="10">
        <v>560.0</v>
      </c>
      <c r="C2328" s="10">
        <v>1000.0</v>
      </c>
      <c r="D2328" s="9" t="b">
        <f>false</f>
        <v>0</v>
      </c>
      <c r="E2328" s="8" t="s">
        <v>2228</v>
      </c>
    </row>
    <row r="2329" ht="13.5" customHeight="1">
      <c r="A2329" s="5" t="s">
        <v>2229</v>
      </c>
      <c r="B2329" s="6">
        <v>520.0</v>
      </c>
      <c r="C2329" s="6">
        <v>1000.0</v>
      </c>
      <c r="D2329" s="11" t="b">
        <f>true</f>
        <v>1</v>
      </c>
      <c r="E2329" s="8" t="s">
        <v>2228</v>
      </c>
    </row>
    <row r="2330" ht="15.75" customHeight="1">
      <c r="A2330" s="9" t="s">
        <v>2230</v>
      </c>
      <c r="B2330" s="10">
        <v>699.0</v>
      </c>
      <c r="C2330" s="10">
        <v>1000.0</v>
      </c>
      <c r="D2330" s="9" t="b">
        <f t="shared" ref="D2330:D2336" si="528">false</f>
        <v>0</v>
      </c>
      <c r="E2330" s="8" t="s">
        <v>2228</v>
      </c>
    </row>
    <row r="2331" ht="15.75" customHeight="1">
      <c r="A2331" s="9" t="s">
        <v>2231</v>
      </c>
      <c r="B2331" s="10">
        <v>609.0</v>
      </c>
      <c r="C2331" s="10">
        <v>850.0</v>
      </c>
      <c r="D2331" s="9" t="b">
        <f t="shared" si="528"/>
        <v>0</v>
      </c>
      <c r="E2331" s="8" t="s">
        <v>2228</v>
      </c>
    </row>
    <row r="2332" ht="15.75" customHeight="1">
      <c r="A2332" s="9" t="s">
        <v>2232</v>
      </c>
      <c r="B2332" s="10">
        <v>449.0</v>
      </c>
      <c r="C2332" s="10">
        <v>600.0</v>
      </c>
      <c r="D2332" s="9" t="b">
        <f t="shared" si="528"/>
        <v>0</v>
      </c>
      <c r="E2332" s="8" t="s">
        <v>2228</v>
      </c>
    </row>
    <row r="2333" ht="15.75" customHeight="1">
      <c r="A2333" s="9" t="s">
        <v>2233</v>
      </c>
      <c r="B2333" s="10">
        <v>389.0</v>
      </c>
      <c r="C2333" s="10">
        <v>550.0</v>
      </c>
      <c r="D2333" s="9" t="b">
        <f t="shared" si="528"/>
        <v>0</v>
      </c>
      <c r="E2333" s="8" t="s">
        <v>2228</v>
      </c>
    </row>
    <row r="2334" ht="15.75" customHeight="1">
      <c r="A2334" s="9" t="s">
        <v>2234</v>
      </c>
      <c r="B2334" s="10">
        <v>259.0</v>
      </c>
      <c r="C2334" s="10">
        <v>500.0</v>
      </c>
      <c r="D2334" s="9" t="b">
        <f t="shared" si="528"/>
        <v>0</v>
      </c>
      <c r="E2334" s="8" t="s">
        <v>2228</v>
      </c>
    </row>
    <row r="2335" ht="15.75" customHeight="1">
      <c r="A2335" s="9" t="s">
        <v>2235</v>
      </c>
      <c r="B2335" s="10">
        <v>359.0</v>
      </c>
      <c r="C2335" s="10">
        <v>500.0</v>
      </c>
      <c r="D2335" s="9" t="b">
        <f t="shared" si="528"/>
        <v>0</v>
      </c>
      <c r="E2335" s="8" t="s">
        <v>2228</v>
      </c>
    </row>
    <row r="2336" ht="15.75" customHeight="1">
      <c r="A2336" s="9" t="s">
        <v>2236</v>
      </c>
      <c r="B2336" s="10">
        <v>329.0</v>
      </c>
      <c r="C2336" s="10">
        <v>600.0</v>
      </c>
      <c r="D2336" s="9" t="b">
        <f t="shared" si="528"/>
        <v>0</v>
      </c>
      <c r="E2336" s="8" t="s">
        <v>2228</v>
      </c>
    </row>
    <row r="2337" ht="15.75" customHeight="1">
      <c r="A2337" s="11" t="s">
        <v>2237</v>
      </c>
      <c r="B2337" s="12">
        <v>456.0</v>
      </c>
      <c r="C2337" s="12">
        <v>1000.0</v>
      </c>
      <c r="D2337" s="11" t="b">
        <f t="shared" ref="D2337:D2338" si="529">true</f>
        <v>1</v>
      </c>
      <c r="E2337" s="8" t="s">
        <v>2228</v>
      </c>
    </row>
    <row r="2338" ht="15.75" customHeight="1">
      <c r="A2338" s="11" t="s">
        <v>2238</v>
      </c>
      <c r="B2338" s="12">
        <v>456.0</v>
      </c>
      <c r="C2338" s="12">
        <v>1000.0</v>
      </c>
      <c r="D2338" s="11" t="b">
        <f t="shared" si="529"/>
        <v>1</v>
      </c>
      <c r="E2338" s="8" t="s">
        <v>2228</v>
      </c>
    </row>
    <row r="2339" ht="15.75" customHeight="1">
      <c r="A2339" s="15" t="s">
        <v>2239</v>
      </c>
      <c r="B2339" s="16">
        <v>456.0</v>
      </c>
      <c r="C2339" s="16">
        <v>1000.0</v>
      </c>
      <c r="D2339" s="15" t="b">
        <f t="shared" ref="D2339:D2340" si="530">false</f>
        <v>0</v>
      </c>
      <c r="E2339" s="8" t="s">
        <v>2228</v>
      </c>
    </row>
    <row r="2340" ht="15.75" customHeight="1">
      <c r="A2340" s="15" t="s">
        <v>2240</v>
      </c>
      <c r="B2340" s="16">
        <v>456.0</v>
      </c>
      <c r="C2340" s="16">
        <v>850.0</v>
      </c>
      <c r="D2340" s="15" t="b">
        <f t="shared" si="530"/>
        <v>0</v>
      </c>
      <c r="E2340" s="8" t="s">
        <v>2228</v>
      </c>
    </row>
    <row r="2341" ht="15.75" customHeight="1">
      <c r="A2341" s="11" t="s">
        <v>2241</v>
      </c>
      <c r="B2341" s="12">
        <v>485.0</v>
      </c>
      <c r="C2341" s="12">
        <v>850.0</v>
      </c>
      <c r="D2341" s="11" t="b">
        <f t="shared" ref="D2341:D2344" si="531">true</f>
        <v>1</v>
      </c>
      <c r="E2341" s="8" t="s">
        <v>2228</v>
      </c>
    </row>
    <row r="2342" ht="15.75" customHeight="1">
      <c r="A2342" s="11" t="s">
        <v>2242</v>
      </c>
      <c r="B2342" s="12">
        <v>485.0</v>
      </c>
      <c r="C2342" s="12">
        <v>1000.0</v>
      </c>
      <c r="D2342" s="11" t="b">
        <f t="shared" si="531"/>
        <v>1</v>
      </c>
      <c r="E2342" s="8" t="s">
        <v>2228</v>
      </c>
    </row>
    <row r="2343" ht="15.75" customHeight="1">
      <c r="A2343" s="11" t="s">
        <v>2243</v>
      </c>
      <c r="B2343" s="12">
        <v>500.0</v>
      </c>
      <c r="C2343" s="12">
        <v>1000.0</v>
      </c>
      <c r="D2343" s="11" t="b">
        <f t="shared" si="531"/>
        <v>1</v>
      </c>
      <c r="E2343" s="8" t="s">
        <v>2228</v>
      </c>
    </row>
    <row r="2344" ht="15.75" customHeight="1">
      <c r="A2344" s="11" t="s">
        <v>2244</v>
      </c>
      <c r="B2344" s="12">
        <v>610.0</v>
      </c>
      <c r="C2344" s="12">
        <v>1000.0</v>
      </c>
      <c r="D2344" s="11" t="b">
        <f t="shared" si="531"/>
        <v>1</v>
      </c>
      <c r="E2344" s="8" t="s">
        <v>2228</v>
      </c>
    </row>
    <row r="2345" ht="15.75" customHeight="1">
      <c r="A2345" s="9" t="s">
        <v>2245</v>
      </c>
      <c r="B2345" s="10">
        <v>2069.0</v>
      </c>
      <c r="C2345" s="10">
        <v>2500.0</v>
      </c>
      <c r="D2345" s="9" t="b">
        <f t="shared" ref="D2345:D2346" si="532">false</f>
        <v>0</v>
      </c>
      <c r="E2345" s="8" t="s">
        <v>2228</v>
      </c>
    </row>
    <row r="2346" ht="15.75" customHeight="1">
      <c r="A2346" s="9" t="s">
        <v>2246</v>
      </c>
      <c r="B2346" s="10">
        <v>3500.0</v>
      </c>
      <c r="C2346" s="10">
        <v>6000.0</v>
      </c>
      <c r="D2346" s="9" t="b">
        <f t="shared" si="532"/>
        <v>0</v>
      </c>
      <c r="E2346" s="8" t="s">
        <v>2228</v>
      </c>
    </row>
    <row r="2347" ht="15.75" customHeight="1">
      <c r="A2347" s="11" t="s">
        <v>2247</v>
      </c>
      <c r="B2347" s="12">
        <v>2500.0</v>
      </c>
      <c r="C2347" s="12">
        <v>5000.0</v>
      </c>
      <c r="D2347" s="11" t="b">
        <f t="shared" ref="D2347:D2350" si="533">true</f>
        <v>1</v>
      </c>
      <c r="E2347" s="8" t="s">
        <v>2228</v>
      </c>
    </row>
    <row r="2348" ht="15.75" customHeight="1">
      <c r="A2348" s="11" t="s">
        <v>2248</v>
      </c>
      <c r="B2348" s="12">
        <v>3990.0</v>
      </c>
      <c r="C2348" s="12">
        <v>6200.0</v>
      </c>
      <c r="D2348" s="11" t="b">
        <f t="shared" si="533"/>
        <v>1</v>
      </c>
      <c r="E2348" s="8" t="s">
        <v>2228</v>
      </c>
    </row>
    <row r="2349" ht="15.75" customHeight="1">
      <c r="A2349" s="11" t="s">
        <v>2249</v>
      </c>
      <c r="B2349" s="12">
        <v>1990.0</v>
      </c>
      <c r="C2349" s="12">
        <v>3500.0</v>
      </c>
      <c r="D2349" s="11" t="b">
        <f t="shared" si="533"/>
        <v>1</v>
      </c>
      <c r="E2349" s="8" t="s">
        <v>2228</v>
      </c>
    </row>
    <row r="2350" ht="15.75" customHeight="1">
      <c r="A2350" s="11" t="s">
        <v>2250</v>
      </c>
      <c r="B2350" s="12">
        <v>240.0</v>
      </c>
      <c r="C2350" s="12">
        <v>750.0</v>
      </c>
      <c r="D2350" s="11" t="b">
        <f t="shared" si="533"/>
        <v>1</v>
      </c>
      <c r="E2350" s="8" t="s">
        <v>2228</v>
      </c>
    </row>
    <row r="2351" ht="15.75" customHeight="1">
      <c r="A2351" s="9" t="s">
        <v>2251</v>
      </c>
      <c r="B2351" s="10">
        <v>1200.0</v>
      </c>
      <c r="C2351" s="10">
        <v>3000.0</v>
      </c>
      <c r="D2351" s="9" t="b">
        <f t="shared" ref="D2351:D2352" si="534">false</f>
        <v>0</v>
      </c>
      <c r="E2351" s="8" t="s">
        <v>2228</v>
      </c>
    </row>
    <row r="2352" ht="15.75" customHeight="1">
      <c r="A2352" s="9" t="s">
        <v>2252</v>
      </c>
      <c r="B2352" s="10">
        <v>1290.0</v>
      </c>
      <c r="C2352" s="10">
        <v>1650.0</v>
      </c>
      <c r="D2352" s="9" t="b">
        <f t="shared" si="534"/>
        <v>0</v>
      </c>
      <c r="E2352" s="8" t="s">
        <v>2228</v>
      </c>
    </row>
    <row r="2353" ht="15.75" customHeight="1">
      <c r="A2353" s="7" t="s">
        <v>2253</v>
      </c>
      <c r="B2353" s="6">
        <v>1490.0</v>
      </c>
      <c r="C2353" s="6">
        <v>1850.0</v>
      </c>
      <c r="D2353" s="11" t="b">
        <f t="shared" ref="D2353:D2355" si="535">true</f>
        <v>1</v>
      </c>
      <c r="E2353" s="8" t="s">
        <v>2228</v>
      </c>
    </row>
    <row r="2354" ht="15.75" customHeight="1">
      <c r="A2354" s="7" t="s">
        <v>2254</v>
      </c>
      <c r="B2354" s="6">
        <v>474.0</v>
      </c>
      <c r="C2354" s="6">
        <v>1000.0</v>
      </c>
      <c r="D2354" s="11" t="b">
        <f t="shared" si="535"/>
        <v>1</v>
      </c>
      <c r="E2354" s="8" t="s">
        <v>2228</v>
      </c>
    </row>
    <row r="2355" ht="15.75" customHeight="1">
      <c r="A2355" s="7" t="s">
        <v>2255</v>
      </c>
      <c r="B2355" s="6">
        <v>2370.0</v>
      </c>
      <c r="C2355" s="6">
        <v>4500.0</v>
      </c>
      <c r="D2355" s="11" t="b">
        <f t="shared" si="535"/>
        <v>1</v>
      </c>
      <c r="E2355" s="8" t="s">
        <v>2228</v>
      </c>
    </row>
    <row r="2356" ht="15.75" customHeight="1">
      <c r="A2356" s="9" t="s">
        <v>2256</v>
      </c>
      <c r="B2356" s="10">
        <v>398.0</v>
      </c>
      <c r="C2356" s="10">
        <v>500.0</v>
      </c>
      <c r="D2356" s="9" t="b">
        <f t="shared" ref="D2356:D2357" si="536">false</f>
        <v>0</v>
      </c>
      <c r="E2356" s="8" t="s">
        <v>2228</v>
      </c>
    </row>
    <row r="2357" ht="15.75" customHeight="1">
      <c r="A2357" s="9" t="s">
        <v>2257</v>
      </c>
      <c r="B2357" s="10">
        <v>690.0</v>
      </c>
      <c r="C2357" s="10">
        <v>1000.0</v>
      </c>
      <c r="D2357" s="9" t="b">
        <f t="shared" si="536"/>
        <v>0</v>
      </c>
      <c r="E2357" s="8" t="s">
        <v>2228</v>
      </c>
    </row>
    <row r="2358" ht="15.75" customHeight="1">
      <c r="A2358" s="5" t="s">
        <v>2258</v>
      </c>
      <c r="B2358" s="6">
        <v>999.0</v>
      </c>
      <c r="C2358" s="6">
        <v>2000.0</v>
      </c>
      <c r="D2358" s="11" t="b">
        <f>true</f>
        <v>1</v>
      </c>
      <c r="E2358" s="8" t="s">
        <v>2228</v>
      </c>
    </row>
    <row r="2359" ht="15.75" customHeight="1">
      <c r="A2359" s="9" t="s">
        <v>2259</v>
      </c>
      <c r="B2359" s="10">
        <v>240.0</v>
      </c>
      <c r="C2359" s="10">
        <v>500.0</v>
      </c>
      <c r="D2359" s="9" t="b">
        <f t="shared" ref="D2359:D2360" si="537">false</f>
        <v>0</v>
      </c>
      <c r="E2359" s="8" t="s">
        <v>2228</v>
      </c>
    </row>
    <row r="2360" ht="15.75" customHeight="1">
      <c r="A2360" s="9" t="s">
        <v>2260</v>
      </c>
      <c r="B2360" s="10">
        <v>120.0</v>
      </c>
      <c r="C2360" s="10">
        <v>240.0</v>
      </c>
      <c r="D2360" s="9" t="b">
        <f t="shared" si="537"/>
        <v>0</v>
      </c>
      <c r="E2360" s="8" t="s">
        <v>2228</v>
      </c>
    </row>
    <row r="2361" ht="15.75" customHeight="1">
      <c r="A2361" s="11" t="s">
        <v>2261</v>
      </c>
      <c r="B2361" s="12">
        <v>2000.0</v>
      </c>
      <c r="C2361" s="12">
        <v>3500.0</v>
      </c>
      <c r="D2361" s="11" t="b">
        <f t="shared" ref="D2361:D2362" si="538">true</f>
        <v>1</v>
      </c>
      <c r="E2361" s="8" t="s">
        <v>2228</v>
      </c>
    </row>
    <row r="2362" ht="15.75" customHeight="1">
      <c r="A2362" s="11" t="s">
        <v>2262</v>
      </c>
      <c r="B2362" s="12">
        <v>399.0</v>
      </c>
      <c r="C2362" s="12">
        <v>1000.0</v>
      </c>
      <c r="D2362" s="11" t="b">
        <f t="shared" si="538"/>
        <v>1</v>
      </c>
      <c r="E2362" s="8" t="s">
        <v>2228</v>
      </c>
    </row>
    <row r="2363" ht="15.75" customHeight="1">
      <c r="A2363" s="9" t="s">
        <v>2263</v>
      </c>
      <c r="B2363" s="10">
        <v>435.0</v>
      </c>
      <c r="C2363" s="10">
        <v>1200.0</v>
      </c>
      <c r="D2363" s="9" t="b">
        <f>false</f>
        <v>0</v>
      </c>
      <c r="E2363" s="8" t="s">
        <v>2228</v>
      </c>
    </row>
    <row r="2364" ht="15.75" customHeight="1">
      <c r="A2364" s="11" t="s">
        <v>2264</v>
      </c>
      <c r="B2364" s="12">
        <v>2350.0</v>
      </c>
      <c r="C2364" s="12">
        <v>2350.0</v>
      </c>
      <c r="D2364" s="11" t="b">
        <f t="shared" ref="D2364:D2370" si="539">true</f>
        <v>1</v>
      </c>
      <c r="E2364" s="8" t="s">
        <v>2228</v>
      </c>
    </row>
    <row r="2365" ht="15.75" customHeight="1">
      <c r="A2365" s="11" t="s">
        <v>2265</v>
      </c>
      <c r="B2365" s="12">
        <v>700.0</v>
      </c>
      <c r="C2365" s="12">
        <v>1500.0</v>
      </c>
      <c r="D2365" s="11" t="b">
        <f t="shared" si="539"/>
        <v>1</v>
      </c>
      <c r="E2365" s="8" t="s">
        <v>2228</v>
      </c>
    </row>
    <row r="2366" ht="15.75" customHeight="1">
      <c r="A2366" s="5" t="s">
        <v>2266</v>
      </c>
      <c r="B2366" s="6">
        <v>949.0</v>
      </c>
      <c r="C2366" s="6">
        <v>1500.0</v>
      </c>
      <c r="D2366" s="11" t="b">
        <f t="shared" si="539"/>
        <v>1</v>
      </c>
      <c r="E2366" s="8" t="s">
        <v>2228</v>
      </c>
    </row>
    <row r="2367" ht="15.75" customHeight="1">
      <c r="A2367" s="5" t="s">
        <v>2267</v>
      </c>
      <c r="B2367" s="6">
        <v>619.0</v>
      </c>
      <c r="C2367" s="6">
        <v>1500.0</v>
      </c>
      <c r="D2367" s="11" t="b">
        <f t="shared" si="539"/>
        <v>1</v>
      </c>
      <c r="E2367" s="8" t="s">
        <v>2228</v>
      </c>
    </row>
    <row r="2368" ht="15.75" customHeight="1">
      <c r="A2368" s="5" t="s">
        <v>2268</v>
      </c>
      <c r="B2368" s="6">
        <v>699.0</v>
      </c>
      <c r="C2368" s="6">
        <v>1500.0</v>
      </c>
      <c r="D2368" s="11" t="b">
        <f t="shared" si="539"/>
        <v>1</v>
      </c>
      <c r="E2368" s="8" t="s">
        <v>2228</v>
      </c>
    </row>
    <row r="2369" ht="15.75" customHeight="1">
      <c r="A2369" s="7" t="s">
        <v>2269</v>
      </c>
      <c r="B2369" s="6">
        <v>99.0</v>
      </c>
      <c r="C2369" s="6">
        <v>150.0</v>
      </c>
      <c r="D2369" s="11" t="b">
        <f t="shared" si="539"/>
        <v>1</v>
      </c>
      <c r="E2369" s="8" t="s">
        <v>2228</v>
      </c>
    </row>
    <row r="2370" ht="15.75" customHeight="1">
      <c r="A2370" s="5" t="s">
        <v>2270</v>
      </c>
      <c r="B2370" s="6">
        <v>1050.0</v>
      </c>
      <c r="C2370" s="6">
        <v>2500.0</v>
      </c>
      <c r="D2370" s="11" t="b">
        <f t="shared" si="539"/>
        <v>1</v>
      </c>
      <c r="E2370" s="8" t="s">
        <v>2228</v>
      </c>
    </row>
    <row r="2371" ht="15.75" customHeight="1">
      <c r="A2371" s="9" t="s">
        <v>2271</v>
      </c>
      <c r="B2371" s="10">
        <v>1500.0</v>
      </c>
      <c r="C2371" s="10">
        <v>3000.0</v>
      </c>
      <c r="D2371" s="9" t="b">
        <f>false</f>
        <v>0</v>
      </c>
      <c r="E2371" s="8" t="s">
        <v>2228</v>
      </c>
    </row>
    <row r="2372" ht="15.75" customHeight="1">
      <c r="A2372" s="7" t="s">
        <v>2272</v>
      </c>
      <c r="B2372" s="6">
        <v>125.0</v>
      </c>
      <c r="C2372" s="6">
        <v>250.0</v>
      </c>
      <c r="D2372" s="11" t="b">
        <f t="shared" ref="D2372:D2381" si="540">true</f>
        <v>1</v>
      </c>
      <c r="E2372" s="8" t="s">
        <v>2228</v>
      </c>
    </row>
    <row r="2373" ht="15.75" customHeight="1">
      <c r="A2373" s="5" t="s">
        <v>2273</v>
      </c>
      <c r="B2373" s="6">
        <v>78.0</v>
      </c>
      <c r="C2373" s="6">
        <v>150.0</v>
      </c>
      <c r="D2373" s="11" t="b">
        <f t="shared" si="540"/>
        <v>1</v>
      </c>
      <c r="E2373" s="8" t="s">
        <v>2228</v>
      </c>
    </row>
    <row r="2374" ht="15.75" customHeight="1">
      <c r="A2374" s="5" t="s">
        <v>2274</v>
      </c>
      <c r="B2374" s="6">
        <v>30.0</v>
      </c>
      <c r="C2374" s="6">
        <v>150.0</v>
      </c>
      <c r="D2374" s="11" t="b">
        <f t="shared" si="540"/>
        <v>1</v>
      </c>
      <c r="E2374" s="8" t="s">
        <v>2228</v>
      </c>
    </row>
    <row r="2375" ht="15.75" customHeight="1">
      <c r="A2375" s="7" t="s">
        <v>2275</v>
      </c>
      <c r="B2375" s="6">
        <v>89.0</v>
      </c>
      <c r="C2375" s="6">
        <v>150.0</v>
      </c>
      <c r="D2375" s="11" t="b">
        <f t="shared" si="540"/>
        <v>1</v>
      </c>
      <c r="E2375" s="8" t="s">
        <v>2228</v>
      </c>
    </row>
    <row r="2376" ht="15.75" customHeight="1">
      <c r="A2376" s="7" t="s">
        <v>2276</v>
      </c>
      <c r="B2376" s="6">
        <v>89.0</v>
      </c>
      <c r="C2376" s="6">
        <v>150.0</v>
      </c>
      <c r="D2376" s="11" t="b">
        <f t="shared" si="540"/>
        <v>1</v>
      </c>
      <c r="E2376" s="8" t="s">
        <v>2228</v>
      </c>
    </row>
    <row r="2377" ht="15.75" customHeight="1">
      <c r="A2377" s="5" t="s">
        <v>2277</v>
      </c>
      <c r="B2377" s="6">
        <v>1800.0</v>
      </c>
      <c r="C2377" s="6">
        <v>3000.0</v>
      </c>
      <c r="D2377" s="11" t="b">
        <f t="shared" si="540"/>
        <v>1</v>
      </c>
      <c r="E2377" s="8" t="s">
        <v>2228</v>
      </c>
    </row>
    <row r="2378" ht="15.75" customHeight="1">
      <c r="A2378" s="5" t="s">
        <v>2278</v>
      </c>
      <c r="B2378" s="6">
        <v>1129.0</v>
      </c>
      <c r="C2378" s="6">
        <v>1500.0</v>
      </c>
      <c r="D2378" s="11" t="b">
        <f t="shared" si="540"/>
        <v>1</v>
      </c>
      <c r="E2378" s="8" t="s">
        <v>2228</v>
      </c>
    </row>
    <row r="2379" ht="15.75" customHeight="1">
      <c r="A2379" s="5" t="s">
        <v>2279</v>
      </c>
      <c r="B2379" s="6">
        <v>188.0</v>
      </c>
      <c r="C2379" s="6">
        <v>250.0</v>
      </c>
      <c r="D2379" s="11" t="b">
        <f t="shared" si="540"/>
        <v>1</v>
      </c>
      <c r="E2379" s="8" t="s">
        <v>2228</v>
      </c>
    </row>
    <row r="2380" ht="15.75" customHeight="1">
      <c r="A2380" s="5" t="s">
        <v>2280</v>
      </c>
      <c r="B2380" s="6">
        <v>500.0</v>
      </c>
      <c r="C2380" s="6">
        <v>1000.0</v>
      </c>
      <c r="D2380" s="11" t="b">
        <f t="shared" si="540"/>
        <v>1</v>
      </c>
      <c r="E2380" s="8" t="s">
        <v>2228</v>
      </c>
    </row>
    <row r="2381" ht="15.75" customHeight="1">
      <c r="A2381" s="5" t="s">
        <v>2281</v>
      </c>
      <c r="B2381" s="6">
        <v>333.0</v>
      </c>
      <c r="C2381" s="6">
        <v>1000.0</v>
      </c>
      <c r="D2381" s="11" t="b">
        <f t="shared" si="540"/>
        <v>1</v>
      </c>
      <c r="E2381" s="8" t="s">
        <v>2228</v>
      </c>
    </row>
    <row r="2382" ht="15.75" customHeight="1">
      <c r="A2382" s="9" t="s">
        <v>2282</v>
      </c>
      <c r="B2382" s="10">
        <v>500.0</v>
      </c>
      <c r="C2382" s="10">
        <v>1200.0</v>
      </c>
      <c r="D2382" s="9" t="b">
        <f>false</f>
        <v>0</v>
      </c>
      <c r="E2382" s="8" t="s">
        <v>2228</v>
      </c>
    </row>
    <row r="2383" ht="15.75" customHeight="1">
      <c r="A2383" s="11" t="s">
        <v>2283</v>
      </c>
      <c r="B2383" s="12">
        <v>500.0</v>
      </c>
      <c r="C2383" s="12">
        <v>1000.0</v>
      </c>
      <c r="D2383" s="11" t="b">
        <f t="shared" ref="D2383:D2387" si="541">true</f>
        <v>1</v>
      </c>
      <c r="E2383" s="8" t="s">
        <v>2228</v>
      </c>
    </row>
    <row r="2384" ht="15.75" customHeight="1">
      <c r="A2384" s="5" t="s">
        <v>2284</v>
      </c>
      <c r="B2384" s="6">
        <v>630.0</v>
      </c>
      <c r="C2384" s="6">
        <v>1000.0</v>
      </c>
      <c r="D2384" s="11" t="b">
        <f t="shared" si="541"/>
        <v>1</v>
      </c>
      <c r="E2384" s="8" t="s">
        <v>2228</v>
      </c>
    </row>
    <row r="2385" ht="15.75" customHeight="1">
      <c r="A2385" s="5" t="s">
        <v>2285</v>
      </c>
      <c r="B2385" s="6">
        <v>200.0</v>
      </c>
      <c r="C2385" s="6">
        <v>500.0</v>
      </c>
      <c r="D2385" s="11" t="b">
        <f t="shared" si="541"/>
        <v>1</v>
      </c>
      <c r="E2385" s="8" t="s">
        <v>2228</v>
      </c>
    </row>
    <row r="2386" ht="15.75" customHeight="1">
      <c r="A2386" s="5" t="s">
        <v>2286</v>
      </c>
      <c r="B2386" s="6">
        <v>709.0</v>
      </c>
      <c r="C2386" s="6">
        <v>1500.0</v>
      </c>
      <c r="D2386" s="11" t="b">
        <f t="shared" si="541"/>
        <v>1</v>
      </c>
      <c r="E2386" s="8" t="s">
        <v>2228</v>
      </c>
    </row>
    <row r="2387" ht="15.75" customHeight="1">
      <c r="A2387" s="5" t="s">
        <v>2287</v>
      </c>
      <c r="B2387" s="6">
        <v>375.0</v>
      </c>
      <c r="C2387" s="6">
        <v>1000.0</v>
      </c>
      <c r="D2387" s="11" t="b">
        <f t="shared" si="541"/>
        <v>1</v>
      </c>
      <c r="E2387" s="8" t="s">
        <v>2228</v>
      </c>
    </row>
    <row r="2388" ht="15.75" customHeight="1">
      <c r="A2388" s="9" t="s">
        <v>2288</v>
      </c>
      <c r="B2388" s="10">
        <v>500.0</v>
      </c>
      <c r="C2388" s="10">
        <v>850.0</v>
      </c>
      <c r="D2388" s="9" t="b">
        <f>false</f>
        <v>0</v>
      </c>
      <c r="E2388" s="8" t="s">
        <v>2228</v>
      </c>
    </row>
    <row r="2389" ht="15.75" customHeight="1">
      <c r="A2389" s="5" t="s">
        <v>2288</v>
      </c>
      <c r="B2389" s="6">
        <v>300.0</v>
      </c>
      <c r="C2389" s="6">
        <v>800.0</v>
      </c>
      <c r="D2389" s="11" t="b">
        <f t="shared" ref="D2389:D2407" si="542">true</f>
        <v>1</v>
      </c>
      <c r="E2389" s="8" t="s">
        <v>2228</v>
      </c>
    </row>
    <row r="2390" ht="15.75" customHeight="1">
      <c r="A2390" s="5" t="s">
        <v>2289</v>
      </c>
      <c r="B2390" s="6">
        <v>328.0</v>
      </c>
      <c r="C2390" s="6">
        <v>800.0</v>
      </c>
      <c r="D2390" s="11" t="b">
        <f t="shared" si="542"/>
        <v>1</v>
      </c>
      <c r="E2390" s="8" t="s">
        <v>2228</v>
      </c>
    </row>
    <row r="2391" ht="15.75" customHeight="1">
      <c r="A2391" s="5" t="s">
        <v>2290</v>
      </c>
      <c r="B2391" s="6">
        <v>650.0</v>
      </c>
      <c r="C2391" s="6">
        <v>1200.0</v>
      </c>
      <c r="D2391" s="11" t="b">
        <f t="shared" si="542"/>
        <v>1</v>
      </c>
      <c r="E2391" s="8" t="s">
        <v>2228</v>
      </c>
    </row>
    <row r="2392" ht="15.75" customHeight="1">
      <c r="A2392" s="5" t="s">
        <v>2291</v>
      </c>
      <c r="B2392" s="6">
        <v>500.0</v>
      </c>
      <c r="C2392" s="6">
        <v>1000.0</v>
      </c>
      <c r="D2392" s="11" t="b">
        <f t="shared" si="542"/>
        <v>1</v>
      </c>
      <c r="E2392" s="8" t="s">
        <v>2228</v>
      </c>
    </row>
    <row r="2393" ht="15.75" customHeight="1">
      <c r="A2393" s="5" t="s">
        <v>2292</v>
      </c>
      <c r="B2393" s="6">
        <v>2000.0</v>
      </c>
      <c r="C2393" s="6">
        <v>3500.0</v>
      </c>
      <c r="D2393" s="11" t="b">
        <f t="shared" si="542"/>
        <v>1</v>
      </c>
      <c r="E2393" s="8" t="s">
        <v>2228</v>
      </c>
    </row>
    <row r="2394" ht="15.75" customHeight="1">
      <c r="A2394" s="5" t="s">
        <v>2293</v>
      </c>
      <c r="B2394" s="6">
        <v>500.0</v>
      </c>
      <c r="C2394" s="6">
        <v>1000.0</v>
      </c>
      <c r="D2394" s="11" t="b">
        <f t="shared" si="542"/>
        <v>1</v>
      </c>
      <c r="E2394" s="8" t="s">
        <v>2228</v>
      </c>
    </row>
    <row r="2395" ht="15.75" customHeight="1">
      <c r="A2395" s="7" t="s">
        <v>2294</v>
      </c>
      <c r="B2395" s="6">
        <v>90.0</v>
      </c>
      <c r="C2395" s="6">
        <v>400.0</v>
      </c>
      <c r="D2395" s="11" t="b">
        <f t="shared" si="542"/>
        <v>1</v>
      </c>
      <c r="E2395" s="8" t="s">
        <v>2295</v>
      </c>
    </row>
    <row r="2396" ht="15.75" customHeight="1">
      <c r="A2396" s="7" t="s">
        <v>2296</v>
      </c>
      <c r="B2396" s="6">
        <v>105.0</v>
      </c>
      <c r="C2396" s="6">
        <v>600.0</v>
      </c>
      <c r="D2396" s="11" t="b">
        <f t="shared" si="542"/>
        <v>1</v>
      </c>
      <c r="E2396" s="8" t="s">
        <v>2295</v>
      </c>
    </row>
    <row r="2397" ht="15.75" customHeight="1">
      <c r="A2397" s="7" t="s">
        <v>2297</v>
      </c>
      <c r="B2397" s="6">
        <v>135.0</v>
      </c>
      <c r="C2397" s="6">
        <v>800.0</v>
      </c>
      <c r="D2397" s="11" t="b">
        <f t="shared" si="542"/>
        <v>1</v>
      </c>
      <c r="E2397" s="8" t="s">
        <v>2295</v>
      </c>
    </row>
    <row r="2398" ht="15.75" customHeight="1">
      <c r="A2398" s="7" t="s">
        <v>2298</v>
      </c>
      <c r="B2398" s="6"/>
      <c r="C2398" s="6">
        <v>1000.0</v>
      </c>
      <c r="D2398" s="11" t="b">
        <f t="shared" si="542"/>
        <v>1</v>
      </c>
      <c r="E2398" s="8" t="s">
        <v>2295</v>
      </c>
    </row>
    <row r="2399" ht="15.75" customHeight="1">
      <c r="A2399" s="7" t="s">
        <v>2299</v>
      </c>
      <c r="B2399" s="6">
        <v>195.0</v>
      </c>
      <c r="C2399" s="6">
        <v>1200.0</v>
      </c>
      <c r="D2399" s="11" t="b">
        <f t="shared" si="542"/>
        <v>1</v>
      </c>
      <c r="E2399" s="8" t="s">
        <v>2295</v>
      </c>
    </row>
    <row r="2400" ht="15.75" customHeight="1">
      <c r="A2400" s="5" t="s">
        <v>2300</v>
      </c>
      <c r="B2400" s="6"/>
      <c r="C2400" s="6">
        <v>1300.0</v>
      </c>
      <c r="D2400" s="11" t="b">
        <f t="shared" si="542"/>
        <v>1</v>
      </c>
      <c r="E2400" s="8" t="s">
        <v>2295</v>
      </c>
    </row>
    <row r="2401" ht="15.75" customHeight="1">
      <c r="A2401" s="5" t="s">
        <v>2301</v>
      </c>
      <c r="B2401" s="6">
        <v>67.0</v>
      </c>
      <c r="C2401" s="6">
        <v>150.0</v>
      </c>
      <c r="D2401" s="11" t="b">
        <f t="shared" si="542"/>
        <v>1</v>
      </c>
      <c r="E2401" s="8" t="s">
        <v>2295</v>
      </c>
    </row>
    <row r="2402" ht="15.75" customHeight="1">
      <c r="A2402" s="5" t="s">
        <v>2302</v>
      </c>
      <c r="B2402" s="6">
        <v>6700.0</v>
      </c>
      <c r="C2402" s="6">
        <v>10000.0</v>
      </c>
      <c r="D2402" s="11" t="b">
        <f t="shared" si="542"/>
        <v>1</v>
      </c>
      <c r="E2402" s="8" t="s">
        <v>2295</v>
      </c>
    </row>
    <row r="2403" ht="15.75" customHeight="1">
      <c r="A2403" s="5" t="s">
        <v>2303</v>
      </c>
      <c r="B2403" s="6">
        <v>105.0</v>
      </c>
      <c r="C2403" s="6">
        <v>200.0</v>
      </c>
      <c r="D2403" s="11" t="b">
        <f t="shared" si="542"/>
        <v>1</v>
      </c>
      <c r="E2403" s="8" t="s">
        <v>2295</v>
      </c>
    </row>
    <row r="2404" ht="15.75" customHeight="1">
      <c r="A2404" s="5" t="s">
        <v>2304</v>
      </c>
      <c r="B2404" s="6">
        <v>3130.0</v>
      </c>
      <c r="C2404" s="6">
        <v>6000.0</v>
      </c>
      <c r="D2404" s="11" t="b">
        <f t="shared" si="542"/>
        <v>1</v>
      </c>
      <c r="E2404" s="8" t="s">
        <v>2295</v>
      </c>
    </row>
    <row r="2405" ht="15.75" customHeight="1">
      <c r="A2405" s="5" t="s">
        <v>2305</v>
      </c>
      <c r="B2405" s="6">
        <v>208.0</v>
      </c>
      <c r="C2405" s="6">
        <v>1000.0</v>
      </c>
      <c r="D2405" s="11" t="b">
        <f t="shared" si="542"/>
        <v>1</v>
      </c>
      <c r="E2405" s="8" t="s">
        <v>2295</v>
      </c>
    </row>
    <row r="2406" ht="15.75" customHeight="1">
      <c r="A2406" s="7" t="s">
        <v>2306</v>
      </c>
      <c r="B2406" s="6">
        <v>600.0</v>
      </c>
      <c r="C2406" s="6">
        <v>1000.0</v>
      </c>
      <c r="D2406" s="11" t="b">
        <f t="shared" si="542"/>
        <v>1</v>
      </c>
      <c r="E2406" s="8" t="s">
        <v>2295</v>
      </c>
    </row>
    <row r="2407" ht="15.75" customHeight="1">
      <c r="A2407" s="7" t="s">
        <v>2307</v>
      </c>
      <c r="B2407" s="6">
        <v>850.0</v>
      </c>
      <c r="C2407" s="6">
        <v>1000.0</v>
      </c>
      <c r="D2407" s="11" t="b">
        <f t="shared" si="542"/>
        <v>1</v>
      </c>
      <c r="E2407" s="8" t="s">
        <v>2295</v>
      </c>
    </row>
    <row r="2408" ht="15.75" customHeight="1">
      <c r="A2408" s="9" t="s">
        <v>2308</v>
      </c>
      <c r="B2408" s="10">
        <v>91.0</v>
      </c>
      <c r="C2408" s="10">
        <v>180.0</v>
      </c>
      <c r="D2408" s="9" t="b">
        <f>false</f>
        <v>0</v>
      </c>
      <c r="E2408" s="8" t="s">
        <v>2295</v>
      </c>
    </row>
    <row r="2409" ht="15.75" customHeight="1">
      <c r="A2409" s="11" t="s">
        <v>2309</v>
      </c>
      <c r="B2409" s="12">
        <v>32.0</v>
      </c>
      <c r="C2409" s="12">
        <v>100.0</v>
      </c>
      <c r="D2409" s="11" t="b">
        <f>true</f>
        <v>1</v>
      </c>
      <c r="E2409" s="8" t="s">
        <v>2295</v>
      </c>
    </row>
    <row r="2410" ht="15.75" customHeight="1">
      <c r="A2410" s="9" t="s">
        <v>2310</v>
      </c>
      <c r="B2410" s="10">
        <v>109.0</v>
      </c>
      <c r="C2410" s="10">
        <v>150.0</v>
      </c>
      <c r="D2410" s="9" t="b">
        <f t="shared" ref="D2410:D2411" si="543">false</f>
        <v>0</v>
      </c>
      <c r="E2410" s="8" t="s">
        <v>2295</v>
      </c>
    </row>
    <row r="2411" ht="15.75" customHeight="1">
      <c r="A2411" s="9" t="s">
        <v>2311</v>
      </c>
      <c r="B2411" s="10">
        <v>54.0</v>
      </c>
      <c r="C2411" s="10">
        <v>150.0</v>
      </c>
      <c r="D2411" s="9" t="b">
        <f t="shared" si="543"/>
        <v>0</v>
      </c>
      <c r="E2411" s="8" t="s">
        <v>2295</v>
      </c>
    </row>
    <row r="2412" ht="15.75" customHeight="1">
      <c r="A2412" s="5" t="s">
        <v>2312</v>
      </c>
      <c r="B2412" s="6">
        <v>63.0</v>
      </c>
      <c r="C2412" s="6">
        <v>150.0</v>
      </c>
      <c r="D2412" s="11" t="b">
        <f>true</f>
        <v>1</v>
      </c>
      <c r="E2412" s="8" t="s">
        <v>2295</v>
      </c>
    </row>
    <row r="2413" ht="15.75" customHeight="1">
      <c r="A2413" s="9" t="s">
        <v>2313</v>
      </c>
      <c r="B2413" s="10">
        <v>165.0</v>
      </c>
      <c r="C2413" s="10">
        <v>200.0</v>
      </c>
      <c r="D2413" s="9" t="b">
        <f>false</f>
        <v>0</v>
      </c>
      <c r="E2413" s="8" t="s">
        <v>2295</v>
      </c>
    </row>
    <row r="2414" ht="15.75" customHeight="1">
      <c r="A2414" s="5" t="s">
        <v>2314</v>
      </c>
      <c r="B2414" s="6">
        <v>80.0</v>
      </c>
      <c r="C2414" s="6">
        <v>200.0</v>
      </c>
      <c r="D2414" s="11" t="b">
        <f>true</f>
        <v>1</v>
      </c>
      <c r="E2414" s="8" t="s">
        <v>2295</v>
      </c>
    </row>
    <row r="2415" ht="15.75" customHeight="1">
      <c r="A2415" s="9" t="s">
        <v>2315</v>
      </c>
      <c r="B2415" s="10">
        <v>183.0</v>
      </c>
      <c r="C2415" s="10">
        <v>350.0</v>
      </c>
      <c r="D2415" s="9" t="b">
        <f>false</f>
        <v>0</v>
      </c>
      <c r="E2415" s="8" t="s">
        <v>2295</v>
      </c>
    </row>
    <row r="2416" ht="15.75" customHeight="1">
      <c r="A2416" s="7" t="s">
        <v>2316</v>
      </c>
      <c r="B2416" s="6">
        <v>160.0</v>
      </c>
      <c r="C2416" s="6">
        <v>350.0</v>
      </c>
      <c r="D2416" s="11" t="b">
        <f>true</f>
        <v>1</v>
      </c>
      <c r="E2416" s="8" t="s">
        <v>2295</v>
      </c>
    </row>
    <row r="2417" ht="15.75" customHeight="1">
      <c r="A2417" s="9" t="s">
        <v>2317</v>
      </c>
      <c r="B2417" s="10">
        <v>337.0</v>
      </c>
      <c r="C2417" s="10">
        <v>500.0</v>
      </c>
      <c r="D2417" s="9" t="b">
        <f>false</f>
        <v>0</v>
      </c>
      <c r="E2417" s="8" t="s">
        <v>2295</v>
      </c>
    </row>
    <row r="2418" ht="15.75" customHeight="1">
      <c r="A2418" s="11" t="s">
        <v>2318</v>
      </c>
      <c r="B2418" s="12">
        <v>190.0</v>
      </c>
      <c r="C2418" s="12">
        <v>500.0</v>
      </c>
      <c r="D2418" s="11" t="b">
        <f t="shared" ref="D2418:D2419" si="544">true</f>
        <v>1</v>
      </c>
      <c r="E2418" s="8" t="s">
        <v>2295</v>
      </c>
    </row>
    <row r="2419" ht="15.75" customHeight="1">
      <c r="A2419" s="5" t="s">
        <v>2319</v>
      </c>
      <c r="B2419" s="6">
        <v>250.0</v>
      </c>
      <c r="C2419" s="6">
        <v>500.0</v>
      </c>
      <c r="D2419" s="11" t="b">
        <f t="shared" si="544"/>
        <v>1</v>
      </c>
      <c r="E2419" s="8" t="s">
        <v>2295</v>
      </c>
    </row>
    <row r="2420" ht="15.75" customHeight="1">
      <c r="A2420" s="9" t="s">
        <v>2320</v>
      </c>
      <c r="B2420" s="10">
        <v>404.0</v>
      </c>
      <c r="C2420" s="10">
        <v>450.0</v>
      </c>
      <c r="D2420" s="9" t="b">
        <f t="shared" ref="D2420:D2421" si="545">false</f>
        <v>0</v>
      </c>
      <c r="E2420" s="8" t="s">
        <v>2295</v>
      </c>
    </row>
    <row r="2421" ht="15.75" customHeight="1">
      <c r="A2421" s="9" t="s">
        <v>2321</v>
      </c>
      <c r="B2421" s="10">
        <v>250.0</v>
      </c>
      <c r="C2421" s="10">
        <v>600.0</v>
      </c>
      <c r="D2421" s="9" t="b">
        <f t="shared" si="545"/>
        <v>0</v>
      </c>
      <c r="E2421" s="8" t="s">
        <v>2295</v>
      </c>
    </row>
    <row r="2422" ht="15.75" customHeight="1">
      <c r="A2422" s="5" t="s">
        <v>2322</v>
      </c>
      <c r="B2422" s="6">
        <v>294.0</v>
      </c>
      <c r="C2422" s="6">
        <v>600.0</v>
      </c>
      <c r="D2422" s="11" t="b">
        <f t="shared" ref="D2422:D2423" si="546">true</f>
        <v>1</v>
      </c>
      <c r="E2422" s="8" t="s">
        <v>2295</v>
      </c>
    </row>
    <row r="2423" ht="15.75" customHeight="1">
      <c r="A2423" s="5" t="s">
        <v>2323</v>
      </c>
      <c r="B2423" s="6">
        <v>420.0</v>
      </c>
      <c r="C2423" s="6">
        <v>800.0</v>
      </c>
      <c r="D2423" s="11" t="b">
        <f t="shared" si="546"/>
        <v>1</v>
      </c>
      <c r="E2423" s="8" t="s">
        <v>2295</v>
      </c>
    </row>
    <row r="2424" ht="15.75" customHeight="1">
      <c r="A2424" s="9" t="s">
        <v>2324</v>
      </c>
      <c r="B2424" s="10">
        <v>362.0</v>
      </c>
      <c r="C2424" s="10">
        <v>700.0</v>
      </c>
      <c r="D2424" s="9" t="b">
        <f t="shared" ref="D2424:D2425" si="547">false</f>
        <v>0</v>
      </c>
      <c r="E2424" s="8" t="s">
        <v>2295</v>
      </c>
    </row>
    <row r="2425" ht="15.75" customHeight="1">
      <c r="A2425" s="9" t="s">
        <v>2325</v>
      </c>
      <c r="B2425" s="10">
        <v>654.0</v>
      </c>
      <c r="C2425" s="10">
        <v>850.0</v>
      </c>
      <c r="D2425" s="9" t="b">
        <f t="shared" si="547"/>
        <v>0</v>
      </c>
      <c r="E2425" s="8" t="s">
        <v>2295</v>
      </c>
    </row>
    <row r="2426" ht="15.75" customHeight="1">
      <c r="A2426" s="5" t="s">
        <v>2326</v>
      </c>
      <c r="B2426" s="6">
        <v>612.0</v>
      </c>
      <c r="C2426" s="6">
        <v>1100.0</v>
      </c>
      <c r="D2426" s="11" t="b">
        <f t="shared" ref="D2426:D2427" si="548">true</f>
        <v>1</v>
      </c>
      <c r="E2426" s="8" t="s">
        <v>2295</v>
      </c>
    </row>
    <row r="2427" ht="15.75" customHeight="1">
      <c r="A2427" s="5" t="s">
        <v>2327</v>
      </c>
      <c r="B2427" s="6">
        <v>766.0</v>
      </c>
      <c r="C2427" s="6">
        <v>1300.0</v>
      </c>
      <c r="D2427" s="11" t="b">
        <f t="shared" si="548"/>
        <v>1</v>
      </c>
      <c r="E2427" s="8" t="s">
        <v>2295</v>
      </c>
    </row>
    <row r="2428" ht="15.75" customHeight="1">
      <c r="A2428" s="9" t="s">
        <v>2328</v>
      </c>
      <c r="B2428" s="10">
        <v>652.0</v>
      </c>
      <c r="C2428" s="10">
        <v>1200.0</v>
      </c>
      <c r="D2428" s="9" t="b">
        <f>false</f>
        <v>0</v>
      </c>
      <c r="E2428" s="8" t="s">
        <v>2295</v>
      </c>
    </row>
    <row r="2429" ht="15.75" customHeight="1">
      <c r="A2429" s="5" t="s">
        <v>2329</v>
      </c>
      <c r="B2429" s="6">
        <v>978.0</v>
      </c>
      <c r="C2429" s="6">
        <v>1600.0</v>
      </c>
      <c r="D2429" s="11" t="b">
        <f t="shared" ref="D2429:D2432" si="549">true</f>
        <v>1</v>
      </c>
      <c r="E2429" s="8" t="s">
        <v>2295</v>
      </c>
    </row>
    <row r="2430" ht="15.75" customHeight="1">
      <c r="A2430" s="5" t="s">
        <v>2330</v>
      </c>
      <c r="B2430" s="6">
        <v>1086.0</v>
      </c>
      <c r="C2430" s="6">
        <v>1800.0</v>
      </c>
      <c r="D2430" s="11" t="b">
        <f t="shared" si="549"/>
        <v>1</v>
      </c>
      <c r="E2430" s="8" t="s">
        <v>2295</v>
      </c>
    </row>
    <row r="2431" ht="15.75" customHeight="1">
      <c r="A2431" s="5" t="s">
        <v>2331</v>
      </c>
      <c r="B2431" s="6">
        <v>1200.0</v>
      </c>
      <c r="C2431" s="6">
        <v>2000.0</v>
      </c>
      <c r="D2431" s="11" t="b">
        <f t="shared" si="549"/>
        <v>1</v>
      </c>
      <c r="E2431" s="8" t="s">
        <v>2295</v>
      </c>
    </row>
    <row r="2432" ht="15.75" customHeight="1">
      <c r="A2432" s="11" t="s">
        <v>2332</v>
      </c>
      <c r="B2432" s="12">
        <v>2240.0</v>
      </c>
      <c r="C2432" s="12">
        <v>3800.0</v>
      </c>
      <c r="D2432" s="11" t="b">
        <f t="shared" si="549"/>
        <v>1</v>
      </c>
      <c r="E2432" s="8" t="s">
        <v>2295</v>
      </c>
    </row>
    <row r="2433" ht="15.75" customHeight="1">
      <c r="A2433" s="9" t="s">
        <v>2333</v>
      </c>
      <c r="B2433" s="10">
        <v>5159.0</v>
      </c>
      <c r="C2433" s="10">
        <v>6000.0</v>
      </c>
      <c r="D2433" s="9" t="b">
        <f t="shared" ref="D2433:D2435" si="550">false</f>
        <v>0</v>
      </c>
      <c r="E2433" s="8" t="s">
        <v>2295</v>
      </c>
    </row>
    <row r="2434" ht="15.75" customHeight="1">
      <c r="A2434" s="9" t="s">
        <v>2334</v>
      </c>
      <c r="B2434" s="10">
        <v>489.0</v>
      </c>
      <c r="C2434" s="10">
        <v>1000.0</v>
      </c>
      <c r="D2434" s="9" t="b">
        <f t="shared" si="550"/>
        <v>0</v>
      </c>
      <c r="E2434" s="8" t="s">
        <v>2295</v>
      </c>
    </row>
    <row r="2435" ht="15.75" customHeight="1">
      <c r="A2435" s="9" t="s">
        <v>2335</v>
      </c>
      <c r="B2435" s="10">
        <v>899.0</v>
      </c>
      <c r="C2435" s="10">
        <v>1500.0</v>
      </c>
      <c r="D2435" s="9" t="b">
        <f t="shared" si="550"/>
        <v>0</v>
      </c>
      <c r="E2435" s="8" t="s">
        <v>2295</v>
      </c>
    </row>
    <row r="2436" ht="15.75" customHeight="1">
      <c r="A2436" s="11" t="s">
        <v>2335</v>
      </c>
      <c r="B2436" s="12">
        <v>669.0</v>
      </c>
      <c r="C2436" s="12">
        <v>1500.0</v>
      </c>
      <c r="D2436" s="11" t="b">
        <f t="shared" ref="D2436:D2438" si="551">true</f>
        <v>1</v>
      </c>
      <c r="E2436" s="8" t="s">
        <v>2295</v>
      </c>
    </row>
    <row r="2437" ht="15.75" customHeight="1">
      <c r="A2437" s="11" t="s">
        <v>2336</v>
      </c>
      <c r="B2437" s="12">
        <v>1129.0</v>
      </c>
      <c r="C2437" s="12">
        <v>2000.0</v>
      </c>
      <c r="D2437" s="11" t="b">
        <f t="shared" si="551"/>
        <v>1</v>
      </c>
      <c r="E2437" s="8" t="s">
        <v>2295</v>
      </c>
    </row>
    <row r="2438" ht="15.75" customHeight="1">
      <c r="A2438" s="11" t="s">
        <v>2337</v>
      </c>
      <c r="B2438" s="12">
        <v>1050.0</v>
      </c>
      <c r="C2438" s="12">
        <v>2000.0</v>
      </c>
      <c r="D2438" s="11" t="b">
        <f t="shared" si="551"/>
        <v>1</v>
      </c>
      <c r="E2438" s="8" t="s">
        <v>2295</v>
      </c>
    </row>
    <row r="2439" ht="15.75" customHeight="1">
      <c r="A2439" s="9" t="s">
        <v>2338</v>
      </c>
      <c r="B2439" s="10">
        <v>1240.0</v>
      </c>
      <c r="C2439" s="10">
        <v>2500.0</v>
      </c>
      <c r="D2439" s="9" t="b">
        <f t="shared" ref="D2439:D2440" si="552">false</f>
        <v>0</v>
      </c>
      <c r="E2439" s="8" t="s">
        <v>2295</v>
      </c>
    </row>
    <row r="2440" ht="15.75" customHeight="1">
      <c r="A2440" s="9" t="s">
        <v>2339</v>
      </c>
      <c r="B2440" s="10">
        <v>500.0</v>
      </c>
      <c r="C2440" s="10">
        <v>1500.0</v>
      </c>
      <c r="D2440" s="9" t="b">
        <f t="shared" si="552"/>
        <v>0</v>
      </c>
      <c r="E2440" s="8" t="s">
        <v>2295</v>
      </c>
    </row>
    <row r="2441" ht="15.75" customHeight="1">
      <c r="A2441" s="5" t="s">
        <v>2340</v>
      </c>
      <c r="B2441" s="6">
        <v>500.0</v>
      </c>
      <c r="C2441" s="6">
        <v>1200.0</v>
      </c>
      <c r="D2441" s="11" t="b">
        <f t="shared" ref="D2441:D2442" si="553">true</f>
        <v>1</v>
      </c>
      <c r="E2441" s="8" t="s">
        <v>2295</v>
      </c>
    </row>
    <row r="2442" ht="15.75" customHeight="1">
      <c r="A2442" s="5" t="s">
        <v>2341</v>
      </c>
      <c r="B2442" s="6">
        <v>450.0</v>
      </c>
      <c r="C2442" s="6">
        <v>1000.0</v>
      </c>
      <c r="D2442" s="11" t="b">
        <f t="shared" si="553"/>
        <v>1</v>
      </c>
      <c r="E2442" s="8" t="s">
        <v>2295</v>
      </c>
    </row>
    <row r="2443" ht="15.75" customHeight="1">
      <c r="A2443" s="9" t="s">
        <v>2342</v>
      </c>
      <c r="B2443" s="10">
        <v>550.0</v>
      </c>
      <c r="C2443" s="10">
        <v>900.0</v>
      </c>
      <c r="D2443" s="9" t="b">
        <f t="shared" ref="D2443:D2450" si="554">false</f>
        <v>0</v>
      </c>
      <c r="E2443" s="8" t="s">
        <v>2295</v>
      </c>
    </row>
    <row r="2444" ht="15.75" customHeight="1">
      <c r="A2444" s="9" t="s">
        <v>2343</v>
      </c>
      <c r="B2444" s="10">
        <v>350.0</v>
      </c>
      <c r="C2444" s="10">
        <v>600.0</v>
      </c>
      <c r="D2444" s="9" t="b">
        <f t="shared" si="554"/>
        <v>0</v>
      </c>
      <c r="E2444" s="8" t="s">
        <v>2295</v>
      </c>
    </row>
    <row r="2445" ht="15.75" customHeight="1">
      <c r="A2445" s="9" t="s">
        <v>2344</v>
      </c>
      <c r="B2445" s="10">
        <v>790.0</v>
      </c>
      <c r="C2445" s="10">
        <v>1200.0</v>
      </c>
      <c r="D2445" s="9" t="b">
        <f t="shared" si="554"/>
        <v>0</v>
      </c>
      <c r="E2445" s="8" t="s">
        <v>2295</v>
      </c>
    </row>
    <row r="2446" ht="15.75" customHeight="1">
      <c r="A2446" s="9" t="s">
        <v>2345</v>
      </c>
      <c r="B2446" s="10">
        <v>300.0</v>
      </c>
      <c r="C2446" s="10">
        <v>600.0</v>
      </c>
      <c r="D2446" s="9" t="b">
        <f t="shared" si="554"/>
        <v>0</v>
      </c>
      <c r="E2446" s="8" t="s">
        <v>2295</v>
      </c>
    </row>
    <row r="2447" ht="15.75" customHeight="1">
      <c r="A2447" s="9" t="s">
        <v>2346</v>
      </c>
      <c r="B2447" s="10">
        <v>500.0</v>
      </c>
      <c r="C2447" s="10">
        <v>850.0</v>
      </c>
      <c r="D2447" s="9" t="b">
        <f t="shared" si="554"/>
        <v>0</v>
      </c>
      <c r="E2447" s="8" t="s">
        <v>2295</v>
      </c>
    </row>
    <row r="2448" ht="15.75" customHeight="1">
      <c r="A2448" s="9" t="s">
        <v>2347</v>
      </c>
      <c r="B2448" s="10">
        <v>7.0</v>
      </c>
      <c r="C2448" s="10">
        <v>15.0</v>
      </c>
      <c r="D2448" s="9" t="b">
        <f t="shared" si="554"/>
        <v>0</v>
      </c>
      <c r="E2448" s="8" t="s">
        <v>2295</v>
      </c>
    </row>
    <row r="2449" ht="15.75" customHeight="1">
      <c r="A2449" s="9" t="s">
        <v>2348</v>
      </c>
      <c r="B2449" s="10">
        <v>14.0</v>
      </c>
      <c r="C2449" s="10">
        <v>25.0</v>
      </c>
      <c r="D2449" s="9" t="b">
        <f t="shared" si="554"/>
        <v>0</v>
      </c>
      <c r="E2449" s="8" t="s">
        <v>2295</v>
      </c>
    </row>
    <row r="2450" ht="15.75" customHeight="1">
      <c r="A2450" s="9" t="s">
        <v>2349</v>
      </c>
      <c r="B2450" s="10">
        <v>0.0</v>
      </c>
      <c r="C2450" s="10">
        <v>30.0</v>
      </c>
      <c r="D2450" s="9" t="b">
        <f t="shared" si="554"/>
        <v>0</v>
      </c>
      <c r="E2450" s="8" t="s">
        <v>2295</v>
      </c>
    </row>
    <row r="2451" ht="15.75" customHeight="1">
      <c r="A2451" s="11" t="s">
        <v>2350</v>
      </c>
      <c r="B2451" s="12">
        <v>150.0</v>
      </c>
      <c r="C2451" s="12">
        <v>1000.0</v>
      </c>
      <c r="D2451" s="11" t="b">
        <f>true</f>
        <v>1</v>
      </c>
      <c r="E2451" s="8" t="s">
        <v>2295</v>
      </c>
    </row>
    <row r="2452" ht="15.75" customHeight="1">
      <c r="A2452" s="9" t="s">
        <v>2351</v>
      </c>
      <c r="B2452" s="10">
        <v>500.0</v>
      </c>
      <c r="C2452" s="10">
        <v>1300.0</v>
      </c>
      <c r="D2452" s="9" t="b">
        <f>false</f>
        <v>0</v>
      </c>
      <c r="E2452" s="8" t="s">
        <v>2295</v>
      </c>
    </row>
    <row r="2453" ht="15.75" customHeight="1">
      <c r="A2453" s="5" t="s">
        <v>2352</v>
      </c>
      <c r="B2453" s="6">
        <v>600.0</v>
      </c>
      <c r="C2453" s="6">
        <v>1300.0</v>
      </c>
      <c r="D2453" s="11" t="b">
        <f>true</f>
        <v>1</v>
      </c>
      <c r="E2453" s="8" t="s">
        <v>2295</v>
      </c>
    </row>
    <row r="2454" ht="15.75" customHeight="1">
      <c r="A2454" s="9" t="s">
        <v>2353</v>
      </c>
      <c r="B2454" s="10">
        <v>600.0</v>
      </c>
      <c r="C2454" s="10">
        <v>1300.0</v>
      </c>
      <c r="D2454" s="9" t="b">
        <f t="shared" ref="D2454:D2456" si="555">false</f>
        <v>0</v>
      </c>
      <c r="E2454" s="8" t="s">
        <v>2295</v>
      </c>
    </row>
    <row r="2455" ht="15.75" customHeight="1">
      <c r="A2455" s="9" t="s">
        <v>2354</v>
      </c>
      <c r="B2455" s="10">
        <v>2500.0</v>
      </c>
      <c r="C2455" s="10">
        <v>2850.0</v>
      </c>
      <c r="D2455" s="9" t="b">
        <f t="shared" si="555"/>
        <v>0</v>
      </c>
      <c r="E2455" s="8" t="s">
        <v>2295</v>
      </c>
    </row>
    <row r="2456" ht="15.75" customHeight="1">
      <c r="A2456" s="9" t="s">
        <v>2355</v>
      </c>
      <c r="B2456" s="10">
        <v>2000.0</v>
      </c>
      <c r="C2456" s="10">
        <v>2400.0</v>
      </c>
      <c r="D2456" s="9" t="b">
        <f t="shared" si="555"/>
        <v>0</v>
      </c>
      <c r="E2456" s="8" t="s">
        <v>2295</v>
      </c>
    </row>
    <row r="2457" ht="15.75" customHeight="1">
      <c r="A2457" s="11" t="s">
        <v>2356</v>
      </c>
      <c r="B2457" s="12">
        <v>1250.0</v>
      </c>
      <c r="C2457" s="12">
        <v>3000.0</v>
      </c>
      <c r="D2457" s="11" t="b">
        <f>true</f>
        <v>1</v>
      </c>
      <c r="E2457" s="8" t="s">
        <v>2295</v>
      </c>
    </row>
    <row r="2458" ht="15.75" customHeight="1">
      <c r="A2458" s="9" t="s">
        <v>2357</v>
      </c>
      <c r="B2458" s="10">
        <v>1000.0</v>
      </c>
      <c r="C2458" s="10">
        <v>2800.0</v>
      </c>
      <c r="D2458" s="9" t="b">
        <f t="shared" ref="D2458:D2459" si="556">false</f>
        <v>0</v>
      </c>
      <c r="E2458" s="8" t="s">
        <v>2295</v>
      </c>
    </row>
    <row r="2459" ht="15.75" customHeight="1">
      <c r="A2459" s="9" t="s">
        <v>2358</v>
      </c>
      <c r="B2459" s="10">
        <v>3500.0</v>
      </c>
      <c r="C2459" s="10">
        <v>6500.0</v>
      </c>
      <c r="D2459" s="9" t="b">
        <f t="shared" si="556"/>
        <v>0</v>
      </c>
      <c r="E2459" s="8" t="s">
        <v>2295</v>
      </c>
    </row>
    <row r="2460" ht="15.75" customHeight="1">
      <c r="A2460" s="11" t="s">
        <v>2359</v>
      </c>
      <c r="B2460" s="12">
        <v>1000.0</v>
      </c>
      <c r="C2460" s="12">
        <v>2000.0</v>
      </c>
      <c r="D2460" s="11" t="b">
        <f>true</f>
        <v>1</v>
      </c>
      <c r="E2460" s="8" t="s">
        <v>2295</v>
      </c>
    </row>
    <row r="2461" ht="15.75" customHeight="1">
      <c r="A2461" s="9" t="s">
        <v>2360</v>
      </c>
      <c r="B2461" s="10">
        <v>500.0</v>
      </c>
      <c r="C2461" s="10">
        <v>1000.0</v>
      </c>
      <c r="D2461" s="9" t="b">
        <f t="shared" ref="D2461:D2463" si="557">false</f>
        <v>0</v>
      </c>
      <c r="E2461" s="8" t="s">
        <v>2295</v>
      </c>
    </row>
    <row r="2462" ht="15.75" customHeight="1">
      <c r="A2462" s="9" t="s">
        <v>2360</v>
      </c>
      <c r="B2462" s="10">
        <v>250.0</v>
      </c>
      <c r="C2462" s="10">
        <v>1000.0</v>
      </c>
      <c r="D2462" s="9" t="b">
        <f t="shared" si="557"/>
        <v>0</v>
      </c>
      <c r="E2462" s="8" t="s">
        <v>2295</v>
      </c>
    </row>
    <row r="2463" ht="15.75" customHeight="1">
      <c r="A2463" s="9" t="s">
        <v>2361</v>
      </c>
      <c r="B2463" s="10">
        <v>500.0</v>
      </c>
      <c r="C2463" s="10">
        <v>1000.0</v>
      </c>
      <c r="D2463" s="9" t="b">
        <f t="shared" si="557"/>
        <v>0</v>
      </c>
      <c r="E2463" s="8" t="s">
        <v>2295</v>
      </c>
    </row>
    <row r="2464" ht="15.75" customHeight="1">
      <c r="A2464" s="5" t="s">
        <v>2362</v>
      </c>
      <c r="B2464" s="6">
        <v>700.0</v>
      </c>
      <c r="C2464" s="6">
        <v>1300.0</v>
      </c>
      <c r="D2464" s="11" t="b">
        <f t="shared" ref="D2464:D2466" si="558">true</f>
        <v>1</v>
      </c>
      <c r="E2464" s="8" t="s">
        <v>2295</v>
      </c>
    </row>
    <row r="2465" ht="15.75" customHeight="1">
      <c r="A2465" s="5" t="s">
        <v>2363</v>
      </c>
      <c r="B2465" s="6">
        <v>1318.0</v>
      </c>
      <c r="C2465" s="6">
        <v>2500.0</v>
      </c>
      <c r="D2465" s="11" t="b">
        <f t="shared" si="558"/>
        <v>1</v>
      </c>
      <c r="E2465" s="8" t="s">
        <v>2295</v>
      </c>
    </row>
    <row r="2466" ht="15.75" customHeight="1">
      <c r="A2466" s="11" t="s">
        <v>2364</v>
      </c>
      <c r="B2466" s="6">
        <v>1200.0</v>
      </c>
      <c r="C2466" s="6">
        <v>2000.0</v>
      </c>
      <c r="D2466" s="11" t="b">
        <f t="shared" si="558"/>
        <v>1</v>
      </c>
      <c r="E2466" s="8" t="s">
        <v>2295</v>
      </c>
    </row>
    <row r="2467" ht="15.75" customHeight="1">
      <c r="A2467" s="9" t="s">
        <v>2365</v>
      </c>
      <c r="B2467" s="10">
        <v>1500.0</v>
      </c>
      <c r="C2467" s="10">
        <v>2500.0</v>
      </c>
      <c r="D2467" s="9" t="b">
        <f t="shared" ref="D2467:D2468" si="559">false</f>
        <v>0</v>
      </c>
      <c r="E2467" s="8" t="s">
        <v>2295</v>
      </c>
    </row>
    <row r="2468" ht="15.75" customHeight="1">
      <c r="A2468" s="9" t="s">
        <v>2366</v>
      </c>
      <c r="B2468" s="10">
        <v>1000.0</v>
      </c>
      <c r="C2468" s="10">
        <v>2500.0</v>
      </c>
      <c r="D2468" s="9" t="b">
        <f t="shared" si="559"/>
        <v>0</v>
      </c>
      <c r="E2468" s="8" t="s">
        <v>2295</v>
      </c>
    </row>
    <row r="2469" ht="15.75" customHeight="1">
      <c r="A2469" s="7" t="s">
        <v>2367</v>
      </c>
      <c r="B2469" s="6">
        <v>1800.0</v>
      </c>
      <c r="C2469" s="6">
        <v>3500.0</v>
      </c>
      <c r="D2469" s="11" t="b">
        <f>true</f>
        <v>1</v>
      </c>
      <c r="E2469" s="8" t="s">
        <v>2295</v>
      </c>
    </row>
    <row r="2470" ht="15.75" customHeight="1">
      <c r="A2470" s="9" t="s">
        <v>2368</v>
      </c>
      <c r="B2470" s="10">
        <v>4000.0</v>
      </c>
      <c r="C2470" s="10">
        <v>6000.0</v>
      </c>
      <c r="D2470" s="9" t="b">
        <f t="shared" ref="D2470:D2471" si="560">false</f>
        <v>0</v>
      </c>
      <c r="E2470" s="8" t="s">
        <v>2295</v>
      </c>
    </row>
    <row r="2471" ht="15.75" customHeight="1">
      <c r="A2471" s="9" t="s">
        <v>2369</v>
      </c>
      <c r="B2471" s="10">
        <v>290.0</v>
      </c>
      <c r="C2471" s="10">
        <v>450.0</v>
      </c>
      <c r="D2471" s="9" t="b">
        <f t="shared" si="560"/>
        <v>0</v>
      </c>
      <c r="E2471" s="8" t="s">
        <v>2295</v>
      </c>
    </row>
    <row r="2472" ht="15.75" customHeight="1">
      <c r="A2472" s="5" t="s">
        <v>2370</v>
      </c>
      <c r="B2472" s="6">
        <v>60.0</v>
      </c>
      <c r="C2472" s="6">
        <v>200.0</v>
      </c>
      <c r="D2472" s="11" t="b">
        <f t="shared" ref="D2472:D2474" si="561">true</f>
        <v>1</v>
      </c>
      <c r="E2472" s="8" t="s">
        <v>2295</v>
      </c>
    </row>
    <row r="2473" ht="15.75" customHeight="1">
      <c r="A2473" s="11" t="s">
        <v>2371</v>
      </c>
      <c r="B2473" s="12">
        <v>135.0</v>
      </c>
      <c r="C2473" s="12">
        <v>500.0</v>
      </c>
      <c r="D2473" s="11" t="b">
        <f t="shared" si="561"/>
        <v>1</v>
      </c>
      <c r="E2473" s="8" t="s">
        <v>2295</v>
      </c>
    </row>
    <row r="2474" ht="15.75" customHeight="1">
      <c r="A2474" s="11" t="s">
        <v>2372</v>
      </c>
      <c r="B2474" s="12">
        <v>550.0</v>
      </c>
      <c r="C2474" s="12">
        <v>850.0</v>
      </c>
      <c r="D2474" s="11" t="b">
        <f t="shared" si="561"/>
        <v>1</v>
      </c>
      <c r="E2474" s="8" t="s">
        <v>2295</v>
      </c>
    </row>
    <row r="2475" ht="15.75" customHeight="1">
      <c r="A2475" s="9" t="s">
        <v>2373</v>
      </c>
      <c r="B2475" s="10">
        <v>710.0</v>
      </c>
      <c r="C2475" s="10">
        <v>1100.0</v>
      </c>
      <c r="D2475" s="9" t="b">
        <f t="shared" ref="D2475:D2476" si="562">false</f>
        <v>0</v>
      </c>
      <c r="E2475" s="8" t="s">
        <v>2295</v>
      </c>
    </row>
    <row r="2476" ht="15.75" customHeight="1">
      <c r="A2476" s="9" t="s">
        <v>2374</v>
      </c>
      <c r="B2476" s="10">
        <v>590.0</v>
      </c>
      <c r="C2476" s="10">
        <v>860.0</v>
      </c>
      <c r="D2476" s="9" t="b">
        <f t="shared" si="562"/>
        <v>0</v>
      </c>
      <c r="E2476" s="8" t="s">
        <v>2295</v>
      </c>
    </row>
    <row r="2477" ht="15.75" customHeight="1">
      <c r="A2477" s="11" t="s">
        <v>2375</v>
      </c>
      <c r="B2477" s="12">
        <v>2000.0</v>
      </c>
      <c r="C2477" s="12">
        <v>3500.0</v>
      </c>
      <c r="D2477" s="11" t="b">
        <f t="shared" ref="D2477:D2481" si="563">true</f>
        <v>1</v>
      </c>
      <c r="E2477" s="8" t="s">
        <v>2295</v>
      </c>
    </row>
    <row r="2478" ht="15.75" customHeight="1">
      <c r="A2478" s="7" t="s">
        <v>2376</v>
      </c>
      <c r="B2478" s="6">
        <v>3300.0</v>
      </c>
      <c r="C2478" s="6">
        <v>5000.0</v>
      </c>
      <c r="D2478" s="11" t="b">
        <f t="shared" si="563"/>
        <v>1</v>
      </c>
      <c r="E2478" s="8" t="s">
        <v>2295</v>
      </c>
    </row>
    <row r="2479" ht="15.75" customHeight="1">
      <c r="A2479" s="5" t="s">
        <v>2377</v>
      </c>
      <c r="B2479" s="6">
        <v>350.0</v>
      </c>
      <c r="C2479" s="6">
        <v>1000.0</v>
      </c>
      <c r="D2479" s="11" t="b">
        <f t="shared" si="563"/>
        <v>1</v>
      </c>
      <c r="E2479" s="8" t="s">
        <v>2295</v>
      </c>
    </row>
    <row r="2480" ht="15.75" customHeight="1">
      <c r="A2480" s="7" t="s">
        <v>2378</v>
      </c>
      <c r="B2480" s="6">
        <v>600.0</v>
      </c>
      <c r="C2480" s="6">
        <v>1000.0</v>
      </c>
      <c r="D2480" s="11" t="b">
        <f t="shared" si="563"/>
        <v>1</v>
      </c>
      <c r="E2480" s="8" t="s">
        <v>2295</v>
      </c>
    </row>
    <row r="2481" ht="15.75" customHeight="1">
      <c r="A2481" s="5" t="s">
        <v>2379</v>
      </c>
      <c r="B2481" s="6">
        <v>5000.0</v>
      </c>
      <c r="C2481" s="6">
        <v>8500.0</v>
      </c>
      <c r="D2481" s="11" t="b">
        <f t="shared" si="563"/>
        <v>1</v>
      </c>
      <c r="E2481" s="8" t="s">
        <v>2295</v>
      </c>
    </row>
    <row r="2482" ht="15.75" customHeight="1">
      <c r="A2482" s="9" t="s">
        <v>2380</v>
      </c>
      <c r="B2482" s="10">
        <v>500.0</v>
      </c>
      <c r="C2482" s="10">
        <v>1000.0</v>
      </c>
      <c r="D2482" s="9" t="b">
        <f>false</f>
        <v>0</v>
      </c>
      <c r="E2482" s="8" t="s">
        <v>2295</v>
      </c>
    </row>
    <row r="2483" ht="15.75" customHeight="1">
      <c r="A2483" s="5" t="s">
        <v>2381</v>
      </c>
      <c r="B2483" s="6">
        <v>250.0</v>
      </c>
      <c r="C2483" s="6">
        <v>1000.0</v>
      </c>
      <c r="D2483" s="11" t="b">
        <f t="shared" ref="D2483:D2486" si="564">true</f>
        <v>1</v>
      </c>
      <c r="E2483" s="8" t="s">
        <v>2295</v>
      </c>
    </row>
    <row r="2484" ht="15.75" customHeight="1">
      <c r="A2484" s="5" t="s">
        <v>2382</v>
      </c>
      <c r="B2484" s="6">
        <v>790.0</v>
      </c>
      <c r="C2484" s="6">
        <v>1000.0</v>
      </c>
      <c r="D2484" s="11" t="b">
        <f t="shared" si="564"/>
        <v>1</v>
      </c>
      <c r="E2484" s="8" t="s">
        <v>2295</v>
      </c>
    </row>
    <row r="2485" ht="15.75" customHeight="1">
      <c r="A2485" s="11" t="s">
        <v>2383</v>
      </c>
      <c r="B2485" s="6">
        <v>500.0</v>
      </c>
      <c r="C2485" s="6">
        <v>1200.0</v>
      </c>
      <c r="D2485" s="11" t="b">
        <f t="shared" si="564"/>
        <v>1</v>
      </c>
      <c r="E2485" s="8" t="s">
        <v>2295</v>
      </c>
    </row>
    <row r="2486" ht="15.75" customHeight="1">
      <c r="A2486" s="5" t="s">
        <v>2384</v>
      </c>
      <c r="B2486" s="6">
        <v>350.0</v>
      </c>
      <c r="C2486" s="6">
        <v>1000.0</v>
      </c>
      <c r="D2486" s="11" t="b">
        <f t="shared" si="564"/>
        <v>1</v>
      </c>
      <c r="E2486" s="8" t="s">
        <v>2295</v>
      </c>
    </row>
    <row r="2487" ht="15.75" customHeight="1">
      <c r="A2487" s="9" t="s">
        <v>2385</v>
      </c>
      <c r="B2487" s="10">
        <v>400.0</v>
      </c>
      <c r="C2487" s="10">
        <v>1000.0</v>
      </c>
      <c r="D2487" s="9" t="b">
        <f>false</f>
        <v>0</v>
      </c>
      <c r="E2487" s="8" t="s">
        <v>2295</v>
      </c>
    </row>
    <row r="2488" ht="15.75" customHeight="1">
      <c r="A2488" s="5" t="s">
        <v>2386</v>
      </c>
      <c r="B2488" s="6">
        <v>680.0</v>
      </c>
      <c r="C2488" s="6">
        <v>1400.0</v>
      </c>
      <c r="D2488" s="11" t="b">
        <f t="shared" ref="D2488:D2491" si="565">true</f>
        <v>1</v>
      </c>
      <c r="E2488" s="8" t="s">
        <v>2295</v>
      </c>
    </row>
    <row r="2489" ht="15.75" customHeight="1">
      <c r="A2489" s="5" t="s">
        <v>2387</v>
      </c>
      <c r="B2489" s="6">
        <v>47.0</v>
      </c>
      <c r="C2489" s="6">
        <v>200.0</v>
      </c>
      <c r="D2489" s="11" t="b">
        <f t="shared" si="565"/>
        <v>1</v>
      </c>
      <c r="E2489" s="8" t="s">
        <v>2388</v>
      </c>
    </row>
    <row r="2490" ht="15.75" customHeight="1">
      <c r="A2490" s="5" t="s">
        <v>2389</v>
      </c>
      <c r="B2490" s="6">
        <v>23.43</v>
      </c>
      <c r="C2490" s="6">
        <v>100.0</v>
      </c>
      <c r="D2490" s="11" t="b">
        <f t="shared" si="565"/>
        <v>1</v>
      </c>
      <c r="E2490" s="8" t="s">
        <v>2388</v>
      </c>
    </row>
    <row r="2491" ht="15.75" customHeight="1">
      <c r="A2491" s="5" t="s">
        <v>2390</v>
      </c>
      <c r="B2491" s="6">
        <v>37.5</v>
      </c>
      <c r="C2491" s="6">
        <v>100.0</v>
      </c>
      <c r="D2491" s="11" t="b">
        <f t="shared" si="565"/>
        <v>1</v>
      </c>
      <c r="E2491" s="8" t="s">
        <v>2388</v>
      </c>
    </row>
    <row r="2492" ht="15.75" customHeight="1">
      <c r="A2492" s="9" t="s">
        <v>2391</v>
      </c>
      <c r="B2492" s="10">
        <v>50.0</v>
      </c>
      <c r="C2492" s="10">
        <v>100.0</v>
      </c>
      <c r="D2492" s="9" t="b">
        <f t="shared" ref="D2492:D2493" si="566">false</f>
        <v>0</v>
      </c>
      <c r="E2492" s="8" t="s">
        <v>2388</v>
      </c>
    </row>
    <row r="2493" ht="15.75" customHeight="1">
      <c r="A2493" s="9" t="s">
        <v>2392</v>
      </c>
      <c r="B2493" s="10">
        <v>400.0</v>
      </c>
      <c r="C2493" s="10">
        <v>800.0</v>
      </c>
      <c r="D2493" s="9" t="b">
        <f t="shared" si="566"/>
        <v>0</v>
      </c>
      <c r="E2493" s="8" t="s">
        <v>2388</v>
      </c>
    </row>
    <row r="2494" ht="15.75" customHeight="1">
      <c r="A2494" s="5" t="s">
        <v>2393</v>
      </c>
      <c r="B2494" s="6">
        <v>2800.0</v>
      </c>
      <c r="C2494" s="6">
        <v>3000.0</v>
      </c>
      <c r="D2494" s="11" t="b">
        <f>true</f>
        <v>1</v>
      </c>
      <c r="E2494" s="8" t="s">
        <v>2388</v>
      </c>
    </row>
    <row r="2495" ht="15.75" customHeight="1">
      <c r="A2495" s="9" t="s">
        <v>2394</v>
      </c>
      <c r="B2495" s="10">
        <v>2200.0</v>
      </c>
      <c r="C2495" s="10">
        <v>3200.0</v>
      </c>
      <c r="D2495" s="9" t="b">
        <f t="shared" ref="D2495:D2496" si="567">false</f>
        <v>0</v>
      </c>
      <c r="E2495" s="8" t="s">
        <v>2388</v>
      </c>
    </row>
    <row r="2496" ht="15.75" customHeight="1">
      <c r="A2496" s="9" t="s">
        <v>2395</v>
      </c>
      <c r="B2496" s="10">
        <v>1990.0</v>
      </c>
      <c r="C2496" s="10">
        <v>4000.0</v>
      </c>
      <c r="D2496" s="9" t="b">
        <f t="shared" si="567"/>
        <v>0</v>
      </c>
      <c r="E2496" s="8" t="s">
        <v>2388</v>
      </c>
    </row>
    <row r="2497" ht="15.75" customHeight="1">
      <c r="A2497" s="11" t="s">
        <v>2396</v>
      </c>
      <c r="B2497" s="12">
        <v>1000.0</v>
      </c>
      <c r="C2497" s="12">
        <v>2500.0</v>
      </c>
      <c r="D2497" s="11" t="b">
        <f>true</f>
        <v>1</v>
      </c>
      <c r="E2497" s="8" t="s">
        <v>2388</v>
      </c>
    </row>
    <row r="2498" ht="15.75" customHeight="1">
      <c r="A2498" s="9" t="s">
        <v>2397</v>
      </c>
      <c r="B2498" s="10">
        <v>650.0</v>
      </c>
      <c r="C2498" s="10">
        <v>1200.0</v>
      </c>
      <c r="D2498" s="9" t="b">
        <f t="shared" ref="D2498:D2499" si="568">false</f>
        <v>0</v>
      </c>
      <c r="E2498" s="8" t="s">
        <v>2388</v>
      </c>
    </row>
    <row r="2499" ht="15.75" customHeight="1">
      <c r="A2499" s="9" t="s">
        <v>2398</v>
      </c>
      <c r="B2499" s="10">
        <v>1300.0</v>
      </c>
      <c r="C2499" s="10">
        <v>2000.0</v>
      </c>
      <c r="D2499" s="9" t="b">
        <f t="shared" si="568"/>
        <v>0</v>
      </c>
      <c r="E2499" s="8" t="s">
        <v>2388</v>
      </c>
    </row>
    <row r="2500" ht="15.75" customHeight="1">
      <c r="A2500" s="11" t="s">
        <v>2399</v>
      </c>
      <c r="B2500" s="12">
        <v>595.0</v>
      </c>
      <c r="C2500" s="12">
        <v>1000.0</v>
      </c>
      <c r="D2500" s="11" t="b">
        <f t="shared" ref="D2500:D2501" si="569">true</f>
        <v>1</v>
      </c>
      <c r="E2500" s="8" t="s">
        <v>2388</v>
      </c>
    </row>
    <row r="2501" ht="15.75" customHeight="1">
      <c r="A2501" s="11" t="s">
        <v>2400</v>
      </c>
      <c r="B2501" s="12">
        <v>595.0</v>
      </c>
      <c r="C2501" s="12">
        <v>1000.0</v>
      </c>
      <c r="D2501" s="11" t="b">
        <f t="shared" si="569"/>
        <v>1</v>
      </c>
      <c r="E2501" s="8" t="s">
        <v>2388</v>
      </c>
    </row>
    <row r="2502" ht="15.75" customHeight="1">
      <c r="A2502" s="9" t="s">
        <v>2401</v>
      </c>
      <c r="B2502" s="10">
        <v>500.0</v>
      </c>
      <c r="C2502" s="10">
        <v>1000.0</v>
      </c>
      <c r="D2502" s="9" t="b">
        <f t="shared" ref="D2502:D2504" si="570">false</f>
        <v>0</v>
      </c>
      <c r="E2502" s="8" t="s">
        <v>2388</v>
      </c>
    </row>
    <row r="2503" ht="15.75" customHeight="1">
      <c r="A2503" s="9" t="s">
        <v>2402</v>
      </c>
      <c r="B2503" s="10">
        <v>1000.0</v>
      </c>
      <c r="C2503" s="10">
        <v>2000.0</v>
      </c>
      <c r="D2503" s="9" t="b">
        <f t="shared" si="570"/>
        <v>0</v>
      </c>
      <c r="E2503" s="8" t="s">
        <v>2388</v>
      </c>
    </row>
    <row r="2504" ht="15.75" customHeight="1">
      <c r="A2504" s="9" t="s">
        <v>2403</v>
      </c>
      <c r="B2504" s="10">
        <v>1000.0</v>
      </c>
      <c r="C2504" s="10">
        <v>2000.0</v>
      </c>
      <c r="D2504" s="9" t="b">
        <f t="shared" si="570"/>
        <v>0</v>
      </c>
      <c r="E2504" s="8" t="s">
        <v>2388</v>
      </c>
    </row>
    <row r="2505" ht="15.75" customHeight="1">
      <c r="A2505" s="7" t="s">
        <v>2404</v>
      </c>
      <c r="B2505" s="6">
        <v>2990.0</v>
      </c>
      <c r="C2505" s="6">
        <v>3500.0</v>
      </c>
      <c r="D2505" s="11" t="b">
        <f t="shared" ref="D2505:D2509" si="571">true</f>
        <v>1</v>
      </c>
      <c r="E2505" s="8" t="s">
        <v>2388</v>
      </c>
    </row>
    <row r="2506" ht="15.75" customHeight="1">
      <c r="A2506" s="5" t="s">
        <v>2405</v>
      </c>
      <c r="B2506" s="6">
        <v>83.33</v>
      </c>
      <c r="C2506" s="6">
        <v>500.0</v>
      </c>
      <c r="D2506" s="11" t="b">
        <f t="shared" si="571"/>
        <v>1</v>
      </c>
      <c r="E2506" s="8" t="s">
        <v>2388</v>
      </c>
    </row>
    <row r="2507" ht="15.75" customHeight="1">
      <c r="A2507" s="5" t="s">
        <v>2406</v>
      </c>
      <c r="B2507" s="6">
        <v>416.66</v>
      </c>
      <c r="C2507" s="6">
        <v>1200.0</v>
      </c>
      <c r="D2507" s="11" t="b">
        <f t="shared" si="571"/>
        <v>1</v>
      </c>
      <c r="E2507" s="8" t="s">
        <v>2388</v>
      </c>
    </row>
    <row r="2508" ht="15.75" customHeight="1">
      <c r="A2508" s="5" t="s">
        <v>2407</v>
      </c>
      <c r="B2508" s="6">
        <v>667.0</v>
      </c>
      <c r="C2508" s="6">
        <v>1200.0</v>
      </c>
      <c r="D2508" s="11" t="b">
        <f t="shared" si="571"/>
        <v>1</v>
      </c>
      <c r="E2508" s="8" t="s">
        <v>2388</v>
      </c>
    </row>
    <row r="2509" ht="15.75" customHeight="1">
      <c r="A2509" s="7" t="s">
        <v>2408</v>
      </c>
      <c r="B2509" s="6">
        <v>4000.0</v>
      </c>
      <c r="C2509" s="6">
        <v>4500.0</v>
      </c>
      <c r="D2509" s="11" t="b">
        <f t="shared" si="571"/>
        <v>1</v>
      </c>
      <c r="E2509" s="8" t="s">
        <v>2388</v>
      </c>
    </row>
    <row r="2510" ht="15.75" customHeight="1">
      <c r="A2510" s="9" t="s">
        <v>2409</v>
      </c>
      <c r="B2510" s="10">
        <v>900.0</v>
      </c>
      <c r="C2510" s="10">
        <v>1500.0</v>
      </c>
      <c r="D2510" s="9" t="b">
        <f>false</f>
        <v>0</v>
      </c>
      <c r="E2510" s="8" t="s">
        <v>2388</v>
      </c>
    </row>
    <row r="2511" ht="15.75" customHeight="1">
      <c r="A2511" s="11" t="s">
        <v>2410</v>
      </c>
      <c r="B2511" s="6">
        <v>800.0</v>
      </c>
      <c r="C2511" s="6">
        <v>1600.0</v>
      </c>
      <c r="D2511" s="11" t="b">
        <f>true</f>
        <v>1</v>
      </c>
      <c r="E2511" s="8" t="s">
        <v>2388</v>
      </c>
    </row>
    <row r="2512" ht="15.75" customHeight="1">
      <c r="A2512" s="9" t="s">
        <v>2411</v>
      </c>
      <c r="B2512" s="10">
        <v>990.0</v>
      </c>
      <c r="C2512" s="10">
        <v>2000.0</v>
      </c>
      <c r="D2512" s="9" t="b">
        <f>false</f>
        <v>0</v>
      </c>
      <c r="E2512" s="8" t="s">
        <v>2388</v>
      </c>
    </row>
    <row r="2513" ht="15.75" customHeight="1">
      <c r="A2513" s="7" t="s">
        <v>2412</v>
      </c>
      <c r="B2513" s="6">
        <v>3300.0</v>
      </c>
      <c r="C2513" s="6">
        <v>3500.0</v>
      </c>
      <c r="D2513" s="11" t="b">
        <f t="shared" ref="D2513:D2514" si="572">true</f>
        <v>1</v>
      </c>
      <c r="E2513" s="8" t="s">
        <v>2388</v>
      </c>
    </row>
    <row r="2514" ht="15.75" customHeight="1">
      <c r="A2514" s="7" t="s">
        <v>2413</v>
      </c>
      <c r="B2514" s="6">
        <v>1400.0</v>
      </c>
      <c r="C2514" s="6">
        <v>1500.0</v>
      </c>
      <c r="D2514" s="11" t="b">
        <f t="shared" si="572"/>
        <v>1</v>
      </c>
      <c r="E2514" s="8" t="s">
        <v>2388</v>
      </c>
    </row>
    <row r="2515" ht="15.75" customHeight="1">
      <c r="A2515" s="9" t="s">
        <v>2414</v>
      </c>
      <c r="B2515" s="10">
        <v>700.0</v>
      </c>
      <c r="C2515" s="10">
        <v>1000.0</v>
      </c>
      <c r="D2515" s="9" t="b">
        <f t="shared" ref="D2515:D2516" si="573">false</f>
        <v>0</v>
      </c>
      <c r="E2515" s="8" t="s">
        <v>2388</v>
      </c>
    </row>
    <row r="2516" ht="15.75" customHeight="1">
      <c r="A2516" s="9" t="s">
        <v>2415</v>
      </c>
      <c r="B2516" s="10">
        <v>500.0</v>
      </c>
      <c r="C2516" s="10">
        <v>800.0</v>
      </c>
      <c r="D2516" s="9" t="b">
        <f t="shared" si="573"/>
        <v>0</v>
      </c>
      <c r="E2516" s="8" t="s">
        <v>2388</v>
      </c>
    </row>
    <row r="2517" ht="15.75" customHeight="1">
      <c r="A2517" s="7" t="s">
        <v>2416</v>
      </c>
      <c r="B2517" s="6">
        <v>3000.0</v>
      </c>
      <c r="C2517" s="6">
        <v>3500.0</v>
      </c>
      <c r="D2517" s="11" t="b">
        <f t="shared" ref="D2517:D2521" si="574">true</f>
        <v>1</v>
      </c>
      <c r="E2517" s="8" t="s">
        <v>2388</v>
      </c>
    </row>
    <row r="2518" ht="15.75" customHeight="1">
      <c r="A2518" s="5" t="s">
        <v>2417</v>
      </c>
      <c r="B2518" s="6">
        <v>3000.0</v>
      </c>
      <c r="C2518" s="6">
        <v>3500.0</v>
      </c>
      <c r="D2518" s="11" t="b">
        <f t="shared" si="574"/>
        <v>1</v>
      </c>
      <c r="E2518" s="8" t="s">
        <v>2388</v>
      </c>
    </row>
    <row r="2519" ht="15.75" customHeight="1">
      <c r="A2519" s="5" t="s">
        <v>2418</v>
      </c>
      <c r="B2519" s="6">
        <v>1500.0</v>
      </c>
      <c r="C2519" s="6">
        <v>2500.0</v>
      </c>
      <c r="D2519" s="11" t="b">
        <f t="shared" si="574"/>
        <v>1</v>
      </c>
      <c r="E2519" s="8" t="s">
        <v>2388</v>
      </c>
    </row>
    <row r="2520" ht="15.75" customHeight="1">
      <c r="A2520" s="5" t="s">
        <v>2419</v>
      </c>
      <c r="B2520" s="6">
        <v>2380.0</v>
      </c>
      <c r="C2520" s="6">
        <v>3800.0</v>
      </c>
      <c r="D2520" s="11" t="b">
        <f t="shared" si="574"/>
        <v>1</v>
      </c>
      <c r="E2520" s="8" t="s">
        <v>2388</v>
      </c>
    </row>
    <row r="2521" ht="15.75" customHeight="1">
      <c r="A2521" s="5" t="s">
        <v>2420</v>
      </c>
      <c r="B2521" s="6">
        <v>2000.0</v>
      </c>
      <c r="C2521" s="6">
        <v>3500.0</v>
      </c>
      <c r="D2521" s="11" t="b">
        <f t="shared" si="574"/>
        <v>1</v>
      </c>
      <c r="E2521" s="8" t="s">
        <v>2388</v>
      </c>
    </row>
    <row r="2522" ht="15.75" customHeight="1">
      <c r="A2522" s="9" t="s">
        <v>2421</v>
      </c>
      <c r="B2522" s="10">
        <v>1800.0</v>
      </c>
      <c r="C2522" s="10">
        <v>3500.0</v>
      </c>
      <c r="D2522" s="9" t="b">
        <f t="shared" ref="D2522:D2525" si="575">false</f>
        <v>0</v>
      </c>
      <c r="E2522" s="8" t="s">
        <v>2388</v>
      </c>
    </row>
    <row r="2523" ht="15.75" customHeight="1">
      <c r="A2523" s="9" t="s">
        <v>2422</v>
      </c>
      <c r="B2523" s="10">
        <v>2000.0</v>
      </c>
      <c r="C2523" s="10">
        <v>3800.0</v>
      </c>
      <c r="D2523" s="9" t="b">
        <f t="shared" si="575"/>
        <v>0</v>
      </c>
      <c r="E2523" s="8" t="s">
        <v>2388</v>
      </c>
    </row>
    <row r="2524" ht="15.75" customHeight="1">
      <c r="A2524" s="9" t="s">
        <v>2423</v>
      </c>
      <c r="B2524" s="10">
        <v>1850.0</v>
      </c>
      <c r="C2524" s="10">
        <v>3500.0</v>
      </c>
      <c r="D2524" s="9" t="b">
        <f t="shared" si="575"/>
        <v>0</v>
      </c>
      <c r="E2524" s="8" t="s">
        <v>2388</v>
      </c>
    </row>
    <row r="2525" ht="15.75" customHeight="1">
      <c r="A2525" s="9" t="s">
        <v>2423</v>
      </c>
      <c r="B2525" s="10">
        <v>2000.0</v>
      </c>
      <c r="C2525" s="10">
        <v>3500.0</v>
      </c>
      <c r="D2525" s="9" t="b">
        <f t="shared" si="575"/>
        <v>0</v>
      </c>
      <c r="E2525" s="8" t="s">
        <v>2388</v>
      </c>
    </row>
    <row r="2526" ht="15.75" customHeight="1">
      <c r="A2526" s="5" t="s">
        <v>2424</v>
      </c>
      <c r="B2526" s="6">
        <v>1500.0</v>
      </c>
      <c r="C2526" s="6">
        <v>3000.0</v>
      </c>
      <c r="D2526" s="11" t="b">
        <f t="shared" ref="D2526:D2527" si="576">true</f>
        <v>1</v>
      </c>
      <c r="E2526" s="8" t="s">
        <v>2388</v>
      </c>
    </row>
    <row r="2527" ht="15.75" customHeight="1">
      <c r="A2527" s="7" t="s">
        <v>2425</v>
      </c>
      <c r="B2527" s="6">
        <v>1000.0</v>
      </c>
      <c r="C2527" s="6">
        <v>2500.0</v>
      </c>
      <c r="D2527" s="11" t="b">
        <f t="shared" si="576"/>
        <v>1</v>
      </c>
      <c r="E2527" s="8" t="s">
        <v>2388</v>
      </c>
    </row>
    <row r="2528" ht="15.75" customHeight="1">
      <c r="A2528" s="9" t="s">
        <v>2426</v>
      </c>
      <c r="B2528" s="10">
        <v>2000.0</v>
      </c>
      <c r="C2528" s="10">
        <v>3500.0</v>
      </c>
      <c r="D2528" s="9" t="b">
        <f>false</f>
        <v>0</v>
      </c>
      <c r="E2528" s="8" t="s">
        <v>2388</v>
      </c>
    </row>
    <row r="2529" ht="15.75" customHeight="1">
      <c r="A2529" s="11" t="s">
        <v>2427</v>
      </c>
      <c r="B2529" s="12">
        <v>2500.0</v>
      </c>
      <c r="C2529" s="12">
        <v>5000.0</v>
      </c>
      <c r="D2529" s="11" t="b">
        <f>true</f>
        <v>1</v>
      </c>
      <c r="E2529" s="8" t="s">
        <v>2388</v>
      </c>
    </row>
    <row r="2530" ht="15.75" customHeight="1">
      <c r="A2530" s="9" t="s">
        <v>2428</v>
      </c>
      <c r="B2530" s="10">
        <v>4000.0</v>
      </c>
      <c r="C2530" s="10">
        <v>6000.0</v>
      </c>
      <c r="D2530" s="9" t="b">
        <f t="shared" ref="D2530:D2540" si="577">false</f>
        <v>0</v>
      </c>
      <c r="E2530" s="8" t="s">
        <v>2388</v>
      </c>
    </row>
    <row r="2531" ht="15.75" customHeight="1">
      <c r="A2531" s="9" t="s">
        <v>2429</v>
      </c>
      <c r="B2531" s="10">
        <v>2000.0</v>
      </c>
      <c r="C2531" s="10">
        <v>4000.0</v>
      </c>
      <c r="D2531" s="9" t="b">
        <f t="shared" si="577"/>
        <v>0</v>
      </c>
      <c r="E2531" s="8" t="s">
        <v>2388</v>
      </c>
    </row>
    <row r="2532" ht="15.75" customHeight="1">
      <c r="A2532" s="9" t="s">
        <v>2430</v>
      </c>
      <c r="B2532" s="10">
        <v>2000.0</v>
      </c>
      <c r="C2532" s="10">
        <v>4000.0</v>
      </c>
      <c r="D2532" s="9" t="b">
        <f t="shared" si="577"/>
        <v>0</v>
      </c>
      <c r="E2532" s="8" t="s">
        <v>2388</v>
      </c>
    </row>
    <row r="2533" ht="15.75" customHeight="1">
      <c r="A2533" s="9" t="s">
        <v>2431</v>
      </c>
      <c r="B2533" s="10">
        <v>2000.0</v>
      </c>
      <c r="C2533" s="10">
        <v>4000.0</v>
      </c>
      <c r="D2533" s="9" t="b">
        <f t="shared" si="577"/>
        <v>0</v>
      </c>
      <c r="E2533" s="8" t="s">
        <v>2388</v>
      </c>
    </row>
    <row r="2534" ht="15.75" customHeight="1">
      <c r="A2534" s="9" t="s">
        <v>2432</v>
      </c>
      <c r="B2534" s="10">
        <v>2000.0</v>
      </c>
      <c r="C2534" s="10">
        <v>4000.0</v>
      </c>
      <c r="D2534" s="9" t="b">
        <f t="shared" si="577"/>
        <v>0</v>
      </c>
      <c r="E2534" s="8" t="s">
        <v>2388</v>
      </c>
    </row>
    <row r="2535" ht="15.75" customHeight="1">
      <c r="A2535" s="9" t="s">
        <v>2433</v>
      </c>
      <c r="B2535" s="10">
        <v>2000.0</v>
      </c>
      <c r="C2535" s="10">
        <v>4000.0</v>
      </c>
      <c r="D2535" s="9" t="b">
        <f t="shared" si="577"/>
        <v>0</v>
      </c>
      <c r="E2535" s="8" t="s">
        <v>2388</v>
      </c>
    </row>
    <row r="2536" ht="15.75" customHeight="1">
      <c r="A2536" s="9" t="s">
        <v>2434</v>
      </c>
      <c r="B2536" s="10">
        <v>1800.0</v>
      </c>
      <c r="C2536" s="10">
        <v>4000.0</v>
      </c>
      <c r="D2536" s="9" t="b">
        <f t="shared" si="577"/>
        <v>0</v>
      </c>
      <c r="E2536" s="8" t="s">
        <v>2388</v>
      </c>
    </row>
    <row r="2537" ht="15.75" customHeight="1">
      <c r="A2537" s="9" t="s">
        <v>2435</v>
      </c>
      <c r="B2537" s="10">
        <v>5000.0</v>
      </c>
      <c r="C2537" s="10">
        <v>4000.0</v>
      </c>
      <c r="D2537" s="9" t="b">
        <f t="shared" si="577"/>
        <v>0</v>
      </c>
      <c r="E2537" s="8" t="s">
        <v>2388</v>
      </c>
    </row>
    <row r="2538" ht="15.75" customHeight="1">
      <c r="A2538" s="9" t="s">
        <v>2436</v>
      </c>
      <c r="B2538" s="10">
        <v>7000.0</v>
      </c>
      <c r="C2538" s="10">
        <v>7000.0</v>
      </c>
      <c r="D2538" s="9" t="b">
        <f t="shared" si="577"/>
        <v>0</v>
      </c>
      <c r="E2538" s="8" t="s">
        <v>2388</v>
      </c>
    </row>
    <row r="2539" ht="15.75" customHeight="1">
      <c r="A2539" s="9" t="s">
        <v>2437</v>
      </c>
      <c r="B2539" s="10">
        <v>2500.0</v>
      </c>
      <c r="C2539" s="10">
        <v>7000.0</v>
      </c>
      <c r="D2539" s="9" t="b">
        <f t="shared" si="577"/>
        <v>0</v>
      </c>
      <c r="E2539" s="8" t="s">
        <v>2388</v>
      </c>
    </row>
    <row r="2540" ht="15.75" customHeight="1">
      <c r="A2540" s="9" t="s">
        <v>2438</v>
      </c>
      <c r="B2540" s="10">
        <v>3990.0</v>
      </c>
      <c r="C2540" s="10">
        <v>6500.0</v>
      </c>
      <c r="D2540" s="9" t="b">
        <f t="shared" si="577"/>
        <v>0</v>
      </c>
      <c r="E2540" s="8" t="s">
        <v>2388</v>
      </c>
    </row>
    <row r="2541" ht="15.75" customHeight="1">
      <c r="A2541" s="5" t="s">
        <v>2439</v>
      </c>
      <c r="B2541" s="6">
        <v>2500.0</v>
      </c>
      <c r="C2541" s="6">
        <v>6000.0</v>
      </c>
      <c r="D2541" s="11" t="b">
        <f t="shared" ref="D2541:D2543" si="578">true</f>
        <v>1</v>
      </c>
      <c r="E2541" s="8" t="s">
        <v>2388</v>
      </c>
    </row>
    <row r="2542" ht="15.75" customHeight="1">
      <c r="A2542" s="5" t="s">
        <v>2440</v>
      </c>
      <c r="B2542" s="6">
        <v>2500.0</v>
      </c>
      <c r="C2542" s="6">
        <v>6000.0</v>
      </c>
      <c r="D2542" s="11" t="b">
        <f t="shared" si="578"/>
        <v>1</v>
      </c>
      <c r="E2542" s="8" t="s">
        <v>2388</v>
      </c>
    </row>
    <row r="2543" ht="15.75" customHeight="1">
      <c r="A2543" s="11" t="s">
        <v>2441</v>
      </c>
      <c r="B2543" s="12">
        <v>7140.0</v>
      </c>
      <c r="C2543" s="12">
        <v>10500.0</v>
      </c>
      <c r="D2543" s="11" t="b">
        <f t="shared" si="578"/>
        <v>1</v>
      </c>
      <c r="E2543" s="8" t="s">
        <v>2388</v>
      </c>
    </row>
    <row r="2544" ht="15.75" customHeight="1">
      <c r="A2544" s="9" t="s">
        <v>2442</v>
      </c>
      <c r="B2544" s="10">
        <v>8500.0</v>
      </c>
      <c r="C2544" s="10">
        <v>12000.0</v>
      </c>
      <c r="D2544" s="9" t="b">
        <f>false</f>
        <v>0</v>
      </c>
      <c r="E2544" s="8" t="s">
        <v>2388</v>
      </c>
    </row>
    <row r="2545" ht="15.75" customHeight="1">
      <c r="A2545" s="5" t="s">
        <v>2443</v>
      </c>
      <c r="B2545" s="6">
        <v>4000.0</v>
      </c>
      <c r="C2545" s="6">
        <v>7000.0</v>
      </c>
      <c r="D2545" s="11" t="b">
        <f t="shared" ref="D2545:D2555" si="579">true</f>
        <v>1</v>
      </c>
      <c r="E2545" s="8" t="s">
        <v>2388</v>
      </c>
    </row>
    <row r="2546" ht="15.75" customHeight="1">
      <c r="A2546" s="5" t="s">
        <v>2444</v>
      </c>
      <c r="B2546" s="6">
        <v>5000.0</v>
      </c>
      <c r="C2546" s="6">
        <v>7500.0</v>
      </c>
      <c r="D2546" s="11" t="b">
        <f t="shared" si="579"/>
        <v>1</v>
      </c>
      <c r="E2546" s="8" t="s">
        <v>2388</v>
      </c>
    </row>
    <row r="2547" ht="15.75" customHeight="1">
      <c r="A2547" s="5" t="s">
        <v>2445</v>
      </c>
      <c r="B2547" s="6">
        <v>9000.0</v>
      </c>
      <c r="C2547" s="6">
        <v>10500.0</v>
      </c>
      <c r="D2547" s="11" t="b">
        <f t="shared" si="579"/>
        <v>1</v>
      </c>
      <c r="E2547" s="8" t="s">
        <v>2388</v>
      </c>
    </row>
    <row r="2548" ht="15.75" customHeight="1">
      <c r="A2548" s="5" t="s">
        <v>2446</v>
      </c>
      <c r="B2548" s="6">
        <v>2500.0</v>
      </c>
      <c r="C2548" s="6">
        <v>3500.0</v>
      </c>
      <c r="D2548" s="11" t="b">
        <f t="shared" si="579"/>
        <v>1</v>
      </c>
      <c r="E2548" s="8" t="s">
        <v>2388</v>
      </c>
    </row>
    <row r="2549" ht="15.75" customHeight="1">
      <c r="A2549" s="5" t="s">
        <v>2447</v>
      </c>
      <c r="B2549" s="6">
        <v>3500.0</v>
      </c>
      <c r="C2549" s="6">
        <v>5500.0</v>
      </c>
      <c r="D2549" s="11" t="b">
        <f t="shared" si="579"/>
        <v>1</v>
      </c>
      <c r="E2549" s="8" t="s">
        <v>2388</v>
      </c>
    </row>
    <row r="2550" ht="15.75" customHeight="1">
      <c r="A2550" s="5" t="s">
        <v>2448</v>
      </c>
      <c r="B2550" s="6">
        <v>1500.0</v>
      </c>
      <c r="C2550" s="6">
        <v>2500.0</v>
      </c>
      <c r="D2550" s="11" t="b">
        <f t="shared" si="579"/>
        <v>1</v>
      </c>
      <c r="E2550" s="8" t="s">
        <v>2388</v>
      </c>
    </row>
    <row r="2551" ht="15.75" customHeight="1">
      <c r="A2551" s="7" t="s">
        <v>2449</v>
      </c>
      <c r="B2551" s="6">
        <v>3500.0</v>
      </c>
      <c r="C2551" s="6">
        <v>3500.0</v>
      </c>
      <c r="D2551" s="11" t="b">
        <f t="shared" si="579"/>
        <v>1</v>
      </c>
      <c r="E2551" s="8" t="s">
        <v>2388</v>
      </c>
    </row>
    <row r="2552" ht="15.75" customHeight="1">
      <c r="A2552" s="5" t="s">
        <v>2450</v>
      </c>
      <c r="B2552" s="6">
        <v>2100.0</v>
      </c>
      <c r="C2552" s="6">
        <v>2500.0</v>
      </c>
      <c r="D2552" s="11" t="b">
        <f t="shared" si="579"/>
        <v>1</v>
      </c>
      <c r="E2552" s="8" t="s">
        <v>2388</v>
      </c>
    </row>
    <row r="2553" ht="15.75" customHeight="1">
      <c r="A2553" s="5" t="s">
        <v>2451</v>
      </c>
      <c r="B2553" s="6">
        <v>900.0</v>
      </c>
      <c r="C2553" s="6">
        <v>1700.0</v>
      </c>
      <c r="D2553" s="11" t="b">
        <f t="shared" si="579"/>
        <v>1</v>
      </c>
      <c r="E2553" s="8" t="s">
        <v>2388</v>
      </c>
    </row>
    <row r="2554" ht="15.75" customHeight="1">
      <c r="A2554" s="5" t="s">
        <v>2452</v>
      </c>
      <c r="B2554" s="6">
        <v>900.0</v>
      </c>
      <c r="C2554" s="6">
        <v>1700.0</v>
      </c>
      <c r="D2554" s="11" t="b">
        <f t="shared" si="579"/>
        <v>1</v>
      </c>
      <c r="E2554" s="8" t="s">
        <v>2388</v>
      </c>
    </row>
    <row r="2555" ht="15.75" customHeight="1">
      <c r="A2555" s="5" t="s">
        <v>2452</v>
      </c>
      <c r="B2555" s="6">
        <v>750.0</v>
      </c>
      <c r="C2555" s="6">
        <v>1700.0</v>
      </c>
      <c r="D2555" s="11" t="b">
        <f t="shared" si="579"/>
        <v>1</v>
      </c>
      <c r="E2555" s="8" t="s">
        <v>2388</v>
      </c>
    </row>
    <row r="2556" ht="15.75" customHeight="1">
      <c r="A2556" s="9" t="s">
        <v>2453</v>
      </c>
      <c r="B2556" s="10">
        <v>500.0</v>
      </c>
      <c r="C2556" s="10">
        <v>1500.0</v>
      </c>
      <c r="D2556" s="9" t="b">
        <f>false</f>
        <v>0</v>
      </c>
      <c r="E2556" s="8" t="s">
        <v>2388</v>
      </c>
    </row>
    <row r="2557" ht="15.75" customHeight="1">
      <c r="A2557" s="11" t="s">
        <v>2454</v>
      </c>
      <c r="B2557" s="12">
        <v>1785.0</v>
      </c>
      <c r="C2557" s="12">
        <v>3000.0</v>
      </c>
      <c r="D2557" s="11" t="b">
        <f t="shared" ref="D2557:D2559" si="580">true</f>
        <v>1</v>
      </c>
      <c r="E2557" s="8" t="s">
        <v>2388</v>
      </c>
    </row>
    <row r="2558" ht="15.75" customHeight="1">
      <c r="A2558" s="11" t="s">
        <v>2455</v>
      </c>
      <c r="B2558" s="12">
        <v>4165.0</v>
      </c>
      <c r="C2558" s="12">
        <v>6000.0</v>
      </c>
      <c r="D2558" s="11" t="b">
        <f t="shared" si="580"/>
        <v>1</v>
      </c>
      <c r="E2558" s="8" t="s">
        <v>2388</v>
      </c>
    </row>
    <row r="2559" ht="15.75" customHeight="1">
      <c r="A2559" s="5" t="s">
        <v>2456</v>
      </c>
      <c r="B2559" s="6">
        <v>1000.0</v>
      </c>
      <c r="C2559" s="6">
        <v>2000.0</v>
      </c>
      <c r="D2559" s="11" t="b">
        <f t="shared" si="580"/>
        <v>1</v>
      </c>
      <c r="E2559" s="8" t="s">
        <v>2457</v>
      </c>
    </row>
    <row r="2560" ht="15.75" customHeight="1">
      <c r="A2560" s="9" t="s">
        <v>2458</v>
      </c>
      <c r="B2560" s="10">
        <v>333.0</v>
      </c>
      <c r="C2560" s="10">
        <v>800.0</v>
      </c>
      <c r="D2560" s="9" t="b">
        <f>false</f>
        <v>0</v>
      </c>
      <c r="E2560" s="8" t="s">
        <v>2457</v>
      </c>
    </row>
    <row r="2561" ht="15.75" customHeight="1">
      <c r="A2561" s="11" t="s">
        <v>2459</v>
      </c>
      <c r="B2561" s="12">
        <v>322.9166</v>
      </c>
      <c r="C2561" s="12">
        <v>700.0</v>
      </c>
      <c r="D2561" s="11" t="b">
        <f>true</f>
        <v>1</v>
      </c>
      <c r="E2561" s="8" t="s">
        <v>2457</v>
      </c>
    </row>
    <row r="2562" ht="15.75" customHeight="1">
      <c r="A2562" s="9" t="s">
        <v>2460</v>
      </c>
      <c r="B2562" s="10">
        <v>333.0</v>
      </c>
      <c r="C2562" s="10">
        <v>800.0</v>
      </c>
      <c r="D2562" s="9" t="b">
        <f>false</f>
        <v>0</v>
      </c>
      <c r="E2562" s="8" t="s">
        <v>2457</v>
      </c>
    </row>
    <row r="2563" ht="15.75" customHeight="1">
      <c r="A2563" s="11" t="s">
        <v>2461</v>
      </c>
      <c r="B2563" s="12">
        <v>343.75</v>
      </c>
      <c r="C2563" s="12">
        <v>700.0</v>
      </c>
      <c r="D2563" s="11" t="b">
        <f>true</f>
        <v>1</v>
      </c>
      <c r="E2563" s="8" t="s">
        <v>2457</v>
      </c>
    </row>
    <row r="2564" ht="15.75" customHeight="1">
      <c r="A2564" s="9" t="s">
        <v>2462</v>
      </c>
      <c r="B2564" s="10">
        <v>400.0</v>
      </c>
      <c r="C2564" s="10">
        <v>800.0</v>
      </c>
      <c r="D2564" s="9" t="b">
        <f>false</f>
        <v>0</v>
      </c>
      <c r="E2564" s="8" t="s">
        <v>2457</v>
      </c>
    </row>
    <row r="2565" ht="15.75" customHeight="1">
      <c r="A2565" s="11" t="s">
        <v>2463</v>
      </c>
      <c r="B2565" s="12">
        <v>583.33</v>
      </c>
      <c r="C2565" s="12">
        <v>1000.0</v>
      </c>
      <c r="D2565" s="11" t="b">
        <f>true</f>
        <v>1</v>
      </c>
      <c r="E2565" s="8" t="s">
        <v>2457</v>
      </c>
    </row>
    <row r="2566" ht="15.75" customHeight="1">
      <c r="A2566" s="9" t="s">
        <v>2464</v>
      </c>
      <c r="B2566" s="10">
        <v>500.0</v>
      </c>
      <c r="C2566" s="10">
        <v>800.0</v>
      </c>
      <c r="D2566" s="9" t="b">
        <f>false</f>
        <v>0</v>
      </c>
      <c r="E2566" s="8" t="s">
        <v>2457</v>
      </c>
    </row>
    <row r="2567" ht="15.75" customHeight="1">
      <c r="A2567" s="5" t="s">
        <v>2465</v>
      </c>
      <c r="B2567" s="6">
        <v>275.0</v>
      </c>
      <c r="C2567" s="6">
        <v>500.0</v>
      </c>
      <c r="D2567" s="11" t="b">
        <f t="shared" ref="D2567:D2568" si="581">true</f>
        <v>1</v>
      </c>
      <c r="E2567" s="8" t="s">
        <v>2457</v>
      </c>
    </row>
    <row r="2568" ht="15.75" customHeight="1">
      <c r="A2568" s="5" t="s">
        <v>2466</v>
      </c>
      <c r="B2568" s="6">
        <v>249.16</v>
      </c>
      <c r="C2568" s="6">
        <v>500.0</v>
      </c>
      <c r="D2568" s="11" t="b">
        <f t="shared" si="581"/>
        <v>1</v>
      </c>
      <c r="E2568" s="8" t="s">
        <v>2457</v>
      </c>
    </row>
    <row r="2569" ht="15.75" customHeight="1">
      <c r="A2569" s="9" t="s">
        <v>2467</v>
      </c>
      <c r="B2569" s="10">
        <v>400.0</v>
      </c>
      <c r="C2569" s="10">
        <v>750.0</v>
      </c>
      <c r="D2569" s="9" t="b">
        <f t="shared" ref="D2569:D2587" si="582">false</f>
        <v>0</v>
      </c>
      <c r="E2569" s="8" t="s">
        <v>2457</v>
      </c>
    </row>
    <row r="2570" ht="15.75" customHeight="1">
      <c r="A2570" s="9" t="s">
        <v>2468</v>
      </c>
      <c r="B2570" s="10">
        <v>1400.0</v>
      </c>
      <c r="C2570" s="10">
        <v>2000.0</v>
      </c>
      <c r="D2570" s="9" t="b">
        <f t="shared" si="582"/>
        <v>0</v>
      </c>
      <c r="E2570" s="8" t="s">
        <v>2457</v>
      </c>
    </row>
    <row r="2571" ht="15.75" customHeight="1">
      <c r="A2571" s="9" t="s">
        <v>2469</v>
      </c>
      <c r="B2571" s="10">
        <v>7000.0</v>
      </c>
      <c r="C2571" s="10">
        <v>12000.0</v>
      </c>
      <c r="D2571" s="9" t="b">
        <f t="shared" si="582"/>
        <v>0</v>
      </c>
      <c r="E2571" s="8" t="s">
        <v>2470</v>
      </c>
    </row>
    <row r="2572" ht="15.75" customHeight="1">
      <c r="A2572" s="9" t="s">
        <v>2471</v>
      </c>
      <c r="B2572" s="10">
        <v>9000.0</v>
      </c>
      <c r="C2572" s="10">
        <v>14000.0</v>
      </c>
      <c r="D2572" s="9" t="b">
        <f t="shared" si="582"/>
        <v>0</v>
      </c>
      <c r="E2572" s="8" t="s">
        <v>2470</v>
      </c>
    </row>
    <row r="2573" ht="15.75" customHeight="1">
      <c r="A2573" s="9" t="s">
        <v>2472</v>
      </c>
      <c r="B2573" s="10">
        <v>9990.0</v>
      </c>
      <c r="C2573" s="10">
        <v>16000.0</v>
      </c>
      <c r="D2573" s="9" t="b">
        <f t="shared" si="582"/>
        <v>0</v>
      </c>
      <c r="E2573" s="8" t="s">
        <v>2470</v>
      </c>
    </row>
    <row r="2574" ht="15.75" customHeight="1">
      <c r="A2574" s="9" t="s">
        <v>2473</v>
      </c>
      <c r="B2574" s="10">
        <v>9000.0</v>
      </c>
      <c r="C2574" s="10">
        <v>16000.0</v>
      </c>
      <c r="D2574" s="9" t="b">
        <f t="shared" si="582"/>
        <v>0</v>
      </c>
      <c r="E2574" s="8" t="s">
        <v>2470</v>
      </c>
    </row>
    <row r="2575" ht="15.75" customHeight="1">
      <c r="A2575" s="9" t="s">
        <v>2474</v>
      </c>
      <c r="B2575" s="10">
        <v>11000.0</v>
      </c>
      <c r="C2575" s="10">
        <v>16000.0</v>
      </c>
      <c r="D2575" s="9" t="b">
        <f t="shared" si="582"/>
        <v>0</v>
      </c>
      <c r="E2575" s="8" t="s">
        <v>2470</v>
      </c>
    </row>
    <row r="2576" ht="15.75" customHeight="1">
      <c r="A2576" s="9" t="s">
        <v>2475</v>
      </c>
      <c r="B2576" s="10">
        <v>13000.0</v>
      </c>
      <c r="C2576" s="10">
        <v>18000.0</v>
      </c>
      <c r="D2576" s="9" t="b">
        <f t="shared" si="582"/>
        <v>0</v>
      </c>
      <c r="E2576" s="8" t="s">
        <v>2470</v>
      </c>
    </row>
    <row r="2577" ht="15.75" customHeight="1">
      <c r="A2577" s="9" t="s">
        <v>2476</v>
      </c>
      <c r="B2577" s="10">
        <v>19000.0</v>
      </c>
      <c r="C2577" s="10">
        <v>20000.0</v>
      </c>
      <c r="D2577" s="9" t="b">
        <f t="shared" si="582"/>
        <v>0</v>
      </c>
      <c r="E2577" s="8" t="s">
        <v>2470</v>
      </c>
    </row>
    <row r="2578" ht="15.75" customHeight="1">
      <c r="A2578" s="9" t="s">
        <v>2477</v>
      </c>
      <c r="B2578" s="10">
        <v>16500.0</v>
      </c>
      <c r="C2578" s="10">
        <v>22000.0</v>
      </c>
      <c r="D2578" s="9" t="b">
        <f t="shared" si="582"/>
        <v>0</v>
      </c>
      <c r="E2578" s="8" t="s">
        <v>2470</v>
      </c>
    </row>
    <row r="2579" ht="15.75" customHeight="1">
      <c r="A2579" s="9" t="s">
        <v>2478</v>
      </c>
      <c r="B2579" s="10">
        <v>150.0</v>
      </c>
      <c r="C2579" s="10">
        <v>200.0</v>
      </c>
      <c r="D2579" s="9" t="b">
        <f t="shared" si="582"/>
        <v>0</v>
      </c>
      <c r="E2579" s="8" t="s">
        <v>2479</v>
      </c>
    </row>
    <row r="2580" ht="15.75" customHeight="1">
      <c r="A2580" s="9" t="s">
        <v>2480</v>
      </c>
      <c r="B2580" s="10">
        <v>150.0</v>
      </c>
      <c r="C2580" s="10">
        <v>200.0</v>
      </c>
      <c r="D2580" s="9" t="b">
        <f t="shared" si="582"/>
        <v>0</v>
      </c>
      <c r="E2580" s="8" t="s">
        <v>2479</v>
      </c>
    </row>
    <row r="2581" ht="15.75" customHeight="1">
      <c r="A2581" s="9" t="s">
        <v>2481</v>
      </c>
      <c r="B2581" s="10">
        <v>150.0</v>
      </c>
      <c r="C2581" s="10">
        <v>200.0</v>
      </c>
      <c r="D2581" s="9" t="b">
        <f t="shared" si="582"/>
        <v>0</v>
      </c>
      <c r="E2581" s="8" t="s">
        <v>2479</v>
      </c>
    </row>
    <row r="2582" ht="15.75" customHeight="1">
      <c r="A2582" s="9" t="s">
        <v>2482</v>
      </c>
      <c r="B2582" s="10">
        <v>2000.0</v>
      </c>
      <c r="C2582" s="10">
        <v>3000.0</v>
      </c>
      <c r="D2582" s="9" t="b">
        <f t="shared" si="582"/>
        <v>0</v>
      </c>
      <c r="E2582" s="8" t="s">
        <v>2479</v>
      </c>
    </row>
    <row r="2583" ht="15.75" customHeight="1">
      <c r="A2583" s="9" t="s">
        <v>2483</v>
      </c>
      <c r="B2583" s="10">
        <v>80.0</v>
      </c>
      <c r="C2583" s="10">
        <v>150.0</v>
      </c>
      <c r="D2583" s="9" t="b">
        <f t="shared" si="582"/>
        <v>0</v>
      </c>
      <c r="E2583" s="8" t="s">
        <v>2479</v>
      </c>
    </row>
    <row r="2584" ht="15.75" customHeight="1">
      <c r="A2584" s="9" t="s">
        <v>2484</v>
      </c>
      <c r="B2584" s="10">
        <v>70.0</v>
      </c>
      <c r="C2584" s="10">
        <v>150.0</v>
      </c>
      <c r="D2584" s="9" t="b">
        <f t="shared" si="582"/>
        <v>0</v>
      </c>
      <c r="E2584" s="8" t="s">
        <v>2479</v>
      </c>
    </row>
    <row r="2585" ht="15.75" customHeight="1">
      <c r="A2585" s="9" t="s">
        <v>2485</v>
      </c>
      <c r="B2585" s="10">
        <v>70.0</v>
      </c>
      <c r="C2585" s="10">
        <v>150.0</v>
      </c>
      <c r="D2585" s="9" t="b">
        <f t="shared" si="582"/>
        <v>0</v>
      </c>
      <c r="E2585" s="8" t="s">
        <v>2479</v>
      </c>
    </row>
    <row r="2586" ht="15.75" customHeight="1">
      <c r="A2586" s="9" t="s">
        <v>2486</v>
      </c>
      <c r="B2586" s="10">
        <v>79.0</v>
      </c>
      <c r="C2586" s="10">
        <v>150.0</v>
      </c>
      <c r="D2586" s="9" t="b">
        <f t="shared" si="582"/>
        <v>0</v>
      </c>
      <c r="E2586" s="8" t="s">
        <v>2479</v>
      </c>
    </row>
    <row r="2587" ht="15.75" customHeight="1">
      <c r="A2587" s="9" t="s">
        <v>2487</v>
      </c>
      <c r="B2587" s="10">
        <v>65.0</v>
      </c>
      <c r="C2587" s="10">
        <v>150.0</v>
      </c>
      <c r="D2587" s="9" t="b">
        <f t="shared" si="582"/>
        <v>0</v>
      </c>
      <c r="E2587" s="8" t="s">
        <v>2479</v>
      </c>
    </row>
    <row r="2588" ht="15.75" customHeight="1">
      <c r="A2588" s="11" t="s">
        <v>2488</v>
      </c>
      <c r="B2588" s="12">
        <v>68.59</v>
      </c>
      <c r="C2588" s="12">
        <v>150.0</v>
      </c>
      <c r="D2588" s="11" t="b">
        <f>true</f>
        <v>1</v>
      </c>
      <c r="E2588" s="8" t="s">
        <v>2479</v>
      </c>
    </row>
    <row r="2589" ht="15.75" customHeight="1">
      <c r="A2589" s="9" t="s">
        <v>2489</v>
      </c>
      <c r="B2589" s="10">
        <v>92.0</v>
      </c>
      <c r="C2589" s="10">
        <v>150.0</v>
      </c>
      <c r="D2589" s="9" t="b">
        <f>false</f>
        <v>0</v>
      </c>
      <c r="E2589" s="8" t="s">
        <v>2479</v>
      </c>
    </row>
    <row r="2590" ht="15.75" customHeight="1">
      <c r="A2590" s="11" t="s">
        <v>2490</v>
      </c>
      <c r="B2590" s="12">
        <v>300.0</v>
      </c>
      <c r="C2590" s="12">
        <v>450.0</v>
      </c>
      <c r="D2590" s="11" t="b">
        <f>true</f>
        <v>1</v>
      </c>
      <c r="E2590" s="8" t="s">
        <v>2479</v>
      </c>
    </row>
    <row r="2591" ht="15.75" customHeight="1">
      <c r="A2591" s="9" t="s">
        <v>2491</v>
      </c>
      <c r="B2591" s="10">
        <v>263.0</v>
      </c>
      <c r="C2591" s="10">
        <v>400.0</v>
      </c>
      <c r="D2591" s="9" t="b">
        <f t="shared" ref="D2591:D2592" si="583">false</f>
        <v>0</v>
      </c>
      <c r="E2591" s="8" t="s">
        <v>2479</v>
      </c>
    </row>
    <row r="2592" ht="15.75" customHeight="1">
      <c r="A2592" s="9" t="s">
        <v>2492</v>
      </c>
      <c r="B2592" s="10">
        <v>200.0</v>
      </c>
      <c r="C2592" s="10">
        <v>300.0</v>
      </c>
      <c r="D2592" s="9" t="b">
        <f t="shared" si="583"/>
        <v>0</v>
      </c>
      <c r="E2592" s="8" t="s">
        <v>2479</v>
      </c>
    </row>
    <row r="2593" ht="15.75" customHeight="1">
      <c r="A2593" s="9" t="s">
        <v>2493</v>
      </c>
      <c r="B2593" s="10">
        <v>155.0</v>
      </c>
      <c r="C2593" s="10">
        <v>300.0</v>
      </c>
      <c r="D2593" s="11" t="b">
        <f>true</f>
        <v>1</v>
      </c>
      <c r="E2593" s="8" t="s">
        <v>2479</v>
      </c>
    </row>
    <row r="2594" ht="15.75" customHeight="1">
      <c r="A2594" s="9" t="s">
        <v>2494</v>
      </c>
      <c r="B2594" s="10">
        <v>54.87</v>
      </c>
      <c r="C2594" s="10">
        <v>100.0</v>
      </c>
      <c r="D2594" s="9" t="b">
        <f t="shared" ref="D2594:D2604" si="584">false</f>
        <v>0</v>
      </c>
      <c r="E2594" s="8" t="s">
        <v>2479</v>
      </c>
    </row>
    <row r="2595" ht="15.75" customHeight="1">
      <c r="A2595" s="9" t="s">
        <v>2495</v>
      </c>
      <c r="B2595" s="10">
        <v>53.45</v>
      </c>
      <c r="C2595" s="10">
        <v>100.0</v>
      </c>
      <c r="D2595" s="9" t="b">
        <f t="shared" si="584"/>
        <v>0</v>
      </c>
      <c r="E2595" s="8" t="s">
        <v>2479</v>
      </c>
    </row>
    <row r="2596" ht="15.75" customHeight="1">
      <c r="A2596" s="9" t="s">
        <v>2496</v>
      </c>
      <c r="B2596" s="10">
        <v>65.0</v>
      </c>
      <c r="C2596" s="10">
        <v>100.0</v>
      </c>
      <c r="D2596" s="9" t="b">
        <f t="shared" si="584"/>
        <v>0</v>
      </c>
      <c r="E2596" s="8" t="s">
        <v>2479</v>
      </c>
    </row>
    <row r="2597" ht="15.75" customHeight="1">
      <c r="A2597" s="9" t="s">
        <v>2497</v>
      </c>
      <c r="B2597" s="10">
        <v>63.0</v>
      </c>
      <c r="C2597" s="10">
        <v>100.0</v>
      </c>
      <c r="D2597" s="9" t="b">
        <f t="shared" si="584"/>
        <v>0</v>
      </c>
      <c r="E2597" s="8" t="s">
        <v>2479</v>
      </c>
    </row>
    <row r="2598" ht="15.75" customHeight="1">
      <c r="A2598" s="9" t="s">
        <v>2498</v>
      </c>
      <c r="B2598" s="10">
        <v>60.0</v>
      </c>
      <c r="C2598" s="10">
        <v>100.0</v>
      </c>
      <c r="D2598" s="9" t="b">
        <f t="shared" si="584"/>
        <v>0</v>
      </c>
      <c r="E2598" s="8" t="s">
        <v>2479</v>
      </c>
    </row>
    <row r="2599" ht="15.75" customHeight="1">
      <c r="A2599" s="9" t="s">
        <v>2499</v>
      </c>
      <c r="B2599" s="10">
        <v>60.0</v>
      </c>
      <c r="C2599" s="10">
        <v>100.0</v>
      </c>
      <c r="D2599" s="9" t="b">
        <f t="shared" si="584"/>
        <v>0</v>
      </c>
      <c r="E2599" s="8" t="s">
        <v>2479</v>
      </c>
    </row>
    <row r="2600" ht="15.75" customHeight="1">
      <c r="A2600" s="9" t="s">
        <v>2500</v>
      </c>
      <c r="B2600" s="10">
        <v>63.0</v>
      </c>
      <c r="C2600" s="10">
        <v>100.0</v>
      </c>
      <c r="D2600" s="9" t="b">
        <f t="shared" si="584"/>
        <v>0</v>
      </c>
      <c r="E2600" s="8" t="s">
        <v>2479</v>
      </c>
    </row>
    <row r="2601" ht="15.75" customHeight="1">
      <c r="A2601" s="9" t="s">
        <v>2501</v>
      </c>
      <c r="B2601" s="10">
        <v>92.0</v>
      </c>
      <c r="C2601" s="10">
        <v>150.0</v>
      </c>
      <c r="D2601" s="9" t="b">
        <f t="shared" si="584"/>
        <v>0</v>
      </c>
      <c r="E2601" s="8" t="s">
        <v>2479</v>
      </c>
    </row>
    <row r="2602" ht="15.75" customHeight="1">
      <c r="A2602" s="9" t="s">
        <v>2502</v>
      </c>
      <c r="B2602" s="10">
        <v>84.0</v>
      </c>
      <c r="C2602" s="10">
        <v>150.0</v>
      </c>
      <c r="D2602" s="9" t="b">
        <f t="shared" si="584"/>
        <v>0</v>
      </c>
      <c r="E2602" s="8" t="s">
        <v>2479</v>
      </c>
    </row>
    <row r="2603" ht="15.75" customHeight="1">
      <c r="A2603" s="9" t="s">
        <v>2502</v>
      </c>
      <c r="B2603" s="10">
        <v>85.0</v>
      </c>
      <c r="C2603" s="10">
        <v>150.0</v>
      </c>
      <c r="D2603" s="9" t="b">
        <f t="shared" si="584"/>
        <v>0</v>
      </c>
      <c r="E2603" s="8" t="s">
        <v>2479</v>
      </c>
    </row>
    <row r="2604" ht="15.75" customHeight="1">
      <c r="A2604" s="9" t="s">
        <v>2503</v>
      </c>
      <c r="B2604" s="10">
        <v>100.0</v>
      </c>
      <c r="C2604" s="10">
        <v>150.0</v>
      </c>
      <c r="D2604" s="9" t="b">
        <f t="shared" si="584"/>
        <v>0</v>
      </c>
      <c r="E2604" s="8" t="s">
        <v>2479</v>
      </c>
    </row>
    <row r="2605" ht="15.75" customHeight="1">
      <c r="A2605" s="5" t="s">
        <v>2504</v>
      </c>
      <c r="B2605" s="6">
        <v>71.0</v>
      </c>
      <c r="C2605" s="6">
        <v>150.0</v>
      </c>
      <c r="D2605" s="11" t="b">
        <f t="shared" ref="D2605:D2607" si="585">true</f>
        <v>1</v>
      </c>
      <c r="E2605" s="8" t="s">
        <v>2479</v>
      </c>
    </row>
    <row r="2606" ht="15.75" customHeight="1">
      <c r="A2606" s="11" t="s">
        <v>2505</v>
      </c>
      <c r="B2606" s="6">
        <v>76.0</v>
      </c>
      <c r="C2606" s="6">
        <v>150.0</v>
      </c>
      <c r="D2606" s="11" t="b">
        <f t="shared" si="585"/>
        <v>1</v>
      </c>
      <c r="E2606" s="8" t="s">
        <v>2479</v>
      </c>
    </row>
    <row r="2607" ht="15.75" customHeight="1">
      <c r="A2607" s="11" t="s">
        <v>2506</v>
      </c>
      <c r="B2607" s="6">
        <v>76.0</v>
      </c>
      <c r="C2607" s="6">
        <v>150.0</v>
      </c>
      <c r="D2607" s="11" t="b">
        <f t="shared" si="585"/>
        <v>1</v>
      </c>
      <c r="E2607" s="8" t="s">
        <v>2479</v>
      </c>
    </row>
    <row r="2608" ht="15.75" customHeight="1">
      <c r="A2608" s="9" t="s">
        <v>2507</v>
      </c>
      <c r="B2608" s="10">
        <v>200.0</v>
      </c>
      <c r="C2608" s="10">
        <v>350.0</v>
      </c>
      <c r="D2608" s="9" t="b">
        <f>false</f>
        <v>0</v>
      </c>
      <c r="E2608" s="8" t="s">
        <v>2479</v>
      </c>
    </row>
    <row r="2609" ht="15.75" customHeight="1">
      <c r="A2609" s="11" t="s">
        <v>2508</v>
      </c>
      <c r="B2609" s="12">
        <v>19.0</v>
      </c>
      <c r="C2609" s="12">
        <v>50.0</v>
      </c>
      <c r="D2609" s="11" t="b">
        <f>true</f>
        <v>1</v>
      </c>
      <c r="E2609" s="8" t="s">
        <v>2479</v>
      </c>
    </row>
    <row r="2610" ht="15.75" customHeight="1">
      <c r="A2610" s="9" t="s">
        <v>2509</v>
      </c>
      <c r="B2610" s="10">
        <v>25.0</v>
      </c>
      <c r="C2610" s="10">
        <v>50.0</v>
      </c>
      <c r="D2610" s="9" t="b">
        <f t="shared" ref="D2610:D2612" si="586">false</f>
        <v>0</v>
      </c>
      <c r="E2610" s="8" t="s">
        <v>2479</v>
      </c>
    </row>
    <row r="2611" ht="15.75" customHeight="1">
      <c r="A2611" s="9" t="s">
        <v>2510</v>
      </c>
      <c r="B2611" s="10">
        <v>175.0</v>
      </c>
      <c r="C2611" s="10">
        <v>250.0</v>
      </c>
      <c r="D2611" s="9" t="b">
        <f t="shared" si="586"/>
        <v>0</v>
      </c>
      <c r="E2611" s="8" t="s">
        <v>2479</v>
      </c>
    </row>
    <row r="2612" ht="15.75" customHeight="1">
      <c r="A2612" s="9" t="s">
        <v>2511</v>
      </c>
      <c r="B2612" s="10">
        <v>1000.0</v>
      </c>
      <c r="C2612" s="10">
        <v>1000.0</v>
      </c>
      <c r="D2612" s="9" t="b">
        <f t="shared" si="586"/>
        <v>0</v>
      </c>
      <c r="E2612" s="8" t="s">
        <v>2479</v>
      </c>
    </row>
    <row r="2613" ht="15.75" customHeight="1">
      <c r="A2613" s="9" t="s">
        <v>2512</v>
      </c>
      <c r="B2613" s="10">
        <v>125.0</v>
      </c>
      <c r="C2613" s="10">
        <v>200.0</v>
      </c>
      <c r="D2613" s="11" t="b">
        <f>true</f>
        <v>1</v>
      </c>
      <c r="E2613" s="8" t="s">
        <v>2479</v>
      </c>
    </row>
    <row r="2614" ht="15.75" customHeight="1">
      <c r="A2614" s="9" t="s">
        <v>2513</v>
      </c>
      <c r="B2614" s="10">
        <v>111.0</v>
      </c>
      <c r="C2614" s="10">
        <v>200.0</v>
      </c>
      <c r="D2614" s="9" t="b">
        <f t="shared" ref="D2614:D2616" si="587">false</f>
        <v>0</v>
      </c>
      <c r="E2614" s="8" t="s">
        <v>2479</v>
      </c>
    </row>
    <row r="2615" ht="15.75" customHeight="1">
      <c r="A2615" s="9" t="s">
        <v>2514</v>
      </c>
      <c r="B2615" s="10">
        <v>175.0</v>
      </c>
      <c r="C2615" s="10">
        <v>250.0</v>
      </c>
      <c r="D2615" s="9" t="b">
        <f t="shared" si="587"/>
        <v>0</v>
      </c>
      <c r="E2615" s="8" t="s">
        <v>2479</v>
      </c>
    </row>
    <row r="2616" ht="15.75" customHeight="1">
      <c r="A2616" s="9" t="s">
        <v>2515</v>
      </c>
      <c r="B2616" s="10">
        <v>172.0</v>
      </c>
      <c r="C2616" s="10">
        <v>220.0</v>
      </c>
      <c r="D2616" s="9" t="b">
        <f t="shared" si="587"/>
        <v>0</v>
      </c>
      <c r="E2616" s="8" t="s">
        <v>2479</v>
      </c>
    </row>
    <row r="2617" ht="15.75" customHeight="1">
      <c r="A2617" s="9" t="s">
        <v>2516</v>
      </c>
      <c r="B2617" s="10">
        <v>145.0</v>
      </c>
      <c r="C2617" s="10">
        <v>200.0</v>
      </c>
      <c r="D2617" s="11" t="b">
        <f>true</f>
        <v>1</v>
      </c>
      <c r="E2617" s="8" t="s">
        <v>2479</v>
      </c>
    </row>
    <row r="2618" ht="15.75" customHeight="1">
      <c r="A2618" s="9" t="s">
        <v>2517</v>
      </c>
      <c r="B2618" s="10">
        <v>160.0</v>
      </c>
      <c r="C2618" s="10">
        <v>220.0</v>
      </c>
      <c r="D2618" s="9" t="b">
        <f t="shared" ref="D2618:D2620" si="588">false</f>
        <v>0</v>
      </c>
      <c r="E2618" s="8" t="s">
        <v>2479</v>
      </c>
    </row>
    <row r="2619" ht="15.75" customHeight="1">
      <c r="A2619" s="9" t="s">
        <v>2518</v>
      </c>
      <c r="B2619" s="10">
        <v>156.0</v>
      </c>
      <c r="C2619" s="10">
        <v>250.0</v>
      </c>
      <c r="D2619" s="9" t="b">
        <f t="shared" si="588"/>
        <v>0</v>
      </c>
      <c r="E2619" s="8" t="s">
        <v>2479</v>
      </c>
    </row>
    <row r="2620" ht="15.75" customHeight="1">
      <c r="A2620" s="9" t="s">
        <v>2519</v>
      </c>
      <c r="B2620" s="10">
        <v>137.0</v>
      </c>
      <c r="C2620" s="10">
        <v>250.0</v>
      </c>
      <c r="D2620" s="9" t="b">
        <f t="shared" si="588"/>
        <v>0</v>
      </c>
      <c r="E2620" s="8" t="s">
        <v>2479</v>
      </c>
    </row>
    <row r="2621" ht="15.75" customHeight="1">
      <c r="A2621" s="11" t="s">
        <v>2520</v>
      </c>
      <c r="B2621" s="12">
        <v>113.0</v>
      </c>
      <c r="C2621" s="12">
        <v>250.0</v>
      </c>
      <c r="D2621" s="11" t="b">
        <f>true</f>
        <v>1</v>
      </c>
      <c r="E2621" s="8" t="s">
        <v>2479</v>
      </c>
    </row>
    <row r="2622" ht="15.75" customHeight="1">
      <c r="A2622" s="9" t="s">
        <v>2521</v>
      </c>
      <c r="B2622" s="10">
        <v>133.33</v>
      </c>
      <c r="C2622" s="10">
        <v>250.0</v>
      </c>
      <c r="D2622" s="9" t="b">
        <f t="shared" ref="D2622:D2626" si="589">false</f>
        <v>0</v>
      </c>
      <c r="E2622" s="8" t="s">
        <v>2479</v>
      </c>
    </row>
    <row r="2623" ht="15.75" customHeight="1">
      <c r="A2623" s="9" t="s">
        <v>2522</v>
      </c>
      <c r="B2623" s="10">
        <v>155.0</v>
      </c>
      <c r="C2623" s="10">
        <v>250.0</v>
      </c>
      <c r="D2623" s="9" t="b">
        <f t="shared" si="589"/>
        <v>0</v>
      </c>
      <c r="E2623" s="8" t="s">
        <v>2479</v>
      </c>
    </row>
    <row r="2624" ht="15.75" customHeight="1">
      <c r="A2624" s="9" t="s">
        <v>2523</v>
      </c>
      <c r="B2624" s="10">
        <v>31.0</v>
      </c>
      <c r="C2624" s="10">
        <v>50.0</v>
      </c>
      <c r="D2624" s="9" t="b">
        <f t="shared" si="589"/>
        <v>0</v>
      </c>
      <c r="E2624" s="8" t="s">
        <v>2479</v>
      </c>
    </row>
    <row r="2625" ht="15.75" customHeight="1">
      <c r="A2625" s="9" t="s">
        <v>2524</v>
      </c>
      <c r="B2625" s="10">
        <v>188.0</v>
      </c>
      <c r="C2625" s="10">
        <v>300.0</v>
      </c>
      <c r="D2625" s="9" t="b">
        <f t="shared" si="589"/>
        <v>0</v>
      </c>
      <c r="E2625" s="8" t="s">
        <v>2479</v>
      </c>
    </row>
    <row r="2626" ht="15.75" customHeight="1">
      <c r="A2626" s="9" t="s">
        <v>2525</v>
      </c>
      <c r="B2626" s="10">
        <v>21.0</v>
      </c>
      <c r="C2626" s="10">
        <v>50.0</v>
      </c>
      <c r="D2626" s="9" t="b">
        <f t="shared" si="589"/>
        <v>0</v>
      </c>
      <c r="E2626" s="8" t="s">
        <v>2479</v>
      </c>
    </row>
    <row r="2627" ht="15.75" customHeight="1">
      <c r="A2627" s="5" t="s">
        <v>2526</v>
      </c>
      <c r="B2627" s="6">
        <v>22.0</v>
      </c>
      <c r="C2627" s="6">
        <v>50.0</v>
      </c>
      <c r="D2627" s="11" t="b">
        <f>true</f>
        <v>1</v>
      </c>
      <c r="E2627" s="8" t="s">
        <v>2479</v>
      </c>
    </row>
    <row r="2628" ht="15.75" customHeight="1">
      <c r="A2628" s="9" t="s">
        <v>2527</v>
      </c>
      <c r="B2628" s="10">
        <v>25.0</v>
      </c>
      <c r="C2628" s="10">
        <v>50.0</v>
      </c>
      <c r="D2628" s="9" t="b">
        <f t="shared" ref="D2628:D2629" si="590">false</f>
        <v>0</v>
      </c>
      <c r="E2628" s="8" t="s">
        <v>2479</v>
      </c>
    </row>
    <row r="2629" ht="15.75" customHeight="1">
      <c r="A2629" s="9" t="s">
        <v>2528</v>
      </c>
      <c r="B2629" s="10">
        <v>147.0</v>
      </c>
      <c r="C2629" s="10">
        <v>200.0</v>
      </c>
      <c r="D2629" s="9" t="b">
        <f t="shared" si="590"/>
        <v>0</v>
      </c>
      <c r="E2629" s="8" t="s">
        <v>2479</v>
      </c>
    </row>
    <row r="2630" ht="15.75" customHeight="1">
      <c r="A2630" s="11" t="s">
        <v>2529</v>
      </c>
      <c r="B2630" s="12">
        <v>109.5</v>
      </c>
      <c r="C2630" s="12">
        <v>200.0</v>
      </c>
      <c r="D2630" s="11" t="b">
        <f t="shared" ref="D2630:D2632" si="591">true</f>
        <v>1</v>
      </c>
      <c r="E2630" s="8" t="s">
        <v>2479</v>
      </c>
    </row>
    <row r="2631" ht="15.75" customHeight="1">
      <c r="A2631" s="5" t="s">
        <v>2530</v>
      </c>
      <c r="B2631" s="6">
        <v>148.66</v>
      </c>
      <c r="C2631" s="6">
        <v>250.0</v>
      </c>
      <c r="D2631" s="11" t="b">
        <f t="shared" si="591"/>
        <v>1</v>
      </c>
      <c r="E2631" s="8" t="s">
        <v>2479</v>
      </c>
    </row>
    <row r="2632" ht="15.75" customHeight="1">
      <c r="A2632" s="11" t="s">
        <v>2531</v>
      </c>
      <c r="B2632" s="12">
        <v>194.0</v>
      </c>
      <c r="C2632" s="12">
        <v>300.0</v>
      </c>
      <c r="D2632" s="11" t="b">
        <f t="shared" si="591"/>
        <v>1</v>
      </c>
      <c r="E2632" s="8" t="s">
        <v>2479</v>
      </c>
    </row>
    <row r="2633" ht="15.75" customHeight="1">
      <c r="A2633" s="9" t="s">
        <v>2532</v>
      </c>
      <c r="B2633" s="10">
        <v>72.25</v>
      </c>
      <c r="C2633" s="10">
        <v>150.0</v>
      </c>
      <c r="D2633" s="9" t="b">
        <f t="shared" ref="D2633:D2636" si="592">false</f>
        <v>0</v>
      </c>
      <c r="E2633" s="8" t="s">
        <v>2479</v>
      </c>
    </row>
    <row r="2634" ht="15.75" customHeight="1">
      <c r="A2634" s="9" t="s">
        <v>2533</v>
      </c>
      <c r="B2634" s="10">
        <v>194.5</v>
      </c>
      <c r="C2634" s="10">
        <v>300.0</v>
      </c>
      <c r="D2634" s="9" t="b">
        <f t="shared" si="592"/>
        <v>0</v>
      </c>
      <c r="E2634" s="8" t="s">
        <v>2479</v>
      </c>
    </row>
    <row r="2635" ht="15.75" customHeight="1">
      <c r="A2635" s="9" t="s">
        <v>2534</v>
      </c>
      <c r="B2635" s="10">
        <v>91.25</v>
      </c>
      <c r="C2635" s="10">
        <v>150.0</v>
      </c>
      <c r="D2635" s="9" t="b">
        <f t="shared" si="592"/>
        <v>0</v>
      </c>
      <c r="E2635" s="8" t="s">
        <v>2479</v>
      </c>
    </row>
    <row r="2636" ht="15.75" customHeight="1">
      <c r="A2636" s="9" t="s">
        <v>2535</v>
      </c>
      <c r="B2636" s="10">
        <v>207.91</v>
      </c>
      <c r="C2636" s="10">
        <v>300.0</v>
      </c>
      <c r="D2636" s="9" t="b">
        <f t="shared" si="592"/>
        <v>0</v>
      </c>
      <c r="E2636" s="8" t="s">
        <v>2479</v>
      </c>
    </row>
    <row r="2637" ht="15.75" customHeight="1">
      <c r="A2637" s="5" t="s">
        <v>2536</v>
      </c>
      <c r="B2637" s="6">
        <v>200.0</v>
      </c>
      <c r="C2637" s="6">
        <v>300.0</v>
      </c>
      <c r="D2637" s="11" t="b">
        <f>true</f>
        <v>1</v>
      </c>
      <c r="E2637" s="8" t="s">
        <v>2479</v>
      </c>
    </row>
    <row r="2638" ht="15.75" customHeight="1">
      <c r="A2638" s="9" t="s">
        <v>2537</v>
      </c>
      <c r="B2638" s="10">
        <v>250.0</v>
      </c>
      <c r="C2638" s="10">
        <v>400.0</v>
      </c>
      <c r="D2638" s="9" t="b">
        <f>false</f>
        <v>0</v>
      </c>
      <c r="E2638" s="8" t="s">
        <v>2479</v>
      </c>
    </row>
    <row r="2639" ht="15.75" customHeight="1">
      <c r="A2639" s="11" t="s">
        <v>2538</v>
      </c>
      <c r="B2639" s="12">
        <v>719.0</v>
      </c>
      <c r="C2639" s="12">
        <v>1000.0</v>
      </c>
      <c r="D2639" s="11" t="b">
        <f>true</f>
        <v>1</v>
      </c>
      <c r="E2639" s="8" t="s">
        <v>2479</v>
      </c>
    </row>
    <row r="2640" ht="15.75" customHeight="1">
      <c r="A2640" s="9" t="s">
        <v>2539</v>
      </c>
      <c r="B2640" s="10">
        <v>179.0</v>
      </c>
      <c r="C2640" s="10">
        <v>300.0</v>
      </c>
      <c r="D2640" s="9" t="b">
        <f t="shared" ref="D2640:D2642" si="593">false</f>
        <v>0</v>
      </c>
      <c r="E2640" s="8" t="s">
        <v>2479</v>
      </c>
    </row>
    <row r="2641" ht="15.75" customHeight="1">
      <c r="A2641" s="9" t="s">
        <v>2540</v>
      </c>
      <c r="B2641" s="10">
        <v>96.0</v>
      </c>
      <c r="C2641" s="10">
        <v>150.0</v>
      </c>
      <c r="D2641" s="9" t="b">
        <f t="shared" si="593"/>
        <v>0</v>
      </c>
      <c r="E2641" s="8" t="s">
        <v>2479</v>
      </c>
    </row>
    <row r="2642" ht="15.75" customHeight="1">
      <c r="A2642" s="9" t="s">
        <v>2541</v>
      </c>
      <c r="B2642" s="10">
        <v>87.0</v>
      </c>
      <c r="C2642" s="10">
        <v>150.0</v>
      </c>
      <c r="D2642" s="9" t="b">
        <f t="shared" si="593"/>
        <v>0</v>
      </c>
      <c r="E2642" s="8" t="s">
        <v>2479</v>
      </c>
    </row>
    <row r="2643" ht="15.75" customHeight="1">
      <c r="A2643" s="11" t="s">
        <v>2542</v>
      </c>
      <c r="B2643" s="12">
        <v>255.0</v>
      </c>
      <c r="C2643" s="12">
        <v>350.0</v>
      </c>
      <c r="D2643" s="11" t="b">
        <f>true</f>
        <v>1</v>
      </c>
      <c r="E2643" s="8" t="s">
        <v>2479</v>
      </c>
    </row>
    <row r="2644" ht="15.75" customHeight="1">
      <c r="A2644" s="9" t="s">
        <v>2543</v>
      </c>
      <c r="B2644" s="10">
        <v>225.0</v>
      </c>
      <c r="C2644" s="10">
        <v>350.0</v>
      </c>
      <c r="D2644" s="9" t="b">
        <f t="shared" ref="D2644:D2646" si="594">false</f>
        <v>0</v>
      </c>
      <c r="E2644" s="8" t="s">
        <v>2479</v>
      </c>
    </row>
    <row r="2645" ht="15.75" customHeight="1">
      <c r="A2645" s="9" t="s">
        <v>2544</v>
      </c>
      <c r="B2645" s="10">
        <v>350.0</v>
      </c>
      <c r="C2645" s="10">
        <v>500.0</v>
      </c>
      <c r="D2645" s="9" t="b">
        <f t="shared" si="594"/>
        <v>0</v>
      </c>
      <c r="E2645" s="8" t="s">
        <v>2479</v>
      </c>
    </row>
    <row r="2646" ht="15.75" customHeight="1">
      <c r="A2646" s="9" t="s">
        <v>2545</v>
      </c>
      <c r="B2646" s="10">
        <v>233.0</v>
      </c>
      <c r="C2646" s="10">
        <v>400.0</v>
      </c>
      <c r="D2646" s="9" t="b">
        <f t="shared" si="594"/>
        <v>0</v>
      </c>
      <c r="E2646" s="8" t="s">
        <v>2479</v>
      </c>
    </row>
    <row r="2647" ht="15.75" customHeight="1">
      <c r="A2647" s="11" t="s">
        <v>2546</v>
      </c>
      <c r="B2647" s="12">
        <v>259.0</v>
      </c>
      <c r="C2647" s="12">
        <v>400.0</v>
      </c>
      <c r="D2647" s="11" t="b">
        <f t="shared" ref="D2647:D2648" si="595">true</f>
        <v>1</v>
      </c>
      <c r="E2647" s="8" t="s">
        <v>2479</v>
      </c>
    </row>
    <row r="2648" ht="15.75" customHeight="1">
      <c r="A2648" s="5" t="s">
        <v>2547</v>
      </c>
      <c r="B2648" s="6">
        <v>241.0</v>
      </c>
      <c r="C2648" s="6">
        <v>400.0</v>
      </c>
      <c r="D2648" s="11" t="b">
        <f t="shared" si="595"/>
        <v>1</v>
      </c>
      <c r="E2648" s="8" t="s">
        <v>2479</v>
      </c>
    </row>
    <row r="2649" ht="15.75" customHeight="1">
      <c r="A2649" s="9" t="s">
        <v>2548</v>
      </c>
      <c r="B2649" s="10">
        <v>207.0</v>
      </c>
      <c r="C2649" s="10">
        <v>300.0</v>
      </c>
      <c r="D2649" s="9" t="b">
        <f t="shared" ref="D2649:D2650" si="596">false</f>
        <v>0</v>
      </c>
      <c r="E2649" s="8" t="s">
        <v>2479</v>
      </c>
    </row>
    <row r="2650" ht="15.75" customHeight="1">
      <c r="A2650" s="9" t="s">
        <v>2549</v>
      </c>
      <c r="B2650" s="10">
        <v>183.0</v>
      </c>
      <c r="C2650" s="10">
        <v>300.0</v>
      </c>
      <c r="D2650" s="9" t="b">
        <f t="shared" si="596"/>
        <v>0</v>
      </c>
      <c r="E2650" s="8" t="s">
        <v>2479</v>
      </c>
    </row>
    <row r="2651" ht="15.75" customHeight="1">
      <c r="A2651" s="11" t="s">
        <v>2550</v>
      </c>
      <c r="B2651" s="12">
        <v>210.0</v>
      </c>
      <c r="C2651" s="12">
        <v>350.0</v>
      </c>
      <c r="D2651" s="11" t="b">
        <f t="shared" ref="D2651:D2652" si="597">true</f>
        <v>1</v>
      </c>
      <c r="E2651" s="8" t="s">
        <v>2479</v>
      </c>
    </row>
    <row r="2652" ht="15.75" customHeight="1">
      <c r="A2652" s="11" t="s">
        <v>2551</v>
      </c>
      <c r="B2652" s="12">
        <v>249.0</v>
      </c>
      <c r="C2652" s="12">
        <v>500.0</v>
      </c>
      <c r="D2652" s="11" t="b">
        <f t="shared" si="597"/>
        <v>1</v>
      </c>
      <c r="E2652" s="8" t="s">
        <v>2479</v>
      </c>
    </row>
    <row r="2653" ht="15.75" customHeight="1">
      <c r="A2653" s="9" t="s">
        <v>2552</v>
      </c>
      <c r="B2653" s="10">
        <v>354.0</v>
      </c>
      <c r="C2653" s="10">
        <v>600.0</v>
      </c>
      <c r="D2653" s="9" t="b">
        <f>false</f>
        <v>0</v>
      </c>
      <c r="E2653" s="8" t="s">
        <v>2479</v>
      </c>
    </row>
    <row r="2654" ht="15.75" customHeight="1">
      <c r="A2654" s="11" t="s">
        <v>2553</v>
      </c>
      <c r="B2654" s="12">
        <v>90.0</v>
      </c>
      <c r="C2654" s="12">
        <v>150.0</v>
      </c>
      <c r="D2654" s="11" t="b">
        <f t="shared" ref="D2654:D2659" si="598">true</f>
        <v>1</v>
      </c>
      <c r="E2654" s="8" t="s">
        <v>2479</v>
      </c>
    </row>
    <row r="2655" ht="15.75" customHeight="1">
      <c r="A2655" s="11" t="s">
        <v>2554</v>
      </c>
      <c r="B2655" s="6">
        <v>100.0</v>
      </c>
      <c r="C2655" s="6">
        <v>200.0</v>
      </c>
      <c r="D2655" s="11" t="b">
        <f t="shared" si="598"/>
        <v>1</v>
      </c>
      <c r="E2655" s="8" t="s">
        <v>2479</v>
      </c>
    </row>
    <row r="2656" ht="15.75" customHeight="1">
      <c r="A2656" s="11" t="s">
        <v>2555</v>
      </c>
      <c r="B2656" s="6">
        <v>130.0</v>
      </c>
      <c r="C2656" s="6">
        <v>200.0</v>
      </c>
      <c r="D2656" s="11" t="b">
        <f t="shared" si="598"/>
        <v>1</v>
      </c>
      <c r="E2656" s="8" t="s">
        <v>2479</v>
      </c>
    </row>
    <row r="2657" ht="15.75" customHeight="1">
      <c r="A2657" s="5" t="s">
        <v>2556</v>
      </c>
      <c r="B2657" s="6">
        <v>104.0</v>
      </c>
      <c r="C2657" s="6">
        <v>150.0</v>
      </c>
      <c r="D2657" s="11" t="b">
        <f t="shared" si="598"/>
        <v>1</v>
      </c>
      <c r="E2657" s="8" t="s">
        <v>2479</v>
      </c>
    </row>
    <row r="2658" ht="15.75" customHeight="1">
      <c r="A2658" s="11" t="s">
        <v>2557</v>
      </c>
      <c r="B2658" s="6">
        <v>165.0</v>
      </c>
      <c r="C2658" s="6">
        <v>300.0</v>
      </c>
      <c r="D2658" s="11" t="b">
        <f t="shared" si="598"/>
        <v>1</v>
      </c>
      <c r="E2658" s="8" t="s">
        <v>2479</v>
      </c>
    </row>
    <row r="2659" ht="15.75" customHeight="1">
      <c r="A2659" s="11" t="s">
        <v>2558</v>
      </c>
      <c r="B2659" s="6">
        <v>1290.0</v>
      </c>
      <c r="C2659" s="6">
        <v>2000.0</v>
      </c>
      <c r="D2659" s="11" t="b">
        <f t="shared" si="598"/>
        <v>1</v>
      </c>
      <c r="E2659" s="8" t="s">
        <v>2479</v>
      </c>
    </row>
  </sheetData>
  <dataValidations>
    <dataValidation type="custom" allowBlank="1" showDropDown="1" sqref="B2:C2659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80.25"/>
    <col customWidth="1" min="3" max="3" width="11.13"/>
    <col customWidth="1" min="4" max="4" width="16.0"/>
    <col customWidth="1" min="5" max="5" width="10.88"/>
    <col customWidth="1" min="6" max="6" width="8.63"/>
    <col customWidth="1" min="7" max="7" width="8.0"/>
    <col customWidth="1" min="8" max="8" width="11.38"/>
    <col customWidth="1" min="9" max="9" width="14.88"/>
    <col customWidth="1" min="10" max="10" width="11.63"/>
    <col customWidth="1" min="11" max="26" width="10.63"/>
  </cols>
  <sheetData>
    <row r="1" ht="12.75" customHeight="1">
      <c r="A1" s="19" t="s">
        <v>2559</v>
      </c>
      <c r="B1" s="20" t="s">
        <v>2560</v>
      </c>
      <c r="C1" s="21" t="s">
        <v>2561</v>
      </c>
      <c r="D1" s="22" t="s">
        <v>2562</v>
      </c>
      <c r="E1" s="22" t="s">
        <v>2563</v>
      </c>
      <c r="F1" s="22" t="s">
        <v>2564</v>
      </c>
      <c r="G1" s="23" t="s">
        <v>2565</v>
      </c>
      <c r="H1" s="22" t="s">
        <v>2566</v>
      </c>
      <c r="I1" s="22" t="s">
        <v>2567</v>
      </c>
      <c r="J1" s="22" t="s">
        <v>2568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5"/>
      <c r="C2" s="26"/>
      <c r="D2" s="27"/>
      <c r="E2" s="27"/>
      <c r="F2" s="27"/>
      <c r="G2" s="28"/>
      <c r="H2" s="27"/>
      <c r="I2" s="27"/>
      <c r="J2" s="27"/>
    </row>
    <row r="3" ht="12.75" customHeight="1">
      <c r="A3" s="29">
        <v>8229859.0</v>
      </c>
      <c r="B3" s="30" t="s">
        <v>2569</v>
      </c>
      <c r="C3" s="26">
        <v>2.0</v>
      </c>
      <c r="D3" s="27">
        <v>10140.0</v>
      </c>
      <c r="E3" s="27">
        <f t="shared" ref="E3:E30" si="1">D3*C3</f>
        <v>20280</v>
      </c>
      <c r="F3" s="27">
        <v>423.0</v>
      </c>
      <c r="G3" s="28">
        <v>700.0</v>
      </c>
      <c r="H3" s="27">
        <f t="shared" ref="H3:H30" si="2">G3-F3</f>
        <v>277</v>
      </c>
      <c r="I3" s="27">
        <f>H3*48</f>
        <v>13296</v>
      </c>
      <c r="J3" s="27">
        <f>G3*48</f>
        <v>33600</v>
      </c>
    </row>
    <row r="4" ht="12.75" customHeight="1">
      <c r="A4" s="29">
        <v>5694221.0</v>
      </c>
      <c r="B4" s="30" t="s">
        <v>2570</v>
      </c>
      <c r="C4" s="26">
        <v>2.0</v>
      </c>
      <c r="D4" s="27">
        <v>7330.0</v>
      </c>
      <c r="E4" s="27">
        <f t="shared" si="1"/>
        <v>14660</v>
      </c>
      <c r="F4" s="27">
        <v>611.0</v>
      </c>
      <c r="G4" s="28">
        <v>1200.0</v>
      </c>
      <c r="H4" s="27">
        <f t="shared" si="2"/>
        <v>589</v>
      </c>
      <c r="I4" s="27">
        <f>H4*24</f>
        <v>14136</v>
      </c>
      <c r="J4" s="27">
        <f>G4*24</f>
        <v>28800</v>
      </c>
    </row>
    <row r="5" ht="12.75" customHeight="1">
      <c r="A5" s="29">
        <v>250637.0</v>
      </c>
      <c r="B5" s="30" t="s">
        <v>2571</v>
      </c>
      <c r="C5" s="26">
        <v>1.0</v>
      </c>
      <c r="D5" s="27">
        <v>9980.0</v>
      </c>
      <c r="E5" s="27">
        <f t="shared" si="1"/>
        <v>9980</v>
      </c>
      <c r="F5" s="27">
        <v>832.0</v>
      </c>
      <c r="G5" s="28">
        <v>1500.0</v>
      </c>
      <c r="H5" s="27">
        <f t="shared" si="2"/>
        <v>668</v>
      </c>
      <c r="I5" s="27">
        <f>H5*12</f>
        <v>8016</v>
      </c>
      <c r="J5" s="27">
        <f>G5*12</f>
        <v>18000</v>
      </c>
    </row>
    <row r="6" ht="12.75" customHeight="1">
      <c r="A6" s="31">
        <v>5980442.0</v>
      </c>
      <c r="B6" s="30" t="s">
        <v>2572</v>
      </c>
      <c r="C6" s="26">
        <v>15.0</v>
      </c>
      <c r="D6" s="27">
        <v>430.0</v>
      </c>
      <c r="E6" s="27">
        <f t="shared" si="1"/>
        <v>6450</v>
      </c>
      <c r="F6" s="27">
        <v>430.0</v>
      </c>
      <c r="G6" s="28">
        <v>750.0</v>
      </c>
      <c r="H6" s="27">
        <f t="shared" si="2"/>
        <v>320</v>
      </c>
      <c r="I6" s="27">
        <f>H6*15</f>
        <v>4800</v>
      </c>
      <c r="J6" s="27">
        <f>G6*15</f>
        <v>11250</v>
      </c>
    </row>
    <row r="7" ht="12.75" customHeight="1">
      <c r="A7" s="31">
        <v>4164023.0</v>
      </c>
      <c r="B7" s="30" t="s">
        <v>2573</v>
      </c>
      <c r="C7" s="26">
        <v>6.0</v>
      </c>
      <c r="D7" s="27">
        <v>1240.0</v>
      </c>
      <c r="E7" s="27">
        <f t="shared" si="1"/>
        <v>7440</v>
      </c>
      <c r="F7" s="27">
        <v>1240.0</v>
      </c>
      <c r="G7" s="28">
        <v>1700.0</v>
      </c>
      <c r="H7" s="27">
        <f t="shared" si="2"/>
        <v>460</v>
      </c>
      <c r="I7" s="27">
        <f>H7*6</f>
        <v>2760</v>
      </c>
      <c r="J7" s="27">
        <f>G7*6</f>
        <v>10200</v>
      </c>
    </row>
    <row r="8" ht="12.75" customHeight="1">
      <c r="A8" s="31">
        <v>5.5010523E7</v>
      </c>
      <c r="B8" s="30" t="s">
        <v>2574</v>
      </c>
      <c r="C8" s="26">
        <v>1.0</v>
      </c>
      <c r="D8" s="27">
        <v>3000.0</v>
      </c>
      <c r="E8" s="27">
        <f t="shared" si="1"/>
        <v>3000</v>
      </c>
      <c r="F8" s="27">
        <v>250.0</v>
      </c>
      <c r="G8" s="28">
        <v>500.0</v>
      </c>
      <c r="H8" s="27">
        <f t="shared" si="2"/>
        <v>250</v>
      </c>
      <c r="I8" s="27">
        <f>H8*12</f>
        <v>3000</v>
      </c>
      <c r="J8" s="27">
        <f>G8*12</f>
        <v>6000</v>
      </c>
    </row>
    <row r="9" ht="12.75" customHeight="1">
      <c r="A9" s="31">
        <v>5501016.0</v>
      </c>
      <c r="B9" s="30" t="s">
        <v>2575</v>
      </c>
      <c r="C9" s="26">
        <v>2.0</v>
      </c>
      <c r="D9" s="27">
        <v>3000.0</v>
      </c>
      <c r="E9" s="27">
        <f t="shared" si="1"/>
        <v>6000</v>
      </c>
      <c r="F9" s="27">
        <v>250.0</v>
      </c>
      <c r="G9" s="28">
        <v>500.0</v>
      </c>
      <c r="H9" s="27">
        <f t="shared" si="2"/>
        <v>250</v>
      </c>
      <c r="I9" s="27">
        <f>H9*24</f>
        <v>6000</v>
      </c>
      <c r="J9" s="27">
        <f>G9*24</f>
        <v>12000</v>
      </c>
    </row>
    <row r="10" ht="12.75" customHeight="1">
      <c r="A10" s="31">
        <v>710002.0</v>
      </c>
      <c r="B10" s="30" t="s">
        <v>2576</v>
      </c>
      <c r="C10" s="26">
        <v>1.0</v>
      </c>
      <c r="D10" s="27">
        <v>7780.0</v>
      </c>
      <c r="E10" s="27">
        <f t="shared" si="1"/>
        <v>7780</v>
      </c>
      <c r="F10" s="27">
        <v>312.0</v>
      </c>
      <c r="G10" s="28">
        <v>900.0</v>
      </c>
      <c r="H10" s="27">
        <f t="shared" si="2"/>
        <v>588</v>
      </c>
      <c r="I10" s="27">
        <f>H10*25</f>
        <v>14700</v>
      </c>
      <c r="J10" s="27">
        <f>G10*25</f>
        <v>22500</v>
      </c>
    </row>
    <row r="11" ht="12.75" customHeight="1">
      <c r="A11" s="31">
        <v>4632009.0</v>
      </c>
      <c r="B11" s="30" t="s">
        <v>2577</v>
      </c>
      <c r="C11" s="26">
        <v>1.0</v>
      </c>
      <c r="D11" s="27">
        <v>2450.0</v>
      </c>
      <c r="E11" s="27">
        <f t="shared" si="1"/>
        <v>2450</v>
      </c>
      <c r="F11" s="27">
        <v>102.0</v>
      </c>
      <c r="G11" s="28">
        <v>350.0</v>
      </c>
      <c r="H11" s="27">
        <f t="shared" si="2"/>
        <v>248</v>
      </c>
      <c r="I11" s="27">
        <f t="shared" ref="I11:I12" si="3">H11*24</f>
        <v>5952</v>
      </c>
      <c r="J11" s="27">
        <f t="shared" ref="J11:J12" si="4">G11*24</f>
        <v>8400</v>
      </c>
    </row>
    <row r="12" ht="12.75" customHeight="1">
      <c r="A12" s="31">
        <v>4602002.0</v>
      </c>
      <c r="B12" s="30" t="s">
        <v>2578</v>
      </c>
      <c r="C12" s="26">
        <v>1.0</v>
      </c>
      <c r="D12" s="27">
        <v>2980.0</v>
      </c>
      <c r="E12" s="27">
        <f t="shared" si="1"/>
        <v>2980</v>
      </c>
      <c r="F12" s="27">
        <v>124.0</v>
      </c>
      <c r="G12" s="28">
        <v>350.0</v>
      </c>
      <c r="H12" s="27">
        <f t="shared" si="2"/>
        <v>226</v>
      </c>
      <c r="I12" s="27">
        <f t="shared" si="3"/>
        <v>5424</v>
      </c>
      <c r="J12" s="27">
        <f t="shared" si="4"/>
        <v>8400</v>
      </c>
    </row>
    <row r="13" ht="12.75" customHeight="1">
      <c r="A13" s="31">
        <v>1632735.0</v>
      </c>
      <c r="B13" s="30" t="s">
        <v>2579</v>
      </c>
      <c r="C13" s="26">
        <v>1.0</v>
      </c>
      <c r="D13" s="27">
        <v>3380.0</v>
      </c>
      <c r="E13" s="27">
        <f t="shared" si="1"/>
        <v>3380</v>
      </c>
      <c r="F13" s="27">
        <v>282.0</v>
      </c>
      <c r="G13" s="28">
        <v>650.0</v>
      </c>
      <c r="H13" s="27">
        <f t="shared" si="2"/>
        <v>368</v>
      </c>
      <c r="I13" s="27">
        <f t="shared" ref="I13:I15" si="5">H13*12</f>
        <v>4416</v>
      </c>
      <c r="J13" s="27">
        <f t="shared" ref="J13:J15" si="6">G13*12</f>
        <v>7800</v>
      </c>
    </row>
    <row r="14" ht="12.75" customHeight="1">
      <c r="A14" s="31">
        <v>4898170.0</v>
      </c>
      <c r="B14" s="30" t="s">
        <v>2580</v>
      </c>
      <c r="C14" s="26">
        <v>1.0</v>
      </c>
      <c r="D14" s="27">
        <v>3190.0</v>
      </c>
      <c r="E14" s="27">
        <f t="shared" si="1"/>
        <v>3190</v>
      </c>
      <c r="F14" s="27">
        <v>266.0</v>
      </c>
      <c r="G14" s="28">
        <v>600.0</v>
      </c>
      <c r="H14" s="27">
        <f t="shared" si="2"/>
        <v>334</v>
      </c>
      <c r="I14" s="27">
        <f t="shared" si="5"/>
        <v>4008</v>
      </c>
      <c r="J14" s="27">
        <f t="shared" si="6"/>
        <v>7200</v>
      </c>
    </row>
    <row r="15" ht="12.75" customHeight="1">
      <c r="A15" s="31">
        <v>4412360.0</v>
      </c>
      <c r="B15" s="30" t="s">
        <v>2581</v>
      </c>
      <c r="C15" s="26">
        <v>1.0</v>
      </c>
      <c r="D15" s="27">
        <v>9410.0</v>
      </c>
      <c r="E15" s="27">
        <f t="shared" si="1"/>
        <v>9410</v>
      </c>
      <c r="F15" s="27">
        <v>784.0</v>
      </c>
      <c r="G15" s="28">
        <v>1200.0</v>
      </c>
      <c r="H15" s="27">
        <f t="shared" si="2"/>
        <v>416</v>
      </c>
      <c r="I15" s="27">
        <f t="shared" si="5"/>
        <v>4992</v>
      </c>
      <c r="J15" s="27">
        <f t="shared" si="6"/>
        <v>14400</v>
      </c>
    </row>
    <row r="16" ht="12.75" customHeight="1">
      <c r="A16" s="31">
        <v>5664009.0</v>
      </c>
      <c r="B16" s="30" t="s">
        <v>2582</v>
      </c>
      <c r="C16" s="26">
        <v>2.0</v>
      </c>
      <c r="D16" s="27">
        <v>3590.0</v>
      </c>
      <c r="E16" s="27">
        <f t="shared" si="1"/>
        <v>7180</v>
      </c>
      <c r="F16" s="27">
        <v>299.0</v>
      </c>
      <c r="G16" s="28">
        <v>1000.0</v>
      </c>
      <c r="H16" s="27">
        <f t="shared" si="2"/>
        <v>701</v>
      </c>
      <c r="I16" s="27">
        <f>H16*24</f>
        <v>16824</v>
      </c>
      <c r="J16" s="27">
        <f>G16*24</f>
        <v>24000</v>
      </c>
    </row>
    <row r="17" ht="12.75" customHeight="1">
      <c r="A17" s="31">
        <v>5703005.0</v>
      </c>
      <c r="B17" s="30" t="s">
        <v>2583</v>
      </c>
      <c r="C17" s="26">
        <v>10.0</v>
      </c>
      <c r="D17" s="27">
        <v>360.0</v>
      </c>
      <c r="E17" s="27">
        <f t="shared" si="1"/>
        <v>3600</v>
      </c>
      <c r="F17" s="27">
        <v>360.0</v>
      </c>
      <c r="G17" s="28">
        <v>700.0</v>
      </c>
      <c r="H17" s="27">
        <f t="shared" si="2"/>
        <v>340</v>
      </c>
      <c r="I17" s="27">
        <f t="shared" ref="I17:I18" si="7">H17*10</f>
        <v>3400</v>
      </c>
      <c r="J17" s="27">
        <f t="shared" ref="J17:J18" si="8">G17*10</f>
        <v>7000</v>
      </c>
    </row>
    <row r="18" ht="12.75" customHeight="1">
      <c r="A18" s="31">
        <v>7300078.0</v>
      </c>
      <c r="B18" s="30" t="s">
        <v>2584</v>
      </c>
      <c r="C18" s="26">
        <v>10.0</v>
      </c>
      <c r="D18" s="27">
        <v>360.0</v>
      </c>
      <c r="E18" s="27">
        <f t="shared" si="1"/>
        <v>3600</v>
      </c>
      <c r="F18" s="27">
        <v>360.0</v>
      </c>
      <c r="G18" s="28">
        <v>1000.0</v>
      </c>
      <c r="H18" s="27">
        <f t="shared" si="2"/>
        <v>640</v>
      </c>
      <c r="I18" s="27">
        <f t="shared" si="7"/>
        <v>6400</v>
      </c>
      <c r="J18" s="27">
        <f t="shared" si="8"/>
        <v>10000</v>
      </c>
    </row>
    <row r="19" ht="12.75" customHeight="1">
      <c r="A19" s="31">
        <v>428107.0</v>
      </c>
      <c r="B19" s="30" t="s">
        <v>2585</v>
      </c>
      <c r="C19" s="26">
        <v>3.0</v>
      </c>
      <c r="D19" s="27">
        <v>700.0</v>
      </c>
      <c r="E19" s="27">
        <f t="shared" si="1"/>
        <v>2100</v>
      </c>
      <c r="F19" s="27">
        <v>700.0</v>
      </c>
      <c r="G19" s="28">
        <v>1500.0</v>
      </c>
      <c r="H19" s="27">
        <f t="shared" si="2"/>
        <v>800</v>
      </c>
      <c r="I19" s="27">
        <f>H19*3</f>
        <v>2400</v>
      </c>
      <c r="J19" s="27">
        <f>G19*3</f>
        <v>4500</v>
      </c>
    </row>
    <row r="20" ht="12.75" customHeight="1">
      <c r="A20" s="31">
        <v>428091.0</v>
      </c>
      <c r="B20" s="30" t="s">
        <v>2586</v>
      </c>
      <c r="C20" s="26">
        <v>0.0</v>
      </c>
      <c r="D20" s="27">
        <v>1130.0</v>
      </c>
      <c r="E20" s="27">
        <f t="shared" si="1"/>
        <v>0</v>
      </c>
      <c r="F20" s="27">
        <v>0.0</v>
      </c>
      <c r="G20" s="28">
        <v>0.0</v>
      </c>
      <c r="H20" s="27">
        <f t="shared" si="2"/>
        <v>0</v>
      </c>
      <c r="I20" s="27">
        <v>0.0</v>
      </c>
      <c r="J20" s="27">
        <v>0.0</v>
      </c>
    </row>
    <row r="21" ht="12.75" customHeight="1">
      <c r="A21" s="31">
        <v>299578.0</v>
      </c>
      <c r="B21" s="30" t="s">
        <v>2587</v>
      </c>
      <c r="C21" s="26">
        <v>10.0</v>
      </c>
      <c r="D21" s="27">
        <v>1610.0</v>
      </c>
      <c r="E21" s="27">
        <f t="shared" si="1"/>
        <v>16100</v>
      </c>
      <c r="F21" s="27">
        <v>1610.0</v>
      </c>
      <c r="G21" s="28">
        <v>2100.0</v>
      </c>
      <c r="H21" s="27">
        <f t="shared" si="2"/>
        <v>490</v>
      </c>
      <c r="I21" s="27">
        <f>H21*10</f>
        <v>4900</v>
      </c>
      <c r="J21" s="27">
        <f>G21*10</f>
        <v>21000</v>
      </c>
    </row>
    <row r="22" ht="12.75" customHeight="1">
      <c r="A22" s="31">
        <v>5050855.0</v>
      </c>
      <c r="B22" s="30" t="s">
        <v>2588</v>
      </c>
      <c r="C22" s="26">
        <v>6.0</v>
      </c>
      <c r="D22" s="27">
        <v>470.0</v>
      </c>
      <c r="E22" s="27">
        <f t="shared" si="1"/>
        <v>2820</v>
      </c>
      <c r="F22" s="27">
        <v>470.0</v>
      </c>
      <c r="G22" s="28">
        <v>850.0</v>
      </c>
      <c r="H22" s="27">
        <f t="shared" si="2"/>
        <v>380</v>
      </c>
      <c r="I22" s="27">
        <f>H22*6</f>
        <v>2280</v>
      </c>
      <c r="J22" s="27">
        <f>G22*6</f>
        <v>5100</v>
      </c>
    </row>
    <row r="23" ht="12.75" customHeight="1">
      <c r="A23" s="31">
        <v>5050909.0</v>
      </c>
      <c r="B23" s="30" t="s">
        <v>2589</v>
      </c>
      <c r="C23" s="26">
        <v>10.0</v>
      </c>
      <c r="D23" s="27">
        <v>810.0</v>
      </c>
      <c r="E23" s="27">
        <f t="shared" si="1"/>
        <v>8100</v>
      </c>
      <c r="F23" s="27">
        <v>810.0</v>
      </c>
      <c r="G23" s="28">
        <v>1500.0</v>
      </c>
      <c r="H23" s="27">
        <f t="shared" si="2"/>
        <v>690</v>
      </c>
      <c r="I23" s="27">
        <f t="shared" ref="I23:I28" si="9">H23*10</f>
        <v>6900</v>
      </c>
      <c r="J23" s="27">
        <f t="shared" ref="J23:J28" si="10">G23*10</f>
        <v>15000</v>
      </c>
    </row>
    <row r="24" ht="12.75" customHeight="1">
      <c r="A24" s="31">
        <v>3761957.0</v>
      </c>
      <c r="B24" s="30" t="s">
        <v>2590</v>
      </c>
      <c r="C24" s="26">
        <v>10.0</v>
      </c>
      <c r="D24" s="27">
        <v>930.0</v>
      </c>
      <c r="E24" s="27">
        <f t="shared" si="1"/>
        <v>9300</v>
      </c>
      <c r="F24" s="27">
        <v>930.0</v>
      </c>
      <c r="G24" s="28">
        <v>2000.0</v>
      </c>
      <c r="H24" s="27">
        <f t="shared" si="2"/>
        <v>1070</v>
      </c>
      <c r="I24" s="27">
        <f t="shared" si="9"/>
        <v>10700</v>
      </c>
      <c r="J24" s="27">
        <f t="shared" si="10"/>
        <v>20000</v>
      </c>
    </row>
    <row r="25" ht="12.75" customHeight="1">
      <c r="A25" s="31">
        <v>5034480.0</v>
      </c>
      <c r="B25" s="30" t="s">
        <v>2591</v>
      </c>
      <c r="C25" s="26">
        <v>1.0</v>
      </c>
      <c r="D25" s="27">
        <v>5970.0</v>
      </c>
      <c r="E25" s="27">
        <f t="shared" si="1"/>
        <v>5970</v>
      </c>
      <c r="F25" s="27">
        <v>597.0</v>
      </c>
      <c r="G25" s="28">
        <v>1200.0</v>
      </c>
      <c r="H25" s="27">
        <f t="shared" si="2"/>
        <v>603</v>
      </c>
      <c r="I25" s="27">
        <f t="shared" si="9"/>
        <v>6030</v>
      </c>
      <c r="J25" s="27">
        <f t="shared" si="10"/>
        <v>12000</v>
      </c>
    </row>
    <row r="26" ht="12.75" customHeight="1">
      <c r="A26" s="31">
        <v>5045646.0</v>
      </c>
      <c r="B26" s="30" t="s">
        <v>2592</v>
      </c>
      <c r="C26" s="26">
        <v>1.0</v>
      </c>
      <c r="D26" s="27">
        <v>5970.0</v>
      </c>
      <c r="E26" s="27">
        <f t="shared" si="1"/>
        <v>5970</v>
      </c>
      <c r="F26" s="27">
        <v>597.0</v>
      </c>
      <c r="G26" s="28">
        <v>1200.0</v>
      </c>
      <c r="H26" s="27">
        <f t="shared" si="2"/>
        <v>603</v>
      </c>
      <c r="I26" s="27">
        <f t="shared" si="9"/>
        <v>6030</v>
      </c>
      <c r="J26" s="27">
        <f t="shared" si="10"/>
        <v>12000</v>
      </c>
    </row>
    <row r="27" ht="12.75" customHeight="1">
      <c r="A27" s="31">
        <v>5045653.0</v>
      </c>
      <c r="B27" s="30" t="s">
        <v>2593</v>
      </c>
      <c r="C27" s="26">
        <v>1.0</v>
      </c>
      <c r="D27" s="27">
        <v>5970.0</v>
      </c>
      <c r="E27" s="27">
        <f t="shared" si="1"/>
        <v>5970</v>
      </c>
      <c r="F27" s="27">
        <v>597.0</v>
      </c>
      <c r="G27" s="28">
        <v>1200.0</v>
      </c>
      <c r="H27" s="27">
        <f t="shared" si="2"/>
        <v>603</v>
      </c>
      <c r="I27" s="27">
        <f t="shared" si="9"/>
        <v>6030</v>
      </c>
      <c r="J27" s="27">
        <f t="shared" si="10"/>
        <v>12000</v>
      </c>
    </row>
    <row r="28" ht="12.75" customHeight="1">
      <c r="A28" s="31">
        <v>5045639.0</v>
      </c>
      <c r="B28" s="30" t="s">
        <v>2594</v>
      </c>
      <c r="C28" s="26">
        <v>1.0</v>
      </c>
      <c r="D28" s="27">
        <v>5970.0</v>
      </c>
      <c r="E28" s="27">
        <f t="shared" si="1"/>
        <v>5970</v>
      </c>
      <c r="F28" s="27">
        <v>597.0</v>
      </c>
      <c r="G28" s="28">
        <v>1200.0</v>
      </c>
      <c r="H28" s="27">
        <f t="shared" si="2"/>
        <v>603</v>
      </c>
      <c r="I28" s="27">
        <f t="shared" si="9"/>
        <v>6030</v>
      </c>
      <c r="J28" s="27">
        <f t="shared" si="10"/>
        <v>12000</v>
      </c>
    </row>
    <row r="29" ht="12.75" customHeight="1">
      <c r="A29" s="31">
        <v>5995453.0</v>
      </c>
      <c r="B29" s="30" t="s">
        <v>2595</v>
      </c>
      <c r="C29" s="26">
        <v>2.0</v>
      </c>
      <c r="D29" s="27">
        <v>12640.0</v>
      </c>
      <c r="E29" s="27">
        <f t="shared" si="1"/>
        <v>25280</v>
      </c>
      <c r="F29" s="27">
        <v>1264.0</v>
      </c>
      <c r="G29" s="28">
        <v>2000.0</v>
      </c>
      <c r="H29" s="27">
        <f t="shared" si="2"/>
        <v>736</v>
      </c>
      <c r="I29" s="27">
        <f t="shared" ref="I29:I30" si="11">H29*20</f>
        <v>14720</v>
      </c>
      <c r="J29" s="27">
        <f t="shared" ref="J29:J30" si="12">G29*20</f>
        <v>40000</v>
      </c>
    </row>
    <row r="30" ht="12.75" customHeight="1">
      <c r="A30" s="31">
        <v>5030529.0</v>
      </c>
      <c r="B30" s="30" t="s">
        <v>2596</v>
      </c>
      <c r="C30" s="26">
        <v>2.0</v>
      </c>
      <c r="D30" s="27">
        <v>12640.0</v>
      </c>
      <c r="E30" s="27">
        <f t="shared" si="1"/>
        <v>25280</v>
      </c>
      <c r="F30" s="27">
        <v>1264.0</v>
      </c>
      <c r="G30" s="28">
        <v>2000.0</v>
      </c>
      <c r="H30" s="27">
        <f t="shared" si="2"/>
        <v>736</v>
      </c>
      <c r="I30" s="27">
        <f t="shared" si="11"/>
        <v>14720</v>
      </c>
      <c r="J30" s="27">
        <f t="shared" si="12"/>
        <v>40000</v>
      </c>
    </row>
    <row r="31" ht="12.75" customHeight="1">
      <c r="A31" s="25"/>
      <c r="C31" s="26"/>
      <c r="D31" s="27"/>
      <c r="E31" s="27"/>
      <c r="F31" s="27"/>
      <c r="G31" s="28"/>
      <c r="H31" s="27"/>
      <c r="I31" s="27"/>
      <c r="J31" s="27"/>
    </row>
    <row r="32" ht="12.75" customHeight="1">
      <c r="A32" s="25"/>
      <c r="C32" s="26"/>
      <c r="D32" s="27"/>
      <c r="E32" s="32">
        <f>SUM(E3:E30)</f>
        <v>224240</v>
      </c>
      <c r="F32" s="32"/>
      <c r="G32" s="28"/>
      <c r="H32" s="27"/>
      <c r="I32" s="33">
        <f t="shared" ref="I32:J32" si="13">SUM(I3:I30)</f>
        <v>198864</v>
      </c>
      <c r="J32" s="32">
        <f t="shared" si="13"/>
        <v>423150</v>
      </c>
    </row>
    <row r="33" ht="12.75" customHeight="1">
      <c r="A33" s="25"/>
      <c r="C33" s="26"/>
      <c r="D33" s="27"/>
      <c r="E33" s="27"/>
      <c r="F33" s="27"/>
      <c r="G33" s="28"/>
      <c r="H33" s="27"/>
      <c r="I33" s="27"/>
      <c r="J33" s="27"/>
    </row>
    <row r="34" ht="12.75" customHeight="1">
      <c r="A34" s="34">
        <v>45289.0</v>
      </c>
      <c r="B34" s="35"/>
      <c r="C34" s="26"/>
      <c r="D34" s="27"/>
      <c r="E34" s="27"/>
      <c r="F34" s="27"/>
      <c r="G34" s="28"/>
      <c r="H34" s="27"/>
      <c r="I34" s="27"/>
      <c r="J34" s="27"/>
    </row>
    <row r="35" ht="12.75" customHeight="1">
      <c r="A35" s="25"/>
      <c r="C35" s="26"/>
      <c r="D35" s="27"/>
      <c r="E35" s="27"/>
      <c r="F35" s="27"/>
      <c r="G35" s="28"/>
      <c r="H35" s="27"/>
      <c r="I35" s="27"/>
      <c r="J35" s="27"/>
    </row>
    <row r="36" ht="12.75" customHeight="1">
      <c r="A36" s="36">
        <v>8381002.0</v>
      </c>
      <c r="B36" s="36" t="s">
        <v>2597</v>
      </c>
      <c r="C36" s="26">
        <v>1.0</v>
      </c>
      <c r="D36" s="27">
        <v>3430.0</v>
      </c>
      <c r="E36" s="27">
        <f t="shared" ref="E36:E60" si="14">D36*C36</f>
        <v>3430</v>
      </c>
      <c r="F36" s="27">
        <v>172.0</v>
      </c>
      <c r="G36" s="28">
        <v>350.0</v>
      </c>
      <c r="H36" s="27">
        <f t="shared" ref="H36:H60" si="15">G36-F36</f>
        <v>178</v>
      </c>
      <c r="I36" s="27">
        <f>H36*20</f>
        <v>3560</v>
      </c>
      <c r="J36" s="27">
        <f>G36*20</f>
        <v>7000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6">
        <v>5052545.0</v>
      </c>
      <c r="B37" s="36" t="s">
        <v>2598</v>
      </c>
      <c r="C37" s="26">
        <v>3.0</v>
      </c>
      <c r="D37" s="27">
        <v>630.0</v>
      </c>
      <c r="E37" s="27">
        <f t="shared" si="14"/>
        <v>1890</v>
      </c>
      <c r="F37" s="27">
        <v>53.0</v>
      </c>
      <c r="G37" s="28">
        <v>150.0</v>
      </c>
      <c r="H37" s="27">
        <f t="shared" si="15"/>
        <v>97</v>
      </c>
      <c r="I37" s="27">
        <f>H37*12</f>
        <v>1164</v>
      </c>
      <c r="J37" s="27">
        <f>G37*12</f>
        <v>1800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6">
        <v>31486.0</v>
      </c>
      <c r="B38" s="36" t="s">
        <v>2599</v>
      </c>
      <c r="C38" s="26">
        <v>1.0</v>
      </c>
      <c r="D38" s="27">
        <v>3500.0</v>
      </c>
      <c r="E38" s="27">
        <f t="shared" si="14"/>
        <v>3500</v>
      </c>
      <c r="F38" s="27">
        <v>70.0</v>
      </c>
      <c r="G38" s="28">
        <v>200.0</v>
      </c>
      <c r="H38" s="27">
        <f t="shared" si="15"/>
        <v>130</v>
      </c>
      <c r="I38" s="27">
        <f t="shared" ref="I38:I39" si="16">H38*50</f>
        <v>6500</v>
      </c>
      <c r="J38" s="27">
        <f t="shared" ref="J38:J39" si="17">G38*50</f>
        <v>10000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6">
        <v>2394510.0</v>
      </c>
      <c r="B39" s="36" t="s">
        <v>2600</v>
      </c>
      <c r="C39" s="26">
        <v>5.0</v>
      </c>
      <c r="D39" s="27">
        <v>8180.0</v>
      </c>
      <c r="E39" s="27">
        <f t="shared" si="14"/>
        <v>40900</v>
      </c>
      <c r="F39" s="27">
        <v>818.0</v>
      </c>
      <c r="G39" s="28">
        <v>1300.0</v>
      </c>
      <c r="H39" s="27">
        <f t="shared" si="15"/>
        <v>482</v>
      </c>
      <c r="I39" s="27">
        <f t="shared" si="16"/>
        <v>24100</v>
      </c>
      <c r="J39" s="27">
        <f t="shared" si="17"/>
        <v>65000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6">
        <v>5100529.0</v>
      </c>
      <c r="B40" s="36" t="s">
        <v>2601</v>
      </c>
      <c r="C40" s="26">
        <v>15.0</v>
      </c>
      <c r="D40" s="27">
        <v>1640.0</v>
      </c>
      <c r="E40" s="27">
        <f t="shared" si="14"/>
        <v>24600</v>
      </c>
      <c r="F40" s="27">
        <v>1640.0</v>
      </c>
      <c r="G40" s="28">
        <v>2400.0</v>
      </c>
      <c r="H40" s="27">
        <f t="shared" si="15"/>
        <v>760</v>
      </c>
      <c r="I40" s="27">
        <f>H40*15</f>
        <v>11400</v>
      </c>
      <c r="J40" s="27">
        <f>G40*15</f>
        <v>36000</v>
      </c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6">
        <v>701843.0</v>
      </c>
      <c r="B41" s="36" t="s">
        <v>2602</v>
      </c>
      <c r="C41" s="26">
        <v>10.0</v>
      </c>
      <c r="D41" s="27">
        <v>290.0</v>
      </c>
      <c r="E41" s="27">
        <f t="shared" si="14"/>
        <v>2900</v>
      </c>
      <c r="F41" s="27">
        <v>290.0</v>
      </c>
      <c r="G41" s="28">
        <v>600.0</v>
      </c>
      <c r="H41" s="27">
        <f t="shared" si="15"/>
        <v>310</v>
      </c>
      <c r="I41" s="27">
        <f>H41*10</f>
        <v>3100</v>
      </c>
      <c r="J41" s="27">
        <f>G41*10</f>
        <v>6000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6">
        <v>308578.0</v>
      </c>
      <c r="B42" s="36" t="s">
        <v>2603</v>
      </c>
      <c r="C42" s="26">
        <v>15.0</v>
      </c>
      <c r="D42" s="27">
        <v>790.0</v>
      </c>
      <c r="E42" s="27">
        <f t="shared" si="14"/>
        <v>11850</v>
      </c>
      <c r="F42" s="27">
        <v>790.0</v>
      </c>
      <c r="G42" s="28">
        <v>1300.0</v>
      </c>
      <c r="H42" s="27">
        <f t="shared" si="15"/>
        <v>510</v>
      </c>
      <c r="I42" s="27">
        <f>H42*15</f>
        <v>7650</v>
      </c>
      <c r="J42" s="27">
        <f>G42*15</f>
        <v>19500</v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6">
        <v>1103829.0</v>
      </c>
      <c r="B43" s="36" t="s">
        <v>2604</v>
      </c>
      <c r="C43" s="26">
        <v>5.0</v>
      </c>
      <c r="D43" s="27">
        <v>2090.0</v>
      </c>
      <c r="E43" s="27">
        <f t="shared" si="14"/>
        <v>10450</v>
      </c>
      <c r="F43" s="27">
        <v>2090.0</v>
      </c>
      <c r="G43" s="28">
        <v>4200.0</v>
      </c>
      <c r="H43" s="27">
        <f t="shared" si="15"/>
        <v>2110</v>
      </c>
      <c r="I43" s="27">
        <f>H43*5</f>
        <v>10550</v>
      </c>
      <c r="J43" s="27">
        <f>G43*5</f>
        <v>21000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6">
        <v>1103836.0</v>
      </c>
      <c r="B44" s="36" t="s">
        <v>2605</v>
      </c>
      <c r="C44" s="26">
        <v>10.0</v>
      </c>
      <c r="D44" s="27">
        <v>2640.0</v>
      </c>
      <c r="E44" s="27">
        <f t="shared" si="14"/>
        <v>26400</v>
      </c>
      <c r="F44" s="27">
        <v>2640.0</v>
      </c>
      <c r="G44" s="28">
        <v>4800.0</v>
      </c>
      <c r="H44" s="27">
        <f t="shared" si="15"/>
        <v>2160</v>
      </c>
      <c r="I44" s="27">
        <f>H44*10</f>
        <v>21600</v>
      </c>
      <c r="J44" s="27">
        <f>G44*10</f>
        <v>48000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6">
        <v>26765.0</v>
      </c>
      <c r="B45" s="36" t="s">
        <v>2606</v>
      </c>
      <c r="C45" s="26">
        <v>3.0</v>
      </c>
      <c r="D45" s="27">
        <v>8280.0</v>
      </c>
      <c r="E45" s="27">
        <f t="shared" si="14"/>
        <v>24840</v>
      </c>
      <c r="F45" s="27">
        <v>828.0</v>
      </c>
      <c r="G45" s="28">
        <v>1300.0</v>
      </c>
      <c r="H45" s="27">
        <f t="shared" si="15"/>
        <v>472</v>
      </c>
      <c r="I45" s="27">
        <f>H45*30</f>
        <v>14160</v>
      </c>
      <c r="J45" s="27">
        <f>G45*30</f>
        <v>39000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6">
        <v>710003.0</v>
      </c>
      <c r="B46" s="36" t="s">
        <v>2607</v>
      </c>
      <c r="C46" s="26">
        <v>2.0</v>
      </c>
      <c r="D46" s="27">
        <v>3700.0</v>
      </c>
      <c r="E46" s="27">
        <f t="shared" si="14"/>
        <v>7400</v>
      </c>
      <c r="F46" s="27">
        <v>148.0</v>
      </c>
      <c r="G46" s="28">
        <v>450.0</v>
      </c>
      <c r="H46" s="27">
        <f t="shared" si="15"/>
        <v>302</v>
      </c>
      <c r="I46" s="27">
        <f>H46*50</f>
        <v>15100</v>
      </c>
      <c r="J46" s="27">
        <f>G46*50</f>
        <v>22500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6">
        <v>710002.0</v>
      </c>
      <c r="B47" s="36" t="s">
        <v>2576</v>
      </c>
      <c r="C47" s="26">
        <v>3.0</v>
      </c>
      <c r="D47" s="27">
        <v>6520.0</v>
      </c>
      <c r="E47" s="27">
        <f t="shared" si="14"/>
        <v>19560</v>
      </c>
      <c r="F47" s="27">
        <v>261.0</v>
      </c>
      <c r="G47" s="28">
        <v>900.0</v>
      </c>
      <c r="H47" s="27">
        <f t="shared" si="15"/>
        <v>639</v>
      </c>
      <c r="I47" s="27">
        <f>H47*75</f>
        <v>47925</v>
      </c>
      <c r="J47" s="27">
        <f>G47*75</f>
        <v>67500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6">
        <v>4630948.0</v>
      </c>
      <c r="B48" s="36" t="s">
        <v>2608</v>
      </c>
      <c r="C48" s="26">
        <v>1.0</v>
      </c>
      <c r="D48" s="27">
        <v>4870.0</v>
      </c>
      <c r="E48" s="27">
        <f t="shared" si="14"/>
        <v>4870</v>
      </c>
      <c r="F48" s="27">
        <v>98.0</v>
      </c>
      <c r="G48" s="28">
        <v>200.0</v>
      </c>
      <c r="H48" s="27">
        <f t="shared" si="15"/>
        <v>102</v>
      </c>
      <c r="I48" s="27">
        <f>H48*50</f>
        <v>5100</v>
      </c>
      <c r="J48" s="27">
        <f>G48*50</f>
        <v>10000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6">
        <v>5052408.0</v>
      </c>
      <c r="B49" s="36" t="s">
        <v>2609</v>
      </c>
      <c r="C49" s="26">
        <v>1.0</v>
      </c>
      <c r="D49" s="27">
        <v>5970.0</v>
      </c>
      <c r="E49" s="27">
        <f t="shared" si="14"/>
        <v>5970</v>
      </c>
      <c r="F49" s="27">
        <v>597.0</v>
      </c>
      <c r="G49" s="28">
        <v>1000.0</v>
      </c>
      <c r="H49" s="27">
        <f t="shared" si="15"/>
        <v>403</v>
      </c>
      <c r="I49" s="27">
        <f t="shared" ref="I49:I50" si="18">H49*10</f>
        <v>4030</v>
      </c>
      <c r="J49" s="27">
        <f t="shared" ref="J49:J50" si="19">G49*10</f>
        <v>10000</v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6">
        <v>5052392.0</v>
      </c>
      <c r="B50" s="36" t="s">
        <v>2610</v>
      </c>
      <c r="C50" s="26">
        <v>1.0</v>
      </c>
      <c r="D50" s="27">
        <v>5970.0</v>
      </c>
      <c r="E50" s="27">
        <f t="shared" si="14"/>
        <v>5970</v>
      </c>
      <c r="F50" s="27">
        <v>597.0</v>
      </c>
      <c r="G50" s="28">
        <v>1000.0</v>
      </c>
      <c r="H50" s="27">
        <f t="shared" si="15"/>
        <v>403</v>
      </c>
      <c r="I50" s="27">
        <f t="shared" si="18"/>
        <v>4030</v>
      </c>
      <c r="J50" s="27">
        <f t="shared" si="19"/>
        <v>10000</v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6">
        <v>7510007.0</v>
      </c>
      <c r="B51" s="36" t="s">
        <v>2611</v>
      </c>
      <c r="C51" s="26">
        <v>18.0</v>
      </c>
      <c r="D51" s="27">
        <v>390.0</v>
      </c>
      <c r="E51" s="27">
        <f t="shared" si="14"/>
        <v>7020</v>
      </c>
      <c r="F51" s="27">
        <v>390.0</v>
      </c>
      <c r="G51" s="28">
        <v>650.0</v>
      </c>
      <c r="H51" s="27">
        <f t="shared" si="15"/>
        <v>260</v>
      </c>
      <c r="I51" s="27">
        <f>H51*18</f>
        <v>4680</v>
      </c>
      <c r="J51" s="27">
        <f>G51*18</f>
        <v>11700</v>
      </c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6">
        <v>7959043.0</v>
      </c>
      <c r="B52" s="36" t="s">
        <v>2612</v>
      </c>
      <c r="C52" s="26">
        <v>5.0</v>
      </c>
      <c r="D52" s="27">
        <v>930.0</v>
      </c>
      <c r="E52" s="27">
        <f t="shared" si="14"/>
        <v>4650</v>
      </c>
      <c r="F52" s="27">
        <v>930.0</v>
      </c>
      <c r="G52" s="28">
        <v>2200.0</v>
      </c>
      <c r="H52" s="27">
        <f t="shared" si="15"/>
        <v>1270</v>
      </c>
      <c r="I52" s="27">
        <f>H52*5</f>
        <v>6350</v>
      </c>
      <c r="J52" s="27">
        <f>G52*5</f>
        <v>11000</v>
      </c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6">
        <v>2026944.0</v>
      </c>
      <c r="B53" s="36" t="s">
        <v>2613</v>
      </c>
      <c r="C53" s="26">
        <v>2.0</v>
      </c>
      <c r="D53" s="27">
        <v>1390.0</v>
      </c>
      <c r="E53" s="27">
        <f t="shared" si="14"/>
        <v>2780</v>
      </c>
      <c r="F53" s="27">
        <v>139.0</v>
      </c>
      <c r="G53" s="28">
        <v>350.0</v>
      </c>
      <c r="H53" s="27">
        <f t="shared" si="15"/>
        <v>211</v>
      </c>
      <c r="I53" s="27">
        <f>H53*20</f>
        <v>4220</v>
      </c>
      <c r="J53" s="27">
        <f>G53*20</f>
        <v>7000</v>
      </c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6">
        <v>4167260.0</v>
      </c>
      <c r="B54" s="36" t="s">
        <v>2614</v>
      </c>
      <c r="C54" s="26">
        <v>2.0</v>
      </c>
      <c r="D54" s="27">
        <v>10610.0</v>
      </c>
      <c r="E54" s="27">
        <f t="shared" si="14"/>
        <v>21220</v>
      </c>
      <c r="F54" s="27">
        <v>2653.0</v>
      </c>
      <c r="G54" s="28">
        <v>5000.0</v>
      </c>
      <c r="H54" s="27">
        <f t="shared" si="15"/>
        <v>2347</v>
      </c>
      <c r="I54" s="27">
        <f>H54*8</f>
        <v>18776</v>
      </c>
      <c r="J54" s="27">
        <f>G54*8</f>
        <v>40000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6">
        <v>281221.0</v>
      </c>
      <c r="B55" s="36" t="s">
        <v>2615</v>
      </c>
      <c r="C55" s="26">
        <v>12.0</v>
      </c>
      <c r="D55" s="27">
        <v>470.0</v>
      </c>
      <c r="E55" s="27">
        <f t="shared" si="14"/>
        <v>5640</v>
      </c>
      <c r="F55" s="27">
        <v>470.0</v>
      </c>
      <c r="G55" s="28">
        <v>1000.0</v>
      </c>
      <c r="H55" s="27">
        <f t="shared" si="15"/>
        <v>530</v>
      </c>
      <c r="I55" s="27">
        <f>H55*12</f>
        <v>6360</v>
      </c>
      <c r="J55" s="27">
        <f>G55*12</f>
        <v>12000</v>
      </c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6">
        <v>232107.0</v>
      </c>
      <c r="B56" s="36" t="s">
        <v>2616</v>
      </c>
      <c r="C56" s="26">
        <v>10.0</v>
      </c>
      <c r="D56" s="27">
        <v>3280.0</v>
      </c>
      <c r="E56" s="27">
        <f t="shared" si="14"/>
        <v>32800</v>
      </c>
      <c r="F56" s="27">
        <v>3280.0</v>
      </c>
      <c r="G56" s="28">
        <v>5000.0</v>
      </c>
      <c r="H56" s="27">
        <f t="shared" si="15"/>
        <v>1720</v>
      </c>
      <c r="I56" s="27">
        <f>H56*10</f>
        <v>17200</v>
      </c>
      <c r="J56" s="27">
        <f>G56*10</f>
        <v>50000</v>
      </c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6">
        <v>8229859.0</v>
      </c>
      <c r="B57" s="36" t="s">
        <v>2569</v>
      </c>
      <c r="C57" s="26">
        <v>2.0</v>
      </c>
      <c r="D57" s="27">
        <v>10140.0</v>
      </c>
      <c r="E57" s="27">
        <f t="shared" si="14"/>
        <v>20280</v>
      </c>
      <c r="F57" s="27">
        <v>423.0</v>
      </c>
      <c r="G57" s="28">
        <v>700.0</v>
      </c>
      <c r="H57" s="27">
        <f t="shared" si="15"/>
        <v>277</v>
      </c>
      <c r="I57" s="27">
        <f>H57*48</f>
        <v>13296</v>
      </c>
      <c r="J57" s="27">
        <f>G57*48</f>
        <v>33600</v>
      </c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6">
        <v>7162008.0</v>
      </c>
      <c r="B58" s="36" t="s">
        <v>2617</v>
      </c>
      <c r="C58" s="26">
        <v>1.0</v>
      </c>
      <c r="D58" s="27">
        <v>11670.0</v>
      </c>
      <c r="E58" s="27">
        <f t="shared" si="14"/>
        <v>11670</v>
      </c>
      <c r="F58" s="27">
        <v>973.0</v>
      </c>
      <c r="G58" s="28">
        <v>1500.0</v>
      </c>
      <c r="H58" s="27">
        <f t="shared" si="15"/>
        <v>527</v>
      </c>
      <c r="I58" s="27">
        <f>H58*12</f>
        <v>6324</v>
      </c>
      <c r="J58" s="27">
        <f>G58*12</f>
        <v>18000</v>
      </c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6">
        <v>4164023.0</v>
      </c>
      <c r="B59" s="36" t="s">
        <v>2573</v>
      </c>
      <c r="C59" s="26">
        <v>6.0</v>
      </c>
      <c r="D59" s="27">
        <v>1240.0</v>
      </c>
      <c r="E59" s="27">
        <f t="shared" si="14"/>
        <v>7440</v>
      </c>
      <c r="F59" s="27">
        <v>1240.0</v>
      </c>
      <c r="G59" s="28">
        <v>1700.0</v>
      </c>
      <c r="H59" s="27">
        <f t="shared" si="15"/>
        <v>460</v>
      </c>
      <c r="I59" s="27">
        <f>H59*6</f>
        <v>2760</v>
      </c>
      <c r="J59" s="27">
        <f>G59*6</f>
        <v>10200</v>
      </c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6">
        <v>290148.0</v>
      </c>
      <c r="B60" s="36" t="s">
        <v>2618</v>
      </c>
      <c r="C60" s="26">
        <v>5.0</v>
      </c>
      <c r="D60" s="27">
        <v>5080.0</v>
      </c>
      <c r="E60" s="27">
        <f t="shared" si="14"/>
        <v>25400</v>
      </c>
      <c r="F60" s="27">
        <v>508.0</v>
      </c>
      <c r="G60" s="28">
        <v>1000.0</v>
      </c>
      <c r="H60" s="27">
        <f t="shared" si="15"/>
        <v>492</v>
      </c>
      <c r="I60" s="27">
        <f>H60*50</f>
        <v>24600</v>
      </c>
      <c r="J60" s="27">
        <f>G60*50</f>
        <v>50000</v>
      </c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25"/>
      <c r="C61" s="26"/>
      <c r="D61" s="27"/>
      <c r="E61" s="27"/>
      <c r="F61" s="27"/>
      <c r="G61" s="28"/>
      <c r="H61" s="27"/>
      <c r="I61" s="27"/>
      <c r="J61" s="27"/>
    </row>
    <row r="62" ht="12.75" customHeight="1">
      <c r="A62" s="25"/>
      <c r="C62" s="26"/>
      <c r="D62" s="27"/>
      <c r="E62" s="32">
        <f>SUM(E36:E60)</f>
        <v>333430</v>
      </c>
      <c r="F62" s="27"/>
      <c r="G62" s="28"/>
      <c r="H62" s="27"/>
      <c r="I62" s="38">
        <f t="shared" ref="I62:J62" si="20">SUM(I36:I60)</f>
        <v>284535</v>
      </c>
      <c r="J62" s="38">
        <f t="shared" si="20"/>
        <v>616800</v>
      </c>
    </row>
    <row r="63" ht="12.75" customHeight="1">
      <c r="A63" s="25"/>
      <c r="C63" s="26"/>
      <c r="D63" s="27"/>
      <c r="E63" s="27"/>
      <c r="F63" s="27"/>
      <c r="G63" s="28"/>
      <c r="H63" s="27"/>
      <c r="I63" s="27"/>
      <c r="J63" s="27"/>
    </row>
    <row r="64" ht="12.75" customHeight="1">
      <c r="A64" s="34">
        <v>45302.0</v>
      </c>
      <c r="C64" s="26"/>
      <c r="D64" s="27"/>
      <c r="E64" s="27"/>
      <c r="F64" s="27"/>
      <c r="G64" s="28"/>
      <c r="H64" s="27"/>
      <c r="I64" s="27"/>
      <c r="J64" s="27"/>
    </row>
    <row r="65" ht="12.75" customHeight="1">
      <c r="A65" s="25"/>
      <c r="C65" s="26"/>
      <c r="D65" s="27"/>
      <c r="E65" s="27"/>
      <c r="F65" s="27"/>
      <c r="G65" s="28"/>
      <c r="H65" s="27"/>
      <c r="I65" s="27"/>
      <c r="J65" s="27"/>
    </row>
    <row r="66" ht="12.75" customHeight="1">
      <c r="A66" s="36">
        <v>3003011.0</v>
      </c>
      <c r="B66" s="36" t="s">
        <v>2619</v>
      </c>
      <c r="C66" s="26">
        <v>20.0</v>
      </c>
      <c r="D66" s="27">
        <v>215.0</v>
      </c>
      <c r="E66" s="27">
        <f t="shared" ref="E66:E110" si="21">D66*C66</f>
        <v>4300</v>
      </c>
      <c r="F66" s="27">
        <v>215.0</v>
      </c>
      <c r="G66" s="28">
        <v>400.0</v>
      </c>
      <c r="H66" s="27">
        <f t="shared" ref="H66:H110" si="22">G66-F66</f>
        <v>185</v>
      </c>
      <c r="I66" s="27">
        <f t="shared" ref="I66:I72" si="23">H66*20</f>
        <v>3700</v>
      </c>
      <c r="J66" s="27">
        <f t="shared" ref="J66:J72" si="24">G66*20</f>
        <v>8000</v>
      </c>
    </row>
    <row r="67" ht="12.75" customHeight="1">
      <c r="A67" s="36">
        <v>3003012.0</v>
      </c>
      <c r="B67" s="36" t="s">
        <v>2620</v>
      </c>
      <c r="C67" s="26">
        <v>20.0</v>
      </c>
      <c r="D67" s="27">
        <v>215.0</v>
      </c>
      <c r="E67" s="27">
        <f t="shared" si="21"/>
        <v>4300</v>
      </c>
      <c r="F67" s="27">
        <v>215.0</v>
      </c>
      <c r="G67" s="28">
        <v>400.0</v>
      </c>
      <c r="H67" s="27">
        <f t="shared" si="22"/>
        <v>185</v>
      </c>
      <c r="I67" s="27">
        <f t="shared" si="23"/>
        <v>3700</v>
      </c>
      <c r="J67" s="27">
        <f t="shared" si="24"/>
        <v>8000</v>
      </c>
    </row>
    <row r="68" ht="12.75" customHeight="1">
      <c r="A68" s="36">
        <v>3003008.0</v>
      </c>
      <c r="B68" s="36" t="s">
        <v>2621</v>
      </c>
      <c r="C68" s="26">
        <v>20.0</v>
      </c>
      <c r="D68" s="27">
        <v>215.0</v>
      </c>
      <c r="E68" s="27">
        <f t="shared" si="21"/>
        <v>4300</v>
      </c>
      <c r="F68" s="27">
        <v>215.0</v>
      </c>
      <c r="G68" s="28">
        <v>400.0</v>
      </c>
      <c r="H68" s="27">
        <f t="shared" si="22"/>
        <v>185</v>
      </c>
      <c r="I68" s="27">
        <f t="shared" si="23"/>
        <v>3700</v>
      </c>
      <c r="J68" s="27">
        <f t="shared" si="24"/>
        <v>8000</v>
      </c>
    </row>
    <row r="69" ht="12.75" customHeight="1">
      <c r="A69" s="36">
        <v>3003013.0</v>
      </c>
      <c r="B69" s="36" t="s">
        <v>2622</v>
      </c>
      <c r="C69" s="26">
        <v>20.0</v>
      </c>
      <c r="D69" s="27">
        <v>215.0</v>
      </c>
      <c r="E69" s="27">
        <f t="shared" si="21"/>
        <v>4300</v>
      </c>
      <c r="F69" s="27">
        <v>215.0</v>
      </c>
      <c r="G69" s="28">
        <v>400.0</v>
      </c>
      <c r="H69" s="27">
        <f t="shared" si="22"/>
        <v>185</v>
      </c>
      <c r="I69" s="27">
        <f t="shared" si="23"/>
        <v>3700</v>
      </c>
      <c r="J69" s="27">
        <f t="shared" si="24"/>
        <v>8000</v>
      </c>
    </row>
    <row r="70" ht="12.75" customHeight="1">
      <c r="A70" s="36">
        <v>3003004.0</v>
      </c>
      <c r="B70" s="36" t="s">
        <v>2623</v>
      </c>
      <c r="C70" s="26">
        <v>20.0</v>
      </c>
      <c r="D70" s="27">
        <v>215.0</v>
      </c>
      <c r="E70" s="27">
        <f t="shared" si="21"/>
        <v>4300</v>
      </c>
      <c r="F70" s="27">
        <v>215.0</v>
      </c>
      <c r="G70" s="28">
        <v>400.0</v>
      </c>
      <c r="H70" s="27">
        <f t="shared" si="22"/>
        <v>185</v>
      </c>
      <c r="I70" s="27">
        <f t="shared" si="23"/>
        <v>3700</v>
      </c>
      <c r="J70" s="27">
        <f t="shared" si="24"/>
        <v>8000</v>
      </c>
    </row>
    <row r="71" ht="12.75" customHeight="1">
      <c r="A71" s="36">
        <v>3003009.0</v>
      </c>
      <c r="B71" s="36" t="s">
        <v>2624</v>
      </c>
      <c r="C71" s="26">
        <v>20.0</v>
      </c>
      <c r="D71" s="27">
        <v>230.0</v>
      </c>
      <c r="E71" s="27">
        <f t="shared" si="21"/>
        <v>4600</v>
      </c>
      <c r="F71" s="27">
        <v>230.0</v>
      </c>
      <c r="G71" s="28">
        <v>400.0</v>
      </c>
      <c r="H71" s="27">
        <f t="shared" si="22"/>
        <v>170</v>
      </c>
      <c r="I71" s="27">
        <f t="shared" si="23"/>
        <v>3400</v>
      </c>
      <c r="J71" s="27">
        <f t="shared" si="24"/>
        <v>8000</v>
      </c>
    </row>
    <row r="72" ht="12.75" customHeight="1">
      <c r="A72" s="36">
        <v>710010.0</v>
      </c>
      <c r="B72" s="36" t="s">
        <v>2625</v>
      </c>
      <c r="C72" s="26">
        <v>20.0</v>
      </c>
      <c r="D72" s="27">
        <v>280.0</v>
      </c>
      <c r="E72" s="27">
        <f t="shared" si="21"/>
        <v>5600</v>
      </c>
      <c r="F72" s="27">
        <v>280.0</v>
      </c>
      <c r="G72" s="28">
        <v>400.0</v>
      </c>
      <c r="H72" s="27">
        <f t="shared" si="22"/>
        <v>120</v>
      </c>
      <c r="I72" s="27">
        <f t="shared" si="23"/>
        <v>2400</v>
      </c>
      <c r="J72" s="27">
        <f t="shared" si="24"/>
        <v>8000</v>
      </c>
    </row>
    <row r="73" ht="12.75" customHeight="1">
      <c r="A73" s="36">
        <v>522287.0</v>
      </c>
      <c r="B73" s="36" t="s">
        <v>2626</v>
      </c>
      <c r="C73" s="26">
        <v>1.0</v>
      </c>
      <c r="D73" s="27">
        <v>4620.0</v>
      </c>
      <c r="E73" s="27">
        <f t="shared" si="21"/>
        <v>4620</v>
      </c>
      <c r="F73" s="27">
        <v>185.0</v>
      </c>
      <c r="G73" s="28">
        <v>400.0</v>
      </c>
      <c r="H73" s="27">
        <f t="shared" si="22"/>
        <v>215</v>
      </c>
      <c r="I73" s="27">
        <f t="shared" ref="I73:I80" si="25">H73*25</f>
        <v>5375</v>
      </c>
      <c r="J73" s="27">
        <f t="shared" ref="J73:J80" si="26">G73*25</f>
        <v>10000</v>
      </c>
    </row>
    <row r="74" ht="12.75" customHeight="1">
      <c r="A74" s="36">
        <v>522270.0</v>
      </c>
      <c r="B74" s="36" t="s">
        <v>2627</v>
      </c>
      <c r="C74" s="26">
        <v>1.0</v>
      </c>
      <c r="D74" s="27">
        <v>4620.0</v>
      </c>
      <c r="E74" s="27">
        <f t="shared" si="21"/>
        <v>4620</v>
      </c>
      <c r="F74" s="27">
        <v>185.0</v>
      </c>
      <c r="G74" s="28">
        <v>400.0</v>
      </c>
      <c r="H74" s="27">
        <f t="shared" si="22"/>
        <v>215</v>
      </c>
      <c r="I74" s="27">
        <f t="shared" si="25"/>
        <v>5375</v>
      </c>
      <c r="J74" s="27">
        <f t="shared" si="26"/>
        <v>10000</v>
      </c>
    </row>
    <row r="75" ht="12.75" customHeight="1">
      <c r="A75" s="36">
        <v>522249.0</v>
      </c>
      <c r="B75" s="36" t="s">
        <v>2628</v>
      </c>
      <c r="C75" s="26">
        <v>1.0</v>
      </c>
      <c r="D75" s="27">
        <v>4620.0</v>
      </c>
      <c r="E75" s="27">
        <f t="shared" si="21"/>
        <v>4620</v>
      </c>
      <c r="F75" s="27">
        <v>185.0</v>
      </c>
      <c r="G75" s="28">
        <v>400.0</v>
      </c>
      <c r="H75" s="27">
        <f t="shared" si="22"/>
        <v>215</v>
      </c>
      <c r="I75" s="27">
        <f t="shared" si="25"/>
        <v>5375</v>
      </c>
      <c r="J75" s="27">
        <f t="shared" si="26"/>
        <v>10000</v>
      </c>
    </row>
    <row r="76" ht="12.75" customHeight="1">
      <c r="A76" s="36">
        <v>1103225.0</v>
      </c>
      <c r="B76" s="36" t="s">
        <v>2629</v>
      </c>
      <c r="C76" s="26">
        <v>1.0</v>
      </c>
      <c r="D76" s="27">
        <v>4620.0</v>
      </c>
      <c r="E76" s="27">
        <f t="shared" si="21"/>
        <v>4620</v>
      </c>
      <c r="F76" s="27">
        <v>185.0</v>
      </c>
      <c r="G76" s="28">
        <v>400.0</v>
      </c>
      <c r="H76" s="27">
        <f t="shared" si="22"/>
        <v>215</v>
      </c>
      <c r="I76" s="27">
        <f t="shared" si="25"/>
        <v>5375</v>
      </c>
      <c r="J76" s="27">
        <f t="shared" si="26"/>
        <v>10000</v>
      </c>
    </row>
    <row r="77" ht="12.75" customHeight="1">
      <c r="A77" s="36">
        <v>522164.0</v>
      </c>
      <c r="B77" s="36" t="s">
        <v>2630</v>
      </c>
      <c r="C77" s="26">
        <v>1.0</v>
      </c>
      <c r="D77" s="27">
        <v>4620.0</v>
      </c>
      <c r="E77" s="27">
        <f t="shared" si="21"/>
        <v>4620</v>
      </c>
      <c r="F77" s="27">
        <v>185.0</v>
      </c>
      <c r="G77" s="28">
        <v>400.0</v>
      </c>
      <c r="H77" s="27">
        <f t="shared" si="22"/>
        <v>215</v>
      </c>
      <c r="I77" s="27">
        <f t="shared" si="25"/>
        <v>5375</v>
      </c>
      <c r="J77" s="27">
        <f t="shared" si="26"/>
        <v>10000</v>
      </c>
    </row>
    <row r="78" ht="12.75" customHeight="1">
      <c r="A78" s="36">
        <v>522133.0</v>
      </c>
      <c r="B78" s="36" t="s">
        <v>2631</v>
      </c>
      <c r="C78" s="26">
        <v>1.0</v>
      </c>
      <c r="D78" s="27">
        <v>4620.0</v>
      </c>
      <c r="E78" s="27">
        <f t="shared" si="21"/>
        <v>4620</v>
      </c>
      <c r="F78" s="27">
        <v>185.0</v>
      </c>
      <c r="G78" s="28">
        <v>400.0</v>
      </c>
      <c r="H78" s="27">
        <f t="shared" si="22"/>
        <v>215</v>
      </c>
      <c r="I78" s="27">
        <f t="shared" si="25"/>
        <v>5375</v>
      </c>
      <c r="J78" s="27">
        <f t="shared" si="26"/>
        <v>10000</v>
      </c>
    </row>
    <row r="79" ht="12.75" customHeight="1">
      <c r="A79" s="36">
        <v>522126.0</v>
      </c>
      <c r="B79" s="36" t="s">
        <v>2632</v>
      </c>
      <c r="C79" s="26">
        <v>1.0</v>
      </c>
      <c r="D79" s="27">
        <v>4620.0</v>
      </c>
      <c r="E79" s="27">
        <f t="shared" si="21"/>
        <v>4620</v>
      </c>
      <c r="F79" s="27">
        <v>185.0</v>
      </c>
      <c r="G79" s="28">
        <v>400.0</v>
      </c>
      <c r="H79" s="27">
        <f t="shared" si="22"/>
        <v>215</v>
      </c>
      <c r="I79" s="27">
        <f t="shared" si="25"/>
        <v>5375</v>
      </c>
      <c r="J79" s="27">
        <f t="shared" si="26"/>
        <v>10000</v>
      </c>
    </row>
    <row r="80" ht="12.75" customHeight="1">
      <c r="A80" s="36">
        <v>522294.0</v>
      </c>
      <c r="B80" s="36" t="s">
        <v>2633</v>
      </c>
      <c r="C80" s="26">
        <v>1.0</v>
      </c>
      <c r="D80" s="27">
        <v>4620.0</v>
      </c>
      <c r="E80" s="27">
        <f t="shared" si="21"/>
        <v>4620</v>
      </c>
      <c r="F80" s="27">
        <v>185.0</v>
      </c>
      <c r="G80" s="28">
        <v>400.0</v>
      </c>
      <c r="H80" s="27">
        <f t="shared" si="22"/>
        <v>215</v>
      </c>
      <c r="I80" s="27">
        <f t="shared" si="25"/>
        <v>5375</v>
      </c>
      <c r="J80" s="27">
        <f t="shared" si="26"/>
        <v>10000</v>
      </c>
    </row>
    <row r="81" ht="12.75" customHeight="1">
      <c r="A81" s="36">
        <v>3003007.0</v>
      </c>
      <c r="B81" s="36" t="s">
        <v>2634</v>
      </c>
      <c r="C81" s="26">
        <v>20.0</v>
      </c>
      <c r="D81" s="27">
        <v>215.0</v>
      </c>
      <c r="E81" s="27">
        <f t="shared" si="21"/>
        <v>4300</v>
      </c>
      <c r="F81" s="27">
        <v>215.0</v>
      </c>
      <c r="G81" s="28">
        <v>400.0</v>
      </c>
      <c r="H81" s="27">
        <f t="shared" si="22"/>
        <v>185</v>
      </c>
      <c r="I81" s="27">
        <f t="shared" ref="I81:I94" si="27">H81*20</f>
        <v>3700</v>
      </c>
      <c r="J81" s="27">
        <f t="shared" ref="J81:J94" si="28">G81*20</f>
        <v>8000</v>
      </c>
    </row>
    <row r="82" ht="12.75" customHeight="1">
      <c r="A82" s="36">
        <v>422349.0</v>
      </c>
      <c r="B82" s="36" t="s">
        <v>2635</v>
      </c>
      <c r="C82" s="26">
        <v>1.0</v>
      </c>
      <c r="D82" s="27">
        <v>6250.0</v>
      </c>
      <c r="E82" s="27">
        <f t="shared" si="21"/>
        <v>6250</v>
      </c>
      <c r="F82" s="27">
        <v>313.0</v>
      </c>
      <c r="G82" s="28">
        <v>550.0</v>
      </c>
      <c r="H82" s="27">
        <f t="shared" si="22"/>
        <v>237</v>
      </c>
      <c r="I82" s="27">
        <f t="shared" si="27"/>
        <v>4740</v>
      </c>
      <c r="J82" s="27">
        <f t="shared" si="28"/>
        <v>11000</v>
      </c>
    </row>
    <row r="83" ht="12.75" customHeight="1">
      <c r="A83" s="36">
        <v>422352.0</v>
      </c>
      <c r="B83" s="36" t="s">
        <v>2636</v>
      </c>
      <c r="C83" s="26">
        <v>1.0</v>
      </c>
      <c r="D83" s="27">
        <v>6250.0</v>
      </c>
      <c r="E83" s="27">
        <f t="shared" si="21"/>
        <v>6250</v>
      </c>
      <c r="F83" s="27">
        <v>313.0</v>
      </c>
      <c r="G83" s="28">
        <v>550.0</v>
      </c>
      <c r="H83" s="27">
        <f t="shared" si="22"/>
        <v>237</v>
      </c>
      <c r="I83" s="27">
        <f t="shared" si="27"/>
        <v>4740</v>
      </c>
      <c r="J83" s="27">
        <f t="shared" si="28"/>
        <v>11000</v>
      </c>
    </row>
    <row r="84" ht="12.75" customHeight="1">
      <c r="A84" s="36">
        <v>422365.0</v>
      </c>
      <c r="B84" s="36" t="s">
        <v>2637</v>
      </c>
      <c r="C84" s="26">
        <v>1.0</v>
      </c>
      <c r="D84" s="27">
        <v>6250.0</v>
      </c>
      <c r="E84" s="27">
        <f t="shared" si="21"/>
        <v>6250</v>
      </c>
      <c r="F84" s="27">
        <v>313.0</v>
      </c>
      <c r="G84" s="28">
        <v>550.0</v>
      </c>
      <c r="H84" s="27">
        <f t="shared" si="22"/>
        <v>237</v>
      </c>
      <c r="I84" s="27">
        <f t="shared" si="27"/>
        <v>4740</v>
      </c>
      <c r="J84" s="27">
        <f t="shared" si="28"/>
        <v>11000</v>
      </c>
    </row>
    <row r="85" ht="12.75" customHeight="1">
      <c r="A85" s="36">
        <v>422357.0</v>
      </c>
      <c r="B85" s="36" t="s">
        <v>2638</v>
      </c>
      <c r="C85" s="26">
        <v>1.0</v>
      </c>
      <c r="D85" s="27">
        <v>6250.0</v>
      </c>
      <c r="E85" s="27">
        <f t="shared" si="21"/>
        <v>6250</v>
      </c>
      <c r="F85" s="27">
        <v>313.0</v>
      </c>
      <c r="G85" s="28">
        <v>550.0</v>
      </c>
      <c r="H85" s="27">
        <f t="shared" si="22"/>
        <v>237</v>
      </c>
      <c r="I85" s="27">
        <f t="shared" si="27"/>
        <v>4740</v>
      </c>
      <c r="J85" s="27">
        <f t="shared" si="28"/>
        <v>11000</v>
      </c>
    </row>
    <row r="86" ht="12.75" customHeight="1">
      <c r="A86" s="36">
        <v>422364.0</v>
      </c>
      <c r="B86" s="36" t="s">
        <v>2639</v>
      </c>
      <c r="C86" s="26">
        <v>1.0</v>
      </c>
      <c r="D86" s="27">
        <v>6250.0</v>
      </c>
      <c r="E86" s="27">
        <f t="shared" si="21"/>
        <v>6250</v>
      </c>
      <c r="F86" s="27">
        <v>313.0</v>
      </c>
      <c r="G86" s="28">
        <v>550.0</v>
      </c>
      <c r="H86" s="27">
        <f t="shared" si="22"/>
        <v>237</v>
      </c>
      <c r="I86" s="27">
        <f t="shared" si="27"/>
        <v>4740</v>
      </c>
      <c r="J86" s="27">
        <f t="shared" si="28"/>
        <v>11000</v>
      </c>
    </row>
    <row r="87" ht="12.75" customHeight="1">
      <c r="A87" s="36">
        <v>422358.0</v>
      </c>
      <c r="B87" s="36" t="s">
        <v>2640</v>
      </c>
      <c r="C87" s="26">
        <v>1.0</v>
      </c>
      <c r="D87" s="27">
        <v>6250.0</v>
      </c>
      <c r="E87" s="27">
        <f t="shared" si="21"/>
        <v>6250</v>
      </c>
      <c r="F87" s="27">
        <v>313.0</v>
      </c>
      <c r="G87" s="28">
        <v>550.0</v>
      </c>
      <c r="H87" s="27">
        <f t="shared" si="22"/>
        <v>237</v>
      </c>
      <c r="I87" s="27">
        <f t="shared" si="27"/>
        <v>4740</v>
      </c>
      <c r="J87" s="27">
        <f t="shared" si="28"/>
        <v>11000</v>
      </c>
    </row>
    <row r="88" ht="12.75" customHeight="1">
      <c r="A88" s="36">
        <v>422355.0</v>
      </c>
      <c r="B88" s="36" t="s">
        <v>2641</v>
      </c>
      <c r="C88" s="26">
        <v>1.0</v>
      </c>
      <c r="D88" s="27">
        <v>6250.0</v>
      </c>
      <c r="E88" s="27">
        <f t="shared" si="21"/>
        <v>6250</v>
      </c>
      <c r="F88" s="27">
        <v>313.0</v>
      </c>
      <c r="G88" s="28">
        <v>550.0</v>
      </c>
      <c r="H88" s="27">
        <f t="shared" si="22"/>
        <v>237</v>
      </c>
      <c r="I88" s="27">
        <f t="shared" si="27"/>
        <v>4740</v>
      </c>
      <c r="J88" s="27">
        <f t="shared" si="28"/>
        <v>11000</v>
      </c>
    </row>
    <row r="89" ht="12.75" customHeight="1">
      <c r="A89" s="36">
        <v>422366.0</v>
      </c>
      <c r="B89" s="36" t="s">
        <v>2642</v>
      </c>
      <c r="C89" s="26">
        <v>1.0</v>
      </c>
      <c r="D89" s="27">
        <v>6250.0</v>
      </c>
      <c r="E89" s="27">
        <f t="shared" si="21"/>
        <v>6250</v>
      </c>
      <c r="F89" s="27">
        <v>313.0</v>
      </c>
      <c r="G89" s="28">
        <v>550.0</v>
      </c>
      <c r="H89" s="27">
        <f t="shared" si="22"/>
        <v>237</v>
      </c>
      <c r="I89" s="27">
        <f t="shared" si="27"/>
        <v>4740</v>
      </c>
      <c r="J89" s="27">
        <f t="shared" si="28"/>
        <v>11000</v>
      </c>
    </row>
    <row r="90" ht="12.75" customHeight="1">
      <c r="A90" s="36">
        <v>422351.0</v>
      </c>
      <c r="B90" s="36" t="s">
        <v>2643</v>
      </c>
      <c r="C90" s="26">
        <v>1.0</v>
      </c>
      <c r="D90" s="27">
        <v>6250.0</v>
      </c>
      <c r="E90" s="27">
        <f t="shared" si="21"/>
        <v>6250</v>
      </c>
      <c r="F90" s="27">
        <v>313.0</v>
      </c>
      <c r="G90" s="28">
        <v>550.0</v>
      </c>
      <c r="H90" s="27">
        <f t="shared" si="22"/>
        <v>237</v>
      </c>
      <c r="I90" s="27">
        <f t="shared" si="27"/>
        <v>4740</v>
      </c>
      <c r="J90" s="27">
        <f t="shared" si="28"/>
        <v>11000</v>
      </c>
    </row>
    <row r="91" ht="12.75" customHeight="1">
      <c r="A91" s="36">
        <v>505427.0</v>
      </c>
      <c r="B91" s="36" t="s">
        <v>2644</v>
      </c>
      <c r="C91" s="26">
        <v>1.0</v>
      </c>
      <c r="D91" s="27">
        <v>6250.0</v>
      </c>
      <c r="E91" s="27">
        <f t="shared" si="21"/>
        <v>6250</v>
      </c>
      <c r="F91" s="27">
        <v>313.0</v>
      </c>
      <c r="G91" s="28">
        <v>550.0</v>
      </c>
      <c r="H91" s="27">
        <f t="shared" si="22"/>
        <v>237</v>
      </c>
      <c r="I91" s="27">
        <f t="shared" si="27"/>
        <v>4740</v>
      </c>
      <c r="J91" s="27">
        <f t="shared" si="28"/>
        <v>11000</v>
      </c>
    </row>
    <row r="92" ht="12.75" customHeight="1">
      <c r="A92" s="36">
        <v>422360.0</v>
      </c>
      <c r="B92" s="36" t="s">
        <v>2645</v>
      </c>
      <c r="C92" s="26">
        <v>1.0</v>
      </c>
      <c r="D92" s="27">
        <v>6250.0</v>
      </c>
      <c r="E92" s="27">
        <f t="shared" si="21"/>
        <v>6250</v>
      </c>
      <c r="F92" s="27">
        <v>313.0</v>
      </c>
      <c r="G92" s="28">
        <v>550.0</v>
      </c>
      <c r="H92" s="27">
        <f t="shared" si="22"/>
        <v>237</v>
      </c>
      <c r="I92" s="27">
        <f t="shared" si="27"/>
        <v>4740</v>
      </c>
      <c r="J92" s="27">
        <f t="shared" si="28"/>
        <v>11000</v>
      </c>
    </row>
    <row r="93" ht="12.75" customHeight="1">
      <c r="A93" s="36">
        <v>422353.0</v>
      </c>
      <c r="B93" s="36" t="s">
        <v>2646</v>
      </c>
      <c r="C93" s="26">
        <v>1.0</v>
      </c>
      <c r="D93" s="27">
        <v>6250.0</v>
      </c>
      <c r="E93" s="27">
        <f t="shared" si="21"/>
        <v>6250</v>
      </c>
      <c r="F93" s="27">
        <v>313.0</v>
      </c>
      <c r="G93" s="28">
        <v>550.0</v>
      </c>
      <c r="H93" s="27">
        <f t="shared" si="22"/>
        <v>237</v>
      </c>
      <c r="I93" s="27">
        <f t="shared" si="27"/>
        <v>4740</v>
      </c>
      <c r="J93" s="27">
        <f t="shared" si="28"/>
        <v>11000</v>
      </c>
    </row>
    <row r="94" ht="12.75" customHeight="1">
      <c r="A94" s="36">
        <v>422362.0</v>
      </c>
      <c r="B94" s="36" t="s">
        <v>2647</v>
      </c>
      <c r="C94" s="26">
        <v>1.0</v>
      </c>
      <c r="D94" s="27">
        <v>6250.0</v>
      </c>
      <c r="E94" s="27">
        <f t="shared" si="21"/>
        <v>6250</v>
      </c>
      <c r="F94" s="27">
        <v>313.0</v>
      </c>
      <c r="G94" s="28">
        <v>550.0</v>
      </c>
      <c r="H94" s="27">
        <f t="shared" si="22"/>
        <v>237</v>
      </c>
      <c r="I94" s="27">
        <f t="shared" si="27"/>
        <v>4740</v>
      </c>
      <c r="J94" s="27">
        <f t="shared" si="28"/>
        <v>11000</v>
      </c>
    </row>
    <row r="95" ht="12.75" customHeight="1">
      <c r="A95" s="36">
        <v>367861.0</v>
      </c>
      <c r="B95" s="36" t="s">
        <v>2648</v>
      </c>
      <c r="C95" s="26">
        <v>10.0</v>
      </c>
      <c r="D95" s="27">
        <v>510.0</v>
      </c>
      <c r="E95" s="27">
        <f t="shared" si="21"/>
        <v>5100</v>
      </c>
      <c r="F95" s="27">
        <v>510.0</v>
      </c>
      <c r="G95" s="28">
        <v>1000.0</v>
      </c>
      <c r="H95" s="27">
        <f t="shared" si="22"/>
        <v>490</v>
      </c>
      <c r="I95" s="27">
        <f t="shared" ref="I95:I100" si="29">H95*10</f>
        <v>4900</v>
      </c>
      <c r="J95" s="27">
        <f t="shared" ref="J95:J100" si="30">G95*10</f>
        <v>10000</v>
      </c>
    </row>
    <row r="96" ht="12.75" customHeight="1">
      <c r="A96" s="36">
        <v>367863.0</v>
      </c>
      <c r="B96" s="36" t="s">
        <v>2649</v>
      </c>
      <c r="C96" s="26">
        <v>10.0</v>
      </c>
      <c r="D96" s="27">
        <v>510.0</v>
      </c>
      <c r="E96" s="27">
        <f t="shared" si="21"/>
        <v>5100</v>
      </c>
      <c r="F96" s="27">
        <v>510.0</v>
      </c>
      <c r="G96" s="28">
        <v>1000.0</v>
      </c>
      <c r="H96" s="27">
        <f t="shared" si="22"/>
        <v>490</v>
      </c>
      <c r="I96" s="27">
        <f t="shared" si="29"/>
        <v>4900</v>
      </c>
      <c r="J96" s="27">
        <f t="shared" si="30"/>
        <v>10000</v>
      </c>
    </row>
    <row r="97" ht="12.75" customHeight="1">
      <c r="A97" s="36">
        <v>366929.0</v>
      </c>
      <c r="B97" s="36" t="s">
        <v>2650</v>
      </c>
      <c r="C97" s="26">
        <v>10.0</v>
      </c>
      <c r="D97" s="27">
        <v>510.0</v>
      </c>
      <c r="E97" s="27">
        <f t="shared" si="21"/>
        <v>5100</v>
      </c>
      <c r="F97" s="27">
        <v>510.0</v>
      </c>
      <c r="G97" s="28">
        <v>1000.0</v>
      </c>
      <c r="H97" s="27">
        <f t="shared" si="22"/>
        <v>490</v>
      </c>
      <c r="I97" s="27">
        <f t="shared" si="29"/>
        <v>4900</v>
      </c>
      <c r="J97" s="27">
        <f t="shared" si="30"/>
        <v>10000</v>
      </c>
    </row>
    <row r="98" ht="12.75" customHeight="1">
      <c r="A98" s="36">
        <v>367860.0</v>
      </c>
      <c r="B98" s="36" t="s">
        <v>2651</v>
      </c>
      <c r="C98" s="26">
        <v>10.0</v>
      </c>
      <c r="D98" s="27">
        <v>510.0</v>
      </c>
      <c r="E98" s="27">
        <f t="shared" si="21"/>
        <v>5100</v>
      </c>
      <c r="F98" s="27">
        <v>510.0</v>
      </c>
      <c r="G98" s="28">
        <v>1000.0</v>
      </c>
      <c r="H98" s="27">
        <f t="shared" si="22"/>
        <v>490</v>
      </c>
      <c r="I98" s="27">
        <f t="shared" si="29"/>
        <v>4900</v>
      </c>
      <c r="J98" s="27">
        <f t="shared" si="30"/>
        <v>10000</v>
      </c>
    </row>
    <row r="99" ht="12.75" customHeight="1">
      <c r="A99" s="36">
        <v>367864.0</v>
      </c>
      <c r="B99" s="36" t="s">
        <v>2652</v>
      </c>
      <c r="C99" s="26">
        <v>10.0</v>
      </c>
      <c r="D99" s="27">
        <v>510.0</v>
      </c>
      <c r="E99" s="27">
        <f t="shared" si="21"/>
        <v>5100</v>
      </c>
      <c r="F99" s="27">
        <v>510.0</v>
      </c>
      <c r="G99" s="28">
        <v>1000.0</v>
      </c>
      <c r="H99" s="27">
        <f t="shared" si="22"/>
        <v>490</v>
      </c>
      <c r="I99" s="27">
        <f t="shared" si="29"/>
        <v>4900</v>
      </c>
      <c r="J99" s="27">
        <f t="shared" si="30"/>
        <v>10000</v>
      </c>
    </row>
    <row r="100" ht="12.75" customHeight="1">
      <c r="A100" s="36">
        <v>367862.0</v>
      </c>
      <c r="B100" s="36" t="s">
        <v>2653</v>
      </c>
      <c r="C100" s="26">
        <v>10.0</v>
      </c>
      <c r="D100" s="27">
        <v>510.0</v>
      </c>
      <c r="E100" s="27">
        <f t="shared" si="21"/>
        <v>5100</v>
      </c>
      <c r="F100" s="27">
        <v>510.0</v>
      </c>
      <c r="G100" s="28">
        <v>1000.0</v>
      </c>
      <c r="H100" s="27">
        <f t="shared" si="22"/>
        <v>490</v>
      </c>
      <c r="I100" s="27">
        <f t="shared" si="29"/>
        <v>4900</v>
      </c>
      <c r="J100" s="27">
        <f t="shared" si="30"/>
        <v>10000</v>
      </c>
    </row>
    <row r="101" ht="12.75" customHeight="1">
      <c r="A101" s="36">
        <v>5034480.0</v>
      </c>
      <c r="B101" s="36" t="s">
        <v>2591</v>
      </c>
      <c r="C101" s="26">
        <v>2.0</v>
      </c>
      <c r="D101" s="27">
        <v>5970.0</v>
      </c>
      <c r="E101" s="27">
        <f t="shared" si="21"/>
        <v>11940</v>
      </c>
      <c r="F101" s="27">
        <v>597.0</v>
      </c>
      <c r="G101" s="28">
        <v>1000.0</v>
      </c>
      <c r="H101" s="27">
        <f t="shared" si="22"/>
        <v>403</v>
      </c>
      <c r="I101" s="27">
        <f t="shared" ref="I101:I108" si="31">H101*20</f>
        <v>8060</v>
      </c>
      <c r="J101" s="27">
        <f t="shared" ref="J101:J108" si="32">G101*20</f>
        <v>20000</v>
      </c>
    </row>
    <row r="102" ht="12.75" customHeight="1">
      <c r="A102" s="36">
        <v>5062353.0</v>
      </c>
      <c r="B102" s="36" t="s">
        <v>2654</v>
      </c>
      <c r="C102" s="26">
        <v>20.0</v>
      </c>
      <c r="D102" s="27">
        <v>149.0</v>
      </c>
      <c r="E102" s="27">
        <f t="shared" si="21"/>
        <v>2980</v>
      </c>
      <c r="F102" s="27">
        <v>149.0</v>
      </c>
      <c r="G102" s="28">
        <v>300.0</v>
      </c>
      <c r="H102" s="27">
        <f t="shared" si="22"/>
        <v>151</v>
      </c>
      <c r="I102" s="27">
        <f t="shared" si="31"/>
        <v>3020</v>
      </c>
      <c r="J102" s="27">
        <f t="shared" si="32"/>
        <v>6000</v>
      </c>
    </row>
    <row r="103" ht="12.75" customHeight="1">
      <c r="A103" s="36">
        <v>5062384.0</v>
      </c>
      <c r="B103" s="36" t="s">
        <v>2654</v>
      </c>
      <c r="C103" s="26">
        <v>20.0</v>
      </c>
      <c r="D103" s="27">
        <v>149.0</v>
      </c>
      <c r="E103" s="27">
        <f t="shared" si="21"/>
        <v>2980</v>
      </c>
      <c r="F103" s="27">
        <v>149.0</v>
      </c>
      <c r="G103" s="28">
        <v>300.0</v>
      </c>
      <c r="H103" s="27">
        <f t="shared" si="22"/>
        <v>151</v>
      </c>
      <c r="I103" s="27">
        <f t="shared" si="31"/>
        <v>3020</v>
      </c>
      <c r="J103" s="27">
        <f t="shared" si="32"/>
        <v>6000</v>
      </c>
    </row>
    <row r="104" ht="12.75" customHeight="1">
      <c r="A104" s="36">
        <v>5062162.0</v>
      </c>
      <c r="B104" s="36" t="s">
        <v>2655</v>
      </c>
      <c r="C104" s="26">
        <v>20.0</v>
      </c>
      <c r="D104" s="27">
        <v>149.0</v>
      </c>
      <c r="E104" s="27">
        <f t="shared" si="21"/>
        <v>2980</v>
      </c>
      <c r="F104" s="27">
        <v>149.0</v>
      </c>
      <c r="G104" s="28">
        <v>300.0</v>
      </c>
      <c r="H104" s="27">
        <f t="shared" si="22"/>
        <v>151</v>
      </c>
      <c r="I104" s="27">
        <f t="shared" si="31"/>
        <v>3020</v>
      </c>
      <c r="J104" s="27">
        <f t="shared" si="32"/>
        <v>6000</v>
      </c>
    </row>
    <row r="105" ht="12.75" customHeight="1">
      <c r="A105" s="36">
        <v>5062230.0</v>
      </c>
      <c r="B105" s="36" t="s">
        <v>2656</v>
      </c>
      <c r="C105" s="26">
        <v>20.0</v>
      </c>
      <c r="D105" s="27">
        <v>149.0</v>
      </c>
      <c r="E105" s="27">
        <f t="shared" si="21"/>
        <v>2980</v>
      </c>
      <c r="F105" s="27">
        <v>149.0</v>
      </c>
      <c r="G105" s="28">
        <v>300.0</v>
      </c>
      <c r="H105" s="27">
        <f t="shared" si="22"/>
        <v>151</v>
      </c>
      <c r="I105" s="27">
        <f t="shared" si="31"/>
        <v>3020</v>
      </c>
      <c r="J105" s="27">
        <f t="shared" si="32"/>
        <v>6000</v>
      </c>
    </row>
    <row r="106" ht="12.75" customHeight="1">
      <c r="A106" s="36">
        <v>5062322.0</v>
      </c>
      <c r="B106" s="36" t="s">
        <v>2657</v>
      </c>
      <c r="C106" s="26">
        <v>20.0</v>
      </c>
      <c r="D106" s="27">
        <v>149.0</v>
      </c>
      <c r="E106" s="27">
        <f t="shared" si="21"/>
        <v>2980</v>
      </c>
      <c r="F106" s="27">
        <v>149.0</v>
      </c>
      <c r="G106" s="28">
        <v>300.0</v>
      </c>
      <c r="H106" s="27">
        <f t="shared" si="22"/>
        <v>151</v>
      </c>
      <c r="I106" s="27">
        <f t="shared" si="31"/>
        <v>3020</v>
      </c>
      <c r="J106" s="27">
        <f t="shared" si="32"/>
        <v>6000</v>
      </c>
    </row>
    <row r="107" ht="12.75" customHeight="1">
      <c r="A107" s="36">
        <v>5062285.0</v>
      </c>
      <c r="B107" s="36" t="s">
        <v>2657</v>
      </c>
      <c r="C107" s="26">
        <v>20.0</v>
      </c>
      <c r="D107" s="27">
        <v>149.0</v>
      </c>
      <c r="E107" s="27">
        <f t="shared" si="21"/>
        <v>2980</v>
      </c>
      <c r="F107" s="27">
        <v>149.0</v>
      </c>
      <c r="G107" s="28">
        <v>300.0</v>
      </c>
      <c r="H107" s="27">
        <f t="shared" si="22"/>
        <v>151</v>
      </c>
      <c r="I107" s="27">
        <f t="shared" si="31"/>
        <v>3020</v>
      </c>
      <c r="J107" s="27">
        <f t="shared" si="32"/>
        <v>6000</v>
      </c>
    </row>
    <row r="108" ht="12.75" customHeight="1">
      <c r="A108" s="36">
        <v>5062360.0</v>
      </c>
      <c r="B108" s="36" t="s">
        <v>2654</v>
      </c>
      <c r="C108" s="26">
        <v>20.0</v>
      </c>
      <c r="D108" s="27">
        <v>149.0</v>
      </c>
      <c r="E108" s="27">
        <f t="shared" si="21"/>
        <v>2980</v>
      </c>
      <c r="F108" s="27">
        <v>149.0</v>
      </c>
      <c r="G108" s="28">
        <v>300.0</v>
      </c>
      <c r="H108" s="27">
        <f t="shared" si="22"/>
        <v>151</v>
      </c>
      <c r="I108" s="27">
        <f t="shared" si="31"/>
        <v>3020</v>
      </c>
      <c r="J108" s="27">
        <f t="shared" si="32"/>
        <v>6000</v>
      </c>
    </row>
    <row r="109" ht="12.75" customHeight="1">
      <c r="A109" s="36">
        <v>6898.0</v>
      </c>
      <c r="B109" s="36" t="s">
        <v>2658</v>
      </c>
      <c r="C109" s="26">
        <v>10.0</v>
      </c>
      <c r="D109" s="27">
        <v>1030.0</v>
      </c>
      <c r="E109" s="27">
        <f t="shared" si="21"/>
        <v>10300</v>
      </c>
      <c r="F109" s="27">
        <v>1030.0</v>
      </c>
      <c r="G109" s="28">
        <v>2200.0</v>
      </c>
      <c r="H109" s="27">
        <f t="shared" si="22"/>
        <v>1170</v>
      </c>
      <c r="I109" s="27">
        <f>H109*10</f>
        <v>11700</v>
      </c>
      <c r="J109" s="27">
        <f>G109*10</f>
        <v>22000</v>
      </c>
    </row>
    <row r="110" ht="12.75" customHeight="1">
      <c r="A110" s="36">
        <v>6453097.0</v>
      </c>
      <c r="B110" s="36" t="s">
        <v>2659</v>
      </c>
      <c r="C110" s="26">
        <v>5.0</v>
      </c>
      <c r="D110" s="27">
        <v>980.0</v>
      </c>
      <c r="E110" s="27">
        <f t="shared" si="21"/>
        <v>4900</v>
      </c>
      <c r="F110" s="27">
        <v>123.0</v>
      </c>
      <c r="G110" s="28">
        <v>350.0</v>
      </c>
      <c r="H110" s="27">
        <f t="shared" si="22"/>
        <v>227</v>
      </c>
      <c r="I110" s="27">
        <f>H110*40</f>
        <v>9080</v>
      </c>
      <c r="J110" s="27">
        <f>G110*40</f>
        <v>14000</v>
      </c>
    </row>
    <row r="111" ht="12.75" customHeight="1">
      <c r="A111" s="25"/>
      <c r="C111" s="26"/>
      <c r="D111" s="27"/>
      <c r="E111" s="27"/>
      <c r="F111" s="27"/>
      <c r="G111" s="28"/>
      <c r="H111" s="27"/>
      <c r="I111" s="27"/>
      <c r="J111" s="27"/>
    </row>
    <row r="112" ht="12.75" customHeight="1">
      <c r="A112" s="25"/>
      <c r="C112" s="26"/>
      <c r="D112" s="27"/>
      <c r="E112" s="32">
        <f>SUM(E66:E110)</f>
        <v>232810</v>
      </c>
      <c r="F112" s="27"/>
      <c r="G112" s="28"/>
      <c r="H112" s="27"/>
      <c r="I112" s="39">
        <f t="shared" ref="I112:J112" si="33">SUM(I66:I110)</f>
        <v>212000</v>
      </c>
      <c r="J112" s="39">
        <f t="shared" si="33"/>
        <v>445000</v>
      </c>
    </row>
    <row r="113" ht="12.75" customHeight="1">
      <c r="A113" s="25"/>
      <c r="C113" s="26"/>
      <c r="D113" s="27"/>
      <c r="E113" s="27"/>
      <c r="F113" s="27"/>
      <c r="G113" s="28"/>
      <c r="H113" s="27"/>
      <c r="I113" s="27"/>
      <c r="J113" s="27"/>
    </row>
    <row r="114" ht="12.75" customHeight="1">
      <c r="A114" s="25"/>
      <c r="C114" s="26"/>
      <c r="D114" s="27"/>
      <c r="E114" s="27"/>
      <c r="F114" s="27"/>
      <c r="G114" s="28"/>
      <c r="H114" s="27"/>
      <c r="I114" s="27"/>
      <c r="J114" s="27"/>
    </row>
    <row r="115" ht="12.75" customHeight="1">
      <c r="A115" s="34">
        <v>45315.0</v>
      </c>
      <c r="C115" s="26"/>
      <c r="D115" s="27"/>
      <c r="E115" s="27"/>
      <c r="F115" s="27"/>
      <c r="G115" s="28"/>
      <c r="H115" s="27"/>
      <c r="I115" s="27"/>
      <c r="J115" s="27"/>
    </row>
    <row r="116" ht="12.75" customHeight="1">
      <c r="A116" s="25"/>
      <c r="C116" s="26"/>
      <c r="D116" s="27"/>
      <c r="E116" s="27"/>
      <c r="F116" s="27"/>
      <c r="G116" s="28"/>
      <c r="H116" s="27"/>
      <c r="I116" s="27"/>
      <c r="J116" s="27"/>
    </row>
    <row r="117" ht="12.75" customHeight="1">
      <c r="A117" s="36">
        <v>5392003.0</v>
      </c>
      <c r="B117" s="36" t="s">
        <v>2660</v>
      </c>
      <c r="C117" s="26">
        <v>2.0</v>
      </c>
      <c r="D117" s="40">
        <v>1600.0</v>
      </c>
      <c r="E117" s="27">
        <f t="shared" ref="E117:E175" si="34">D117*C117</f>
        <v>3200</v>
      </c>
      <c r="F117" s="27">
        <v>160.0</v>
      </c>
      <c r="G117" s="28">
        <v>350.0</v>
      </c>
      <c r="H117" s="27">
        <f t="shared" ref="H117:H175" si="35">G117-F117</f>
        <v>190</v>
      </c>
      <c r="I117" s="27">
        <f>H117*20</f>
        <v>3800</v>
      </c>
      <c r="J117" s="27">
        <f>G117*20</f>
        <v>7000</v>
      </c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6">
        <v>5396001.0</v>
      </c>
      <c r="B118" s="36" t="s">
        <v>2661</v>
      </c>
      <c r="C118" s="26">
        <v>1.0</v>
      </c>
      <c r="D118" s="27">
        <v>2500.0</v>
      </c>
      <c r="E118" s="27">
        <f t="shared" si="34"/>
        <v>2500</v>
      </c>
      <c r="F118" s="27">
        <v>250.0</v>
      </c>
      <c r="G118" s="28">
        <v>500.0</v>
      </c>
      <c r="H118" s="27">
        <f t="shared" si="35"/>
        <v>250</v>
      </c>
      <c r="I118" s="27">
        <f t="shared" ref="I118:I120" si="36">H118*10</f>
        <v>2500</v>
      </c>
      <c r="J118" s="27">
        <f t="shared" ref="J118:J120" si="37">G118*10</f>
        <v>5000</v>
      </c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6">
        <v>5393000.0</v>
      </c>
      <c r="B119" s="36" t="s">
        <v>2662</v>
      </c>
      <c r="C119" s="26">
        <v>2.0</v>
      </c>
      <c r="D119" s="27">
        <v>1250.0</v>
      </c>
      <c r="E119" s="27">
        <f t="shared" si="34"/>
        <v>2500</v>
      </c>
      <c r="F119" s="27">
        <v>250.0</v>
      </c>
      <c r="G119" s="28">
        <v>600.0</v>
      </c>
      <c r="H119" s="27">
        <f t="shared" si="35"/>
        <v>350</v>
      </c>
      <c r="I119" s="27">
        <f t="shared" si="36"/>
        <v>3500</v>
      </c>
      <c r="J119" s="27">
        <f t="shared" si="37"/>
        <v>6000</v>
      </c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6">
        <v>5398005.0</v>
      </c>
      <c r="B120" s="36" t="s">
        <v>2663</v>
      </c>
      <c r="C120" s="26">
        <v>2.0</v>
      </c>
      <c r="D120" s="27">
        <v>1810.0</v>
      </c>
      <c r="E120" s="27">
        <f t="shared" si="34"/>
        <v>3620</v>
      </c>
      <c r="F120" s="27">
        <v>362.0</v>
      </c>
      <c r="G120" s="28">
        <v>700.0</v>
      </c>
      <c r="H120" s="27">
        <f t="shared" si="35"/>
        <v>338</v>
      </c>
      <c r="I120" s="27">
        <f t="shared" si="36"/>
        <v>3380</v>
      </c>
      <c r="J120" s="27">
        <f t="shared" si="37"/>
        <v>7000</v>
      </c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6">
        <v>5399002.0</v>
      </c>
      <c r="B121" s="36" t="s">
        <v>2664</v>
      </c>
      <c r="C121" s="26">
        <v>3.0</v>
      </c>
      <c r="D121" s="27">
        <v>3060.0</v>
      </c>
      <c r="E121" s="27">
        <f t="shared" si="34"/>
        <v>9180</v>
      </c>
      <c r="F121" s="27">
        <v>0.0</v>
      </c>
      <c r="G121" s="28">
        <v>0.0</v>
      </c>
      <c r="H121" s="27">
        <f t="shared" si="35"/>
        <v>0</v>
      </c>
      <c r="I121" s="27">
        <f t="shared" ref="I121:I123" si="38">H121*15</f>
        <v>0</v>
      </c>
      <c r="J121" s="27">
        <f t="shared" ref="J121:J123" si="39">G121*15</f>
        <v>0</v>
      </c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6">
        <v>5394007.0</v>
      </c>
      <c r="B122" s="36" t="s">
        <v>2665</v>
      </c>
      <c r="C122" s="26">
        <v>3.0</v>
      </c>
      <c r="D122" s="27">
        <v>3260.0</v>
      </c>
      <c r="E122" s="27">
        <f t="shared" si="34"/>
        <v>9780</v>
      </c>
      <c r="F122" s="27">
        <v>652.0</v>
      </c>
      <c r="G122" s="28">
        <v>1200.0</v>
      </c>
      <c r="H122" s="27">
        <f t="shared" si="35"/>
        <v>548</v>
      </c>
      <c r="I122" s="27">
        <f t="shared" si="38"/>
        <v>8220</v>
      </c>
      <c r="J122" s="27">
        <f t="shared" si="39"/>
        <v>18000</v>
      </c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6">
        <v>1530705.0</v>
      </c>
      <c r="B123" s="36" t="s">
        <v>2666</v>
      </c>
      <c r="C123" s="26">
        <v>3.0</v>
      </c>
      <c r="D123" s="27">
        <v>4890.0</v>
      </c>
      <c r="E123" s="27">
        <f t="shared" si="34"/>
        <v>14670</v>
      </c>
      <c r="F123" s="27">
        <v>978.0</v>
      </c>
      <c r="G123" s="28">
        <v>1600.0</v>
      </c>
      <c r="H123" s="27">
        <f t="shared" si="35"/>
        <v>622</v>
      </c>
      <c r="I123" s="27">
        <f t="shared" si="38"/>
        <v>9330</v>
      </c>
      <c r="J123" s="27">
        <f t="shared" si="39"/>
        <v>24000</v>
      </c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6">
        <v>5308005.0</v>
      </c>
      <c r="B124" s="36" t="s">
        <v>2667</v>
      </c>
      <c r="C124" s="26">
        <v>2.0</v>
      </c>
      <c r="D124" s="27">
        <v>5430.0</v>
      </c>
      <c r="E124" s="27">
        <f t="shared" si="34"/>
        <v>10860</v>
      </c>
      <c r="F124" s="27">
        <v>1086.0</v>
      </c>
      <c r="G124" s="28">
        <v>1800.0</v>
      </c>
      <c r="H124" s="27">
        <f t="shared" si="35"/>
        <v>714</v>
      </c>
      <c r="I124" s="27">
        <f t="shared" ref="I124:I125" si="40">H124*10</f>
        <v>7140</v>
      </c>
      <c r="J124" s="27">
        <f t="shared" ref="J124:J125" si="41">G124*10</f>
        <v>18000</v>
      </c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6">
        <v>1530606.0</v>
      </c>
      <c r="B125" s="36" t="s">
        <v>2668</v>
      </c>
      <c r="C125" s="26">
        <v>2.0</v>
      </c>
      <c r="D125" s="27">
        <v>6000.0</v>
      </c>
      <c r="E125" s="27">
        <f t="shared" si="34"/>
        <v>12000</v>
      </c>
      <c r="F125" s="27">
        <v>1200.0</v>
      </c>
      <c r="G125" s="28">
        <v>2000.0</v>
      </c>
      <c r="H125" s="27">
        <f t="shared" si="35"/>
        <v>800</v>
      </c>
      <c r="I125" s="27">
        <f t="shared" si="40"/>
        <v>8000</v>
      </c>
      <c r="J125" s="27">
        <f t="shared" si="41"/>
        <v>20000</v>
      </c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6">
        <v>5305004.0</v>
      </c>
      <c r="B126" s="36" t="s">
        <v>2669</v>
      </c>
      <c r="C126" s="26">
        <v>5.0</v>
      </c>
      <c r="D126" s="27">
        <v>2240.0</v>
      </c>
      <c r="E126" s="27">
        <f t="shared" si="34"/>
        <v>11200</v>
      </c>
      <c r="F126" s="27">
        <v>2240.0</v>
      </c>
      <c r="G126" s="28">
        <v>3800.0</v>
      </c>
      <c r="H126" s="27">
        <f t="shared" si="35"/>
        <v>1560</v>
      </c>
      <c r="I126" s="27">
        <f>H126*5</f>
        <v>7800</v>
      </c>
      <c r="J126" s="27">
        <f>G126*5</f>
        <v>19000</v>
      </c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6">
        <v>2357010.0</v>
      </c>
      <c r="B127" s="36" t="s">
        <v>2670</v>
      </c>
      <c r="C127" s="26">
        <v>20.0</v>
      </c>
      <c r="D127" s="27">
        <v>300.0</v>
      </c>
      <c r="E127" s="27">
        <f t="shared" si="34"/>
        <v>6000</v>
      </c>
      <c r="F127" s="27">
        <v>300.0</v>
      </c>
      <c r="G127" s="28">
        <v>500.0</v>
      </c>
      <c r="H127" s="27">
        <f t="shared" si="35"/>
        <v>200</v>
      </c>
      <c r="I127" s="27">
        <f t="shared" ref="I127:I130" si="42">H127*20</f>
        <v>4000</v>
      </c>
      <c r="J127" s="27">
        <f t="shared" ref="J127:J130" si="43">G127*20</f>
        <v>10000</v>
      </c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6">
        <v>2357034.0</v>
      </c>
      <c r="B128" s="36" t="s">
        <v>2671</v>
      </c>
      <c r="C128" s="26">
        <v>20.0</v>
      </c>
      <c r="D128" s="27">
        <v>300.0</v>
      </c>
      <c r="E128" s="27">
        <f t="shared" si="34"/>
        <v>6000</v>
      </c>
      <c r="F128" s="27">
        <v>300.0</v>
      </c>
      <c r="G128" s="28">
        <v>500.0</v>
      </c>
      <c r="H128" s="27">
        <f t="shared" si="35"/>
        <v>200</v>
      </c>
      <c r="I128" s="27">
        <f t="shared" si="42"/>
        <v>4000</v>
      </c>
      <c r="J128" s="27">
        <f t="shared" si="43"/>
        <v>10000</v>
      </c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6">
        <v>2357041.0</v>
      </c>
      <c r="B129" s="36" t="s">
        <v>2672</v>
      </c>
      <c r="C129" s="26">
        <v>20.0</v>
      </c>
      <c r="D129" s="27">
        <v>300.0</v>
      </c>
      <c r="E129" s="27">
        <f t="shared" si="34"/>
        <v>6000</v>
      </c>
      <c r="F129" s="27">
        <v>300.0</v>
      </c>
      <c r="G129" s="28">
        <v>500.0</v>
      </c>
      <c r="H129" s="27">
        <f t="shared" si="35"/>
        <v>200</v>
      </c>
      <c r="I129" s="27">
        <f t="shared" si="42"/>
        <v>4000</v>
      </c>
      <c r="J129" s="27">
        <f t="shared" si="43"/>
        <v>10000</v>
      </c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6">
        <v>2357027.0</v>
      </c>
      <c r="B130" s="36" t="s">
        <v>2673</v>
      </c>
      <c r="C130" s="26">
        <v>20.0</v>
      </c>
      <c r="D130" s="27">
        <v>300.0</v>
      </c>
      <c r="E130" s="27">
        <f t="shared" si="34"/>
        <v>6000</v>
      </c>
      <c r="F130" s="27">
        <v>300.0</v>
      </c>
      <c r="G130" s="28">
        <v>500.0</v>
      </c>
      <c r="H130" s="27">
        <f t="shared" si="35"/>
        <v>200</v>
      </c>
      <c r="I130" s="27">
        <f t="shared" si="42"/>
        <v>4000</v>
      </c>
      <c r="J130" s="27">
        <f t="shared" si="43"/>
        <v>10000</v>
      </c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6">
        <v>2389004.0</v>
      </c>
      <c r="B131" s="36" t="s">
        <v>2674</v>
      </c>
      <c r="C131" s="26">
        <v>40.0</v>
      </c>
      <c r="D131" s="27">
        <v>300.0</v>
      </c>
      <c r="E131" s="27">
        <f t="shared" si="34"/>
        <v>12000</v>
      </c>
      <c r="F131" s="27">
        <v>300.0</v>
      </c>
      <c r="G131" s="28">
        <v>500.0</v>
      </c>
      <c r="H131" s="27">
        <f t="shared" si="35"/>
        <v>200</v>
      </c>
      <c r="I131" s="27">
        <f>H131*40</f>
        <v>8000</v>
      </c>
      <c r="J131" s="27">
        <f>G131*40</f>
        <v>20000</v>
      </c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6">
        <v>4328227.0</v>
      </c>
      <c r="B132" s="36" t="s">
        <v>2675</v>
      </c>
      <c r="C132" s="26">
        <v>5.0</v>
      </c>
      <c r="D132" s="27">
        <v>860.0</v>
      </c>
      <c r="E132" s="27">
        <f t="shared" si="34"/>
        <v>4300</v>
      </c>
      <c r="F132" s="27">
        <v>860.0</v>
      </c>
      <c r="G132" s="28">
        <v>2000.0</v>
      </c>
      <c r="H132" s="27">
        <f t="shared" si="35"/>
        <v>1140</v>
      </c>
      <c r="I132" s="27">
        <f t="shared" ref="I132:I136" si="44">H132*5</f>
        <v>5700</v>
      </c>
      <c r="J132" s="27">
        <f t="shared" ref="J132:J136" si="45">G132*5</f>
        <v>10000</v>
      </c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6">
        <v>4237345.0</v>
      </c>
      <c r="B133" s="36" t="s">
        <v>2676</v>
      </c>
      <c r="C133" s="26">
        <v>5.0</v>
      </c>
      <c r="D133" s="27">
        <v>860.0</v>
      </c>
      <c r="E133" s="27">
        <f t="shared" si="34"/>
        <v>4300</v>
      </c>
      <c r="F133" s="27">
        <v>860.0</v>
      </c>
      <c r="G133" s="28">
        <v>2000.0</v>
      </c>
      <c r="H133" s="27">
        <f t="shared" si="35"/>
        <v>1140</v>
      </c>
      <c r="I133" s="27">
        <f t="shared" si="44"/>
        <v>5700</v>
      </c>
      <c r="J133" s="27">
        <f t="shared" si="45"/>
        <v>10000</v>
      </c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6">
        <v>7959043.0</v>
      </c>
      <c r="B134" s="36" t="s">
        <v>2612</v>
      </c>
      <c r="C134" s="26">
        <v>5.0</v>
      </c>
      <c r="D134" s="27">
        <v>930.0</v>
      </c>
      <c r="E134" s="27">
        <f t="shared" si="34"/>
        <v>4650</v>
      </c>
      <c r="F134" s="27">
        <v>930.0</v>
      </c>
      <c r="G134" s="28">
        <v>2000.0</v>
      </c>
      <c r="H134" s="27">
        <f t="shared" si="35"/>
        <v>1070</v>
      </c>
      <c r="I134" s="27">
        <f t="shared" si="44"/>
        <v>5350</v>
      </c>
      <c r="J134" s="27">
        <f t="shared" si="45"/>
        <v>10000</v>
      </c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6">
        <v>2727088.0</v>
      </c>
      <c r="B135" s="36" t="s">
        <v>2677</v>
      </c>
      <c r="C135" s="26">
        <v>5.0</v>
      </c>
      <c r="D135" s="27">
        <v>930.0</v>
      </c>
      <c r="E135" s="27">
        <f t="shared" si="34"/>
        <v>4650</v>
      </c>
      <c r="F135" s="27">
        <v>930.0</v>
      </c>
      <c r="G135" s="28">
        <v>2000.0</v>
      </c>
      <c r="H135" s="27">
        <f t="shared" si="35"/>
        <v>1070</v>
      </c>
      <c r="I135" s="27">
        <f t="shared" si="44"/>
        <v>5350</v>
      </c>
      <c r="J135" s="27">
        <f t="shared" si="45"/>
        <v>10000</v>
      </c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6">
        <v>4170303.0</v>
      </c>
      <c r="B136" s="36" t="s">
        <v>2678</v>
      </c>
      <c r="C136" s="26">
        <v>5.0</v>
      </c>
      <c r="D136" s="27">
        <v>930.0</v>
      </c>
      <c r="E136" s="27">
        <f t="shared" si="34"/>
        <v>4650</v>
      </c>
      <c r="F136" s="27">
        <v>930.0</v>
      </c>
      <c r="G136" s="28">
        <v>2000.0</v>
      </c>
      <c r="H136" s="27">
        <f t="shared" si="35"/>
        <v>1070</v>
      </c>
      <c r="I136" s="27">
        <f t="shared" si="44"/>
        <v>5350</v>
      </c>
      <c r="J136" s="27">
        <f t="shared" si="45"/>
        <v>10000</v>
      </c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6">
        <v>6453097.0</v>
      </c>
      <c r="B137" s="36" t="s">
        <v>2659</v>
      </c>
      <c r="C137" s="26">
        <v>5.0</v>
      </c>
      <c r="D137" s="27">
        <v>980.0</v>
      </c>
      <c r="E137" s="27">
        <f t="shared" si="34"/>
        <v>4900</v>
      </c>
      <c r="F137" s="27">
        <v>123.0</v>
      </c>
      <c r="G137" s="28">
        <v>350.0</v>
      </c>
      <c r="H137" s="27">
        <f t="shared" si="35"/>
        <v>227</v>
      </c>
      <c r="I137" s="27">
        <f>H137*40</f>
        <v>9080</v>
      </c>
      <c r="J137" s="27">
        <f>G137*40</f>
        <v>14000</v>
      </c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6">
        <v>4404577.0</v>
      </c>
      <c r="B138" s="36" t="s">
        <v>2679</v>
      </c>
      <c r="C138" s="26">
        <v>3.0</v>
      </c>
      <c r="D138" s="27">
        <v>2540.0</v>
      </c>
      <c r="E138" s="27">
        <f t="shared" si="34"/>
        <v>7620</v>
      </c>
      <c r="F138" s="27">
        <v>423.0</v>
      </c>
      <c r="G138" s="28">
        <v>1000.0</v>
      </c>
      <c r="H138" s="27">
        <f t="shared" si="35"/>
        <v>577</v>
      </c>
      <c r="I138" s="27">
        <f>H138*18</f>
        <v>10386</v>
      </c>
      <c r="J138" s="27">
        <f>G138*18</f>
        <v>18000</v>
      </c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6">
        <v>5991417.0</v>
      </c>
      <c r="B139" s="36" t="s">
        <v>2680</v>
      </c>
      <c r="C139" s="26">
        <v>3.0</v>
      </c>
      <c r="D139" s="27">
        <v>1650.0</v>
      </c>
      <c r="E139" s="27">
        <f t="shared" si="34"/>
        <v>4950</v>
      </c>
      <c r="F139" s="27">
        <v>1650.0</v>
      </c>
      <c r="G139" s="28">
        <v>2400.0</v>
      </c>
      <c r="H139" s="27">
        <f t="shared" si="35"/>
        <v>750</v>
      </c>
      <c r="I139" s="27">
        <f>H139*3</f>
        <v>2250</v>
      </c>
      <c r="J139" s="27">
        <f>G139*3</f>
        <v>7200</v>
      </c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6">
        <v>421897.0</v>
      </c>
      <c r="B140" s="36" t="s">
        <v>2681</v>
      </c>
      <c r="C140" s="26">
        <v>2.0</v>
      </c>
      <c r="D140" s="27">
        <v>1330.0</v>
      </c>
      <c r="E140" s="27">
        <f t="shared" si="34"/>
        <v>2660</v>
      </c>
      <c r="F140" s="27">
        <v>1330.0</v>
      </c>
      <c r="G140" s="28">
        <v>2000.0</v>
      </c>
      <c r="H140" s="27">
        <f t="shared" si="35"/>
        <v>670</v>
      </c>
      <c r="I140" s="27">
        <f>H140*2</f>
        <v>1340</v>
      </c>
      <c r="J140" s="27">
        <f>G140*2</f>
        <v>4000</v>
      </c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6">
        <v>290582.0</v>
      </c>
      <c r="B141" s="36" t="s">
        <v>2682</v>
      </c>
      <c r="C141" s="26">
        <v>3.0</v>
      </c>
      <c r="D141" s="27">
        <v>970.0</v>
      </c>
      <c r="E141" s="27">
        <f t="shared" si="34"/>
        <v>2910</v>
      </c>
      <c r="F141" s="27">
        <v>970.0</v>
      </c>
      <c r="G141" s="28">
        <v>1800.0</v>
      </c>
      <c r="H141" s="27">
        <f t="shared" si="35"/>
        <v>830</v>
      </c>
      <c r="I141" s="27">
        <f t="shared" ref="I141:I144" si="46">H141*3</f>
        <v>2490</v>
      </c>
      <c r="J141" s="27">
        <f t="shared" ref="J141:J144" si="47">G141*3</f>
        <v>5400</v>
      </c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6">
        <v>3941106.0</v>
      </c>
      <c r="B142" s="36" t="s">
        <v>2683</v>
      </c>
      <c r="C142" s="26">
        <v>3.0</v>
      </c>
      <c r="D142" s="27">
        <v>1250.0</v>
      </c>
      <c r="E142" s="27">
        <f t="shared" si="34"/>
        <v>3750</v>
      </c>
      <c r="F142" s="27">
        <v>1250.0</v>
      </c>
      <c r="G142" s="28">
        <v>1900.0</v>
      </c>
      <c r="H142" s="27">
        <f t="shared" si="35"/>
        <v>650</v>
      </c>
      <c r="I142" s="27">
        <f t="shared" si="46"/>
        <v>1950</v>
      </c>
      <c r="J142" s="27">
        <f t="shared" si="47"/>
        <v>5700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6">
        <v>260618.0</v>
      </c>
      <c r="B143" s="36" t="s">
        <v>2684</v>
      </c>
      <c r="C143" s="26">
        <v>3.0</v>
      </c>
      <c r="D143" s="27">
        <v>1120.0</v>
      </c>
      <c r="E143" s="27">
        <f t="shared" si="34"/>
        <v>3360</v>
      </c>
      <c r="F143" s="27">
        <v>1120.0</v>
      </c>
      <c r="G143" s="28">
        <v>1800.0</v>
      </c>
      <c r="H143" s="27">
        <f t="shared" si="35"/>
        <v>680</v>
      </c>
      <c r="I143" s="27">
        <f t="shared" si="46"/>
        <v>2040</v>
      </c>
      <c r="J143" s="27">
        <f t="shared" si="47"/>
        <v>5400</v>
      </c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6">
        <v>260533.0</v>
      </c>
      <c r="B144" s="36" t="s">
        <v>2685</v>
      </c>
      <c r="C144" s="26">
        <v>3.0</v>
      </c>
      <c r="D144" s="27">
        <v>910.0</v>
      </c>
      <c r="E144" s="27">
        <f t="shared" si="34"/>
        <v>2730</v>
      </c>
      <c r="F144" s="27">
        <v>910.0</v>
      </c>
      <c r="G144" s="28">
        <v>1600.0</v>
      </c>
      <c r="H144" s="27">
        <f t="shared" si="35"/>
        <v>690</v>
      </c>
      <c r="I144" s="27">
        <f t="shared" si="46"/>
        <v>2070</v>
      </c>
      <c r="J144" s="27">
        <f t="shared" si="47"/>
        <v>4800</v>
      </c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6">
        <v>4085939.0</v>
      </c>
      <c r="B145" s="36" t="s">
        <v>2686</v>
      </c>
      <c r="C145" s="26">
        <v>10.0</v>
      </c>
      <c r="D145" s="27">
        <v>1240.0</v>
      </c>
      <c r="E145" s="27">
        <f t="shared" si="34"/>
        <v>12400</v>
      </c>
      <c r="F145" s="27">
        <v>1240.0</v>
      </c>
      <c r="G145" s="28">
        <v>1900.0</v>
      </c>
      <c r="H145" s="27">
        <f t="shared" si="35"/>
        <v>660</v>
      </c>
      <c r="I145" s="27">
        <f>H145*10</f>
        <v>6600</v>
      </c>
      <c r="J145" s="27">
        <f>G145*10</f>
        <v>19000</v>
      </c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6">
        <v>4412728.0</v>
      </c>
      <c r="B146" s="36" t="s">
        <v>2687</v>
      </c>
      <c r="C146" s="26">
        <v>6.0</v>
      </c>
      <c r="D146" s="27">
        <v>1240.0</v>
      </c>
      <c r="E146" s="27">
        <f t="shared" si="34"/>
        <v>7440</v>
      </c>
      <c r="F146" s="27">
        <v>1240.0</v>
      </c>
      <c r="G146" s="28">
        <v>2000.0</v>
      </c>
      <c r="H146" s="27">
        <f t="shared" si="35"/>
        <v>760</v>
      </c>
      <c r="I146" s="27">
        <f>H146*6</f>
        <v>4560</v>
      </c>
      <c r="J146" s="27">
        <f>G146*6</f>
        <v>12000</v>
      </c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6">
        <v>290605.0</v>
      </c>
      <c r="B147" s="36" t="s">
        <v>2688</v>
      </c>
      <c r="C147" s="26">
        <v>2.0</v>
      </c>
      <c r="D147" s="27">
        <v>1220.0</v>
      </c>
      <c r="E147" s="27">
        <f t="shared" si="34"/>
        <v>2440</v>
      </c>
      <c r="F147" s="27">
        <v>1220.0</v>
      </c>
      <c r="G147" s="28">
        <v>2100.0</v>
      </c>
      <c r="H147" s="27">
        <f t="shared" si="35"/>
        <v>880</v>
      </c>
      <c r="I147" s="27">
        <f>H147*2</f>
        <v>1760</v>
      </c>
      <c r="J147" s="27">
        <f>G147*2</f>
        <v>4200</v>
      </c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6">
        <v>100008.0</v>
      </c>
      <c r="B148" s="36" t="s">
        <v>2689</v>
      </c>
      <c r="C148" s="26">
        <v>4.0</v>
      </c>
      <c r="D148" s="27">
        <v>420.0</v>
      </c>
      <c r="E148" s="27">
        <f t="shared" si="34"/>
        <v>1680</v>
      </c>
      <c r="F148" s="27">
        <v>420.0</v>
      </c>
      <c r="G148" s="28">
        <v>800.0</v>
      </c>
      <c r="H148" s="27">
        <f t="shared" si="35"/>
        <v>380</v>
      </c>
      <c r="I148" s="27">
        <f>H148*4</f>
        <v>1520</v>
      </c>
      <c r="J148" s="27">
        <f>G148*4</f>
        <v>3200</v>
      </c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6">
        <v>5656012.0</v>
      </c>
      <c r="B149" s="36" t="s">
        <v>2690</v>
      </c>
      <c r="C149" s="26">
        <v>10.0</v>
      </c>
      <c r="D149" s="27">
        <v>490.0</v>
      </c>
      <c r="E149" s="27">
        <f t="shared" si="34"/>
        <v>4900</v>
      </c>
      <c r="F149" s="27">
        <v>490.0</v>
      </c>
      <c r="G149" s="28">
        <v>900.0</v>
      </c>
      <c r="H149" s="27">
        <f t="shared" si="35"/>
        <v>410</v>
      </c>
      <c r="I149" s="27">
        <f>H149*10</f>
        <v>4100</v>
      </c>
      <c r="J149" s="27">
        <f>G149*10</f>
        <v>9000</v>
      </c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6">
        <v>1103126.0</v>
      </c>
      <c r="B150" s="36" t="s">
        <v>2691</v>
      </c>
      <c r="C150" s="26">
        <v>9.0</v>
      </c>
      <c r="D150" s="27">
        <v>560.0</v>
      </c>
      <c r="E150" s="27">
        <f t="shared" si="34"/>
        <v>5040</v>
      </c>
      <c r="F150" s="27">
        <v>560.0</v>
      </c>
      <c r="G150" s="28">
        <v>1000.0</v>
      </c>
      <c r="H150" s="27">
        <f t="shared" si="35"/>
        <v>440</v>
      </c>
      <c r="I150" s="27">
        <f>H150*9</f>
        <v>3960</v>
      </c>
      <c r="J150" s="27">
        <f>G150*9</f>
        <v>9000</v>
      </c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6">
        <v>527244.0</v>
      </c>
      <c r="B151" s="36" t="s">
        <v>2692</v>
      </c>
      <c r="C151" s="26">
        <v>10.0</v>
      </c>
      <c r="D151" s="27">
        <v>1390.0</v>
      </c>
      <c r="E151" s="27">
        <f t="shared" si="34"/>
        <v>13900</v>
      </c>
      <c r="F151" s="27">
        <v>1390.0</v>
      </c>
      <c r="G151" s="28">
        <v>2100.0</v>
      </c>
      <c r="H151" s="27">
        <f t="shared" si="35"/>
        <v>710</v>
      </c>
      <c r="I151" s="27">
        <f>H151*10</f>
        <v>7100</v>
      </c>
      <c r="J151" s="27">
        <f>G151*10</f>
        <v>21000</v>
      </c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6">
        <v>5050855.0</v>
      </c>
      <c r="B152" s="36" t="s">
        <v>2588</v>
      </c>
      <c r="C152" s="26">
        <v>6.0</v>
      </c>
      <c r="D152" s="27">
        <v>470.0</v>
      </c>
      <c r="E152" s="27">
        <f t="shared" si="34"/>
        <v>2820</v>
      </c>
      <c r="F152" s="27">
        <v>470.0</v>
      </c>
      <c r="G152" s="28">
        <v>850.0</v>
      </c>
      <c r="H152" s="27">
        <f t="shared" si="35"/>
        <v>380</v>
      </c>
      <c r="I152" s="27">
        <f>H152*6</f>
        <v>2280</v>
      </c>
      <c r="J152" s="27">
        <f>G152*6</f>
        <v>5100</v>
      </c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6">
        <v>3882942.0</v>
      </c>
      <c r="B153" s="36" t="s">
        <v>2693</v>
      </c>
      <c r="C153" s="26">
        <v>3.0</v>
      </c>
      <c r="D153" s="27">
        <v>920.0</v>
      </c>
      <c r="E153" s="27">
        <f t="shared" si="34"/>
        <v>2760</v>
      </c>
      <c r="F153" s="27">
        <v>920.0</v>
      </c>
      <c r="G153" s="28">
        <v>1500.0</v>
      </c>
      <c r="H153" s="27">
        <f t="shared" si="35"/>
        <v>580</v>
      </c>
      <c r="I153" s="27">
        <f>H153*3</f>
        <v>1740</v>
      </c>
      <c r="J153" s="27">
        <f>G153*3</f>
        <v>4500</v>
      </c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6">
        <v>2041.0</v>
      </c>
      <c r="B154" s="36" t="s">
        <v>2694</v>
      </c>
      <c r="C154" s="26">
        <v>1.0</v>
      </c>
      <c r="D154" s="27">
        <v>7450.0</v>
      </c>
      <c r="E154" s="27">
        <f t="shared" si="34"/>
        <v>7450</v>
      </c>
      <c r="F154" s="27">
        <v>75.0</v>
      </c>
      <c r="G154" s="28">
        <v>200.0</v>
      </c>
      <c r="H154" s="27">
        <f t="shared" si="35"/>
        <v>125</v>
      </c>
      <c r="I154" s="27">
        <f>H154*100</f>
        <v>12500</v>
      </c>
      <c r="J154" s="27">
        <f>G154*100</f>
        <v>20000</v>
      </c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6">
        <v>8551009.0</v>
      </c>
      <c r="B155" s="36" t="s">
        <v>2695</v>
      </c>
      <c r="C155" s="26">
        <v>1.0</v>
      </c>
      <c r="D155" s="27">
        <v>3000.0</v>
      </c>
      <c r="E155" s="27">
        <f t="shared" si="34"/>
        <v>3000</v>
      </c>
      <c r="F155" s="27">
        <v>250.0</v>
      </c>
      <c r="G155" s="28">
        <v>550.0</v>
      </c>
      <c r="H155" s="27">
        <f t="shared" si="35"/>
        <v>300</v>
      </c>
      <c r="I155" s="27">
        <f t="shared" ref="I155:I156" si="48">H155*12</f>
        <v>3600</v>
      </c>
      <c r="J155" s="27">
        <f t="shared" ref="J155:J156" si="49">G155*12</f>
        <v>6600</v>
      </c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6">
        <v>8550002.0</v>
      </c>
      <c r="B156" s="36" t="s">
        <v>2696</v>
      </c>
      <c r="C156" s="26">
        <v>1.0</v>
      </c>
      <c r="D156" s="27">
        <v>2810.0</v>
      </c>
      <c r="E156" s="27">
        <f t="shared" si="34"/>
        <v>2810</v>
      </c>
      <c r="F156" s="27">
        <v>234.0</v>
      </c>
      <c r="G156" s="28">
        <v>550.0</v>
      </c>
      <c r="H156" s="27">
        <f t="shared" si="35"/>
        <v>316</v>
      </c>
      <c r="I156" s="27">
        <f t="shared" si="48"/>
        <v>3792</v>
      </c>
      <c r="J156" s="27">
        <f t="shared" si="49"/>
        <v>6600</v>
      </c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6">
        <v>529132.0</v>
      </c>
      <c r="B157" s="36" t="s">
        <v>2697</v>
      </c>
      <c r="C157" s="26">
        <v>3.0</v>
      </c>
      <c r="D157" s="27">
        <v>880.0</v>
      </c>
      <c r="E157" s="27">
        <f t="shared" si="34"/>
        <v>2640</v>
      </c>
      <c r="F157" s="27">
        <v>73.0</v>
      </c>
      <c r="G157" s="28">
        <v>200.0</v>
      </c>
      <c r="H157" s="27">
        <f t="shared" si="35"/>
        <v>127</v>
      </c>
      <c r="I157" s="27">
        <f>H157*36</f>
        <v>4572</v>
      </c>
      <c r="J157" s="27">
        <f>G157*36</f>
        <v>7200</v>
      </c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6">
        <v>289869.0</v>
      </c>
      <c r="B158" s="36" t="s">
        <v>2698</v>
      </c>
      <c r="C158" s="26">
        <v>10.0</v>
      </c>
      <c r="D158" s="27">
        <v>2760.0</v>
      </c>
      <c r="E158" s="27">
        <f t="shared" si="34"/>
        <v>27600</v>
      </c>
      <c r="F158" s="27">
        <v>2760.0</v>
      </c>
      <c r="G158" s="28">
        <v>4000.0</v>
      </c>
      <c r="H158" s="27">
        <f t="shared" si="35"/>
        <v>1240</v>
      </c>
      <c r="I158" s="27">
        <f>H158*10</f>
        <v>12400</v>
      </c>
      <c r="J158" s="27">
        <f>G158*10</f>
        <v>40000</v>
      </c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6">
        <v>4416009.0</v>
      </c>
      <c r="B159" s="36" t="s">
        <v>2699</v>
      </c>
      <c r="C159" s="26">
        <v>3.0</v>
      </c>
      <c r="D159" s="27">
        <v>1560.0</v>
      </c>
      <c r="E159" s="27">
        <f t="shared" si="34"/>
        <v>4680</v>
      </c>
      <c r="F159" s="27">
        <v>1560.0</v>
      </c>
      <c r="G159" s="28">
        <v>2300.0</v>
      </c>
      <c r="H159" s="27">
        <f t="shared" si="35"/>
        <v>740</v>
      </c>
      <c r="I159" s="27">
        <f>H159*3</f>
        <v>2220</v>
      </c>
      <c r="J159" s="27">
        <f>G159*3</f>
        <v>6900</v>
      </c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6">
        <v>7552007.0</v>
      </c>
      <c r="B160" s="36" t="s">
        <v>2700</v>
      </c>
      <c r="C160" s="26">
        <v>10.0</v>
      </c>
      <c r="D160" s="27">
        <v>380.0</v>
      </c>
      <c r="E160" s="27">
        <f t="shared" si="34"/>
        <v>3800</v>
      </c>
      <c r="F160" s="27">
        <v>380.0</v>
      </c>
      <c r="G160" s="28">
        <v>600.0</v>
      </c>
      <c r="H160" s="27">
        <f t="shared" si="35"/>
        <v>220</v>
      </c>
      <c r="I160" s="27">
        <f>H160*10</f>
        <v>2200</v>
      </c>
      <c r="J160" s="27">
        <f>G160*10</f>
        <v>6000</v>
      </c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6">
        <v>299356.0</v>
      </c>
      <c r="B161" s="36" t="s">
        <v>2701</v>
      </c>
      <c r="C161" s="26">
        <v>6.0</v>
      </c>
      <c r="D161" s="27">
        <v>660.0</v>
      </c>
      <c r="E161" s="27">
        <f t="shared" si="34"/>
        <v>3960</v>
      </c>
      <c r="F161" s="27">
        <v>660.0</v>
      </c>
      <c r="G161" s="28">
        <v>1250.0</v>
      </c>
      <c r="H161" s="27">
        <f t="shared" si="35"/>
        <v>590</v>
      </c>
      <c r="I161" s="27">
        <f>H161*6</f>
        <v>3540</v>
      </c>
      <c r="J161" s="27">
        <f>G161*6</f>
        <v>7500</v>
      </c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6">
        <v>234268.0</v>
      </c>
      <c r="B162" s="36" t="s">
        <v>2702</v>
      </c>
      <c r="C162" s="26">
        <v>10.0</v>
      </c>
      <c r="D162" s="27">
        <v>1070.0</v>
      </c>
      <c r="E162" s="27">
        <f t="shared" si="34"/>
        <v>10700</v>
      </c>
      <c r="F162" s="27">
        <v>1070.0</v>
      </c>
      <c r="G162" s="28">
        <v>2500.0</v>
      </c>
      <c r="H162" s="27">
        <f t="shared" si="35"/>
        <v>1430</v>
      </c>
      <c r="I162" s="27">
        <f>H162*10</f>
        <v>14300</v>
      </c>
      <c r="J162" s="27">
        <f>G162*10</f>
        <v>25000</v>
      </c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6">
        <v>5982538.0</v>
      </c>
      <c r="B163" s="36" t="s">
        <v>2703</v>
      </c>
      <c r="C163" s="26">
        <v>1.0</v>
      </c>
      <c r="D163" s="27">
        <v>6890.0</v>
      </c>
      <c r="E163" s="27">
        <f t="shared" si="34"/>
        <v>6890</v>
      </c>
      <c r="F163" s="27">
        <v>287.0</v>
      </c>
      <c r="G163" s="28">
        <v>500.0</v>
      </c>
      <c r="H163" s="27">
        <f t="shared" si="35"/>
        <v>213</v>
      </c>
      <c r="I163" s="27">
        <f>H163*24</f>
        <v>5112</v>
      </c>
      <c r="J163" s="27">
        <f>G163*24</f>
        <v>12000</v>
      </c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6">
        <v>4467007.0</v>
      </c>
      <c r="B164" s="36" t="s">
        <v>2704</v>
      </c>
      <c r="C164" s="26">
        <v>8.0</v>
      </c>
      <c r="D164" s="27">
        <v>830.0</v>
      </c>
      <c r="E164" s="27">
        <f t="shared" si="34"/>
        <v>6640</v>
      </c>
      <c r="F164" s="27">
        <v>830.0</v>
      </c>
      <c r="G164" s="28">
        <v>1500.0</v>
      </c>
      <c r="H164" s="27">
        <f t="shared" si="35"/>
        <v>670</v>
      </c>
      <c r="I164" s="27">
        <f>H164*8</f>
        <v>5360</v>
      </c>
      <c r="J164" s="27">
        <f>G164*8</f>
        <v>12000</v>
      </c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6">
        <v>3875326.0</v>
      </c>
      <c r="B165" s="36" t="s">
        <v>2705</v>
      </c>
      <c r="C165" s="26">
        <v>3.0</v>
      </c>
      <c r="D165" s="27">
        <v>2280.0</v>
      </c>
      <c r="E165" s="27">
        <f t="shared" si="34"/>
        <v>6840</v>
      </c>
      <c r="F165" s="27">
        <v>2280.0</v>
      </c>
      <c r="G165" s="28">
        <v>3500.0</v>
      </c>
      <c r="H165" s="27">
        <f t="shared" si="35"/>
        <v>1220</v>
      </c>
      <c r="I165" s="27">
        <f t="shared" ref="I165:I166" si="50">H165*3</f>
        <v>3660</v>
      </c>
      <c r="J165" s="27">
        <f t="shared" ref="J165:J166" si="51">G165*3</f>
        <v>10500</v>
      </c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6">
        <v>4151306.0</v>
      </c>
      <c r="B166" s="36" t="s">
        <v>2706</v>
      </c>
      <c r="C166" s="26">
        <v>3.0</v>
      </c>
      <c r="D166" s="27">
        <v>2280.0</v>
      </c>
      <c r="E166" s="27">
        <f t="shared" si="34"/>
        <v>6840</v>
      </c>
      <c r="F166" s="27">
        <v>2280.0</v>
      </c>
      <c r="G166" s="28">
        <v>3500.0</v>
      </c>
      <c r="H166" s="27">
        <f t="shared" si="35"/>
        <v>1220</v>
      </c>
      <c r="I166" s="27">
        <f t="shared" si="50"/>
        <v>3660</v>
      </c>
      <c r="J166" s="27">
        <f t="shared" si="51"/>
        <v>10500</v>
      </c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6">
        <v>1250202.0</v>
      </c>
      <c r="B167" s="36" t="s">
        <v>2707</v>
      </c>
      <c r="C167" s="26">
        <v>12.0</v>
      </c>
      <c r="D167" s="27">
        <v>750.0</v>
      </c>
      <c r="E167" s="27">
        <f t="shared" si="34"/>
        <v>9000</v>
      </c>
      <c r="F167" s="27">
        <v>750.0</v>
      </c>
      <c r="G167" s="28">
        <v>1350.0</v>
      </c>
      <c r="H167" s="27">
        <f t="shared" si="35"/>
        <v>600</v>
      </c>
      <c r="I167" s="27">
        <f>H167*12</f>
        <v>7200</v>
      </c>
      <c r="J167" s="27">
        <f>G167*12</f>
        <v>16200</v>
      </c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6">
        <v>3704312.0</v>
      </c>
      <c r="B168" s="36" t="s">
        <v>2708</v>
      </c>
      <c r="C168" s="26">
        <v>1.0</v>
      </c>
      <c r="D168" s="27">
        <v>3440.0</v>
      </c>
      <c r="E168" s="27">
        <f t="shared" si="34"/>
        <v>3440</v>
      </c>
      <c r="F168" s="27">
        <v>344.0</v>
      </c>
      <c r="G168" s="28">
        <v>700.0</v>
      </c>
      <c r="H168" s="27">
        <f t="shared" si="35"/>
        <v>356</v>
      </c>
      <c r="I168" s="27">
        <f>H168*10</f>
        <v>3560</v>
      </c>
      <c r="J168" s="27">
        <f>G168*10</f>
        <v>7000</v>
      </c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6">
        <v>9083121.0</v>
      </c>
      <c r="B169" s="36" t="s">
        <v>2709</v>
      </c>
      <c r="C169" s="26">
        <v>6.0</v>
      </c>
      <c r="D169" s="27">
        <v>1870.0</v>
      </c>
      <c r="E169" s="27">
        <f t="shared" si="34"/>
        <v>11220</v>
      </c>
      <c r="F169" s="27">
        <v>1870.0</v>
      </c>
      <c r="G169" s="28">
        <v>2800.0</v>
      </c>
      <c r="H169" s="27">
        <f t="shared" si="35"/>
        <v>930</v>
      </c>
      <c r="I169" s="27">
        <f t="shared" ref="I169:I170" si="52">H169*6</f>
        <v>5580</v>
      </c>
      <c r="J169" s="27">
        <f t="shared" ref="J169:J170" si="53">G169*6</f>
        <v>16800</v>
      </c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6">
        <v>5540008.0</v>
      </c>
      <c r="B170" s="36" t="s">
        <v>2710</v>
      </c>
      <c r="C170" s="26">
        <v>6.0</v>
      </c>
      <c r="D170" s="27">
        <v>380.0</v>
      </c>
      <c r="E170" s="27">
        <f t="shared" si="34"/>
        <v>2280</v>
      </c>
      <c r="F170" s="27">
        <v>380.0</v>
      </c>
      <c r="G170" s="28">
        <v>750.0</v>
      </c>
      <c r="H170" s="27">
        <f t="shared" si="35"/>
        <v>370</v>
      </c>
      <c r="I170" s="27">
        <f t="shared" si="52"/>
        <v>2220</v>
      </c>
      <c r="J170" s="27">
        <f t="shared" si="53"/>
        <v>4500</v>
      </c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6">
        <v>297888.0</v>
      </c>
      <c r="B171" s="36" t="s">
        <v>2711</v>
      </c>
      <c r="C171" s="26">
        <v>3.0</v>
      </c>
      <c r="D171" s="27">
        <v>910.0</v>
      </c>
      <c r="E171" s="27">
        <f t="shared" si="34"/>
        <v>2730</v>
      </c>
      <c r="F171" s="27">
        <v>910.0</v>
      </c>
      <c r="G171" s="28">
        <v>2000.0</v>
      </c>
      <c r="H171" s="27">
        <f t="shared" si="35"/>
        <v>1090</v>
      </c>
      <c r="I171" s="27">
        <f>H171*3</f>
        <v>3270</v>
      </c>
      <c r="J171" s="27">
        <f>G171*3</f>
        <v>6000</v>
      </c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6">
        <v>239201.0</v>
      </c>
      <c r="B172" s="36" t="s">
        <v>2712</v>
      </c>
      <c r="C172" s="26">
        <v>12.0</v>
      </c>
      <c r="D172" s="27">
        <v>185.0</v>
      </c>
      <c r="E172" s="27">
        <f t="shared" si="34"/>
        <v>2220</v>
      </c>
      <c r="F172" s="27">
        <v>185.0</v>
      </c>
      <c r="G172" s="28">
        <v>350.0</v>
      </c>
      <c r="H172" s="27">
        <f t="shared" si="35"/>
        <v>165</v>
      </c>
      <c r="I172" s="27">
        <f>H172*12</f>
        <v>1980</v>
      </c>
      <c r="J172" s="27">
        <f>G172*12</f>
        <v>4200</v>
      </c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6">
        <v>7361073.0</v>
      </c>
      <c r="B173" s="36" t="s">
        <v>2713</v>
      </c>
      <c r="C173" s="26">
        <v>2.0</v>
      </c>
      <c r="D173" s="27">
        <v>1310.0</v>
      </c>
      <c r="E173" s="27">
        <f t="shared" si="34"/>
        <v>2620</v>
      </c>
      <c r="F173" s="27">
        <v>109.0</v>
      </c>
      <c r="G173" s="28">
        <v>300.0</v>
      </c>
      <c r="H173" s="27">
        <f t="shared" si="35"/>
        <v>191</v>
      </c>
      <c r="I173" s="27">
        <f>H173*24</f>
        <v>4584</v>
      </c>
      <c r="J173" s="27">
        <f>G173*24</f>
        <v>7200</v>
      </c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6">
        <v>5106007.0</v>
      </c>
      <c r="B174" s="36" t="s">
        <v>2714</v>
      </c>
      <c r="C174" s="26">
        <v>6.0</v>
      </c>
      <c r="D174" s="27">
        <v>350.0</v>
      </c>
      <c r="E174" s="27">
        <f t="shared" si="34"/>
        <v>2100</v>
      </c>
      <c r="F174" s="27">
        <v>350.0</v>
      </c>
      <c r="G174" s="28">
        <v>700.0</v>
      </c>
      <c r="H174" s="27">
        <f t="shared" si="35"/>
        <v>350</v>
      </c>
      <c r="I174" s="27">
        <f>H174*6</f>
        <v>2100</v>
      </c>
      <c r="J174" s="27">
        <f>G174*6</f>
        <v>4200</v>
      </c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6">
        <v>3940499.0</v>
      </c>
      <c r="B175" s="36" t="s">
        <v>2715</v>
      </c>
      <c r="C175" s="26">
        <v>10.0</v>
      </c>
      <c r="D175" s="27">
        <v>770.0</v>
      </c>
      <c r="E175" s="27">
        <f t="shared" si="34"/>
        <v>7700</v>
      </c>
      <c r="F175" s="27">
        <v>770.0</v>
      </c>
      <c r="G175" s="28">
        <v>1400.0</v>
      </c>
      <c r="H175" s="27">
        <f t="shared" si="35"/>
        <v>630</v>
      </c>
      <c r="I175" s="27">
        <f>H175*10</f>
        <v>6300</v>
      </c>
      <c r="J175" s="27">
        <f>G175*10</f>
        <v>14000</v>
      </c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25"/>
      <c r="B176" s="37"/>
      <c r="C176" s="26"/>
      <c r="D176" s="27"/>
      <c r="E176" s="27"/>
      <c r="F176" s="27"/>
      <c r="G176" s="28"/>
      <c r="H176" s="27"/>
      <c r="I176" s="27"/>
      <c r="J176" s="2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25"/>
      <c r="B177" s="37"/>
      <c r="C177" s="26"/>
      <c r="D177" s="27"/>
      <c r="E177" s="32">
        <f>SUM(E117:E175)</f>
        <v>361480</v>
      </c>
      <c r="F177" s="27"/>
      <c r="G177" s="28"/>
      <c r="H177" s="27"/>
      <c r="I177" s="38">
        <f t="shared" ref="I177:J177" si="54">SUM(I117:I175)</f>
        <v>284056</v>
      </c>
      <c r="J177" s="38">
        <f t="shared" si="54"/>
        <v>636400</v>
      </c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25"/>
      <c r="B178" s="37"/>
      <c r="C178" s="26"/>
      <c r="D178" s="27"/>
      <c r="E178" s="27"/>
      <c r="F178" s="27"/>
      <c r="G178" s="28"/>
      <c r="H178" s="27"/>
      <c r="I178" s="27"/>
      <c r="J178" s="2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25"/>
      <c r="C179" s="26"/>
      <c r="D179" s="27"/>
      <c r="E179" s="27"/>
      <c r="F179" s="27"/>
      <c r="G179" s="28"/>
      <c r="H179" s="27"/>
      <c r="I179" s="27"/>
      <c r="J179" s="27"/>
    </row>
    <row r="180" ht="12.75" customHeight="1">
      <c r="A180" s="34">
        <v>45318.0</v>
      </c>
      <c r="C180" s="26"/>
      <c r="D180" s="27"/>
      <c r="E180" s="27"/>
      <c r="F180" s="27"/>
      <c r="G180" s="28"/>
      <c r="H180" s="27"/>
      <c r="I180" s="27"/>
      <c r="J180" s="27"/>
    </row>
    <row r="181" ht="12.75" customHeight="1">
      <c r="A181" s="25"/>
      <c r="C181" s="26"/>
      <c r="D181" s="27"/>
      <c r="E181" s="27"/>
      <c r="F181" s="27"/>
      <c r="G181" s="28"/>
      <c r="H181" s="27"/>
      <c r="I181" s="27"/>
      <c r="J181" s="27"/>
    </row>
    <row r="182" ht="12.75" customHeight="1">
      <c r="A182" s="36">
        <v>5034480.0</v>
      </c>
      <c r="B182" s="36" t="s">
        <v>2591</v>
      </c>
      <c r="C182" s="26">
        <v>8.0</v>
      </c>
      <c r="D182" s="27">
        <v>5970.0</v>
      </c>
      <c r="E182" s="27">
        <f t="shared" ref="E182:E198" si="55">D182*C182</f>
        <v>47760</v>
      </c>
      <c r="F182" s="27">
        <v>597.0</v>
      </c>
      <c r="G182" s="28">
        <v>1000.0</v>
      </c>
      <c r="H182" s="27">
        <f t="shared" ref="H182:H198" si="56">G182-F182</f>
        <v>403</v>
      </c>
      <c r="I182" s="27">
        <f>H182*80</f>
        <v>32240</v>
      </c>
      <c r="J182" s="27">
        <f>G182*80</f>
        <v>80000</v>
      </c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6">
        <v>2027033.0</v>
      </c>
      <c r="B183" s="36" t="s">
        <v>2716</v>
      </c>
      <c r="C183" s="26">
        <v>3.0</v>
      </c>
      <c r="D183" s="27">
        <v>1470.0</v>
      </c>
      <c r="E183" s="27">
        <f t="shared" si="55"/>
        <v>4410</v>
      </c>
      <c r="F183" s="27">
        <v>147.0</v>
      </c>
      <c r="G183" s="28">
        <v>300.0</v>
      </c>
      <c r="H183" s="27">
        <f t="shared" si="56"/>
        <v>153</v>
      </c>
      <c r="I183" s="27">
        <f t="shared" ref="I183:I190" si="57">H183*30</f>
        <v>4590</v>
      </c>
      <c r="J183" s="27">
        <f t="shared" ref="J183:J190" si="58">G183*30</f>
        <v>9000</v>
      </c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6">
        <v>2026951.0</v>
      </c>
      <c r="B184" s="36" t="s">
        <v>2717</v>
      </c>
      <c r="C184" s="26">
        <v>3.0</v>
      </c>
      <c r="D184" s="27">
        <v>1470.0</v>
      </c>
      <c r="E184" s="27">
        <f t="shared" si="55"/>
        <v>4410</v>
      </c>
      <c r="F184" s="27">
        <v>147.0</v>
      </c>
      <c r="G184" s="28">
        <v>300.0</v>
      </c>
      <c r="H184" s="27">
        <f t="shared" si="56"/>
        <v>153</v>
      </c>
      <c r="I184" s="27">
        <f t="shared" si="57"/>
        <v>4590</v>
      </c>
      <c r="J184" s="27">
        <f t="shared" si="58"/>
        <v>9000</v>
      </c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6">
        <v>2026968.0</v>
      </c>
      <c r="B185" s="36" t="s">
        <v>2718</v>
      </c>
      <c r="C185" s="26">
        <v>3.0</v>
      </c>
      <c r="D185" s="27">
        <v>1470.0</v>
      </c>
      <c r="E185" s="27">
        <f t="shared" si="55"/>
        <v>4410</v>
      </c>
      <c r="F185" s="27">
        <v>147.0</v>
      </c>
      <c r="G185" s="28">
        <v>300.0</v>
      </c>
      <c r="H185" s="27">
        <f t="shared" si="56"/>
        <v>153</v>
      </c>
      <c r="I185" s="27">
        <f t="shared" si="57"/>
        <v>4590</v>
      </c>
      <c r="J185" s="27">
        <f t="shared" si="58"/>
        <v>9000</v>
      </c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6">
        <v>2026982.0</v>
      </c>
      <c r="B186" s="36" t="s">
        <v>2719</v>
      </c>
      <c r="C186" s="26">
        <v>3.0</v>
      </c>
      <c r="D186" s="27">
        <v>1470.0</v>
      </c>
      <c r="E186" s="27">
        <f t="shared" si="55"/>
        <v>4410</v>
      </c>
      <c r="F186" s="27">
        <v>147.0</v>
      </c>
      <c r="G186" s="28">
        <v>300.0</v>
      </c>
      <c r="H186" s="27">
        <f t="shared" si="56"/>
        <v>153</v>
      </c>
      <c r="I186" s="27">
        <f t="shared" si="57"/>
        <v>4590</v>
      </c>
      <c r="J186" s="27">
        <f t="shared" si="58"/>
        <v>9000</v>
      </c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6">
        <v>2027064.0</v>
      </c>
      <c r="B187" s="36" t="s">
        <v>2720</v>
      </c>
      <c r="C187" s="26">
        <v>3.0</v>
      </c>
      <c r="D187" s="27">
        <v>1470.0</v>
      </c>
      <c r="E187" s="27">
        <f t="shared" si="55"/>
        <v>4410</v>
      </c>
      <c r="F187" s="27">
        <v>147.0</v>
      </c>
      <c r="G187" s="28">
        <v>300.0</v>
      </c>
      <c r="H187" s="27">
        <f t="shared" si="56"/>
        <v>153</v>
      </c>
      <c r="I187" s="27">
        <f t="shared" si="57"/>
        <v>4590</v>
      </c>
      <c r="J187" s="27">
        <f t="shared" si="58"/>
        <v>9000</v>
      </c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6">
        <v>2026975.0</v>
      </c>
      <c r="B188" s="36" t="s">
        <v>2721</v>
      </c>
      <c r="C188" s="26">
        <v>3.0</v>
      </c>
      <c r="D188" s="27">
        <v>1470.0</v>
      </c>
      <c r="E188" s="27">
        <f t="shared" si="55"/>
        <v>4410</v>
      </c>
      <c r="F188" s="27">
        <v>147.0</v>
      </c>
      <c r="G188" s="28">
        <v>300.0</v>
      </c>
      <c r="H188" s="27">
        <f t="shared" si="56"/>
        <v>153</v>
      </c>
      <c r="I188" s="27">
        <f t="shared" si="57"/>
        <v>4590</v>
      </c>
      <c r="J188" s="27">
        <f t="shared" si="58"/>
        <v>9000</v>
      </c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6">
        <v>2026999.0</v>
      </c>
      <c r="B189" s="36" t="s">
        <v>2722</v>
      </c>
      <c r="C189" s="26">
        <v>3.0</v>
      </c>
      <c r="D189" s="27">
        <v>1470.0</v>
      </c>
      <c r="E189" s="27">
        <f t="shared" si="55"/>
        <v>4410</v>
      </c>
      <c r="F189" s="27">
        <v>147.0</v>
      </c>
      <c r="G189" s="28">
        <v>300.0</v>
      </c>
      <c r="H189" s="27">
        <f t="shared" si="56"/>
        <v>153</v>
      </c>
      <c r="I189" s="27">
        <f t="shared" si="57"/>
        <v>4590</v>
      </c>
      <c r="J189" s="27">
        <f t="shared" si="58"/>
        <v>9000</v>
      </c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6">
        <v>2027071.0</v>
      </c>
      <c r="B190" s="36" t="s">
        <v>2723</v>
      </c>
      <c r="C190" s="26">
        <v>3.0</v>
      </c>
      <c r="D190" s="27">
        <v>1470.0</v>
      </c>
      <c r="E190" s="27">
        <f t="shared" si="55"/>
        <v>4410</v>
      </c>
      <c r="F190" s="27">
        <v>147.0</v>
      </c>
      <c r="G190" s="28">
        <v>300.0</v>
      </c>
      <c r="H190" s="27">
        <f t="shared" si="56"/>
        <v>153</v>
      </c>
      <c r="I190" s="27">
        <f t="shared" si="57"/>
        <v>4590</v>
      </c>
      <c r="J190" s="27">
        <f t="shared" si="58"/>
        <v>9000</v>
      </c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6">
        <v>2026944.0</v>
      </c>
      <c r="B191" s="36" t="s">
        <v>2613</v>
      </c>
      <c r="C191" s="26">
        <v>2.0</v>
      </c>
      <c r="D191" s="27">
        <v>1390.0</v>
      </c>
      <c r="E191" s="27">
        <f t="shared" si="55"/>
        <v>2780</v>
      </c>
      <c r="F191" s="27">
        <v>139.0</v>
      </c>
      <c r="G191" s="28">
        <v>300.0</v>
      </c>
      <c r="H191" s="27">
        <f t="shared" si="56"/>
        <v>161</v>
      </c>
      <c r="I191" s="27">
        <f>H191*20</f>
        <v>3220</v>
      </c>
      <c r="J191" s="27">
        <f>G191*20</f>
        <v>6000</v>
      </c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6">
        <v>2027231.0</v>
      </c>
      <c r="B192" s="36" t="s">
        <v>2724</v>
      </c>
      <c r="C192" s="26">
        <v>1.0</v>
      </c>
      <c r="D192" s="27">
        <v>1740.0</v>
      </c>
      <c r="E192" s="27">
        <f t="shared" si="55"/>
        <v>1740</v>
      </c>
      <c r="F192" s="27">
        <v>174.0</v>
      </c>
      <c r="G192" s="28">
        <v>350.0</v>
      </c>
      <c r="H192" s="27">
        <f t="shared" si="56"/>
        <v>176</v>
      </c>
      <c r="I192" s="27">
        <f t="shared" ref="I192:I198" si="59">H192*10</f>
        <v>1760</v>
      </c>
      <c r="J192" s="27">
        <f t="shared" ref="J192:J198" si="60">G192*10</f>
        <v>3500</v>
      </c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6">
        <v>2027125.0</v>
      </c>
      <c r="B193" s="36" t="s">
        <v>2725</v>
      </c>
      <c r="C193" s="26">
        <v>1.0</v>
      </c>
      <c r="D193" s="27">
        <v>1740.0</v>
      </c>
      <c r="E193" s="27">
        <f t="shared" si="55"/>
        <v>1740</v>
      </c>
      <c r="F193" s="27">
        <v>174.0</v>
      </c>
      <c r="G193" s="28">
        <v>350.0</v>
      </c>
      <c r="H193" s="27">
        <f t="shared" si="56"/>
        <v>176</v>
      </c>
      <c r="I193" s="27">
        <f t="shared" si="59"/>
        <v>1760</v>
      </c>
      <c r="J193" s="27">
        <f t="shared" si="60"/>
        <v>3500</v>
      </c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6">
        <v>2027149.0</v>
      </c>
      <c r="B194" s="36" t="s">
        <v>2726</v>
      </c>
      <c r="C194" s="26">
        <v>1.0</v>
      </c>
      <c r="D194" s="27">
        <v>1740.0</v>
      </c>
      <c r="E194" s="27">
        <f t="shared" si="55"/>
        <v>1740</v>
      </c>
      <c r="F194" s="27">
        <v>174.0</v>
      </c>
      <c r="G194" s="28">
        <v>350.0</v>
      </c>
      <c r="H194" s="27">
        <f t="shared" si="56"/>
        <v>176</v>
      </c>
      <c r="I194" s="27">
        <f t="shared" si="59"/>
        <v>1760</v>
      </c>
      <c r="J194" s="27">
        <f t="shared" si="60"/>
        <v>3500</v>
      </c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6">
        <v>2027187.0</v>
      </c>
      <c r="B195" s="36" t="s">
        <v>2727</v>
      </c>
      <c r="C195" s="26">
        <v>1.0</v>
      </c>
      <c r="D195" s="27">
        <v>1740.0</v>
      </c>
      <c r="E195" s="27">
        <f t="shared" si="55"/>
        <v>1740</v>
      </c>
      <c r="F195" s="27">
        <v>174.0</v>
      </c>
      <c r="G195" s="28">
        <v>350.0</v>
      </c>
      <c r="H195" s="27">
        <f t="shared" si="56"/>
        <v>176</v>
      </c>
      <c r="I195" s="27">
        <f t="shared" si="59"/>
        <v>1760</v>
      </c>
      <c r="J195" s="27">
        <f t="shared" si="60"/>
        <v>3500</v>
      </c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6">
        <v>2027118.0</v>
      </c>
      <c r="B196" s="36" t="s">
        <v>2728</v>
      </c>
      <c r="C196" s="26">
        <v>1.0</v>
      </c>
      <c r="D196" s="27">
        <v>1740.0</v>
      </c>
      <c r="E196" s="27">
        <f t="shared" si="55"/>
        <v>1740</v>
      </c>
      <c r="F196" s="27">
        <v>174.0</v>
      </c>
      <c r="G196" s="28">
        <v>350.0</v>
      </c>
      <c r="H196" s="27">
        <f t="shared" si="56"/>
        <v>176</v>
      </c>
      <c r="I196" s="27">
        <f t="shared" si="59"/>
        <v>1760</v>
      </c>
      <c r="J196" s="27">
        <f t="shared" si="60"/>
        <v>3500</v>
      </c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6">
        <v>2027255.0</v>
      </c>
      <c r="B197" s="36" t="s">
        <v>2729</v>
      </c>
      <c r="C197" s="26">
        <v>1.0</v>
      </c>
      <c r="D197" s="27">
        <v>1740.0</v>
      </c>
      <c r="E197" s="27">
        <f t="shared" si="55"/>
        <v>1740</v>
      </c>
      <c r="F197" s="27">
        <v>174.0</v>
      </c>
      <c r="G197" s="28">
        <v>350.0</v>
      </c>
      <c r="H197" s="27">
        <f t="shared" si="56"/>
        <v>176</v>
      </c>
      <c r="I197" s="27">
        <f t="shared" si="59"/>
        <v>1760</v>
      </c>
      <c r="J197" s="27">
        <f t="shared" si="60"/>
        <v>3500</v>
      </c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6">
        <v>2027132.0</v>
      </c>
      <c r="B198" s="36" t="s">
        <v>2730</v>
      </c>
      <c r="C198" s="26">
        <v>1.0</v>
      </c>
      <c r="D198" s="27">
        <v>1740.0</v>
      </c>
      <c r="E198" s="27">
        <f t="shared" si="55"/>
        <v>1740</v>
      </c>
      <c r="F198" s="27">
        <v>174.0</v>
      </c>
      <c r="G198" s="28">
        <v>350.0</v>
      </c>
      <c r="H198" s="27">
        <f t="shared" si="56"/>
        <v>176</v>
      </c>
      <c r="I198" s="27">
        <f t="shared" si="59"/>
        <v>1760</v>
      </c>
      <c r="J198" s="27">
        <f t="shared" si="60"/>
        <v>3500</v>
      </c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25"/>
      <c r="C199" s="26"/>
      <c r="D199" s="27"/>
      <c r="E199" s="27"/>
      <c r="F199" s="27"/>
      <c r="G199" s="28"/>
      <c r="H199" s="27"/>
      <c r="I199" s="27"/>
      <c r="J199" s="27"/>
    </row>
    <row r="200" ht="14.25" customHeight="1">
      <c r="A200" s="25"/>
      <c r="C200" s="26"/>
      <c r="D200" s="27"/>
      <c r="E200" s="32">
        <f>SUM(E182:E198)</f>
        <v>98000</v>
      </c>
      <c r="F200" s="27"/>
      <c r="G200" s="28"/>
      <c r="H200" s="27"/>
      <c r="I200" s="38">
        <f t="shared" ref="I200:J200" si="61">SUM(I182:I198)</f>
        <v>84500</v>
      </c>
      <c r="J200" s="38">
        <f t="shared" si="61"/>
        <v>182500</v>
      </c>
    </row>
    <row r="201" ht="12.75" customHeight="1">
      <c r="A201" s="25"/>
      <c r="C201" s="26"/>
      <c r="D201" s="27"/>
      <c r="E201" s="27"/>
      <c r="F201" s="27"/>
      <c r="G201" s="28"/>
      <c r="H201" s="27"/>
      <c r="I201" s="27"/>
      <c r="J201" s="27"/>
    </row>
    <row r="202" ht="12.75" customHeight="1">
      <c r="A202" s="25"/>
      <c r="C202" s="26"/>
      <c r="D202" s="27"/>
      <c r="E202" s="27"/>
      <c r="F202" s="27"/>
      <c r="G202" s="28"/>
      <c r="H202" s="27"/>
      <c r="I202" s="27"/>
      <c r="J202" s="27"/>
    </row>
    <row r="203" ht="12.75" customHeight="1">
      <c r="A203" s="25">
        <v>5105012.0</v>
      </c>
      <c r="B203" s="41" t="s">
        <v>2731</v>
      </c>
      <c r="C203" s="26">
        <v>12.0</v>
      </c>
      <c r="D203" s="27">
        <v>748.0</v>
      </c>
      <c r="E203" s="27">
        <v>8976.0</v>
      </c>
      <c r="F203" s="27">
        <v>748.0</v>
      </c>
      <c r="G203" s="28">
        <v>1250.0</v>
      </c>
      <c r="H203" s="27">
        <f>G203-F203</f>
        <v>502</v>
      </c>
      <c r="I203" s="27">
        <f>H203*12</f>
        <v>6024</v>
      </c>
      <c r="J203" s="27">
        <f>G203*12</f>
        <v>15000</v>
      </c>
    </row>
    <row r="204" ht="12.75" customHeight="1">
      <c r="A204" s="25"/>
      <c r="C204" s="26"/>
      <c r="D204" s="27"/>
      <c r="E204" s="27"/>
      <c r="F204" s="27"/>
      <c r="G204" s="28"/>
      <c r="H204" s="27"/>
      <c r="I204" s="27"/>
      <c r="J204" s="27"/>
    </row>
    <row r="205" ht="12.75" customHeight="1">
      <c r="A205" s="25"/>
      <c r="C205" s="26"/>
      <c r="D205" s="27"/>
      <c r="E205" s="32">
        <f>SUM(E203)</f>
        <v>8976</v>
      </c>
      <c r="F205" s="32"/>
      <c r="G205" s="42"/>
      <c r="H205" s="32"/>
      <c r="I205" s="38">
        <f t="shared" ref="I205:J205" si="62">SUM(I203)</f>
        <v>6024</v>
      </c>
      <c r="J205" s="38">
        <f t="shared" si="62"/>
        <v>15000</v>
      </c>
    </row>
    <row r="206" ht="12.75" customHeight="1">
      <c r="A206" s="25"/>
      <c r="C206" s="26"/>
      <c r="D206" s="27"/>
      <c r="E206" s="27"/>
      <c r="F206" s="27"/>
      <c r="G206" s="28"/>
      <c r="H206" s="27"/>
      <c r="I206" s="27"/>
      <c r="J206" s="27"/>
    </row>
    <row r="207" ht="12.75" customHeight="1">
      <c r="A207" s="25"/>
      <c r="C207" s="26"/>
      <c r="D207" s="27"/>
      <c r="E207" s="27"/>
      <c r="F207" s="27"/>
      <c r="G207" s="28"/>
      <c r="H207" s="27"/>
      <c r="I207" s="27"/>
      <c r="J207" s="27"/>
    </row>
    <row r="208" ht="12.75" customHeight="1">
      <c r="A208" s="34">
        <v>45356.0</v>
      </c>
      <c r="C208" s="26"/>
      <c r="D208" s="27"/>
      <c r="E208" s="27"/>
      <c r="F208" s="27"/>
      <c r="G208" s="28"/>
      <c r="H208" s="27"/>
      <c r="I208" s="27"/>
      <c r="J208" s="27"/>
    </row>
    <row r="209" ht="12.75" customHeight="1">
      <c r="A209" s="25"/>
      <c r="C209" s="26"/>
      <c r="D209" s="27"/>
      <c r="E209" s="27"/>
      <c r="F209" s="27"/>
      <c r="G209" s="28"/>
      <c r="H209" s="27"/>
      <c r="I209" s="27"/>
      <c r="J209" s="27"/>
    </row>
    <row r="210" ht="12.75" customHeight="1">
      <c r="A210" s="36">
        <v>2027101.0</v>
      </c>
      <c r="B210" s="36" t="s">
        <v>2732</v>
      </c>
      <c r="C210" s="26">
        <v>3.0</v>
      </c>
      <c r="D210" s="27">
        <v>1740.0</v>
      </c>
      <c r="E210" s="27">
        <f t="shared" ref="E210:E236" si="63">D210*C210</f>
        <v>5220</v>
      </c>
      <c r="F210" s="27">
        <v>174.0</v>
      </c>
      <c r="G210" s="28">
        <v>350.0</v>
      </c>
      <c r="H210" s="27">
        <f t="shared" ref="H210:H236" si="64">G210-F210</f>
        <v>176</v>
      </c>
      <c r="I210" s="27">
        <f>H210*30</f>
        <v>5280</v>
      </c>
      <c r="J210" s="27">
        <f>G210*30</f>
        <v>10500</v>
      </c>
    </row>
    <row r="211" ht="12.75" customHeight="1">
      <c r="A211" s="36">
        <v>4162001.0</v>
      </c>
      <c r="B211" s="36" t="s">
        <v>2733</v>
      </c>
      <c r="C211" s="26">
        <v>24.0</v>
      </c>
      <c r="D211" s="27">
        <v>770.0</v>
      </c>
      <c r="E211" s="27">
        <f t="shared" si="63"/>
        <v>18480</v>
      </c>
      <c r="F211" s="27">
        <v>770.0</v>
      </c>
      <c r="G211" s="28">
        <v>1500.0</v>
      </c>
      <c r="H211" s="27">
        <f t="shared" si="64"/>
        <v>730</v>
      </c>
      <c r="I211" s="27">
        <f t="shared" ref="I211:I212" si="65">H211*24</f>
        <v>17520</v>
      </c>
      <c r="J211" s="27">
        <f t="shared" ref="J211:J212" si="66">G211*24</f>
        <v>36000</v>
      </c>
    </row>
    <row r="212" ht="12.75" customHeight="1">
      <c r="A212" s="36">
        <v>7552007.0</v>
      </c>
      <c r="B212" s="36" t="s">
        <v>2700</v>
      </c>
      <c r="C212" s="26">
        <v>24.0</v>
      </c>
      <c r="D212" s="27">
        <v>380.0</v>
      </c>
      <c r="E212" s="27">
        <f t="shared" si="63"/>
        <v>9120</v>
      </c>
      <c r="F212" s="27">
        <v>380.0</v>
      </c>
      <c r="G212" s="28">
        <v>600.0</v>
      </c>
      <c r="H212" s="27">
        <f t="shared" si="64"/>
        <v>220</v>
      </c>
      <c r="I212" s="27">
        <f t="shared" si="65"/>
        <v>5280</v>
      </c>
      <c r="J212" s="27">
        <f t="shared" si="66"/>
        <v>14400</v>
      </c>
    </row>
    <row r="213" ht="12.75" customHeight="1">
      <c r="A213" s="36">
        <v>5982514.0</v>
      </c>
      <c r="B213" s="36" t="s">
        <v>2734</v>
      </c>
      <c r="C213" s="26">
        <v>2.0</v>
      </c>
      <c r="D213" s="27">
        <v>6930.0</v>
      </c>
      <c r="E213" s="27">
        <f t="shared" si="63"/>
        <v>13860</v>
      </c>
      <c r="F213" s="27">
        <v>289.0</v>
      </c>
      <c r="G213" s="28">
        <v>500.0</v>
      </c>
      <c r="H213" s="27">
        <f t="shared" si="64"/>
        <v>211</v>
      </c>
      <c r="I213" s="27">
        <f>H213*48</f>
        <v>10128</v>
      </c>
      <c r="J213" s="27">
        <f>G213*48</f>
        <v>24000</v>
      </c>
    </row>
    <row r="214" ht="12.75" customHeight="1">
      <c r="A214" s="36">
        <v>5052545.0</v>
      </c>
      <c r="B214" s="36" t="s">
        <v>2598</v>
      </c>
      <c r="C214" s="26">
        <v>15.0</v>
      </c>
      <c r="D214" s="27">
        <v>910.0</v>
      </c>
      <c r="E214" s="27">
        <f t="shared" si="63"/>
        <v>13650</v>
      </c>
      <c r="F214" s="27">
        <v>76.0</v>
      </c>
      <c r="G214" s="28">
        <v>150.0</v>
      </c>
      <c r="H214" s="27">
        <f t="shared" si="64"/>
        <v>74</v>
      </c>
      <c r="I214" s="27">
        <f>H214*180</f>
        <v>13320</v>
      </c>
      <c r="J214" s="27">
        <f>G214*180</f>
        <v>27000</v>
      </c>
    </row>
    <row r="215" ht="12.75" customHeight="1">
      <c r="A215" s="36">
        <v>5500026.0</v>
      </c>
      <c r="B215" s="36" t="s">
        <v>2735</v>
      </c>
      <c r="C215" s="26">
        <v>2.0</v>
      </c>
      <c r="D215" s="27">
        <v>3000.0</v>
      </c>
      <c r="E215" s="27">
        <f t="shared" si="63"/>
        <v>6000</v>
      </c>
      <c r="F215" s="27">
        <v>250.0</v>
      </c>
      <c r="G215" s="28">
        <v>500.0</v>
      </c>
      <c r="H215" s="27">
        <f t="shared" si="64"/>
        <v>250</v>
      </c>
      <c r="I215" s="27">
        <f>H215*24</f>
        <v>6000</v>
      </c>
      <c r="J215" s="27">
        <f>G215*24</f>
        <v>12000</v>
      </c>
    </row>
    <row r="216" ht="12.75" customHeight="1">
      <c r="A216" s="36">
        <v>5500019.0</v>
      </c>
      <c r="B216" s="36" t="s">
        <v>2736</v>
      </c>
      <c r="C216" s="26">
        <v>3.0</v>
      </c>
      <c r="D216" s="27">
        <v>3000.0</v>
      </c>
      <c r="E216" s="27">
        <f t="shared" si="63"/>
        <v>9000</v>
      </c>
      <c r="F216" s="27">
        <v>250.0</v>
      </c>
      <c r="G216" s="28">
        <v>500.0</v>
      </c>
      <c r="H216" s="27">
        <f t="shared" si="64"/>
        <v>250</v>
      </c>
      <c r="I216" s="27">
        <f>H216*36</f>
        <v>9000</v>
      </c>
      <c r="J216" s="27">
        <f>G216*36</f>
        <v>18000</v>
      </c>
    </row>
    <row r="217" ht="12.75" customHeight="1">
      <c r="A217" s="36">
        <v>5500033.0</v>
      </c>
      <c r="B217" s="36" t="s">
        <v>2737</v>
      </c>
      <c r="C217" s="26">
        <v>1.0</v>
      </c>
      <c r="D217" s="27">
        <v>3000.0</v>
      </c>
      <c r="E217" s="27">
        <f t="shared" si="63"/>
        <v>3000</v>
      </c>
      <c r="F217" s="27">
        <v>250.0</v>
      </c>
      <c r="G217" s="28">
        <v>500.0</v>
      </c>
      <c r="H217" s="27">
        <f t="shared" si="64"/>
        <v>250</v>
      </c>
      <c r="I217" s="27">
        <f t="shared" ref="I217:I218" si="67">H217*12</f>
        <v>3000</v>
      </c>
      <c r="J217" s="27">
        <f t="shared" ref="J217:J218" si="68">G217*12</f>
        <v>6000</v>
      </c>
    </row>
    <row r="218" ht="12.75" customHeight="1">
      <c r="A218" s="36">
        <v>5500040.0</v>
      </c>
      <c r="B218" s="36" t="s">
        <v>2738</v>
      </c>
      <c r="C218" s="26">
        <v>1.0</v>
      </c>
      <c r="D218" s="27">
        <v>3000.0</v>
      </c>
      <c r="E218" s="27">
        <f t="shared" si="63"/>
        <v>3000</v>
      </c>
      <c r="F218" s="27">
        <v>250.0</v>
      </c>
      <c r="G218" s="28">
        <v>500.0</v>
      </c>
      <c r="H218" s="27">
        <f t="shared" si="64"/>
        <v>250</v>
      </c>
      <c r="I218" s="27">
        <f t="shared" si="67"/>
        <v>3000</v>
      </c>
      <c r="J218" s="27">
        <f t="shared" si="68"/>
        <v>6000</v>
      </c>
    </row>
    <row r="219" ht="12.75" customHeight="1">
      <c r="A219" s="36">
        <v>5694221.0</v>
      </c>
      <c r="B219" s="36" t="s">
        <v>2570</v>
      </c>
      <c r="C219" s="26">
        <v>5.0</v>
      </c>
      <c r="D219" s="27">
        <v>7330.0</v>
      </c>
      <c r="E219" s="27">
        <f t="shared" si="63"/>
        <v>36650</v>
      </c>
      <c r="F219" s="27">
        <v>611.0</v>
      </c>
      <c r="G219" s="28">
        <v>1000.0</v>
      </c>
      <c r="H219" s="27">
        <f t="shared" si="64"/>
        <v>389</v>
      </c>
      <c r="I219" s="27">
        <f>H219*60</f>
        <v>23340</v>
      </c>
      <c r="J219" s="27">
        <f>G219*60</f>
        <v>60000</v>
      </c>
    </row>
    <row r="220" ht="12.75" customHeight="1">
      <c r="A220" s="36">
        <v>8229859.0</v>
      </c>
      <c r="B220" s="36" t="s">
        <v>2569</v>
      </c>
      <c r="C220" s="26">
        <v>2.0</v>
      </c>
      <c r="D220" s="27">
        <v>10140.0</v>
      </c>
      <c r="E220" s="27">
        <f t="shared" si="63"/>
        <v>20280</v>
      </c>
      <c r="F220" s="27">
        <v>423.0</v>
      </c>
      <c r="G220" s="28">
        <v>700.0</v>
      </c>
      <c r="H220" s="27">
        <f t="shared" si="64"/>
        <v>277</v>
      </c>
      <c r="I220" s="27">
        <f>H220*48</f>
        <v>13296</v>
      </c>
      <c r="J220" s="27">
        <f>G220*48</f>
        <v>33600</v>
      </c>
    </row>
    <row r="221" ht="12.75" customHeight="1">
      <c r="A221" s="36">
        <v>3875326.0</v>
      </c>
      <c r="B221" s="36" t="s">
        <v>2705</v>
      </c>
      <c r="C221" s="26">
        <v>5.0</v>
      </c>
      <c r="D221" s="27">
        <v>2280.0</v>
      </c>
      <c r="E221" s="27">
        <f t="shared" si="63"/>
        <v>11400</v>
      </c>
      <c r="F221" s="27">
        <v>147.0</v>
      </c>
      <c r="G221" s="28">
        <v>3500.0</v>
      </c>
      <c r="H221" s="27">
        <f t="shared" si="64"/>
        <v>3353</v>
      </c>
      <c r="I221" s="27">
        <f>H221*5</f>
        <v>16765</v>
      </c>
      <c r="J221" s="27">
        <f>G221*5</f>
        <v>17500</v>
      </c>
    </row>
    <row r="222" ht="12.75" customHeight="1">
      <c r="A222" s="36">
        <v>2027088.0</v>
      </c>
      <c r="B222" s="36" t="s">
        <v>2739</v>
      </c>
      <c r="C222" s="26">
        <v>1.0</v>
      </c>
      <c r="D222" s="27">
        <v>1470.0</v>
      </c>
      <c r="E222" s="27">
        <f t="shared" si="63"/>
        <v>1470</v>
      </c>
      <c r="F222" s="27">
        <v>147.0</v>
      </c>
      <c r="G222" s="28">
        <v>300.0</v>
      </c>
      <c r="H222" s="27">
        <f t="shared" si="64"/>
        <v>153</v>
      </c>
      <c r="I222" s="27">
        <f t="shared" ref="I222:I223" si="69">H222*10</f>
        <v>1530</v>
      </c>
      <c r="J222" s="27">
        <f t="shared" ref="J222:J223" si="70">G222*10</f>
        <v>3000</v>
      </c>
    </row>
    <row r="223" ht="12.75" customHeight="1">
      <c r="A223" s="36">
        <v>2027095.0</v>
      </c>
      <c r="B223" s="36" t="s">
        <v>2740</v>
      </c>
      <c r="C223" s="26">
        <v>1.0</v>
      </c>
      <c r="D223" s="27">
        <v>1470.0</v>
      </c>
      <c r="E223" s="27">
        <f t="shared" si="63"/>
        <v>1470</v>
      </c>
      <c r="F223" s="27">
        <v>147.0</v>
      </c>
      <c r="G223" s="28">
        <v>300.0</v>
      </c>
      <c r="H223" s="27">
        <f t="shared" si="64"/>
        <v>153</v>
      </c>
      <c r="I223" s="27">
        <f t="shared" si="69"/>
        <v>1530</v>
      </c>
      <c r="J223" s="27">
        <f t="shared" si="70"/>
        <v>3000</v>
      </c>
    </row>
    <row r="224" ht="12.75" customHeight="1">
      <c r="A224" s="36">
        <v>2027019.0</v>
      </c>
      <c r="B224" s="36" t="s">
        <v>2741</v>
      </c>
      <c r="C224" s="26">
        <v>2.0</v>
      </c>
      <c r="D224" s="27">
        <v>1470.0</v>
      </c>
      <c r="E224" s="27">
        <f t="shared" si="63"/>
        <v>2940</v>
      </c>
      <c r="F224" s="27">
        <v>147.0</v>
      </c>
      <c r="G224" s="28">
        <v>300.0</v>
      </c>
      <c r="H224" s="27">
        <f t="shared" si="64"/>
        <v>153</v>
      </c>
      <c r="I224" s="27">
        <f>H224*20</f>
        <v>3060</v>
      </c>
      <c r="J224" s="27">
        <f>G224*20</f>
        <v>6000</v>
      </c>
    </row>
    <row r="225" ht="12.75" customHeight="1">
      <c r="A225" s="36">
        <v>2027057.0</v>
      </c>
      <c r="B225" s="36" t="s">
        <v>2742</v>
      </c>
      <c r="C225" s="26">
        <v>1.0</v>
      </c>
      <c r="D225" s="27">
        <v>1470.0</v>
      </c>
      <c r="E225" s="27">
        <f t="shared" si="63"/>
        <v>1470</v>
      </c>
      <c r="F225" s="27">
        <v>147.0</v>
      </c>
      <c r="G225" s="28">
        <v>300.0</v>
      </c>
      <c r="H225" s="27">
        <f t="shared" si="64"/>
        <v>153</v>
      </c>
      <c r="I225" s="27">
        <f t="shared" ref="I225:I226" si="71">H225*10</f>
        <v>1530</v>
      </c>
      <c r="J225" s="27">
        <f t="shared" ref="J225:J226" si="72">G225*10</f>
        <v>3000</v>
      </c>
    </row>
    <row r="226" ht="12.75" customHeight="1">
      <c r="A226" s="36">
        <v>2027217.0</v>
      </c>
      <c r="B226" s="36" t="s">
        <v>2743</v>
      </c>
      <c r="C226" s="26">
        <v>1.0</v>
      </c>
      <c r="D226" s="27">
        <v>1740.0</v>
      </c>
      <c r="E226" s="27">
        <f t="shared" si="63"/>
        <v>1740</v>
      </c>
      <c r="F226" s="27">
        <v>174.0</v>
      </c>
      <c r="G226" s="28">
        <v>400.0</v>
      </c>
      <c r="H226" s="27">
        <f t="shared" si="64"/>
        <v>226</v>
      </c>
      <c r="I226" s="27">
        <f t="shared" si="71"/>
        <v>2260</v>
      </c>
      <c r="J226" s="27">
        <f t="shared" si="72"/>
        <v>4000</v>
      </c>
    </row>
    <row r="227" ht="12.75" customHeight="1">
      <c r="A227" s="36">
        <v>2027170.0</v>
      </c>
      <c r="B227" s="36" t="s">
        <v>2744</v>
      </c>
      <c r="C227" s="26">
        <v>2.0</v>
      </c>
      <c r="D227" s="27">
        <v>1740.0</v>
      </c>
      <c r="E227" s="27">
        <f t="shared" si="63"/>
        <v>3480</v>
      </c>
      <c r="F227" s="27">
        <v>174.0</v>
      </c>
      <c r="G227" s="28">
        <v>400.0</v>
      </c>
      <c r="H227" s="27">
        <f t="shared" si="64"/>
        <v>226</v>
      </c>
      <c r="I227" s="27">
        <f t="shared" ref="I227:I228" si="73">H227*20</f>
        <v>4520</v>
      </c>
      <c r="J227" s="27">
        <f t="shared" ref="J227:J228" si="74">G227*20</f>
        <v>8000</v>
      </c>
    </row>
    <row r="228" ht="12.75" customHeight="1">
      <c r="A228" s="36">
        <v>2027200.0</v>
      </c>
      <c r="B228" s="36" t="s">
        <v>2745</v>
      </c>
      <c r="C228" s="26">
        <v>2.0</v>
      </c>
      <c r="D228" s="27">
        <v>1740.0</v>
      </c>
      <c r="E228" s="27">
        <f t="shared" si="63"/>
        <v>3480</v>
      </c>
      <c r="F228" s="27">
        <v>174.0</v>
      </c>
      <c r="G228" s="28">
        <v>400.0</v>
      </c>
      <c r="H228" s="27">
        <f t="shared" si="64"/>
        <v>226</v>
      </c>
      <c r="I228" s="27">
        <f t="shared" si="73"/>
        <v>4520</v>
      </c>
      <c r="J228" s="27">
        <f t="shared" si="74"/>
        <v>8000</v>
      </c>
    </row>
    <row r="229" ht="12.75" customHeight="1">
      <c r="A229" s="36">
        <v>2611927.0</v>
      </c>
      <c r="B229" s="36" t="s">
        <v>2746</v>
      </c>
      <c r="C229" s="26">
        <v>2.0</v>
      </c>
      <c r="D229" s="27">
        <v>2170.0</v>
      </c>
      <c r="E229" s="27">
        <f t="shared" si="63"/>
        <v>4340</v>
      </c>
      <c r="F229" s="27">
        <v>181.0</v>
      </c>
      <c r="G229" s="28">
        <v>400.0</v>
      </c>
      <c r="H229" s="27">
        <f t="shared" si="64"/>
        <v>219</v>
      </c>
      <c r="I229" s="27">
        <f t="shared" ref="I229:I232" si="75">H229*24</f>
        <v>5256</v>
      </c>
      <c r="J229" s="27">
        <f t="shared" ref="J229:J232" si="76">G229*24</f>
        <v>9600</v>
      </c>
    </row>
    <row r="230" ht="12.75" customHeight="1">
      <c r="A230" s="36">
        <v>1590172.0</v>
      </c>
      <c r="B230" s="36" t="s">
        <v>2747</v>
      </c>
      <c r="C230" s="26">
        <v>2.0</v>
      </c>
      <c r="D230" s="27">
        <v>2360.0</v>
      </c>
      <c r="E230" s="27">
        <f t="shared" si="63"/>
        <v>4720</v>
      </c>
      <c r="F230" s="27">
        <v>197.0</v>
      </c>
      <c r="G230" s="28">
        <v>400.0</v>
      </c>
      <c r="H230" s="27">
        <f t="shared" si="64"/>
        <v>203</v>
      </c>
      <c r="I230" s="27">
        <f t="shared" si="75"/>
        <v>4872</v>
      </c>
      <c r="J230" s="27">
        <f t="shared" si="76"/>
        <v>9600</v>
      </c>
    </row>
    <row r="231" ht="12.75" customHeight="1">
      <c r="A231" s="36">
        <v>2758911.0</v>
      </c>
      <c r="B231" s="36" t="s">
        <v>2748</v>
      </c>
      <c r="C231" s="26">
        <v>2.0</v>
      </c>
      <c r="D231" s="27">
        <v>2450.0</v>
      </c>
      <c r="E231" s="27">
        <f t="shared" si="63"/>
        <v>4900</v>
      </c>
      <c r="F231" s="27">
        <v>204.0</v>
      </c>
      <c r="G231" s="28">
        <v>450.0</v>
      </c>
      <c r="H231" s="27">
        <f t="shared" si="64"/>
        <v>246</v>
      </c>
      <c r="I231" s="27">
        <f t="shared" si="75"/>
        <v>5904</v>
      </c>
      <c r="J231" s="27">
        <f t="shared" si="76"/>
        <v>10800</v>
      </c>
    </row>
    <row r="232" ht="12.75" customHeight="1">
      <c r="A232" s="36">
        <v>7560225.0</v>
      </c>
      <c r="B232" s="36" t="s">
        <v>2749</v>
      </c>
      <c r="C232" s="26">
        <v>2.0</v>
      </c>
      <c r="D232" s="27">
        <v>2740.0</v>
      </c>
      <c r="E232" s="27">
        <f t="shared" si="63"/>
        <v>5480</v>
      </c>
      <c r="F232" s="27">
        <v>228.0</v>
      </c>
      <c r="G232" s="28">
        <v>500.0</v>
      </c>
      <c r="H232" s="27">
        <f t="shared" si="64"/>
        <v>272</v>
      </c>
      <c r="I232" s="27">
        <f t="shared" si="75"/>
        <v>6528</v>
      </c>
      <c r="J232" s="27">
        <f t="shared" si="76"/>
        <v>12000</v>
      </c>
    </row>
    <row r="233" ht="12.75" customHeight="1">
      <c r="A233" s="36">
        <v>6867790.0</v>
      </c>
      <c r="B233" s="36" t="s">
        <v>2750</v>
      </c>
      <c r="C233" s="26">
        <v>3.0</v>
      </c>
      <c r="D233" s="27">
        <v>1500.0</v>
      </c>
      <c r="E233" s="27">
        <f t="shared" si="63"/>
        <v>4500</v>
      </c>
      <c r="F233" s="27">
        <v>250.0</v>
      </c>
      <c r="G233" s="28">
        <v>550.0</v>
      </c>
      <c r="H233" s="27">
        <f t="shared" si="64"/>
        <v>300</v>
      </c>
      <c r="I233" s="27">
        <f t="shared" ref="I233:I234" si="77">H233*18</f>
        <v>5400</v>
      </c>
      <c r="J233" s="27">
        <f t="shared" ref="J233:J234" si="78">G233*18</f>
        <v>9900</v>
      </c>
    </row>
    <row r="234" ht="12.75" customHeight="1">
      <c r="A234" s="36">
        <v>5433033.0</v>
      </c>
      <c r="B234" s="36" t="s">
        <v>2751</v>
      </c>
      <c r="C234" s="26">
        <v>3.0</v>
      </c>
      <c r="D234" s="27">
        <v>1700.0</v>
      </c>
      <c r="E234" s="27">
        <f t="shared" si="63"/>
        <v>5100</v>
      </c>
      <c r="F234" s="27">
        <v>283.0</v>
      </c>
      <c r="G234" s="28">
        <v>600.0</v>
      </c>
      <c r="H234" s="27">
        <f t="shared" si="64"/>
        <v>317</v>
      </c>
      <c r="I234" s="27">
        <f t="shared" si="77"/>
        <v>5706</v>
      </c>
      <c r="J234" s="27">
        <f t="shared" si="78"/>
        <v>10800</v>
      </c>
    </row>
    <row r="235" ht="12.75" customHeight="1">
      <c r="A235" s="36">
        <v>5050916.0</v>
      </c>
      <c r="B235" s="36" t="s">
        <v>2752</v>
      </c>
      <c r="C235" s="26">
        <v>8.0</v>
      </c>
      <c r="D235" s="27">
        <v>1290.0</v>
      </c>
      <c r="E235" s="27">
        <f t="shared" si="63"/>
        <v>10320</v>
      </c>
      <c r="F235" s="27">
        <v>1290.0</v>
      </c>
      <c r="G235" s="28">
        <v>1900.0</v>
      </c>
      <c r="H235" s="27">
        <f t="shared" si="64"/>
        <v>610</v>
      </c>
      <c r="I235" s="27">
        <f>H235*8</f>
        <v>4880</v>
      </c>
      <c r="J235" s="27">
        <f>G235*8</f>
        <v>15200</v>
      </c>
    </row>
    <row r="236" ht="12.75" customHeight="1">
      <c r="A236" s="36">
        <v>2027651.0</v>
      </c>
      <c r="B236" s="36" t="s">
        <v>2753</v>
      </c>
      <c r="C236" s="26">
        <v>6.0</v>
      </c>
      <c r="D236" s="27">
        <v>270.0</v>
      </c>
      <c r="E236" s="27">
        <f t="shared" si="63"/>
        <v>1620</v>
      </c>
      <c r="F236" s="27">
        <v>270.0</v>
      </c>
      <c r="G236" s="28">
        <v>800.0</v>
      </c>
      <c r="H236" s="27">
        <f t="shared" si="64"/>
        <v>530</v>
      </c>
      <c r="I236" s="27">
        <f>H236*6</f>
        <v>3180</v>
      </c>
      <c r="J236" s="27">
        <f>G236*6</f>
        <v>4800</v>
      </c>
    </row>
    <row r="237" ht="12.75" customHeight="1">
      <c r="A237" s="25"/>
      <c r="C237" s="26"/>
      <c r="D237" s="27"/>
      <c r="E237" s="27"/>
      <c r="F237" s="27"/>
      <c r="G237" s="28"/>
      <c r="H237" s="27"/>
      <c r="I237" s="27"/>
      <c r="J237" s="27"/>
    </row>
    <row r="238" ht="12.75" customHeight="1">
      <c r="A238" s="25"/>
      <c r="C238" s="26"/>
      <c r="D238" s="27"/>
      <c r="E238" s="32">
        <f>SUM(E210:E236)</f>
        <v>206690</v>
      </c>
      <c r="F238" s="27"/>
      <c r="G238" s="28"/>
      <c r="H238" s="27"/>
      <c r="I238" s="38">
        <f t="shared" ref="I238:J238" si="79">SUM(I210:I236)</f>
        <v>186605</v>
      </c>
      <c r="J238" s="38">
        <f t="shared" si="79"/>
        <v>382700</v>
      </c>
    </row>
    <row r="239" ht="12.75" customHeight="1">
      <c r="A239" s="25"/>
      <c r="C239" s="26"/>
      <c r="D239" s="27"/>
      <c r="E239" s="27"/>
      <c r="F239" s="27"/>
      <c r="G239" s="28"/>
      <c r="H239" s="27"/>
      <c r="I239" s="27"/>
      <c r="J239" s="27"/>
    </row>
    <row r="240" ht="12.75" customHeight="1">
      <c r="A240" s="25"/>
      <c r="C240" s="26"/>
      <c r="D240" s="27"/>
      <c r="E240" s="27"/>
      <c r="F240" s="27"/>
      <c r="G240" s="28"/>
      <c r="H240" s="27"/>
      <c r="I240" s="27"/>
      <c r="J240" s="27"/>
    </row>
    <row r="241" ht="12.75" customHeight="1">
      <c r="A241" s="34">
        <v>45357.0</v>
      </c>
      <c r="C241" s="26"/>
      <c r="D241" s="27"/>
      <c r="E241" s="27"/>
      <c r="F241" s="27"/>
      <c r="G241" s="28"/>
      <c r="H241" s="27"/>
      <c r="I241" s="27"/>
      <c r="J241" s="27"/>
    </row>
    <row r="242" ht="12.75" customHeight="1">
      <c r="A242" s="25"/>
      <c r="C242" s="26"/>
      <c r="D242" s="27"/>
      <c r="E242" s="27"/>
      <c r="F242" s="27"/>
      <c r="G242" s="28"/>
      <c r="H242" s="27"/>
      <c r="I242" s="27"/>
      <c r="J242" s="27"/>
    </row>
    <row r="243" ht="12.75" customHeight="1">
      <c r="A243" s="36">
        <v>8381002.0</v>
      </c>
      <c r="B243" s="36" t="s">
        <v>2597</v>
      </c>
      <c r="C243" s="26">
        <v>3.0</v>
      </c>
      <c r="D243" s="27">
        <v>3430.0</v>
      </c>
      <c r="E243" s="27">
        <f t="shared" ref="E243:E253" si="80">D243*C243</f>
        <v>10290</v>
      </c>
      <c r="F243" s="27">
        <v>172.0</v>
      </c>
      <c r="G243" s="28">
        <v>350.0</v>
      </c>
      <c r="H243" s="27">
        <f t="shared" ref="H243:H253" si="81">G243-F243</f>
        <v>178</v>
      </c>
      <c r="I243" s="27">
        <f>H243*60</f>
        <v>10680</v>
      </c>
      <c r="J243" s="27">
        <f>G243*60</f>
        <v>21000</v>
      </c>
    </row>
    <row r="244" ht="12.75" customHeight="1">
      <c r="A244" s="36">
        <v>3941106.0</v>
      </c>
      <c r="B244" s="36" t="s">
        <v>2683</v>
      </c>
      <c r="C244" s="26">
        <v>6.0</v>
      </c>
      <c r="D244" s="27">
        <v>1250.0</v>
      </c>
      <c r="E244" s="27">
        <f t="shared" si="80"/>
        <v>7500</v>
      </c>
      <c r="F244" s="27">
        <v>1250.0</v>
      </c>
      <c r="G244" s="28">
        <v>1900.0</v>
      </c>
      <c r="H244" s="27">
        <f t="shared" si="81"/>
        <v>650</v>
      </c>
      <c r="I244" s="27">
        <f>H244*6</f>
        <v>3900</v>
      </c>
      <c r="J244" s="27">
        <f>G244*6</f>
        <v>11400</v>
      </c>
    </row>
    <row r="245" ht="12.75" customHeight="1">
      <c r="A245" s="36">
        <v>3882942.0</v>
      </c>
      <c r="B245" s="36" t="s">
        <v>2693</v>
      </c>
      <c r="C245" s="26">
        <v>10.0</v>
      </c>
      <c r="D245" s="27">
        <v>920.0</v>
      </c>
      <c r="E245" s="27">
        <f t="shared" si="80"/>
        <v>9200</v>
      </c>
      <c r="F245" s="27">
        <v>920.0</v>
      </c>
      <c r="G245" s="28">
        <v>1500.0</v>
      </c>
      <c r="H245" s="27">
        <f t="shared" si="81"/>
        <v>580</v>
      </c>
      <c r="I245" s="27">
        <f>H245*10</f>
        <v>5800</v>
      </c>
      <c r="J245" s="27">
        <f>G245*10</f>
        <v>15000</v>
      </c>
    </row>
    <row r="246" ht="12.75" customHeight="1">
      <c r="A246" s="36">
        <v>4164023.0</v>
      </c>
      <c r="B246" s="36" t="s">
        <v>2573</v>
      </c>
      <c r="C246" s="26">
        <v>5.0</v>
      </c>
      <c r="D246" s="27">
        <v>1240.0</v>
      </c>
      <c r="E246" s="27">
        <f t="shared" si="80"/>
        <v>6200</v>
      </c>
      <c r="F246" s="27">
        <v>1240.0</v>
      </c>
      <c r="G246" s="28">
        <v>1700.0</v>
      </c>
      <c r="H246" s="27">
        <f t="shared" si="81"/>
        <v>460</v>
      </c>
      <c r="I246" s="27">
        <f>H246*5</f>
        <v>2300</v>
      </c>
      <c r="J246" s="27">
        <f>G246*5</f>
        <v>8500</v>
      </c>
    </row>
    <row r="247" ht="12.75" customHeight="1">
      <c r="A247" s="36">
        <v>5052385.0</v>
      </c>
      <c r="B247" s="36" t="s">
        <v>2754</v>
      </c>
      <c r="C247" s="26">
        <v>2.0</v>
      </c>
      <c r="D247" s="27">
        <v>5970.0</v>
      </c>
      <c r="E247" s="27">
        <f t="shared" si="80"/>
        <v>11940</v>
      </c>
      <c r="F247" s="27">
        <v>597.0</v>
      </c>
      <c r="G247" s="28">
        <v>1000.0</v>
      </c>
      <c r="H247" s="27">
        <f t="shared" si="81"/>
        <v>403</v>
      </c>
      <c r="I247" s="27">
        <f>H247*20</f>
        <v>8060</v>
      </c>
      <c r="J247" s="27">
        <f>G247*20</f>
        <v>20000</v>
      </c>
    </row>
    <row r="248" ht="12.75" customHeight="1">
      <c r="A248" s="36">
        <v>5045646.0</v>
      </c>
      <c r="B248" s="36" t="s">
        <v>2592</v>
      </c>
      <c r="C248" s="26">
        <v>1.0</v>
      </c>
      <c r="D248" s="27">
        <v>5970.0</v>
      </c>
      <c r="E248" s="27">
        <f t="shared" si="80"/>
        <v>5970</v>
      </c>
      <c r="F248" s="27">
        <v>597.0</v>
      </c>
      <c r="G248" s="28">
        <v>1000.0</v>
      </c>
      <c r="H248" s="27">
        <f t="shared" si="81"/>
        <v>403</v>
      </c>
      <c r="I248" s="27">
        <f t="shared" ref="I248:I249" si="82">H248*10</f>
        <v>4030</v>
      </c>
      <c r="J248" s="27">
        <f t="shared" ref="J248:J249" si="83">G248*10</f>
        <v>10000</v>
      </c>
    </row>
    <row r="249" ht="12.75" customHeight="1">
      <c r="A249" s="36">
        <v>5045653.0</v>
      </c>
      <c r="B249" s="36" t="s">
        <v>2593</v>
      </c>
      <c r="C249" s="26">
        <v>1.0</v>
      </c>
      <c r="D249" s="27">
        <v>5970.0</v>
      </c>
      <c r="E249" s="27">
        <f t="shared" si="80"/>
        <v>5970</v>
      </c>
      <c r="F249" s="27">
        <v>597.0</v>
      </c>
      <c r="G249" s="28">
        <v>1000.0</v>
      </c>
      <c r="H249" s="27">
        <f t="shared" si="81"/>
        <v>403</v>
      </c>
      <c r="I249" s="27">
        <f t="shared" si="82"/>
        <v>4030</v>
      </c>
      <c r="J249" s="27">
        <f t="shared" si="83"/>
        <v>10000</v>
      </c>
    </row>
    <row r="250" ht="12.75" customHeight="1">
      <c r="A250" s="36">
        <v>5098468.0</v>
      </c>
      <c r="B250" s="36" t="s">
        <v>2755</v>
      </c>
      <c r="C250" s="26">
        <v>3.0</v>
      </c>
      <c r="D250" s="27">
        <v>12640.0</v>
      </c>
      <c r="E250" s="27">
        <f t="shared" si="80"/>
        <v>37920</v>
      </c>
      <c r="F250" s="27">
        <v>1264.0</v>
      </c>
      <c r="G250" s="28">
        <v>2000.0</v>
      </c>
      <c r="H250" s="27">
        <f t="shared" si="81"/>
        <v>736</v>
      </c>
      <c r="I250" s="27">
        <f t="shared" ref="I250:I252" si="84">H250*30</f>
        <v>22080</v>
      </c>
      <c r="J250" s="27">
        <f t="shared" ref="J250:J252" si="85">G250*30</f>
        <v>60000</v>
      </c>
    </row>
    <row r="251" ht="12.75" customHeight="1">
      <c r="A251" s="36">
        <v>5071119.0</v>
      </c>
      <c r="B251" s="36" t="s">
        <v>2756</v>
      </c>
      <c r="C251" s="26">
        <v>3.0</v>
      </c>
      <c r="D251" s="27">
        <v>12640.0</v>
      </c>
      <c r="E251" s="27">
        <f t="shared" si="80"/>
        <v>37920</v>
      </c>
      <c r="F251" s="27">
        <v>1264.0</v>
      </c>
      <c r="G251" s="28">
        <v>2000.0</v>
      </c>
      <c r="H251" s="27">
        <f t="shared" si="81"/>
        <v>736</v>
      </c>
      <c r="I251" s="27">
        <f t="shared" si="84"/>
        <v>22080</v>
      </c>
      <c r="J251" s="27">
        <f t="shared" si="85"/>
        <v>60000</v>
      </c>
    </row>
    <row r="252" ht="12.75" customHeight="1">
      <c r="A252" s="36">
        <v>5098499.0</v>
      </c>
      <c r="B252" s="36" t="s">
        <v>2757</v>
      </c>
      <c r="C252" s="26">
        <v>3.0</v>
      </c>
      <c r="D252" s="27">
        <v>12640.0</v>
      </c>
      <c r="E252" s="27">
        <f t="shared" si="80"/>
        <v>37920</v>
      </c>
      <c r="F252" s="27">
        <v>1264.0</v>
      </c>
      <c r="G252" s="28">
        <v>2000.0</v>
      </c>
      <c r="H252" s="27">
        <f t="shared" si="81"/>
        <v>736</v>
      </c>
      <c r="I252" s="27">
        <f t="shared" si="84"/>
        <v>22080</v>
      </c>
      <c r="J252" s="27">
        <f t="shared" si="85"/>
        <v>60000</v>
      </c>
    </row>
    <row r="253" ht="12.75" customHeight="1">
      <c r="A253" s="36">
        <v>5980343.0</v>
      </c>
      <c r="B253" s="36" t="s">
        <v>2758</v>
      </c>
      <c r="C253" s="26">
        <v>5.0</v>
      </c>
      <c r="D253" s="27">
        <v>950.0</v>
      </c>
      <c r="E253" s="27">
        <f t="shared" si="80"/>
        <v>4750</v>
      </c>
      <c r="F253" s="27">
        <v>950.0</v>
      </c>
      <c r="G253" s="28">
        <v>2000.0</v>
      </c>
      <c r="H253" s="27">
        <f t="shared" si="81"/>
        <v>1050</v>
      </c>
      <c r="I253" s="27">
        <f>H253*5</f>
        <v>5250</v>
      </c>
      <c r="J253" s="27">
        <f>G253*5</f>
        <v>10000</v>
      </c>
    </row>
    <row r="254" ht="12.75" customHeight="1">
      <c r="A254" s="25"/>
      <c r="C254" s="26"/>
      <c r="D254" s="27"/>
      <c r="E254" s="27"/>
      <c r="F254" s="27"/>
      <c r="G254" s="28"/>
      <c r="H254" s="27"/>
      <c r="I254" s="27"/>
      <c r="J254" s="27"/>
    </row>
    <row r="255" ht="12.75" customHeight="1">
      <c r="A255" s="25"/>
      <c r="C255" s="26"/>
      <c r="D255" s="27"/>
      <c r="E255" s="32">
        <f>SUM(E243:E253)</f>
        <v>175580</v>
      </c>
      <c r="F255" s="27"/>
      <c r="G255" s="28"/>
      <c r="H255" s="27"/>
      <c r="I255" s="38">
        <f t="shared" ref="I255:J255" si="86">SUM(I243:I253)</f>
        <v>110290</v>
      </c>
      <c r="J255" s="38">
        <f t="shared" si="86"/>
        <v>285900</v>
      </c>
    </row>
    <row r="256" ht="12.75" customHeight="1">
      <c r="A256" s="25"/>
      <c r="C256" s="26"/>
      <c r="D256" s="27"/>
      <c r="E256" s="27"/>
      <c r="F256" s="27"/>
      <c r="G256" s="28"/>
      <c r="H256" s="27"/>
      <c r="I256" s="27"/>
      <c r="J256" s="27"/>
    </row>
    <row r="257" ht="12.75" customHeight="1">
      <c r="A257" s="25"/>
      <c r="C257" s="26"/>
      <c r="D257" s="27"/>
      <c r="E257" s="27"/>
      <c r="F257" s="27"/>
      <c r="G257" s="28"/>
      <c r="H257" s="27"/>
      <c r="I257" s="27"/>
      <c r="J257" s="27"/>
    </row>
    <row r="258" ht="12.75" customHeight="1">
      <c r="A258" s="34">
        <v>45365.0</v>
      </c>
      <c r="C258" s="26"/>
      <c r="D258" s="27"/>
      <c r="E258" s="27"/>
      <c r="F258" s="27"/>
      <c r="G258" s="28"/>
      <c r="H258" s="27"/>
      <c r="I258" s="27"/>
      <c r="J258" s="27"/>
    </row>
    <row r="259" ht="12.75" customHeight="1">
      <c r="A259" s="25"/>
      <c r="C259" s="26"/>
      <c r="D259" s="27"/>
      <c r="E259" s="27"/>
      <c r="F259" s="27"/>
      <c r="G259" s="28"/>
      <c r="H259" s="27"/>
      <c r="I259" s="27"/>
      <c r="J259" s="27"/>
    </row>
    <row r="260" ht="12.75" customHeight="1">
      <c r="A260" s="36">
        <v>4630306.0</v>
      </c>
      <c r="B260" s="36" t="s">
        <v>2759</v>
      </c>
      <c r="C260" s="26">
        <v>1.0</v>
      </c>
      <c r="D260" s="27">
        <v>2650.0</v>
      </c>
      <c r="E260" s="27">
        <f t="shared" ref="E260:E292" si="87">D260*C260</f>
        <v>2650</v>
      </c>
      <c r="F260" s="27">
        <v>221.0</v>
      </c>
      <c r="G260" s="28">
        <v>450.0</v>
      </c>
      <c r="H260" s="27">
        <f t="shared" ref="H260:H292" si="88">G260-F260</f>
        <v>229</v>
      </c>
      <c r="I260" s="27">
        <f t="shared" ref="I260:I261" si="89">H260*12</f>
        <v>2748</v>
      </c>
      <c r="J260" s="27">
        <f t="shared" ref="J260:J261" si="90">G260*12</f>
        <v>5400</v>
      </c>
    </row>
    <row r="261" ht="12.75" customHeight="1">
      <c r="A261" s="36">
        <v>4326049.0</v>
      </c>
      <c r="B261" s="36" t="s">
        <v>2760</v>
      </c>
      <c r="C261" s="26">
        <v>1.0</v>
      </c>
      <c r="D261" s="27">
        <v>2660.0</v>
      </c>
      <c r="E261" s="27">
        <f t="shared" si="87"/>
        <v>2660</v>
      </c>
      <c r="F261" s="27">
        <v>222.0</v>
      </c>
      <c r="G261" s="28">
        <v>450.0</v>
      </c>
      <c r="H261" s="27">
        <f t="shared" si="88"/>
        <v>228</v>
      </c>
      <c r="I261" s="27">
        <f t="shared" si="89"/>
        <v>2736</v>
      </c>
      <c r="J261" s="27">
        <f t="shared" si="90"/>
        <v>5400</v>
      </c>
    </row>
    <row r="262" ht="12.75" customHeight="1">
      <c r="A262" s="36">
        <v>5026621.0</v>
      </c>
      <c r="B262" s="36" t="s">
        <v>2761</v>
      </c>
      <c r="C262" s="26">
        <v>1.0</v>
      </c>
      <c r="D262" s="27">
        <v>5300.0</v>
      </c>
      <c r="E262" s="27">
        <f t="shared" si="87"/>
        <v>5300</v>
      </c>
      <c r="F262" s="27">
        <v>353.0</v>
      </c>
      <c r="G262" s="28">
        <v>750.0</v>
      </c>
      <c r="H262" s="27">
        <f t="shared" si="88"/>
        <v>397</v>
      </c>
      <c r="I262" s="27">
        <f>H262*15</f>
        <v>5955</v>
      </c>
      <c r="J262" s="27">
        <f>G262*15</f>
        <v>11250</v>
      </c>
    </row>
    <row r="263" ht="12.75" customHeight="1">
      <c r="A263" s="36">
        <v>5026676.0</v>
      </c>
      <c r="B263" s="36" t="s">
        <v>2762</v>
      </c>
      <c r="C263" s="26">
        <v>1.0</v>
      </c>
      <c r="D263" s="27">
        <v>10520.0</v>
      </c>
      <c r="E263" s="27">
        <f t="shared" si="87"/>
        <v>10520</v>
      </c>
      <c r="F263" s="27">
        <v>526.0</v>
      </c>
      <c r="G263" s="28">
        <v>950.0</v>
      </c>
      <c r="H263" s="27">
        <f t="shared" si="88"/>
        <v>424</v>
      </c>
      <c r="I263" s="27">
        <f>H263*20</f>
        <v>8480</v>
      </c>
      <c r="J263" s="27">
        <f>G263*20</f>
        <v>19000</v>
      </c>
    </row>
    <row r="264" ht="12.75" customHeight="1">
      <c r="A264" s="36">
        <v>5103008.0</v>
      </c>
      <c r="B264" s="36" t="s">
        <v>2763</v>
      </c>
      <c r="C264" s="26">
        <v>2.0</v>
      </c>
      <c r="D264" s="27">
        <v>1070.0</v>
      </c>
      <c r="E264" s="27">
        <f t="shared" si="87"/>
        <v>2140</v>
      </c>
      <c r="F264" s="27">
        <v>1070.0</v>
      </c>
      <c r="G264" s="28">
        <v>1700.0</v>
      </c>
      <c r="H264" s="27">
        <f t="shared" si="88"/>
        <v>630</v>
      </c>
      <c r="I264" s="27">
        <f t="shared" ref="I264:I266" si="91">H264*2</f>
        <v>1260</v>
      </c>
      <c r="J264" s="27">
        <f t="shared" ref="J264:J266" si="92">G264*2</f>
        <v>3400</v>
      </c>
    </row>
    <row r="265" ht="12.75" customHeight="1">
      <c r="A265" s="36">
        <v>3668546.0</v>
      </c>
      <c r="B265" s="36" t="s">
        <v>2764</v>
      </c>
      <c r="C265" s="26">
        <v>2.0</v>
      </c>
      <c r="D265" s="27">
        <v>1070.0</v>
      </c>
      <c r="E265" s="27">
        <f t="shared" si="87"/>
        <v>2140</v>
      </c>
      <c r="F265" s="27">
        <v>1070.0</v>
      </c>
      <c r="G265" s="28">
        <v>1700.0</v>
      </c>
      <c r="H265" s="27">
        <f t="shared" si="88"/>
        <v>630</v>
      </c>
      <c r="I265" s="27">
        <f t="shared" si="91"/>
        <v>1260</v>
      </c>
      <c r="J265" s="27">
        <f t="shared" si="92"/>
        <v>3400</v>
      </c>
    </row>
    <row r="266" ht="12.75" customHeight="1">
      <c r="A266" s="36">
        <v>5154005.0</v>
      </c>
      <c r="B266" s="36" t="s">
        <v>2765</v>
      </c>
      <c r="C266" s="26">
        <v>2.0</v>
      </c>
      <c r="D266" s="27">
        <v>1080.0</v>
      </c>
      <c r="E266" s="27">
        <f t="shared" si="87"/>
        <v>2160</v>
      </c>
      <c r="F266" s="27">
        <v>1080.0</v>
      </c>
      <c r="G266" s="28">
        <v>1800.0</v>
      </c>
      <c r="H266" s="27">
        <f t="shared" si="88"/>
        <v>720</v>
      </c>
      <c r="I266" s="27">
        <f t="shared" si="91"/>
        <v>1440</v>
      </c>
      <c r="J266" s="27">
        <f t="shared" si="92"/>
        <v>3600</v>
      </c>
    </row>
    <row r="267" ht="12.75" customHeight="1">
      <c r="A267" s="36">
        <v>3256810.0</v>
      </c>
      <c r="B267" s="36" t="s">
        <v>2766</v>
      </c>
      <c r="C267" s="26">
        <v>10.0</v>
      </c>
      <c r="D267" s="27">
        <v>810.0</v>
      </c>
      <c r="E267" s="27">
        <f t="shared" si="87"/>
        <v>8100</v>
      </c>
      <c r="F267" s="27">
        <v>810.0</v>
      </c>
      <c r="G267" s="28">
        <v>1500.0</v>
      </c>
      <c r="H267" s="27">
        <f t="shared" si="88"/>
        <v>690</v>
      </c>
      <c r="I267" s="27">
        <f>H267*10</f>
        <v>6900</v>
      </c>
      <c r="J267" s="27">
        <f>G267*10</f>
        <v>15000</v>
      </c>
    </row>
    <row r="268" ht="12.75" customHeight="1">
      <c r="A268" s="36">
        <v>5052538.0</v>
      </c>
      <c r="B268" s="36" t="s">
        <v>2767</v>
      </c>
      <c r="C268" s="26">
        <v>20.0</v>
      </c>
      <c r="D268" s="27">
        <v>790.0</v>
      </c>
      <c r="E268" s="27">
        <f t="shared" si="87"/>
        <v>15800</v>
      </c>
      <c r="F268" s="27">
        <v>790.0</v>
      </c>
      <c r="G268" s="28">
        <v>1300.0</v>
      </c>
      <c r="H268" s="27">
        <f t="shared" si="88"/>
        <v>510</v>
      </c>
      <c r="I268" s="27">
        <f>H268*20</f>
        <v>10200</v>
      </c>
      <c r="J268" s="27">
        <f>G268*20</f>
        <v>26000</v>
      </c>
    </row>
    <row r="269" ht="12.75" customHeight="1">
      <c r="A269" s="36">
        <v>3875029.0</v>
      </c>
      <c r="B269" s="36" t="s">
        <v>2768</v>
      </c>
      <c r="C269" s="26">
        <v>3.0</v>
      </c>
      <c r="D269" s="27">
        <v>3940.0</v>
      </c>
      <c r="E269" s="27">
        <f t="shared" si="87"/>
        <v>11820</v>
      </c>
      <c r="F269" s="27">
        <v>328.0</v>
      </c>
      <c r="G269" s="28">
        <v>800.0</v>
      </c>
      <c r="H269" s="27">
        <f t="shared" si="88"/>
        <v>472</v>
      </c>
      <c r="I269" s="27">
        <f t="shared" ref="I269:I270" si="93">H269*36</f>
        <v>16992</v>
      </c>
      <c r="J269" s="27">
        <f t="shared" ref="J269:J270" si="94">G269*36</f>
        <v>28800</v>
      </c>
    </row>
    <row r="270" ht="12.75" customHeight="1">
      <c r="A270" s="36">
        <v>5701040.0</v>
      </c>
      <c r="B270" s="36" t="s">
        <v>2769</v>
      </c>
      <c r="C270" s="26">
        <v>3.0</v>
      </c>
      <c r="D270" s="27">
        <v>720.0</v>
      </c>
      <c r="E270" s="27">
        <f t="shared" si="87"/>
        <v>2160</v>
      </c>
      <c r="F270" s="27">
        <v>60.0</v>
      </c>
      <c r="G270" s="28">
        <v>200.0</v>
      </c>
      <c r="H270" s="27">
        <f t="shared" si="88"/>
        <v>140</v>
      </c>
      <c r="I270" s="27">
        <f t="shared" si="93"/>
        <v>5040</v>
      </c>
      <c r="J270" s="27">
        <f t="shared" si="94"/>
        <v>7200</v>
      </c>
    </row>
    <row r="271" ht="12.75" customHeight="1">
      <c r="A271" s="36">
        <v>3256865.0</v>
      </c>
      <c r="B271" s="36" t="s">
        <v>2770</v>
      </c>
      <c r="C271" s="26">
        <v>6.0</v>
      </c>
      <c r="D271" s="27">
        <v>1200.0</v>
      </c>
      <c r="E271" s="27">
        <f t="shared" si="87"/>
        <v>7200</v>
      </c>
      <c r="F271" s="27">
        <v>1200.0</v>
      </c>
      <c r="G271" s="28">
        <v>2000.0</v>
      </c>
      <c r="H271" s="27">
        <f t="shared" si="88"/>
        <v>800</v>
      </c>
      <c r="I271" s="27">
        <f t="shared" ref="I271:I272" si="95">H271*6</f>
        <v>4800</v>
      </c>
      <c r="J271" s="27">
        <f t="shared" ref="J271:J272" si="96">G271*6</f>
        <v>12000</v>
      </c>
    </row>
    <row r="272" ht="12.75" customHeight="1">
      <c r="A272" s="36">
        <v>290599.0</v>
      </c>
      <c r="B272" s="36" t="s">
        <v>2771</v>
      </c>
      <c r="C272" s="26">
        <v>6.0</v>
      </c>
      <c r="D272" s="27">
        <v>1060.0</v>
      </c>
      <c r="E272" s="27">
        <f t="shared" si="87"/>
        <v>6360</v>
      </c>
      <c r="F272" s="27">
        <v>1060.0</v>
      </c>
      <c r="G272" s="28">
        <v>1900.0</v>
      </c>
      <c r="H272" s="27">
        <f t="shared" si="88"/>
        <v>840</v>
      </c>
      <c r="I272" s="27">
        <f t="shared" si="95"/>
        <v>5040</v>
      </c>
      <c r="J272" s="27">
        <f t="shared" si="96"/>
        <v>11400</v>
      </c>
    </row>
    <row r="273" ht="12.75" customHeight="1">
      <c r="A273" s="36">
        <v>3806221.0</v>
      </c>
      <c r="B273" s="36" t="s">
        <v>2772</v>
      </c>
      <c r="C273" s="26">
        <v>8.0</v>
      </c>
      <c r="D273" s="27">
        <v>1560.0</v>
      </c>
      <c r="E273" s="27">
        <f t="shared" si="87"/>
        <v>12480</v>
      </c>
      <c r="F273" s="27">
        <v>1560.0</v>
      </c>
      <c r="G273" s="28">
        <v>2200.0</v>
      </c>
      <c r="H273" s="27">
        <f t="shared" si="88"/>
        <v>640</v>
      </c>
      <c r="I273" s="27">
        <f t="shared" ref="I273:I274" si="97">H273*8</f>
        <v>5120</v>
      </c>
      <c r="J273" s="27">
        <f t="shared" ref="J273:J274" si="98">G273*8</f>
        <v>17600</v>
      </c>
    </row>
    <row r="274" ht="12.75" customHeight="1">
      <c r="A274" s="36">
        <v>4481977.0</v>
      </c>
      <c r="B274" s="36" t="s">
        <v>2773</v>
      </c>
      <c r="C274" s="26">
        <v>8.0</v>
      </c>
      <c r="D274" s="27">
        <v>1870.0</v>
      </c>
      <c r="E274" s="27">
        <f t="shared" si="87"/>
        <v>14960</v>
      </c>
      <c r="F274" s="27">
        <v>1870.0</v>
      </c>
      <c r="G274" s="28">
        <v>2500.0</v>
      </c>
      <c r="H274" s="27">
        <f t="shared" si="88"/>
        <v>630</v>
      </c>
      <c r="I274" s="27">
        <f t="shared" si="97"/>
        <v>5040</v>
      </c>
      <c r="J274" s="27">
        <f t="shared" si="98"/>
        <v>20000</v>
      </c>
    </row>
    <row r="275" ht="12.75" customHeight="1">
      <c r="A275" s="36">
        <v>5983009.0</v>
      </c>
      <c r="B275" s="36" t="s">
        <v>2774</v>
      </c>
      <c r="C275" s="26">
        <v>3.0</v>
      </c>
      <c r="D275" s="27">
        <v>3930.0</v>
      </c>
      <c r="E275" s="27">
        <f t="shared" si="87"/>
        <v>11790</v>
      </c>
      <c r="F275" s="27">
        <v>3930.0</v>
      </c>
      <c r="G275" s="28">
        <v>5200.0</v>
      </c>
      <c r="H275" s="27">
        <f t="shared" si="88"/>
        <v>1270</v>
      </c>
      <c r="I275" s="27">
        <f>H275*3</f>
        <v>3810</v>
      </c>
      <c r="J275" s="27">
        <f>G275*3</f>
        <v>15600</v>
      </c>
    </row>
    <row r="276" ht="12.75" customHeight="1">
      <c r="A276" s="36">
        <v>527251.0</v>
      </c>
      <c r="B276" s="36" t="s">
        <v>2775</v>
      </c>
      <c r="C276" s="26">
        <v>20.0</v>
      </c>
      <c r="D276" s="27">
        <v>690.0</v>
      </c>
      <c r="E276" s="27">
        <f t="shared" si="87"/>
        <v>13800</v>
      </c>
      <c r="F276" s="27">
        <v>690.0</v>
      </c>
      <c r="G276" s="28">
        <v>1100.0</v>
      </c>
      <c r="H276" s="27">
        <f t="shared" si="88"/>
        <v>410</v>
      </c>
      <c r="I276" s="27">
        <f>H276*20</f>
        <v>8200</v>
      </c>
      <c r="J276" s="27">
        <f>G276*20</f>
        <v>22000</v>
      </c>
    </row>
    <row r="277" ht="12.75" customHeight="1">
      <c r="A277" s="36">
        <v>5050909.0</v>
      </c>
      <c r="B277" s="36" t="s">
        <v>2589</v>
      </c>
      <c r="C277" s="26">
        <v>15.0</v>
      </c>
      <c r="D277" s="27">
        <v>810.0</v>
      </c>
      <c r="E277" s="27">
        <f t="shared" si="87"/>
        <v>12150</v>
      </c>
      <c r="F277" s="27">
        <v>810.0</v>
      </c>
      <c r="G277" s="28">
        <v>1500.0</v>
      </c>
      <c r="H277" s="27">
        <f t="shared" si="88"/>
        <v>690</v>
      </c>
      <c r="I277" s="27">
        <f>H277*15</f>
        <v>10350</v>
      </c>
      <c r="J277" s="27">
        <f>G277*15</f>
        <v>22500</v>
      </c>
    </row>
    <row r="278" ht="12.75" customHeight="1">
      <c r="A278" s="36">
        <v>5664009.0</v>
      </c>
      <c r="B278" s="36" t="s">
        <v>2582</v>
      </c>
      <c r="C278" s="26">
        <v>1.0</v>
      </c>
      <c r="D278" s="27">
        <v>3590.0</v>
      </c>
      <c r="E278" s="27">
        <f t="shared" si="87"/>
        <v>3590</v>
      </c>
      <c r="F278" s="27">
        <v>299.0</v>
      </c>
      <c r="G278" s="28">
        <v>700.0</v>
      </c>
      <c r="H278" s="27">
        <f t="shared" si="88"/>
        <v>401</v>
      </c>
      <c r="I278" s="27">
        <f t="shared" ref="I278:I279" si="99">H278*12</f>
        <v>4812</v>
      </c>
      <c r="J278" s="27">
        <f t="shared" ref="J278:J279" si="100">G278*12</f>
        <v>8400</v>
      </c>
    </row>
    <row r="279" ht="12.75" customHeight="1">
      <c r="A279" s="36">
        <v>271697.0</v>
      </c>
      <c r="B279" s="36" t="s">
        <v>2776</v>
      </c>
      <c r="C279" s="26">
        <v>12.0</v>
      </c>
      <c r="D279" s="27">
        <v>550.0</v>
      </c>
      <c r="E279" s="27">
        <f t="shared" si="87"/>
        <v>6600</v>
      </c>
      <c r="F279" s="27">
        <v>550.0</v>
      </c>
      <c r="G279" s="28">
        <v>1000.0</v>
      </c>
      <c r="H279" s="27">
        <f t="shared" si="88"/>
        <v>450</v>
      </c>
      <c r="I279" s="27">
        <f t="shared" si="99"/>
        <v>5400</v>
      </c>
      <c r="J279" s="27">
        <f t="shared" si="100"/>
        <v>12000</v>
      </c>
    </row>
    <row r="280" ht="12.75" customHeight="1">
      <c r="A280" s="36">
        <v>5980435.0</v>
      </c>
      <c r="B280" s="36" t="s">
        <v>2777</v>
      </c>
      <c r="C280" s="26">
        <v>30.0</v>
      </c>
      <c r="D280" s="27">
        <v>395.0</v>
      </c>
      <c r="E280" s="27">
        <f t="shared" si="87"/>
        <v>11850</v>
      </c>
      <c r="F280" s="27">
        <v>395.0</v>
      </c>
      <c r="G280" s="28">
        <v>650.0</v>
      </c>
      <c r="H280" s="27">
        <f t="shared" si="88"/>
        <v>255</v>
      </c>
      <c r="I280" s="27">
        <f t="shared" ref="I280:I281" si="101">H280*30</f>
        <v>7650</v>
      </c>
      <c r="J280" s="27">
        <f t="shared" ref="J280:J281" si="102">G280*30</f>
        <v>19500</v>
      </c>
    </row>
    <row r="281" ht="12.75" customHeight="1">
      <c r="A281" s="36">
        <v>7542008.0</v>
      </c>
      <c r="B281" s="36" t="s">
        <v>2778</v>
      </c>
      <c r="C281" s="26">
        <v>30.0</v>
      </c>
      <c r="D281" s="27">
        <v>440.0</v>
      </c>
      <c r="E281" s="27">
        <f t="shared" si="87"/>
        <v>13200</v>
      </c>
      <c r="F281" s="27">
        <v>440.0</v>
      </c>
      <c r="G281" s="28">
        <v>750.0</v>
      </c>
      <c r="H281" s="27">
        <f t="shared" si="88"/>
        <v>310</v>
      </c>
      <c r="I281" s="27">
        <f t="shared" si="101"/>
        <v>9300</v>
      </c>
      <c r="J281" s="27">
        <f t="shared" si="102"/>
        <v>22500</v>
      </c>
    </row>
    <row r="282" ht="12.75" customHeight="1">
      <c r="A282" s="36">
        <v>137.0</v>
      </c>
      <c r="B282" s="36" t="s">
        <v>2779</v>
      </c>
      <c r="C282" s="26">
        <v>6.0</v>
      </c>
      <c r="D282" s="27">
        <v>1080.0</v>
      </c>
      <c r="E282" s="27">
        <f t="shared" si="87"/>
        <v>6480</v>
      </c>
      <c r="F282" s="27">
        <v>1080.0</v>
      </c>
      <c r="G282" s="28">
        <v>1700.0</v>
      </c>
      <c r="H282" s="27">
        <f t="shared" si="88"/>
        <v>620</v>
      </c>
      <c r="I282" s="27">
        <f>H282*6</f>
        <v>3720</v>
      </c>
      <c r="J282" s="27">
        <f>G282*6</f>
        <v>10200</v>
      </c>
    </row>
    <row r="283" ht="12.75" customHeight="1">
      <c r="A283" s="36">
        <v>5382376.0</v>
      </c>
      <c r="B283" s="36" t="s">
        <v>2780</v>
      </c>
      <c r="C283" s="26">
        <v>20.0</v>
      </c>
      <c r="D283" s="27">
        <v>400.0</v>
      </c>
      <c r="E283" s="27">
        <f t="shared" si="87"/>
        <v>8000</v>
      </c>
      <c r="F283" s="27">
        <v>400.0</v>
      </c>
      <c r="G283" s="28">
        <v>600.0</v>
      </c>
      <c r="H283" s="27">
        <f t="shared" si="88"/>
        <v>200</v>
      </c>
      <c r="I283" s="27">
        <f t="shared" ref="I283:I284" si="103">H283*20</f>
        <v>4000</v>
      </c>
      <c r="J283" s="27">
        <f t="shared" ref="J283:J284" si="104">G283*20</f>
        <v>12000</v>
      </c>
    </row>
    <row r="284" ht="12.75" customHeight="1">
      <c r="A284" s="36">
        <v>6703003.0</v>
      </c>
      <c r="B284" s="36" t="s">
        <v>2781</v>
      </c>
      <c r="C284" s="26">
        <v>20.0</v>
      </c>
      <c r="D284" s="27">
        <v>360.0</v>
      </c>
      <c r="E284" s="27">
        <f t="shared" si="87"/>
        <v>7200</v>
      </c>
      <c r="F284" s="27">
        <v>360.0</v>
      </c>
      <c r="G284" s="28">
        <v>750.0</v>
      </c>
      <c r="H284" s="27">
        <f t="shared" si="88"/>
        <v>390</v>
      </c>
      <c r="I284" s="27">
        <f t="shared" si="103"/>
        <v>7800</v>
      </c>
      <c r="J284" s="27">
        <f t="shared" si="104"/>
        <v>15000</v>
      </c>
    </row>
    <row r="285" ht="12.75" customHeight="1">
      <c r="A285" s="36">
        <v>1.2345678E7</v>
      </c>
      <c r="B285" s="36" t="s">
        <v>2782</v>
      </c>
      <c r="C285" s="26">
        <v>30.0</v>
      </c>
      <c r="D285" s="27">
        <v>100.0</v>
      </c>
      <c r="E285" s="27">
        <f t="shared" si="87"/>
        <v>3000</v>
      </c>
      <c r="F285" s="27">
        <v>100.0</v>
      </c>
      <c r="G285" s="28">
        <v>250.0</v>
      </c>
      <c r="H285" s="27">
        <f t="shared" si="88"/>
        <v>150</v>
      </c>
      <c r="I285" s="27">
        <f>H285*30</f>
        <v>4500</v>
      </c>
      <c r="J285" s="27">
        <f>G285*30</f>
        <v>7500</v>
      </c>
    </row>
    <row r="286" ht="12.75" customHeight="1">
      <c r="A286" s="36">
        <v>218988.0</v>
      </c>
      <c r="B286" s="36" t="s">
        <v>2783</v>
      </c>
      <c r="C286" s="26">
        <v>20.0</v>
      </c>
      <c r="D286" s="27">
        <v>710.0</v>
      </c>
      <c r="E286" s="27">
        <f t="shared" si="87"/>
        <v>14200</v>
      </c>
      <c r="F286" s="27">
        <v>710.0</v>
      </c>
      <c r="G286" s="28">
        <v>2900.0</v>
      </c>
      <c r="H286" s="27">
        <f t="shared" si="88"/>
        <v>2190</v>
      </c>
      <c r="I286" s="27">
        <f>H286*20</f>
        <v>43800</v>
      </c>
      <c r="J286" s="27">
        <f>G286*20</f>
        <v>58000</v>
      </c>
    </row>
    <row r="287" ht="12.75" customHeight="1">
      <c r="A287" s="36">
        <v>1031631.0</v>
      </c>
      <c r="B287" s="36" t="s">
        <v>2784</v>
      </c>
      <c r="C287" s="26">
        <v>1.0</v>
      </c>
      <c r="D287" s="27">
        <v>3760.0</v>
      </c>
      <c r="E287" s="27">
        <f t="shared" si="87"/>
        <v>3760</v>
      </c>
      <c r="F287" s="27">
        <v>150.0</v>
      </c>
      <c r="G287" s="28">
        <v>300.0</v>
      </c>
      <c r="H287" s="27">
        <f t="shared" si="88"/>
        <v>150</v>
      </c>
      <c r="I287" s="27">
        <f>H287*25</f>
        <v>3750</v>
      </c>
      <c r="J287" s="27">
        <f>G287*25</f>
        <v>7500</v>
      </c>
    </row>
    <row r="288" ht="12.75" customHeight="1">
      <c r="A288" s="36">
        <v>5980343.0</v>
      </c>
      <c r="B288" s="36" t="s">
        <v>2758</v>
      </c>
      <c r="C288" s="26">
        <v>15.0</v>
      </c>
      <c r="D288" s="27">
        <v>950.0</v>
      </c>
      <c r="E288" s="27">
        <f t="shared" si="87"/>
        <v>14250</v>
      </c>
      <c r="F288" s="27">
        <v>950.0</v>
      </c>
      <c r="G288" s="28">
        <v>2000.0</v>
      </c>
      <c r="H288" s="27">
        <f t="shared" si="88"/>
        <v>1050</v>
      </c>
      <c r="I288" s="27">
        <f>H288*15</f>
        <v>15750</v>
      </c>
      <c r="J288" s="27">
        <f>G288*15</f>
        <v>30000</v>
      </c>
    </row>
    <row r="289" ht="12.75" customHeight="1">
      <c r="A289" s="36">
        <v>2810936.0</v>
      </c>
      <c r="B289" s="36" t="s">
        <v>2785</v>
      </c>
      <c r="C289" s="26">
        <v>3.0</v>
      </c>
      <c r="D289" s="27">
        <v>820.0</v>
      </c>
      <c r="E289" s="27">
        <f t="shared" si="87"/>
        <v>2460</v>
      </c>
      <c r="F289" s="27">
        <v>820.0</v>
      </c>
      <c r="G289" s="28">
        <v>1800.0</v>
      </c>
      <c r="H289" s="27">
        <f t="shared" si="88"/>
        <v>980</v>
      </c>
      <c r="I289" s="27">
        <f>H289*3</f>
        <v>2940</v>
      </c>
      <c r="J289" s="27">
        <f>G289*3</f>
        <v>5400</v>
      </c>
    </row>
    <row r="290" ht="12.75" customHeight="1">
      <c r="A290" s="36">
        <v>5021671.0</v>
      </c>
      <c r="B290" s="36" t="s">
        <v>2786</v>
      </c>
      <c r="C290" s="26">
        <v>1.0</v>
      </c>
      <c r="D290" s="27">
        <v>3570.0</v>
      </c>
      <c r="E290" s="27">
        <f t="shared" si="87"/>
        <v>3570</v>
      </c>
      <c r="F290" s="27">
        <v>149.0</v>
      </c>
      <c r="G290" s="28">
        <v>400.0</v>
      </c>
      <c r="H290" s="27">
        <f t="shared" si="88"/>
        <v>251</v>
      </c>
      <c r="I290" s="27">
        <f t="shared" ref="I290:I292" si="105">H290*24</f>
        <v>6024</v>
      </c>
      <c r="J290" s="27">
        <f t="shared" ref="J290:J292" si="106">G290*24</f>
        <v>9600</v>
      </c>
    </row>
    <row r="291" ht="12.75" customHeight="1">
      <c r="A291" s="36">
        <v>5021701.0</v>
      </c>
      <c r="B291" s="36" t="s">
        <v>2787</v>
      </c>
      <c r="C291" s="26">
        <v>1.0</v>
      </c>
      <c r="D291" s="27">
        <v>5320.0</v>
      </c>
      <c r="E291" s="27">
        <f t="shared" si="87"/>
        <v>5320</v>
      </c>
      <c r="F291" s="27">
        <v>222.0</v>
      </c>
      <c r="G291" s="28">
        <v>450.0</v>
      </c>
      <c r="H291" s="27">
        <f t="shared" si="88"/>
        <v>228</v>
      </c>
      <c r="I291" s="27">
        <f t="shared" si="105"/>
        <v>5472</v>
      </c>
      <c r="J291" s="27">
        <f t="shared" si="106"/>
        <v>10800</v>
      </c>
    </row>
    <row r="292" ht="12.75" customHeight="1">
      <c r="A292" s="36">
        <v>4016278.0</v>
      </c>
      <c r="B292" s="36" t="s">
        <v>2788</v>
      </c>
      <c r="C292" s="26">
        <v>2.0</v>
      </c>
      <c r="D292" s="27">
        <v>5070.0</v>
      </c>
      <c r="E292" s="27">
        <f t="shared" si="87"/>
        <v>10140</v>
      </c>
      <c r="F292" s="27">
        <v>423.0</v>
      </c>
      <c r="G292" s="28">
        <v>700.0</v>
      </c>
      <c r="H292" s="27">
        <f t="shared" si="88"/>
        <v>277</v>
      </c>
      <c r="I292" s="27">
        <f t="shared" si="105"/>
        <v>6648</v>
      </c>
      <c r="J292" s="27">
        <f t="shared" si="106"/>
        <v>16800</v>
      </c>
    </row>
    <row r="293" ht="12.75" customHeight="1">
      <c r="A293" s="25"/>
      <c r="C293" s="26"/>
      <c r="D293" s="27"/>
      <c r="E293" s="27"/>
      <c r="F293" s="27"/>
      <c r="G293" s="28"/>
      <c r="H293" s="27"/>
      <c r="I293" s="27"/>
      <c r="J293" s="27"/>
    </row>
    <row r="294" ht="12.75" customHeight="1">
      <c r="A294" s="25"/>
      <c r="C294" s="26"/>
      <c r="D294" s="27"/>
      <c r="E294" s="32">
        <f>SUM(E260:E292)</f>
        <v>257810</v>
      </c>
      <c r="F294" s="27"/>
      <c r="G294" s="28"/>
      <c r="H294" s="27"/>
      <c r="I294" s="33">
        <f t="shared" ref="I294:J294" si="107">SUM(I260:I292)</f>
        <v>236937</v>
      </c>
      <c r="J294" s="33">
        <f t="shared" si="107"/>
        <v>494750</v>
      </c>
    </row>
    <row r="295" ht="12.75" customHeight="1">
      <c r="A295" s="25"/>
      <c r="C295" s="26"/>
      <c r="D295" s="27"/>
      <c r="E295" s="27"/>
      <c r="F295" s="27"/>
      <c r="G295" s="28"/>
      <c r="H295" s="27"/>
      <c r="I295" s="27"/>
      <c r="J295" s="27"/>
    </row>
    <row r="296" ht="12.75" customHeight="1">
      <c r="A296" s="25"/>
      <c r="C296" s="26"/>
      <c r="D296" s="27"/>
      <c r="E296" s="27"/>
      <c r="F296" s="27"/>
      <c r="G296" s="28"/>
      <c r="H296" s="27"/>
      <c r="I296" s="27"/>
      <c r="J296" s="27"/>
    </row>
    <row r="297" ht="12.75" customHeight="1">
      <c r="A297" s="34">
        <v>45365.0</v>
      </c>
      <c r="C297" s="26"/>
      <c r="D297" s="27"/>
      <c r="E297" s="27"/>
      <c r="F297" s="27"/>
      <c r="G297" s="28"/>
      <c r="H297" s="27"/>
      <c r="I297" s="27"/>
      <c r="J297" s="27"/>
    </row>
    <row r="298" ht="12.75" customHeight="1">
      <c r="A298" s="25"/>
      <c r="C298" s="26"/>
      <c r="D298" s="27"/>
      <c r="E298" s="27"/>
      <c r="F298" s="27"/>
      <c r="G298" s="28"/>
      <c r="H298" s="27"/>
      <c r="I298" s="27"/>
      <c r="J298" s="27"/>
    </row>
    <row r="299" ht="12.75" customHeight="1">
      <c r="A299" s="25">
        <v>5100529.0</v>
      </c>
      <c r="B299" s="41" t="s">
        <v>2789</v>
      </c>
      <c r="C299" s="26">
        <v>20.0</v>
      </c>
      <c r="D299" s="27">
        <v>1640.0</v>
      </c>
      <c r="E299" s="27">
        <f>D299*C299</f>
        <v>32800</v>
      </c>
      <c r="F299" s="27">
        <v>1640.0</v>
      </c>
      <c r="G299" s="28">
        <v>2400.0</v>
      </c>
      <c r="H299" s="27">
        <f>G299-F299</f>
        <v>760</v>
      </c>
      <c r="I299" s="27">
        <f>H299*20</f>
        <v>15200</v>
      </c>
      <c r="J299" s="27">
        <f>G299*20</f>
        <v>48000</v>
      </c>
    </row>
    <row r="300" ht="12.75" customHeight="1">
      <c r="A300" s="25"/>
      <c r="C300" s="26"/>
      <c r="D300" s="27"/>
      <c r="E300" s="27"/>
      <c r="F300" s="27"/>
      <c r="G300" s="28"/>
      <c r="H300" s="27"/>
      <c r="I300" s="27"/>
      <c r="J300" s="27"/>
    </row>
    <row r="301" ht="12.75" customHeight="1">
      <c r="A301" s="25"/>
      <c r="C301" s="26"/>
      <c r="D301" s="27"/>
      <c r="E301" s="32">
        <f>SUM(E299)</f>
        <v>32800</v>
      </c>
      <c r="F301" s="27"/>
      <c r="G301" s="28"/>
      <c r="H301" s="27"/>
      <c r="I301" s="38">
        <f t="shared" ref="I301:J301" si="108">SUM(I299)</f>
        <v>15200</v>
      </c>
      <c r="J301" s="38">
        <f t="shared" si="108"/>
        <v>48000</v>
      </c>
    </row>
    <row r="302" ht="12.75" customHeight="1">
      <c r="A302" s="25"/>
      <c r="C302" s="26"/>
      <c r="D302" s="27"/>
      <c r="E302" s="27"/>
      <c r="F302" s="27"/>
      <c r="G302" s="28"/>
      <c r="H302" s="27"/>
      <c r="I302" s="27"/>
      <c r="J302" s="27"/>
    </row>
    <row r="303" ht="12.75" customHeight="1">
      <c r="A303" s="25"/>
      <c r="C303" s="26"/>
      <c r="D303" s="27"/>
      <c r="E303" s="27"/>
      <c r="F303" s="27"/>
      <c r="G303" s="28"/>
      <c r="H303" s="27"/>
      <c r="I303" s="27"/>
      <c r="J303" s="27"/>
    </row>
    <row r="304" ht="12.75" customHeight="1">
      <c r="A304" s="34">
        <v>45386.0</v>
      </c>
      <c r="C304" s="26"/>
      <c r="D304" s="27"/>
      <c r="E304" s="27"/>
      <c r="F304" s="27"/>
      <c r="G304" s="28"/>
      <c r="H304" s="27"/>
      <c r="I304" s="27"/>
      <c r="J304" s="27"/>
    </row>
    <row r="305" ht="12.75" customHeight="1">
      <c r="A305" s="25"/>
      <c r="C305" s="26"/>
      <c r="D305" s="27"/>
      <c r="E305" s="27"/>
      <c r="F305" s="27"/>
      <c r="G305" s="28"/>
      <c r="H305" s="27"/>
      <c r="I305" s="27"/>
      <c r="J305" s="27"/>
    </row>
    <row r="306" ht="12.75" customHeight="1">
      <c r="A306" s="36">
        <v>5045639.0</v>
      </c>
      <c r="B306" s="36" t="s">
        <v>2594</v>
      </c>
      <c r="C306" s="26">
        <v>3.0</v>
      </c>
      <c r="D306" s="27">
        <v>5970.0</v>
      </c>
      <c r="E306" s="27">
        <f t="shared" ref="E306:E312" si="109">D306*C306</f>
        <v>17910</v>
      </c>
      <c r="F306" s="27">
        <v>597.0</v>
      </c>
      <c r="G306" s="28">
        <v>1000.0</v>
      </c>
      <c r="H306" s="27">
        <f t="shared" ref="H306:H312" si="110">G306-F306</f>
        <v>403</v>
      </c>
      <c r="I306" s="27">
        <f>H306*30</f>
        <v>12090</v>
      </c>
      <c r="J306" s="27">
        <f>G306*30</f>
        <v>30000</v>
      </c>
    </row>
    <row r="307" ht="12.75" customHeight="1">
      <c r="A307" s="36">
        <v>7412004.0</v>
      </c>
      <c r="B307" s="36" t="s">
        <v>2790</v>
      </c>
      <c r="C307" s="26">
        <v>10.0</v>
      </c>
      <c r="D307" s="27">
        <v>610.0</v>
      </c>
      <c r="E307" s="27">
        <f t="shared" si="109"/>
        <v>6100</v>
      </c>
      <c r="F307" s="27">
        <v>610.0</v>
      </c>
      <c r="G307" s="28">
        <v>1000.0</v>
      </c>
      <c r="H307" s="27">
        <f t="shared" si="110"/>
        <v>390</v>
      </c>
      <c r="I307" s="27">
        <f t="shared" ref="I307:I308" si="111">H307*10</f>
        <v>3900</v>
      </c>
      <c r="J307" s="27">
        <f t="shared" ref="J307:J308" si="112">G307*10</f>
        <v>10000</v>
      </c>
    </row>
    <row r="308" ht="12.75" customHeight="1">
      <c r="A308" s="36">
        <v>5105012.0</v>
      </c>
      <c r="B308" s="36" t="s">
        <v>2791</v>
      </c>
      <c r="C308" s="26">
        <v>10.0</v>
      </c>
      <c r="D308" s="27">
        <v>748.0</v>
      </c>
      <c r="E308" s="27">
        <f t="shared" si="109"/>
        <v>7480</v>
      </c>
      <c r="F308" s="27">
        <v>748.0</v>
      </c>
      <c r="G308" s="28">
        <v>1250.0</v>
      </c>
      <c r="H308" s="27">
        <f t="shared" si="110"/>
        <v>502</v>
      </c>
      <c r="I308" s="27">
        <f t="shared" si="111"/>
        <v>5020</v>
      </c>
      <c r="J308" s="27">
        <f t="shared" si="112"/>
        <v>12500</v>
      </c>
    </row>
    <row r="309" ht="12.75" customHeight="1">
      <c r="A309" s="36">
        <v>2389004.0</v>
      </c>
      <c r="B309" s="36" t="s">
        <v>2674</v>
      </c>
      <c r="C309" s="26">
        <v>30.0</v>
      </c>
      <c r="D309" s="27">
        <v>300.0</v>
      </c>
      <c r="E309" s="27">
        <f t="shared" si="109"/>
        <v>9000</v>
      </c>
      <c r="F309" s="27">
        <v>300.0</v>
      </c>
      <c r="G309" s="28">
        <v>500.0</v>
      </c>
      <c r="H309" s="27">
        <f t="shared" si="110"/>
        <v>200</v>
      </c>
      <c r="I309" s="27">
        <f>H309*30</f>
        <v>6000</v>
      </c>
      <c r="J309" s="27">
        <f>G309*30</f>
        <v>15000</v>
      </c>
    </row>
    <row r="310" ht="12.75" customHeight="1">
      <c r="A310" s="36">
        <v>3704084.0</v>
      </c>
      <c r="B310" s="36" t="s">
        <v>2792</v>
      </c>
      <c r="C310" s="26">
        <v>10.0</v>
      </c>
      <c r="D310" s="27">
        <v>3130.0</v>
      </c>
      <c r="E310" s="27">
        <f t="shared" si="109"/>
        <v>31300</v>
      </c>
      <c r="F310" s="27">
        <v>3130.0</v>
      </c>
      <c r="G310" s="28">
        <v>6000.0</v>
      </c>
      <c r="H310" s="27">
        <f t="shared" si="110"/>
        <v>2870</v>
      </c>
      <c r="I310" s="27">
        <f>H310*10</f>
        <v>28700</v>
      </c>
      <c r="J310" s="27">
        <f>G310*10</f>
        <v>60000</v>
      </c>
    </row>
    <row r="311" ht="12.75" customHeight="1">
      <c r="A311" s="36">
        <v>710001.0</v>
      </c>
      <c r="B311" s="36" t="s">
        <v>2793</v>
      </c>
      <c r="C311" s="26">
        <v>3.0</v>
      </c>
      <c r="D311" s="27">
        <v>14730.0</v>
      </c>
      <c r="E311" s="27">
        <f t="shared" si="109"/>
        <v>44190</v>
      </c>
      <c r="F311" s="27">
        <v>589.2</v>
      </c>
      <c r="G311" s="28">
        <v>1500.0</v>
      </c>
      <c r="H311" s="27">
        <f t="shared" si="110"/>
        <v>910.8</v>
      </c>
      <c r="I311" s="27">
        <f>H311*75</f>
        <v>68310</v>
      </c>
      <c r="J311" s="27">
        <f>G311*75</f>
        <v>112500</v>
      </c>
    </row>
    <row r="312" ht="12.75" customHeight="1">
      <c r="A312" s="36">
        <v>710003.0</v>
      </c>
      <c r="B312" s="36" t="s">
        <v>2607</v>
      </c>
      <c r="C312" s="26">
        <v>1.0</v>
      </c>
      <c r="D312" s="27">
        <v>3700.0</v>
      </c>
      <c r="E312" s="27">
        <f t="shared" si="109"/>
        <v>3700</v>
      </c>
      <c r="F312" s="27">
        <v>148.0</v>
      </c>
      <c r="G312" s="28">
        <v>400.0</v>
      </c>
      <c r="H312" s="27">
        <f t="shared" si="110"/>
        <v>252</v>
      </c>
      <c r="I312" s="27">
        <f>H312*25</f>
        <v>6300</v>
      </c>
      <c r="J312" s="27">
        <f>G312*25</f>
        <v>10000</v>
      </c>
    </row>
    <row r="313" ht="12.75" customHeight="1">
      <c r="A313" s="25"/>
      <c r="C313" s="26"/>
      <c r="D313" s="27"/>
      <c r="E313" s="27"/>
      <c r="F313" s="27"/>
      <c r="G313" s="28"/>
      <c r="H313" s="27"/>
      <c r="I313" s="27"/>
      <c r="J313" s="27"/>
    </row>
    <row r="314" ht="12.75" customHeight="1">
      <c r="A314" s="25"/>
      <c r="C314" s="26"/>
      <c r="D314" s="27"/>
      <c r="E314" s="32">
        <f>SUM(E306:E312)</f>
        <v>119680</v>
      </c>
      <c r="F314" s="27"/>
      <c r="G314" s="28"/>
      <c r="H314" s="27"/>
      <c r="I314" s="39">
        <f t="shared" ref="I314:J314" si="113">SUM(I306:I312)</f>
        <v>130320</v>
      </c>
      <c r="J314" s="39">
        <f t="shared" si="113"/>
        <v>250000</v>
      </c>
    </row>
    <row r="315" ht="12.75" customHeight="1">
      <c r="A315" s="25"/>
      <c r="C315" s="26"/>
      <c r="D315" s="27"/>
      <c r="E315" s="27"/>
      <c r="F315" s="27"/>
      <c r="G315" s="28"/>
      <c r="H315" s="27"/>
      <c r="I315" s="27"/>
      <c r="J315" s="27"/>
    </row>
    <row r="316" ht="12.75" customHeight="1">
      <c r="A316" s="25"/>
      <c r="C316" s="26"/>
      <c r="D316" s="27"/>
      <c r="E316" s="27"/>
      <c r="F316" s="27"/>
      <c r="G316" s="28"/>
      <c r="H316" s="27"/>
      <c r="I316" s="27"/>
      <c r="J316" s="27"/>
    </row>
    <row r="317" ht="12.75" customHeight="1">
      <c r="A317" s="34">
        <v>45388.0</v>
      </c>
      <c r="C317" s="26"/>
      <c r="D317" s="27"/>
      <c r="E317" s="27"/>
      <c r="F317" s="27"/>
      <c r="G317" s="28"/>
      <c r="H317" s="27"/>
      <c r="I317" s="27"/>
      <c r="J317" s="27"/>
    </row>
    <row r="318" ht="12.75" customHeight="1">
      <c r="A318" s="25"/>
      <c r="C318" s="26"/>
      <c r="D318" s="27"/>
      <c r="E318" s="27"/>
      <c r="F318" s="27"/>
      <c r="G318" s="28"/>
      <c r="H318" s="27"/>
      <c r="I318" s="27"/>
      <c r="J318" s="27"/>
    </row>
    <row r="319" ht="12.75" customHeight="1">
      <c r="A319" s="36">
        <v>2027262.0</v>
      </c>
      <c r="B319" s="36" t="s">
        <v>2794</v>
      </c>
      <c r="C319" s="26">
        <v>10.0</v>
      </c>
      <c r="D319" s="27">
        <v>1740.0</v>
      </c>
      <c r="E319" s="27">
        <f t="shared" ref="E319:E324" si="114">D319*C319</f>
        <v>17400</v>
      </c>
      <c r="F319" s="27">
        <v>174.0</v>
      </c>
      <c r="G319" s="28">
        <v>450.0</v>
      </c>
      <c r="H319" s="27">
        <f t="shared" ref="H319:H324" si="115">G319-F319</f>
        <v>276</v>
      </c>
      <c r="I319" s="27">
        <f>H319*100</f>
        <v>27600</v>
      </c>
      <c r="J319" s="27">
        <f>G319*100</f>
        <v>45000</v>
      </c>
    </row>
    <row r="320" ht="12.75" customHeight="1">
      <c r="A320" s="36">
        <v>7283000.0</v>
      </c>
      <c r="B320" s="36" t="s">
        <v>2795</v>
      </c>
      <c r="C320" s="26">
        <v>2.0</v>
      </c>
      <c r="D320" s="27">
        <v>4880.0</v>
      </c>
      <c r="E320" s="27">
        <f t="shared" si="114"/>
        <v>9760</v>
      </c>
      <c r="F320" s="27">
        <v>407.0</v>
      </c>
      <c r="G320" s="28">
        <v>800.0</v>
      </c>
      <c r="H320" s="27">
        <f t="shared" si="115"/>
        <v>393</v>
      </c>
      <c r="I320" s="27">
        <f>H320*24</f>
        <v>9432</v>
      </c>
      <c r="J320" s="27">
        <f>G320*24</f>
        <v>19200</v>
      </c>
    </row>
    <row r="321" ht="12.75" customHeight="1">
      <c r="A321" s="36">
        <v>8381002.0</v>
      </c>
      <c r="B321" s="36" t="s">
        <v>2597</v>
      </c>
      <c r="C321" s="26">
        <v>3.0</v>
      </c>
      <c r="D321" s="27">
        <v>3430.0</v>
      </c>
      <c r="E321" s="27">
        <f t="shared" si="114"/>
        <v>10290</v>
      </c>
      <c r="F321" s="27">
        <v>172.0</v>
      </c>
      <c r="G321" s="28">
        <v>350.0</v>
      </c>
      <c r="H321" s="27">
        <f t="shared" si="115"/>
        <v>178</v>
      </c>
      <c r="I321" s="27">
        <f>H321*60</f>
        <v>10680</v>
      </c>
      <c r="J321" s="27">
        <f>G321*60</f>
        <v>21000</v>
      </c>
    </row>
    <row r="322" ht="12.75" customHeight="1">
      <c r="A322" s="36">
        <v>7000604.0</v>
      </c>
      <c r="B322" s="36" t="s">
        <v>2796</v>
      </c>
      <c r="C322" s="26">
        <v>10.0</v>
      </c>
      <c r="D322" s="27">
        <v>680.0</v>
      </c>
      <c r="E322" s="27">
        <f t="shared" si="114"/>
        <v>6800</v>
      </c>
      <c r="F322" s="27">
        <v>680.0</v>
      </c>
      <c r="G322" s="28">
        <v>1250.0</v>
      </c>
      <c r="H322" s="27">
        <f t="shared" si="115"/>
        <v>570</v>
      </c>
      <c r="I322" s="27">
        <f>H322*10</f>
        <v>5700</v>
      </c>
      <c r="J322" s="27">
        <f>G322*10</f>
        <v>12500</v>
      </c>
    </row>
    <row r="323" ht="12.75" customHeight="1">
      <c r="A323" s="36">
        <v>5034664.0</v>
      </c>
      <c r="B323" s="36" t="s">
        <v>2797</v>
      </c>
      <c r="C323" s="26">
        <v>1.0</v>
      </c>
      <c r="D323" s="27">
        <v>4940.0</v>
      </c>
      <c r="E323" s="27">
        <f t="shared" si="114"/>
        <v>4940</v>
      </c>
      <c r="F323" s="27">
        <v>412.0</v>
      </c>
      <c r="G323" s="28">
        <v>600.0</v>
      </c>
      <c r="H323" s="27">
        <f t="shared" si="115"/>
        <v>188</v>
      </c>
      <c r="I323" s="27">
        <f>H323*12</f>
        <v>2256</v>
      </c>
      <c r="J323" s="27">
        <f>G323*12</f>
        <v>7200</v>
      </c>
    </row>
    <row r="324" ht="12.75" customHeight="1">
      <c r="A324" s="36">
        <v>5034695.0</v>
      </c>
      <c r="B324" s="36" t="s">
        <v>2798</v>
      </c>
      <c r="C324" s="26">
        <v>2.0</v>
      </c>
      <c r="D324" s="27">
        <v>4940.0</v>
      </c>
      <c r="E324" s="27">
        <f t="shared" si="114"/>
        <v>9880</v>
      </c>
      <c r="F324" s="27">
        <v>412.0</v>
      </c>
      <c r="G324" s="28">
        <v>600.0</v>
      </c>
      <c r="H324" s="27">
        <f t="shared" si="115"/>
        <v>188</v>
      </c>
      <c r="I324" s="27">
        <f>H324*24</f>
        <v>4512</v>
      </c>
      <c r="J324" s="27">
        <f>G324*24</f>
        <v>14400</v>
      </c>
    </row>
    <row r="325" ht="12.75" customHeight="1">
      <c r="A325" s="25"/>
      <c r="C325" s="26"/>
      <c r="D325" s="27"/>
      <c r="E325" s="27"/>
      <c r="F325" s="27"/>
      <c r="G325" s="28"/>
      <c r="H325" s="27"/>
      <c r="I325" s="27"/>
      <c r="J325" s="27"/>
    </row>
    <row r="326" ht="12.75" customHeight="1">
      <c r="A326" s="25"/>
      <c r="C326" s="26"/>
      <c r="D326" s="27"/>
      <c r="E326" s="32">
        <f>SUM(E319:E324)</f>
        <v>59070</v>
      </c>
      <c r="F326" s="27"/>
      <c r="G326" s="28"/>
      <c r="H326" s="27"/>
      <c r="I326" s="39">
        <f t="shared" ref="I326:J326" si="116">SUM(I319:I324)</f>
        <v>60180</v>
      </c>
      <c r="J326" s="39">
        <f t="shared" si="116"/>
        <v>119300</v>
      </c>
    </row>
    <row r="327" ht="12.75" customHeight="1">
      <c r="A327" s="25"/>
      <c r="C327" s="26"/>
      <c r="D327" s="27"/>
      <c r="E327" s="27"/>
      <c r="F327" s="27"/>
      <c r="G327" s="28"/>
      <c r="H327" s="27"/>
      <c r="I327" s="27"/>
      <c r="J327" s="27"/>
    </row>
    <row r="328" ht="12.75" customHeight="1">
      <c r="A328" s="25"/>
      <c r="C328" s="26"/>
      <c r="D328" s="27"/>
      <c r="E328" s="27"/>
      <c r="F328" s="27"/>
      <c r="G328" s="28"/>
      <c r="H328" s="27"/>
      <c r="I328" s="27"/>
      <c r="J328" s="27"/>
    </row>
    <row r="329" ht="12.75" customHeight="1">
      <c r="A329" s="34">
        <v>45388.0</v>
      </c>
      <c r="C329" s="26"/>
      <c r="D329" s="27"/>
      <c r="E329" s="27"/>
      <c r="F329" s="27"/>
      <c r="G329" s="28"/>
      <c r="H329" s="27"/>
      <c r="I329" s="27"/>
      <c r="J329" s="27"/>
    </row>
    <row r="330" ht="12.75" customHeight="1">
      <c r="A330" s="25"/>
      <c r="C330" s="26"/>
      <c r="D330" s="27"/>
      <c r="E330" s="27"/>
      <c r="F330" s="27"/>
      <c r="G330" s="28"/>
      <c r="H330" s="27"/>
      <c r="I330" s="27"/>
      <c r="J330" s="27"/>
    </row>
    <row r="331" ht="12.75" customHeight="1">
      <c r="A331" s="25">
        <v>5391006.0</v>
      </c>
      <c r="B331" s="37" t="s">
        <v>2799</v>
      </c>
      <c r="C331" s="26">
        <v>6.0</v>
      </c>
      <c r="D331" s="27">
        <v>540.0</v>
      </c>
      <c r="E331" s="27">
        <f t="shared" ref="E331:E333" si="117">D331*C331</f>
        <v>3240</v>
      </c>
      <c r="F331" s="27">
        <v>54.0</v>
      </c>
      <c r="G331" s="28">
        <v>150.0</v>
      </c>
      <c r="H331" s="27">
        <f t="shared" ref="H331:H333" si="118">G331-F331</f>
        <v>96</v>
      </c>
      <c r="I331" s="27">
        <f t="shared" ref="I331:I332" si="119">H331*60</f>
        <v>5760</v>
      </c>
      <c r="J331" s="27">
        <f t="shared" ref="J331:J332" si="120">G331*60</f>
        <v>9000</v>
      </c>
    </row>
    <row r="332" ht="12.75" customHeight="1">
      <c r="A332" s="25">
        <v>5390009.0</v>
      </c>
      <c r="B332" s="37" t="s">
        <v>2800</v>
      </c>
      <c r="C332" s="26">
        <v>6.0</v>
      </c>
      <c r="D332" s="27">
        <v>320.0</v>
      </c>
      <c r="E332" s="27">
        <f t="shared" si="117"/>
        <v>1920</v>
      </c>
      <c r="F332" s="27">
        <v>32.0</v>
      </c>
      <c r="G332" s="28">
        <v>100.0</v>
      </c>
      <c r="H332" s="27">
        <f t="shared" si="118"/>
        <v>68</v>
      </c>
      <c r="I332" s="27">
        <f t="shared" si="119"/>
        <v>4080</v>
      </c>
      <c r="J332" s="27">
        <f t="shared" si="120"/>
        <v>6000</v>
      </c>
    </row>
    <row r="333" ht="12.75" customHeight="1">
      <c r="A333" s="25">
        <v>5395004.0</v>
      </c>
      <c r="B333" s="37" t="s">
        <v>2801</v>
      </c>
      <c r="C333" s="26">
        <v>3.0</v>
      </c>
      <c r="D333" s="27">
        <v>800.0</v>
      </c>
      <c r="E333" s="27">
        <f t="shared" si="117"/>
        <v>2400</v>
      </c>
      <c r="F333" s="27">
        <v>80.0</v>
      </c>
      <c r="G333" s="28">
        <v>200.0</v>
      </c>
      <c r="H333" s="27">
        <f t="shared" si="118"/>
        <v>120</v>
      </c>
      <c r="I333" s="27">
        <f>H333*30</f>
        <v>3600</v>
      </c>
      <c r="J333" s="27">
        <f>G333*30</f>
        <v>6000</v>
      </c>
    </row>
    <row r="334" ht="12.75" customHeight="1">
      <c r="A334" s="25"/>
      <c r="C334" s="26"/>
      <c r="D334" s="27"/>
      <c r="E334" s="27"/>
      <c r="F334" s="27"/>
      <c r="G334" s="28"/>
      <c r="H334" s="27"/>
      <c r="I334" s="27"/>
      <c r="J334" s="27"/>
    </row>
    <row r="335" ht="12.75" customHeight="1">
      <c r="A335" s="25"/>
      <c r="C335" s="26"/>
      <c r="D335" s="27"/>
      <c r="E335" s="32">
        <f>SUM(E331:E333)</f>
        <v>7560</v>
      </c>
      <c r="F335" s="27"/>
      <c r="G335" s="28"/>
      <c r="H335" s="27"/>
      <c r="I335" s="39">
        <f t="shared" ref="I335:J335" si="121">SUM(I331:I333)</f>
        <v>13440</v>
      </c>
      <c r="J335" s="39">
        <f t="shared" si="121"/>
        <v>21000</v>
      </c>
    </row>
    <row r="336" ht="12.75" customHeight="1">
      <c r="A336" s="25"/>
      <c r="C336" s="26"/>
      <c r="D336" s="27"/>
      <c r="E336" s="27"/>
      <c r="F336" s="27"/>
      <c r="G336" s="28"/>
      <c r="H336" s="27"/>
      <c r="I336" s="27"/>
      <c r="J336" s="27"/>
    </row>
    <row r="337" ht="12.75" customHeight="1">
      <c r="A337" s="25"/>
      <c r="C337" s="26"/>
      <c r="D337" s="27"/>
      <c r="E337" s="27"/>
      <c r="F337" s="27"/>
      <c r="G337" s="28"/>
      <c r="H337" s="27"/>
      <c r="I337" s="27"/>
      <c r="J337" s="27"/>
    </row>
    <row r="338" ht="12.75" customHeight="1">
      <c r="A338" s="34">
        <v>45407.0</v>
      </c>
      <c r="C338" s="26"/>
      <c r="D338" s="27"/>
      <c r="E338" s="27"/>
      <c r="F338" s="27"/>
      <c r="G338" s="28"/>
      <c r="H338" s="27"/>
      <c r="I338" s="27"/>
      <c r="J338" s="27"/>
    </row>
    <row r="339" ht="12.75" customHeight="1">
      <c r="A339" s="25"/>
      <c r="C339" s="26"/>
      <c r="D339" s="27"/>
      <c r="E339" s="27"/>
      <c r="F339" s="27"/>
      <c r="G339" s="28"/>
      <c r="H339" s="27"/>
      <c r="I339" s="27"/>
      <c r="J339" s="27"/>
    </row>
    <row r="340" ht="12.75" customHeight="1">
      <c r="A340" s="36">
        <v>7162008.0</v>
      </c>
      <c r="B340" s="36" t="s">
        <v>2617</v>
      </c>
      <c r="C340" s="26">
        <v>1.0</v>
      </c>
      <c r="D340" s="27">
        <v>11670.0</v>
      </c>
      <c r="E340" s="27">
        <f t="shared" ref="E340:E397" si="122">D340*C340</f>
        <v>11670</v>
      </c>
      <c r="F340" s="27">
        <v>973.0</v>
      </c>
      <c r="G340" s="28">
        <v>1500.0</v>
      </c>
      <c r="H340" s="27">
        <f t="shared" ref="H340:H397" si="123">G340-F340</f>
        <v>527</v>
      </c>
      <c r="I340" s="27">
        <f>H340*12</f>
        <v>6324</v>
      </c>
      <c r="J340" s="27">
        <f>G340*12</f>
        <v>18000</v>
      </c>
    </row>
    <row r="341" ht="12.75" customHeight="1">
      <c r="A341" s="36">
        <v>7163005.0</v>
      </c>
      <c r="B341" s="36" t="s">
        <v>2802</v>
      </c>
      <c r="C341" s="26">
        <v>1.0</v>
      </c>
      <c r="D341" s="27">
        <v>9010.0</v>
      </c>
      <c r="E341" s="27">
        <f t="shared" si="122"/>
        <v>9010</v>
      </c>
      <c r="F341" s="27">
        <v>375.0</v>
      </c>
      <c r="G341" s="28">
        <v>700.0</v>
      </c>
      <c r="H341" s="27">
        <f t="shared" si="123"/>
        <v>325</v>
      </c>
      <c r="I341" s="27">
        <f>H341*24</f>
        <v>7800</v>
      </c>
      <c r="J341" s="27">
        <f>G341*24</f>
        <v>16800</v>
      </c>
    </row>
    <row r="342" ht="12.75" customHeight="1">
      <c r="A342" s="36">
        <v>5100529.0</v>
      </c>
      <c r="B342" s="36" t="s">
        <v>2601</v>
      </c>
      <c r="C342" s="26">
        <v>10.0</v>
      </c>
      <c r="D342" s="27">
        <v>1640.0</v>
      </c>
      <c r="E342" s="27">
        <f t="shared" si="122"/>
        <v>16400</v>
      </c>
      <c r="F342" s="27">
        <v>1640.0</v>
      </c>
      <c r="G342" s="28">
        <v>2400.0</v>
      </c>
      <c r="H342" s="27">
        <f t="shared" si="123"/>
        <v>760</v>
      </c>
      <c r="I342" s="27">
        <f>H342*10</f>
        <v>7600</v>
      </c>
      <c r="J342" s="27">
        <f>G342*10</f>
        <v>24000</v>
      </c>
    </row>
    <row r="343" ht="12.75" customHeight="1">
      <c r="A343" s="36">
        <v>1590172.0</v>
      </c>
      <c r="B343" s="36" t="s">
        <v>2747</v>
      </c>
      <c r="C343" s="26">
        <v>2.0</v>
      </c>
      <c r="D343" s="27">
        <v>2360.0</v>
      </c>
      <c r="E343" s="27">
        <f t="shared" si="122"/>
        <v>4720</v>
      </c>
      <c r="F343" s="27">
        <v>197.0</v>
      </c>
      <c r="G343" s="28">
        <v>400.0</v>
      </c>
      <c r="H343" s="27">
        <f t="shared" si="123"/>
        <v>203</v>
      </c>
      <c r="I343" s="27">
        <f t="shared" ref="I343:I347" si="124">H343*24</f>
        <v>4872</v>
      </c>
      <c r="J343" s="27">
        <f t="shared" ref="J343:J347" si="125">G343*24</f>
        <v>9600</v>
      </c>
    </row>
    <row r="344" ht="12.75" customHeight="1">
      <c r="A344" s="36">
        <v>4533820.0</v>
      </c>
      <c r="B344" s="36" t="s">
        <v>2803</v>
      </c>
      <c r="C344" s="26">
        <v>2.0</v>
      </c>
      <c r="D344" s="27">
        <v>2630.0</v>
      </c>
      <c r="E344" s="27">
        <f t="shared" si="122"/>
        <v>5260</v>
      </c>
      <c r="F344" s="27">
        <v>219.0</v>
      </c>
      <c r="G344" s="28">
        <v>450.0</v>
      </c>
      <c r="H344" s="27">
        <f t="shared" si="123"/>
        <v>231</v>
      </c>
      <c r="I344" s="27">
        <f t="shared" si="124"/>
        <v>5544</v>
      </c>
      <c r="J344" s="27">
        <f t="shared" si="125"/>
        <v>10800</v>
      </c>
    </row>
    <row r="345" ht="12.75" customHeight="1">
      <c r="A345" s="36">
        <v>7560225.0</v>
      </c>
      <c r="B345" s="36" t="s">
        <v>2749</v>
      </c>
      <c r="C345" s="26">
        <v>2.0</v>
      </c>
      <c r="D345" s="27">
        <v>2740.0</v>
      </c>
      <c r="E345" s="27">
        <f t="shared" si="122"/>
        <v>5480</v>
      </c>
      <c r="F345" s="27">
        <v>228.0</v>
      </c>
      <c r="G345" s="28">
        <v>500.0</v>
      </c>
      <c r="H345" s="27">
        <f t="shared" si="123"/>
        <v>272</v>
      </c>
      <c r="I345" s="27">
        <f t="shared" si="124"/>
        <v>6528</v>
      </c>
      <c r="J345" s="27">
        <f t="shared" si="125"/>
        <v>12000</v>
      </c>
    </row>
    <row r="346" ht="12.75" customHeight="1">
      <c r="A346" s="36">
        <v>5012976.0</v>
      </c>
      <c r="B346" s="36" t="s">
        <v>2804</v>
      </c>
      <c r="C346" s="26">
        <v>2.0</v>
      </c>
      <c r="D346" s="27">
        <v>2800.0</v>
      </c>
      <c r="E346" s="27">
        <f t="shared" si="122"/>
        <v>5600</v>
      </c>
      <c r="F346" s="27">
        <v>233.0</v>
      </c>
      <c r="G346" s="28">
        <v>550.0</v>
      </c>
      <c r="H346" s="27">
        <f t="shared" si="123"/>
        <v>317</v>
      </c>
      <c r="I346" s="27">
        <f t="shared" si="124"/>
        <v>7608</v>
      </c>
      <c r="J346" s="27">
        <f t="shared" si="125"/>
        <v>13200</v>
      </c>
    </row>
    <row r="347" ht="12.75" customHeight="1">
      <c r="A347" s="36">
        <v>5012990.0</v>
      </c>
      <c r="B347" s="36" t="s">
        <v>2805</v>
      </c>
      <c r="C347" s="26">
        <v>2.0</v>
      </c>
      <c r="D347" s="27">
        <v>3300.0</v>
      </c>
      <c r="E347" s="27">
        <f t="shared" si="122"/>
        <v>6600</v>
      </c>
      <c r="F347" s="27">
        <v>275.0</v>
      </c>
      <c r="G347" s="28">
        <v>600.0</v>
      </c>
      <c r="H347" s="27">
        <f t="shared" si="123"/>
        <v>325</v>
      </c>
      <c r="I347" s="27">
        <f t="shared" si="124"/>
        <v>7800</v>
      </c>
      <c r="J347" s="27">
        <f t="shared" si="125"/>
        <v>14400</v>
      </c>
    </row>
    <row r="348" ht="12.75" customHeight="1">
      <c r="A348" s="36">
        <v>4467007.0</v>
      </c>
      <c r="B348" s="36" t="s">
        <v>2704</v>
      </c>
      <c r="C348" s="26">
        <v>12.0</v>
      </c>
      <c r="D348" s="27">
        <v>830.0</v>
      </c>
      <c r="E348" s="27">
        <f t="shared" si="122"/>
        <v>9960</v>
      </c>
      <c r="F348" s="27">
        <v>830.0</v>
      </c>
      <c r="G348" s="28">
        <v>1500.0</v>
      </c>
      <c r="H348" s="27">
        <f t="shared" si="123"/>
        <v>670</v>
      </c>
      <c r="I348" s="27">
        <f>H348*12</f>
        <v>8040</v>
      </c>
      <c r="J348" s="27">
        <f>G348*12</f>
        <v>18000</v>
      </c>
    </row>
    <row r="349" ht="12.75" customHeight="1">
      <c r="A349" s="36">
        <v>7552007.0</v>
      </c>
      <c r="B349" s="36" t="s">
        <v>2700</v>
      </c>
      <c r="C349" s="26">
        <v>10.0</v>
      </c>
      <c r="D349" s="27">
        <v>380.0</v>
      </c>
      <c r="E349" s="27">
        <f t="shared" si="122"/>
        <v>3800</v>
      </c>
      <c r="F349" s="27">
        <v>380.0</v>
      </c>
      <c r="G349" s="28">
        <v>650.0</v>
      </c>
      <c r="H349" s="27">
        <f t="shared" si="123"/>
        <v>270</v>
      </c>
      <c r="I349" s="27">
        <f>H349*10</f>
        <v>2700</v>
      </c>
      <c r="J349" s="27">
        <f>G349*10</f>
        <v>6500</v>
      </c>
    </row>
    <row r="350" ht="12.75" customHeight="1">
      <c r="A350" s="36">
        <v>260601.0</v>
      </c>
      <c r="B350" s="36" t="s">
        <v>2806</v>
      </c>
      <c r="C350" s="26">
        <v>3.0</v>
      </c>
      <c r="D350" s="27">
        <v>930.0</v>
      </c>
      <c r="E350" s="27">
        <f t="shared" si="122"/>
        <v>2790</v>
      </c>
      <c r="F350" s="27">
        <v>930.0</v>
      </c>
      <c r="G350" s="28">
        <v>1600.0</v>
      </c>
      <c r="H350" s="27">
        <f t="shared" si="123"/>
        <v>670</v>
      </c>
      <c r="I350" s="27">
        <f t="shared" ref="I350:I351" si="126">H350*3</f>
        <v>2010</v>
      </c>
      <c r="J350" s="27">
        <f t="shared" ref="J350:J351" si="127">G350*3</f>
        <v>4800</v>
      </c>
    </row>
    <row r="351" ht="12.75" customHeight="1">
      <c r="A351" s="36">
        <v>9083121.0</v>
      </c>
      <c r="B351" s="36" t="s">
        <v>2709</v>
      </c>
      <c r="C351" s="26">
        <v>3.0</v>
      </c>
      <c r="D351" s="27">
        <v>1870.0</v>
      </c>
      <c r="E351" s="27">
        <f t="shared" si="122"/>
        <v>5610</v>
      </c>
      <c r="F351" s="27">
        <v>1870.0</v>
      </c>
      <c r="G351" s="28">
        <v>2800.0</v>
      </c>
      <c r="H351" s="27">
        <f t="shared" si="123"/>
        <v>930</v>
      </c>
      <c r="I351" s="27">
        <f t="shared" si="126"/>
        <v>2790</v>
      </c>
      <c r="J351" s="27">
        <f t="shared" si="127"/>
        <v>8400</v>
      </c>
    </row>
    <row r="352" ht="12.75" customHeight="1">
      <c r="A352" s="36">
        <v>3882942.0</v>
      </c>
      <c r="B352" s="36" t="s">
        <v>2693</v>
      </c>
      <c r="C352" s="26">
        <v>5.0</v>
      </c>
      <c r="D352" s="27">
        <v>920.0</v>
      </c>
      <c r="E352" s="27">
        <f t="shared" si="122"/>
        <v>4600</v>
      </c>
      <c r="F352" s="27">
        <v>920.0</v>
      </c>
      <c r="G352" s="28">
        <v>1500.0</v>
      </c>
      <c r="H352" s="27">
        <f t="shared" si="123"/>
        <v>580</v>
      </c>
      <c r="I352" s="27">
        <f t="shared" ref="I352:I353" si="128">H352*5</f>
        <v>2900</v>
      </c>
      <c r="J352" s="27">
        <f t="shared" ref="J352:J353" si="129">G352*5</f>
        <v>7500</v>
      </c>
    </row>
    <row r="353" ht="12.75" customHeight="1">
      <c r="A353" s="36">
        <v>4164023.0</v>
      </c>
      <c r="B353" s="36" t="s">
        <v>2573</v>
      </c>
      <c r="C353" s="26">
        <v>5.0</v>
      </c>
      <c r="D353" s="27">
        <v>1240.0</v>
      </c>
      <c r="E353" s="27">
        <f t="shared" si="122"/>
        <v>6200</v>
      </c>
      <c r="F353" s="27">
        <v>1240.0</v>
      </c>
      <c r="G353" s="28">
        <v>1700.0</v>
      </c>
      <c r="H353" s="27">
        <f t="shared" si="123"/>
        <v>460</v>
      </c>
      <c r="I353" s="27">
        <f t="shared" si="128"/>
        <v>2300</v>
      </c>
      <c r="J353" s="27">
        <f t="shared" si="129"/>
        <v>8500</v>
      </c>
    </row>
    <row r="354" ht="12.75" customHeight="1">
      <c r="A354" s="36">
        <v>3872103.0</v>
      </c>
      <c r="B354" s="36" t="s">
        <v>2807</v>
      </c>
      <c r="C354" s="26">
        <v>1.0</v>
      </c>
      <c r="D354" s="27">
        <v>3900.0</v>
      </c>
      <c r="E354" s="27">
        <f t="shared" si="122"/>
        <v>3900</v>
      </c>
      <c r="F354" s="27">
        <v>390.0</v>
      </c>
      <c r="G354" s="28">
        <v>1000.0</v>
      </c>
      <c r="H354" s="27">
        <f t="shared" si="123"/>
        <v>610</v>
      </c>
      <c r="I354" s="27">
        <f t="shared" ref="I354:I356" si="130">H354*10</f>
        <v>6100</v>
      </c>
      <c r="J354" s="27">
        <f t="shared" ref="J354:J356" si="131">G354*10</f>
        <v>10000</v>
      </c>
    </row>
    <row r="355" ht="12.75" customHeight="1">
      <c r="A355" s="36">
        <v>3871946.0</v>
      </c>
      <c r="B355" s="36" t="s">
        <v>2808</v>
      </c>
      <c r="C355" s="26">
        <v>1.0</v>
      </c>
      <c r="D355" s="27">
        <v>3900.0</v>
      </c>
      <c r="E355" s="27">
        <f t="shared" si="122"/>
        <v>3900</v>
      </c>
      <c r="F355" s="27">
        <v>390.0</v>
      </c>
      <c r="G355" s="28">
        <v>1000.0</v>
      </c>
      <c r="H355" s="27">
        <f t="shared" si="123"/>
        <v>610</v>
      </c>
      <c r="I355" s="27">
        <f t="shared" si="130"/>
        <v>6100</v>
      </c>
      <c r="J355" s="27">
        <f t="shared" si="131"/>
        <v>10000</v>
      </c>
    </row>
    <row r="356" ht="12.75" customHeight="1">
      <c r="A356" s="36">
        <v>3871953.0</v>
      </c>
      <c r="B356" s="36" t="s">
        <v>2809</v>
      </c>
      <c r="C356" s="26">
        <v>1.0</v>
      </c>
      <c r="D356" s="27">
        <v>3900.0</v>
      </c>
      <c r="E356" s="27">
        <f t="shared" si="122"/>
        <v>3900</v>
      </c>
      <c r="F356" s="27">
        <v>390.0</v>
      </c>
      <c r="G356" s="28">
        <v>1000.0</v>
      </c>
      <c r="H356" s="27">
        <f t="shared" si="123"/>
        <v>610</v>
      </c>
      <c r="I356" s="27">
        <f t="shared" si="130"/>
        <v>6100</v>
      </c>
      <c r="J356" s="27">
        <f t="shared" si="131"/>
        <v>10000</v>
      </c>
    </row>
    <row r="357" ht="12.75" customHeight="1">
      <c r="A357" s="36">
        <v>3871960.0</v>
      </c>
      <c r="B357" s="36" t="s">
        <v>2810</v>
      </c>
      <c r="C357" s="26">
        <v>2.0</v>
      </c>
      <c r="D357" s="27">
        <v>3900.0</v>
      </c>
      <c r="E357" s="27">
        <f t="shared" si="122"/>
        <v>7800</v>
      </c>
      <c r="F357" s="27">
        <v>390.0</v>
      </c>
      <c r="G357" s="28">
        <v>1000.0</v>
      </c>
      <c r="H357" s="27">
        <f t="shared" si="123"/>
        <v>610</v>
      </c>
      <c r="I357" s="27">
        <f>H357*20</f>
        <v>12200</v>
      </c>
      <c r="J357" s="27">
        <f>G357*20</f>
        <v>20000</v>
      </c>
    </row>
    <row r="358" ht="12.75" customHeight="1">
      <c r="A358" s="36">
        <v>3871977.0</v>
      </c>
      <c r="B358" s="36" t="s">
        <v>2811</v>
      </c>
      <c r="C358" s="26">
        <v>1.0</v>
      </c>
      <c r="D358" s="27">
        <v>3900.0</v>
      </c>
      <c r="E358" s="27">
        <f t="shared" si="122"/>
        <v>3900</v>
      </c>
      <c r="F358" s="27">
        <v>390.0</v>
      </c>
      <c r="G358" s="28">
        <v>1000.0</v>
      </c>
      <c r="H358" s="27">
        <f t="shared" si="123"/>
        <v>610</v>
      </c>
      <c r="I358" s="27">
        <f t="shared" ref="I358:I372" si="132">H358*10</f>
        <v>6100</v>
      </c>
      <c r="J358" s="27">
        <f t="shared" ref="J358:J372" si="133">G358*10</f>
        <v>10000</v>
      </c>
    </row>
    <row r="359" ht="12.75" customHeight="1">
      <c r="A359" s="36">
        <v>4083959.0</v>
      </c>
      <c r="B359" s="36" t="s">
        <v>2812</v>
      </c>
      <c r="C359" s="26">
        <v>1.0</v>
      </c>
      <c r="D359" s="27">
        <v>3900.0</v>
      </c>
      <c r="E359" s="27">
        <f t="shared" si="122"/>
        <v>3900</v>
      </c>
      <c r="F359" s="27">
        <v>390.0</v>
      </c>
      <c r="G359" s="28">
        <v>1000.0</v>
      </c>
      <c r="H359" s="27">
        <f t="shared" si="123"/>
        <v>610</v>
      </c>
      <c r="I359" s="27">
        <f t="shared" si="132"/>
        <v>6100</v>
      </c>
      <c r="J359" s="27">
        <f t="shared" si="133"/>
        <v>10000</v>
      </c>
    </row>
    <row r="360" ht="12.75" customHeight="1">
      <c r="A360" s="36">
        <v>4083973.0</v>
      </c>
      <c r="B360" s="36" t="s">
        <v>2813</v>
      </c>
      <c r="C360" s="26">
        <v>1.0</v>
      </c>
      <c r="D360" s="27">
        <v>3900.0</v>
      </c>
      <c r="E360" s="27">
        <f t="shared" si="122"/>
        <v>3900</v>
      </c>
      <c r="F360" s="27">
        <v>390.0</v>
      </c>
      <c r="G360" s="28">
        <v>1000.0</v>
      </c>
      <c r="H360" s="27">
        <f t="shared" si="123"/>
        <v>610</v>
      </c>
      <c r="I360" s="27">
        <f t="shared" si="132"/>
        <v>6100</v>
      </c>
      <c r="J360" s="27">
        <f t="shared" si="133"/>
        <v>10000</v>
      </c>
    </row>
    <row r="361" ht="12.75" customHeight="1">
      <c r="A361" s="36">
        <v>4083942.0</v>
      </c>
      <c r="B361" s="36" t="s">
        <v>2814</v>
      </c>
      <c r="C361" s="26">
        <v>1.0</v>
      </c>
      <c r="D361" s="27">
        <v>3900.0</v>
      </c>
      <c r="E361" s="27">
        <f t="shared" si="122"/>
        <v>3900</v>
      </c>
      <c r="F361" s="27">
        <v>390.0</v>
      </c>
      <c r="G361" s="28">
        <v>1000.0</v>
      </c>
      <c r="H361" s="27">
        <f t="shared" si="123"/>
        <v>610</v>
      </c>
      <c r="I361" s="27">
        <f t="shared" si="132"/>
        <v>6100</v>
      </c>
      <c r="J361" s="27">
        <f t="shared" si="133"/>
        <v>10000</v>
      </c>
    </row>
    <row r="362" ht="12.75" customHeight="1">
      <c r="A362" s="36">
        <v>3872011.0</v>
      </c>
      <c r="B362" s="36" t="s">
        <v>2815</v>
      </c>
      <c r="C362" s="26">
        <v>1.0</v>
      </c>
      <c r="D362" s="27">
        <v>3900.0</v>
      </c>
      <c r="E362" s="27">
        <f t="shared" si="122"/>
        <v>3900</v>
      </c>
      <c r="F362" s="27">
        <v>390.0</v>
      </c>
      <c r="G362" s="28">
        <v>1000.0</v>
      </c>
      <c r="H362" s="27">
        <f t="shared" si="123"/>
        <v>610</v>
      </c>
      <c r="I362" s="27">
        <f t="shared" si="132"/>
        <v>6100</v>
      </c>
      <c r="J362" s="27">
        <f t="shared" si="133"/>
        <v>10000</v>
      </c>
    </row>
    <row r="363" ht="12.75" customHeight="1">
      <c r="A363" s="36">
        <v>3872028.0</v>
      </c>
      <c r="B363" s="36" t="s">
        <v>2816</v>
      </c>
      <c r="C363" s="26">
        <v>1.0</v>
      </c>
      <c r="D363" s="27">
        <v>3900.0</v>
      </c>
      <c r="E363" s="27">
        <f t="shared" si="122"/>
        <v>3900</v>
      </c>
      <c r="F363" s="27">
        <v>390.0</v>
      </c>
      <c r="G363" s="28">
        <v>1000.0</v>
      </c>
      <c r="H363" s="27">
        <f t="shared" si="123"/>
        <v>610</v>
      </c>
      <c r="I363" s="27">
        <f t="shared" si="132"/>
        <v>6100</v>
      </c>
      <c r="J363" s="27">
        <f t="shared" si="133"/>
        <v>10000</v>
      </c>
    </row>
    <row r="364" ht="12.75" customHeight="1">
      <c r="A364" s="36">
        <v>3872059.0</v>
      </c>
      <c r="B364" s="36" t="s">
        <v>2817</v>
      </c>
      <c r="C364" s="26">
        <v>1.0</v>
      </c>
      <c r="D364" s="27">
        <v>3900.0</v>
      </c>
      <c r="E364" s="27">
        <f t="shared" si="122"/>
        <v>3900</v>
      </c>
      <c r="F364" s="27">
        <v>390.0</v>
      </c>
      <c r="G364" s="28">
        <v>1000.0</v>
      </c>
      <c r="H364" s="27">
        <f t="shared" si="123"/>
        <v>610</v>
      </c>
      <c r="I364" s="27">
        <f t="shared" si="132"/>
        <v>6100</v>
      </c>
      <c r="J364" s="27">
        <f t="shared" si="133"/>
        <v>10000</v>
      </c>
    </row>
    <row r="365" ht="12.75" customHeight="1">
      <c r="A365" s="36">
        <v>3872110.0</v>
      </c>
      <c r="B365" s="36" t="s">
        <v>2818</v>
      </c>
      <c r="C365" s="26">
        <v>1.0</v>
      </c>
      <c r="D365" s="27">
        <v>3900.0</v>
      </c>
      <c r="E365" s="27">
        <f t="shared" si="122"/>
        <v>3900</v>
      </c>
      <c r="F365" s="27">
        <v>390.0</v>
      </c>
      <c r="G365" s="28">
        <v>1000.0</v>
      </c>
      <c r="H365" s="27">
        <f t="shared" si="123"/>
        <v>610</v>
      </c>
      <c r="I365" s="27">
        <f t="shared" si="132"/>
        <v>6100</v>
      </c>
      <c r="J365" s="27">
        <f t="shared" si="133"/>
        <v>10000</v>
      </c>
    </row>
    <row r="366" ht="12.75" customHeight="1">
      <c r="A366" s="36">
        <v>3872066.0</v>
      </c>
      <c r="B366" s="36" t="s">
        <v>2819</v>
      </c>
      <c r="C366" s="26">
        <v>1.0</v>
      </c>
      <c r="D366" s="27">
        <v>3900.0</v>
      </c>
      <c r="E366" s="27">
        <f t="shared" si="122"/>
        <v>3900</v>
      </c>
      <c r="F366" s="27">
        <v>390.0</v>
      </c>
      <c r="G366" s="28">
        <v>1000.0</v>
      </c>
      <c r="H366" s="27">
        <f t="shared" si="123"/>
        <v>610</v>
      </c>
      <c r="I366" s="27">
        <f t="shared" si="132"/>
        <v>6100</v>
      </c>
      <c r="J366" s="27">
        <f t="shared" si="133"/>
        <v>10000</v>
      </c>
    </row>
    <row r="367" ht="12.75" customHeight="1">
      <c r="A367" s="36">
        <v>3872073.0</v>
      </c>
      <c r="B367" s="36" t="s">
        <v>2820</v>
      </c>
      <c r="C367" s="26">
        <v>1.0</v>
      </c>
      <c r="D367" s="27">
        <v>3900.0</v>
      </c>
      <c r="E367" s="27">
        <f t="shared" si="122"/>
        <v>3900</v>
      </c>
      <c r="F367" s="27">
        <v>390.0</v>
      </c>
      <c r="G367" s="28">
        <v>1000.0</v>
      </c>
      <c r="H367" s="27">
        <f t="shared" si="123"/>
        <v>610</v>
      </c>
      <c r="I367" s="27">
        <f t="shared" si="132"/>
        <v>6100</v>
      </c>
      <c r="J367" s="27">
        <f t="shared" si="133"/>
        <v>10000</v>
      </c>
    </row>
    <row r="368" ht="12.75" customHeight="1">
      <c r="A368" s="43" t="s">
        <v>2821</v>
      </c>
      <c r="B368" s="36" t="s">
        <v>2822</v>
      </c>
      <c r="C368" s="26">
        <v>1.0</v>
      </c>
      <c r="D368" s="27">
        <v>4130.0</v>
      </c>
      <c r="E368" s="27">
        <f t="shared" si="122"/>
        <v>4130</v>
      </c>
      <c r="F368" s="27">
        <v>413.0</v>
      </c>
      <c r="G368" s="28">
        <v>1000.0</v>
      </c>
      <c r="H368" s="27">
        <f t="shared" si="123"/>
        <v>587</v>
      </c>
      <c r="I368" s="27">
        <f t="shared" si="132"/>
        <v>5870</v>
      </c>
      <c r="J368" s="27">
        <f t="shared" si="133"/>
        <v>10000</v>
      </c>
    </row>
    <row r="369" ht="12.75" customHeight="1">
      <c r="A369" s="36">
        <v>4167352.0</v>
      </c>
      <c r="B369" s="36" t="s">
        <v>2823</v>
      </c>
      <c r="C369" s="26">
        <v>1.0</v>
      </c>
      <c r="D369" s="27">
        <v>5640.0</v>
      </c>
      <c r="E369" s="27">
        <f t="shared" si="122"/>
        <v>5640</v>
      </c>
      <c r="F369" s="27">
        <v>564.0</v>
      </c>
      <c r="G369" s="28">
        <v>1300.0</v>
      </c>
      <c r="H369" s="27">
        <f t="shared" si="123"/>
        <v>736</v>
      </c>
      <c r="I369" s="27">
        <f t="shared" si="132"/>
        <v>7360</v>
      </c>
      <c r="J369" s="27">
        <f t="shared" si="133"/>
        <v>13000</v>
      </c>
    </row>
    <row r="370" ht="12.75" customHeight="1">
      <c r="A370" s="36">
        <v>4224093.0</v>
      </c>
      <c r="B370" s="36" t="s">
        <v>2824</v>
      </c>
      <c r="C370" s="26">
        <v>1.0</v>
      </c>
      <c r="D370" s="27">
        <v>5640.0</v>
      </c>
      <c r="E370" s="27">
        <f t="shared" si="122"/>
        <v>5640</v>
      </c>
      <c r="F370" s="27">
        <v>564.0</v>
      </c>
      <c r="G370" s="28">
        <v>1300.0</v>
      </c>
      <c r="H370" s="27">
        <f t="shared" si="123"/>
        <v>736</v>
      </c>
      <c r="I370" s="27">
        <f t="shared" si="132"/>
        <v>7360</v>
      </c>
      <c r="J370" s="27">
        <f t="shared" si="133"/>
        <v>13000</v>
      </c>
    </row>
    <row r="371" ht="12.75" customHeight="1">
      <c r="A371" s="36">
        <v>4470285.0</v>
      </c>
      <c r="B371" s="36" t="s">
        <v>2825</v>
      </c>
      <c r="C371" s="26">
        <v>1.0</v>
      </c>
      <c r="D371" s="27">
        <v>5640.0</v>
      </c>
      <c r="E371" s="27">
        <f t="shared" si="122"/>
        <v>5640</v>
      </c>
      <c r="F371" s="27">
        <v>564.0</v>
      </c>
      <c r="G371" s="28">
        <v>1300.0</v>
      </c>
      <c r="H371" s="27">
        <f t="shared" si="123"/>
        <v>736</v>
      </c>
      <c r="I371" s="27">
        <f t="shared" si="132"/>
        <v>7360</v>
      </c>
      <c r="J371" s="27">
        <f t="shared" si="133"/>
        <v>13000</v>
      </c>
    </row>
    <row r="372" ht="12.75" customHeight="1">
      <c r="A372" s="36">
        <v>4322805.0</v>
      </c>
      <c r="B372" s="36" t="s">
        <v>2826</v>
      </c>
      <c r="C372" s="26">
        <v>1.0</v>
      </c>
      <c r="D372" s="27">
        <v>5640.0</v>
      </c>
      <c r="E372" s="27">
        <f t="shared" si="122"/>
        <v>5640</v>
      </c>
      <c r="F372" s="27">
        <v>564.0</v>
      </c>
      <c r="G372" s="28">
        <v>1300.0</v>
      </c>
      <c r="H372" s="27">
        <f t="shared" si="123"/>
        <v>736</v>
      </c>
      <c r="I372" s="27">
        <f t="shared" si="132"/>
        <v>7360</v>
      </c>
      <c r="J372" s="27">
        <f t="shared" si="133"/>
        <v>13000</v>
      </c>
    </row>
    <row r="373" ht="12.75" customHeight="1">
      <c r="A373" s="36">
        <v>4167321.0</v>
      </c>
      <c r="B373" s="36" t="s">
        <v>2827</v>
      </c>
      <c r="C373" s="26">
        <v>3.0</v>
      </c>
      <c r="D373" s="27">
        <v>5640.0</v>
      </c>
      <c r="E373" s="27">
        <f t="shared" si="122"/>
        <v>16920</v>
      </c>
      <c r="F373" s="27">
        <v>564.0</v>
      </c>
      <c r="G373" s="28">
        <v>1300.0</v>
      </c>
      <c r="H373" s="27">
        <f t="shared" si="123"/>
        <v>736</v>
      </c>
      <c r="I373" s="27">
        <f>H373*30</f>
        <v>22080</v>
      </c>
      <c r="J373" s="27">
        <f>G373*30</f>
        <v>39000</v>
      </c>
    </row>
    <row r="374" ht="12.75" customHeight="1">
      <c r="A374" s="36">
        <v>4470292.0</v>
      </c>
      <c r="B374" s="36" t="s">
        <v>2828</v>
      </c>
      <c r="C374" s="26">
        <v>1.0</v>
      </c>
      <c r="D374" s="27">
        <v>5640.0</v>
      </c>
      <c r="E374" s="27">
        <f t="shared" si="122"/>
        <v>5640</v>
      </c>
      <c r="F374" s="27">
        <v>564.0</v>
      </c>
      <c r="G374" s="28">
        <v>1300.0</v>
      </c>
      <c r="H374" s="27">
        <f t="shared" si="123"/>
        <v>736</v>
      </c>
      <c r="I374" s="27">
        <f t="shared" ref="I374:I377" si="134">H374*10</f>
        <v>7360</v>
      </c>
      <c r="J374" s="27">
        <f t="shared" ref="J374:J377" si="135">G374*10</f>
        <v>13000</v>
      </c>
    </row>
    <row r="375" ht="12.75" customHeight="1">
      <c r="A375" s="36">
        <v>4167383.0</v>
      </c>
      <c r="B375" s="36" t="s">
        <v>2829</v>
      </c>
      <c r="C375" s="26">
        <v>1.0</v>
      </c>
      <c r="D375" s="27">
        <v>5640.0</v>
      </c>
      <c r="E375" s="27">
        <f t="shared" si="122"/>
        <v>5640</v>
      </c>
      <c r="F375" s="27">
        <v>564.0</v>
      </c>
      <c r="G375" s="28">
        <v>1300.0</v>
      </c>
      <c r="H375" s="27">
        <f t="shared" si="123"/>
        <v>736</v>
      </c>
      <c r="I375" s="27">
        <f t="shared" si="134"/>
        <v>7360</v>
      </c>
      <c r="J375" s="27">
        <f t="shared" si="135"/>
        <v>13000</v>
      </c>
    </row>
    <row r="376" ht="12.75" customHeight="1">
      <c r="A376" s="36">
        <v>4167376.0</v>
      </c>
      <c r="B376" s="36" t="s">
        <v>2830</v>
      </c>
      <c r="C376" s="26">
        <v>1.0</v>
      </c>
      <c r="D376" s="27">
        <v>5640.0</v>
      </c>
      <c r="E376" s="27">
        <f t="shared" si="122"/>
        <v>5640</v>
      </c>
      <c r="F376" s="27">
        <v>564.0</v>
      </c>
      <c r="G376" s="28">
        <v>1300.0</v>
      </c>
      <c r="H376" s="27">
        <f t="shared" si="123"/>
        <v>736</v>
      </c>
      <c r="I376" s="27">
        <f t="shared" si="134"/>
        <v>7360</v>
      </c>
      <c r="J376" s="27">
        <f t="shared" si="135"/>
        <v>13000</v>
      </c>
    </row>
    <row r="377" ht="12.75" customHeight="1">
      <c r="A377" s="36">
        <v>4322812.0</v>
      </c>
      <c r="B377" s="36" t="s">
        <v>2831</v>
      </c>
      <c r="C377" s="26">
        <v>1.0</v>
      </c>
      <c r="D377" s="27">
        <v>5640.0</v>
      </c>
      <c r="E377" s="27">
        <f t="shared" si="122"/>
        <v>5640</v>
      </c>
      <c r="F377" s="27">
        <v>564.0</v>
      </c>
      <c r="G377" s="28">
        <v>1300.0</v>
      </c>
      <c r="H377" s="27">
        <f t="shared" si="123"/>
        <v>736</v>
      </c>
      <c r="I377" s="27">
        <f t="shared" si="134"/>
        <v>7360</v>
      </c>
      <c r="J377" s="27">
        <f t="shared" si="135"/>
        <v>13000</v>
      </c>
    </row>
    <row r="378" ht="12.75" customHeight="1">
      <c r="A378" s="36">
        <v>4167338.0</v>
      </c>
      <c r="B378" s="36" t="s">
        <v>2832</v>
      </c>
      <c r="C378" s="26">
        <v>2.0</v>
      </c>
      <c r="D378" s="27">
        <v>5640.0</v>
      </c>
      <c r="E378" s="27">
        <f t="shared" si="122"/>
        <v>11280</v>
      </c>
      <c r="F378" s="27">
        <v>564.0</v>
      </c>
      <c r="G378" s="28">
        <v>1300.0</v>
      </c>
      <c r="H378" s="27">
        <f t="shared" si="123"/>
        <v>736</v>
      </c>
      <c r="I378" s="27">
        <f>H378*20</f>
        <v>14720</v>
      </c>
      <c r="J378" s="27">
        <f>G378*20</f>
        <v>26000</v>
      </c>
    </row>
    <row r="379" ht="12.75" customHeight="1">
      <c r="A379" s="36">
        <v>4167345.0</v>
      </c>
      <c r="B379" s="36" t="s">
        <v>2833</v>
      </c>
      <c r="C379" s="26">
        <v>1.0</v>
      </c>
      <c r="D379" s="27">
        <v>5640.0</v>
      </c>
      <c r="E379" s="27">
        <f t="shared" si="122"/>
        <v>5640</v>
      </c>
      <c r="F379" s="27">
        <v>564.0</v>
      </c>
      <c r="G379" s="28">
        <v>1300.0</v>
      </c>
      <c r="H379" s="27">
        <f t="shared" si="123"/>
        <v>736</v>
      </c>
      <c r="I379" s="27">
        <f t="shared" ref="I379:I382" si="136">H379*10</f>
        <v>7360</v>
      </c>
      <c r="J379" s="27">
        <f t="shared" ref="J379:J382" si="137">G379*10</f>
        <v>13000</v>
      </c>
    </row>
    <row r="380" ht="12.75" customHeight="1">
      <c r="A380" s="36">
        <v>4322829.0</v>
      </c>
      <c r="B380" s="36" t="s">
        <v>2834</v>
      </c>
      <c r="C380" s="26">
        <v>1.0</v>
      </c>
      <c r="D380" s="27">
        <v>5640.0</v>
      </c>
      <c r="E380" s="27">
        <f t="shared" si="122"/>
        <v>5640</v>
      </c>
      <c r="F380" s="27">
        <v>564.0</v>
      </c>
      <c r="G380" s="28">
        <v>1300.0</v>
      </c>
      <c r="H380" s="27">
        <f t="shared" si="123"/>
        <v>736</v>
      </c>
      <c r="I380" s="27">
        <f t="shared" si="136"/>
        <v>7360</v>
      </c>
      <c r="J380" s="27">
        <f t="shared" si="137"/>
        <v>13000</v>
      </c>
    </row>
    <row r="381" ht="12.75" customHeight="1">
      <c r="A381" s="36">
        <v>4470278.0</v>
      </c>
      <c r="B381" s="36" t="s">
        <v>2835</v>
      </c>
      <c r="C381" s="26">
        <v>1.0</v>
      </c>
      <c r="D381" s="27">
        <v>5640.0</v>
      </c>
      <c r="E381" s="27">
        <f t="shared" si="122"/>
        <v>5640</v>
      </c>
      <c r="F381" s="27">
        <v>564.0</v>
      </c>
      <c r="G381" s="28">
        <v>1300.0</v>
      </c>
      <c r="H381" s="27">
        <f t="shared" si="123"/>
        <v>736</v>
      </c>
      <c r="I381" s="27">
        <f t="shared" si="136"/>
        <v>7360</v>
      </c>
      <c r="J381" s="27">
        <f t="shared" si="137"/>
        <v>13000</v>
      </c>
    </row>
    <row r="382" ht="12.75" customHeight="1">
      <c r="A382" s="36">
        <v>4167369.0</v>
      </c>
      <c r="B382" s="36" t="s">
        <v>2836</v>
      </c>
      <c r="C382" s="26">
        <v>1.0</v>
      </c>
      <c r="D382" s="27">
        <v>5640.0</v>
      </c>
      <c r="E382" s="27">
        <f t="shared" si="122"/>
        <v>5640</v>
      </c>
      <c r="F382" s="27">
        <v>564.0</v>
      </c>
      <c r="G382" s="28">
        <v>1300.0</v>
      </c>
      <c r="H382" s="27">
        <f t="shared" si="123"/>
        <v>736</v>
      </c>
      <c r="I382" s="27">
        <f t="shared" si="136"/>
        <v>7360</v>
      </c>
      <c r="J382" s="27">
        <f t="shared" si="137"/>
        <v>13000</v>
      </c>
    </row>
    <row r="383" ht="12.75" customHeight="1">
      <c r="A383" s="36">
        <v>3003011.0</v>
      </c>
      <c r="B383" s="36" t="s">
        <v>2619</v>
      </c>
      <c r="C383" s="26">
        <v>30.0</v>
      </c>
      <c r="D383" s="27">
        <v>200.0</v>
      </c>
      <c r="E383" s="27">
        <f t="shared" si="122"/>
        <v>6000</v>
      </c>
      <c r="F383" s="27">
        <v>200.0</v>
      </c>
      <c r="G383" s="28">
        <v>400.0</v>
      </c>
      <c r="H383" s="27">
        <f t="shared" si="123"/>
        <v>200</v>
      </c>
      <c r="I383" s="27">
        <f>H383*30</f>
        <v>6000</v>
      </c>
      <c r="J383" s="27">
        <f>G383*30</f>
        <v>12000</v>
      </c>
    </row>
    <row r="384" ht="12.75" customHeight="1">
      <c r="A384" s="36">
        <v>3003013.0</v>
      </c>
      <c r="B384" s="36" t="s">
        <v>2622</v>
      </c>
      <c r="C384" s="26">
        <v>20.0</v>
      </c>
      <c r="D384" s="27">
        <v>200.0</v>
      </c>
      <c r="E384" s="27">
        <f t="shared" si="122"/>
        <v>4000</v>
      </c>
      <c r="F384" s="27">
        <v>200.0</v>
      </c>
      <c r="G384" s="28">
        <v>400.0</v>
      </c>
      <c r="H384" s="27">
        <f t="shared" si="123"/>
        <v>200</v>
      </c>
      <c r="I384" s="27">
        <f t="shared" ref="I384:I394" si="138">H384*20</f>
        <v>4000</v>
      </c>
      <c r="J384" s="27">
        <f t="shared" ref="J384:J394" si="139">G384*20</f>
        <v>8000</v>
      </c>
    </row>
    <row r="385" ht="12.75" customHeight="1">
      <c r="A385" s="36">
        <v>3003017.0</v>
      </c>
      <c r="B385" s="36" t="s">
        <v>2837</v>
      </c>
      <c r="C385" s="26">
        <v>20.0</v>
      </c>
      <c r="D385" s="27">
        <v>200.0</v>
      </c>
      <c r="E385" s="27">
        <f t="shared" si="122"/>
        <v>4000</v>
      </c>
      <c r="F385" s="27">
        <v>200.0</v>
      </c>
      <c r="G385" s="28">
        <v>400.0</v>
      </c>
      <c r="H385" s="27">
        <f t="shared" si="123"/>
        <v>200</v>
      </c>
      <c r="I385" s="27">
        <f t="shared" si="138"/>
        <v>4000</v>
      </c>
      <c r="J385" s="27">
        <f t="shared" si="139"/>
        <v>8000</v>
      </c>
    </row>
    <row r="386" ht="12.75" customHeight="1">
      <c r="A386" s="36">
        <v>3003009.0</v>
      </c>
      <c r="B386" s="36" t="s">
        <v>2624</v>
      </c>
      <c r="C386" s="26">
        <v>20.0</v>
      </c>
      <c r="D386" s="27">
        <v>200.0</v>
      </c>
      <c r="E386" s="27">
        <f t="shared" si="122"/>
        <v>4000</v>
      </c>
      <c r="F386" s="27">
        <v>200.0</v>
      </c>
      <c r="G386" s="28">
        <v>400.0</v>
      </c>
      <c r="H386" s="27">
        <f t="shared" si="123"/>
        <v>200</v>
      </c>
      <c r="I386" s="27">
        <f t="shared" si="138"/>
        <v>4000</v>
      </c>
      <c r="J386" s="27">
        <f t="shared" si="139"/>
        <v>8000</v>
      </c>
    </row>
    <row r="387" ht="12.75" customHeight="1">
      <c r="A387" s="36">
        <v>3003012.0</v>
      </c>
      <c r="B387" s="36" t="s">
        <v>2620</v>
      </c>
      <c r="C387" s="26">
        <v>20.0</v>
      </c>
      <c r="D387" s="27">
        <v>175.0</v>
      </c>
      <c r="E387" s="27">
        <f t="shared" si="122"/>
        <v>3500</v>
      </c>
      <c r="F387" s="27">
        <v>175.0</v>
      </c>
      <c r="G387" s="28">
        <v>400.0</v>
      </c>
      <c r="H387" s="27">
        <f t="shared" si="123"/>
        <v>225</v>
      </c>
      <c r="I387" s="27">
        <f t="shared" si="138"/>
        <v>4500</v>
      </c>
      <c r="J387" s="27">
        <f t="shared" si="139"/>
        <v>8000</v>
      </c>
    </row>
    <row r="388" ht="12.75" customHeight="1">
      <c r="A388" s="36">
        <v>3003008.0</v>
      </c>
      <c r="B388" s="36" t="s">
        <v>2621</v>
      </c>
      <c r="C388" s="26">
        <v>20.0</v>
      </c>
      <c r="D388" s="27">
        <v>200.0</v>
      </c>
      <c r="E388" s="27">
        <f t="shared" si="122"/>
        <v>4000</v>
      </c>
      <c r="F388" s="27">
        <v>200.0</v>
      </c>
      <c r="G388" s="28">
        <v>400.0</v>
      </c>
      <c r="H388" s="27">
        <f t="shared" si="123"/>
        <v>200</v>
      </c>
      <c r="I388" s="27">
        <f t="shared" si="138"/>
        <v>4000</v>
      </c>
      <c r="J388" s="27">
        <f t="shared" si="139"/>
        <v>8000</v>
      </c>
    </row>
    <row r="389" ht="12.75" customHeight="1">
      <c r="A389" s="36">
        <v>3003002.0</v>
      </c>
      <c r="B389" s="36" t="s">
        <v>2838</v>
      </c>
      <c r="C389" s="26">
        <v>20.0</v>
      </c>
      <c r="D389" s="27">
        <v>200.0</v>
      </c>
      <c r="E389" s="27">
        <f t="shared" si="122"/>
        <v>4000</v>
      </c>
      <c r="F389" s="27">
        <v>200.0</v>
      </c>
      <c r="G389" s="28">
        <v>400.0</v>
      </c>
      <c r="H389" s="27">
        <f t="shared" si="123"/>
        <v>200</v>
      </c>
      <c r="I389" s="27">
        <f t="shared" si="138"/>
        <v>4000</v>
      </c>
      <c r="J389" s="27">
        <f t="shared" si="139"/>
        <v>8000</v>
      </c>
    </row>
    <row r="390" ht="12.75" customHeight="1">
      <c r="A390" s="36">
        <v>3003016.0</v>
      </c>
      <c r="B390" s="36" t="s">
        <v>2839</v>
      </c>
      <c r="C390" s="26">
        <v>20.0</v>
      </c>
      <c r="D390" s="27">
        <v>200.0</v>
      </c>
      <c r="E390" s="27">
        <f t="shared" si="122"/>
        <v>4000</v>
      </c>
      <c r="F390" s="27">
        <v>200.0</v>
      </c>
      <c r="G390" s="28">
        <v>400.0</v>
      </c>
      <c r="H390" s="27">
        <f t="shared" si="123"/>
        <v>200</v>
      </c>
      <c r="I390" s="27">
        <f t="shared" si="138"/>
        <v>4000</v>
      </c>
      <c r="J390" s="27">
        <f t="shared" si="139"/>
        <v>8000</v>
      </c>
    </row>
    <row r="391" ht="12.75" customHeight="1">
      <c r="A391" s="36">
        <v>3003007.0</v>
      </c>
      <c r="B391" s="36" t="s">
        <v>2634</v>
      </c>
      <c r="C391" s="26">
        <v>20.0</v>
      </c>
      <c r="D391" s="27">
        <v>200.0</v>
      </c>
      <c r="E391" s="27">
        <f t="shared" si="122"/>
        <v>4000</v>
      </c>
      <c r="F391" s="27">
        <v>200.0</v>
      </c>
      <c r="G391" s="28">
        <v>400.0</v>
      </c>
      <c r="H391" s="27">
        <f t="shared" si="123"/>
        <v>200</v>
      </c>
      <c r="I391" s="27">
        <f t="shared" si="138"/>
        <v>4000</v>
      </c>
      <c r="J391" s="27">
        <f t="shared" si="139"/>
        <v>8000</v>
      </c>
    </row>
    <row r="392" ht="12.75" customHeight="1">
      <c r="A392" s="36">
        <v>3003001.0</v>
      </c>
      <c r="B392" s="36" t="s">
        <v>2840</v>
      </c>
      <c r="C392" s="26">
        <v>20.0</v>
      </c>
      <c r="D392" s="27">
        <v>200.0</v>
      </c>
      <c r="E392" s="27">
        <f t="shared" si="122"/>
        <v>4000</v>
      </c>
      <c r="F392" s="27">
        <v>200.0</v>
      </c>
      <c r="G392" s="28">
        <v>400.0</v>
      </c>
      <c r="H392" s="27">
        <f t="shared" si="123"/>
        <v>200</v>
      </c>
      <c r="I392" s="27">
        <f t="shared" si="138"/>
        <v>4000</v>
      </c>
      <c r="J392" s="27">
        <f t="shared" si="139"/>
        <v>8000</v>
      </c>
    </row>
    <row r="393" ht="12.75" customHeight="1">
      <c r="A393" s="36">
        <v>3003018.0</v>
      </c>
      <c r="B393" s="36" t="s">
        <v>2841</v>
      </c>
      <c r="C393" s="26">
        <v>20.0</v>
      </c>
      <c r="D393" s="27">
        <v>200.0</v>
      </c>
      <c r="E393" s="27">
        <f t="shared" si="122"/>
        <v>4000</v>
      </c>
      <c r="F393" s="27">
        <v>200.0</v>
      </c>
      <c r="G393" s="28">
        <v>400.0</v>
      </c>
      <c r="H393" s="27">
        <f t="shared" si="123"/>
        <v>200</v>
      </c>
      <c r="I393" s="27">
        <f t="shared" si="138"/>
        <v>4000</v>
      </c>
      <c r="J393" s="27">
        <f t="shared" si="139"/>
        <v>8000</v>
      </c>
    </row>
    <row r="394" ht="12.75" customHeight="1">
      <c r="A394" s="36">
        <v>1265004.0</v>
      </c>
      <c r="B394" s="36" t="s">
        <v>2842</v>
      </c>
      <c r="C394" s="26">
        <v>20.0</v>
      </c>
      <c r="D394" s="27">
        <v>90.0</v>
      </c>
      <c r="E394" s="27">
        <f t="shared" si="122"/>
        <v>1800</v>
      </c>
      <c r="F394" s="27">
        <v>90.0</v>
      </c>
      <c r="G394" s="28">
        <v>250.0</v>
      </c>
      <c r="H394" s="27">
        <f t="shared" si="123"/>
        <v>160</v>
      </c>
      <c r="I394" s="27">
        <f t="shared" si="138"/>
        <v>3200</v>
      </c>
      <c r="J394" s="27">
        <f t="shared" si="139"/>
        <v>5000</v>
      </c>
    </row>
    <row r="395" ht="12.75" customHeight="1">
      <c r="A395" s="36">
        <v>1280007.0</v>
      </c>
      <c r="B395" s="36" t="s">
        <v>2843</v>
      </c>
      <c r="C395" s="26">
        <v>10.0</v>
      </c>
      <c r="D395" s="27">
        <v>360.0</v>
      </c>
      <c r="E395" s="27">
        <f t="shared" si="122"/>
        <v>3600</v>
      </c>
      <c r="F395" s="27">
        <v>360.0</v>
      </c>
      <c r="G395" s="28">
        <v>900.0</v>
      </c>
      <c r="H395" s="27">
        <f t="shared" si="123"/>
        <v>540</v>
      </c>
      <c r="I395" s="27">
        <f t="shared" ref="I395:I397" si="140">H395*10</f>
        <v>5400</v>
      </c>
      <c r="J395" s="27">
        <f t="shared" ref="J395:J397" si="141">G395*10</f>
        <v>9000</v>
      </c>
    </row>
    <row r="396" ht="12.75" customHeight="1">
      <c r="A396" s="36">
        <v>98.0</v>
      </c>
      <c r="B396" s="36" t="s">
        <v>2844</v>
      </c>
      <c r="C396" s="26">
        <v>10.0</v>
      </c>
      <c r="D396" s="27">
        <v>2510.0</v>
      </c>
      <c r="E396" s="27">
        <f t="shared" si="122"/>
        <v>25100</v>
      </c>
      <c r="F396" s="27">
        <v>2510.0</v>
      </c>
      <c r="G396" s="28">
        <v>3800.0</v>
      </c>
      <c r="H396" s="27">
        <f t="shared" si="123"/>
        <v>1290</v>
      </c>
      <c r="I396" s="27">
        <f t="shared" si="140"/>
        <v>12900</v>
      </c>
      <c r="J396" s="27">
        <f t="shared" si="141"/>
        <v>38000</v>
      </c>
    </row>
    <row r="397" ht="12.75" customHeight="1">
      <c r="A397" s="36">
        <v>97.0</v>
      </c>
      <c r="B397" s="36" t="s">
        <v>2845</v>
      </c>
      <c r="C397" s="26">
        <v>10.0</v>
      </c>
      <c r="D397" s="27">
        <v>2670.0</v>
      </c>
      <c r="E397" s="27">
        <f t="shared" si="122"/>
        <v>26700</v>
      </c>
      <c r="F397" s="27">
        <v>2670.0</v>
      </c>
      <c r="G397" s="28">
        <v>4000.0</v>
      </c>
      <c r="H397" s="27">
        <f t="shared" si="123"/>
        <v>1330</v>
      </c>
      <c r="I397" s="27">
        <f t="shared" si="140"/>
        <v>13300</v>
      </c>
      <c r="J397" s="27">
        <f t="shared" si="141"/>
        <v>40000</v>
      </c>
    </row>
    <row r="398" ht="12.75" customHeight="1">
      <c r="A398" s="25"/>
      <c r="C398" s="26"/>
      <c r="D398" s="27"/>
      <c r="E398" s="27"/>
      <c r="F398" s="27"/>
      <c r="G398" s="28"/>
      <c r="H398" s="27"/>
      <c r="I398" s="27"/>
      <c r="J398" s="27"/>
    </row>
    <row r="399" ht="12.75" customHeight="1">
      <c r="A399" s="25"/>
      <c r="C399" s="26"/>
      <c r="D399" s="27"/>
      <c r="E399" s="32">
        <f>SUM(E340:E397)</f>
        <v>358910</v>
      </c>
      <c r="F399" s="27"/>
      <c r="G399" s="28"/>
      <c r="H399" s="27"/>
      <c r="I399" s="39">
        <f t="shared" ref="I399:J399" si="142">SUM(I340:I397)</f>
        <v>378606</v>
      </c>
      <c r="J399" s="39">
        <f t="shared" si="142"/>
        <v>737500</v>
      </c>
    </row>
    <row r="400" ht="12.75" customHeight="1">
      <c r="A400" s="25"/>
      <c r="C400" s="26"/>
      <c r="D400" s="27"/>
      <c r="E400" s="27"/>
      <c r="F400" s="27"/>
      <c r="G400" s="28"/>
      <c r="H400" s="27"/>
      <c r="I400" s="27"/>
      <c r="J400" s="27"/>
    </row>
    <row r="401" ht="12.75" customHeight="1">
      <c r="A401" s="25"/>
      <c r="C401" s="26"/>
      <c r="D401" s="27"/>
      <c r="E401" s="27"/>
      <c r="F401" s="27"/>
      <c r="G401" s="28"/>
      <c r="H401" s="27"/>
      <c r="I401" s="27"/>
      <c r="J401" s="27"/>
    </row>
    <row r="402" ht="12.75" customHeight="1">
      <c r="A402" s="34">
        <v>45440.0</v>
      </c>
      <c r="C402" s="26"/>
      <c r="D402" s="27"/>
      <c r="E402" s="27"/>
      <c r="F402" s="27"/>
      <c r="G402" s="28"/>
      <c r="H402" s="27"/>
      <c r="I402" s="27"/>
      <c r="J402" s="27"/>
    </row>
    <row r="403" ht="12.75" customHeight="1">
      <c r="A403" s="25"/>
      <c r="C403" s="26"/>
      <c r="D403" s="27"/>
      <c r="E403" s="27"/>
      <c r="F403" s="27"/>
      <c r="G403" s="28"/>
      <c r="H403" s="27"/>
      <c r="I403" s="27"/>
      <c r="J403" s="27"/>
    </row>
    <row r="404" ht="12.75" customHeight="1">
      <c r="A404" s="36">
        <v>4630306.0</v>
      </c>
      <c r="B404" s="36" t="s">
        <v>2759</v>
      </c>
      <c r="C404" s="26">
        <v>1.0</v>
      </c>
      <c r="D404" s="27">
        <v>2650.0</v>
      </c>
      <c r="E404" s="27">
        <f t="shared" ref="E404:E438" si="143">D404*C404</f>
        <v>2650</v>
      </c>
      <c r="F404" s="27">
        <v>222.0</v>
      </c>
      <c r="G404" s="28">
        <v>450.0</v>
      </c>
      <c r="H404" s="27">
        <f t="shared" ref="H404:H438" si="144">G404-F404</f>
        <v>228</v>
      </c>
      <c r="I404" s="27">
        <f>H404*12</f>
        <v>2736</v>
      </c>
      <c r="J404" s="27">
        <f>G404*12</f>
        <v>5400</v>
      </c>
    </row>
    <row r="405" ht="12.75" customHeight="1">
      <c r="A405" s="36">
        <v>3.6556581E7</v>
      </c>
      <c r="B405" s="36" t="s">
        <v>2846</v>
      </c>
      <c r="C405" s="26">
        <v>2.0</v>
      </c>
      <c r="D405" s="27">
        <v>2240.0</v>
      </c>
      <c r="E405" s="27">
        <f t="shared" si="143"/>
        <v>4480</v>
      </c>
      <c r="F405" s="27">
        <v>112.0</v>
      </c>
      <c r="G405" s="28">
        <v>500.0</v>
      </c>
      <c r="H405" s="27">
        <f t="shared" si="144"/>
        <v>388</v>
      </c>
      <c r="I405" s="27">
        <f>H405*40</f>
        <v>15520</v>
      </c>
      <c r="J405" s="27">
        <f>G405*40</f>
        <v>20000</v>
      </c>
    </row>
    <row r="406" ht="12.75" customHeight="1">
      <c r="A406" s="36">
        <v>5062223.0</v>
      </c>
      <c r="B406" s="36" t="s">
        <v>2847</v>
      </c>
      <c r="C406" s="26">
        <v>20.0</v>
      </c>
      <c r="D406" s="27">
        <v>120.0</v>
      </c>
      <c r="E406" s="27">
        <f t="shared" si="143"/>
        <v>2400</v>
      </c>
      <c r="F406" s="27">
        <v>120.0</v>
      </c>
      <c r="G406" s="28">
        <v>300.0</v>
      </c>
      <c r="H406" s="27">
        <f t="shared" si="144"/>
        <v>180</v>
      </c>
      <c r="I406" s="27">
        <f>H406*20</f>
        <v>3600</v>
      </c>
      <c r="J406" s="27">
        <f>G406*20</f>
        <v>6000</v>
      </c>
    </row>
    <row r="407" ht="12.75" customHeight="1">
      <c r="A407" s="36">
        <v>5390009.0</v>
      </c>
      <c r="B407" s="36" t="s">
        <v>2848</v>
      </c>
      <c r="C407" s="26">
        <v>6.0</v>
      </c>
      <c r="D407" s="27">
        <v>320.0</v>
      </c>
      <c r="E407" s="27">
        <f t="shared" si="143"/>
        <v>1920</v>
      </c>
      <c r="F407" s="27">
        <v>32.0</v>
      </c>
      <c r="G407" s="28">
        <v>100.0</v>
      </c>
      <c r="H407" s="27">
        <f t="shared" si="144"/>
        <v>68</v>
      </c>
      <c r="I407" s="27">
        <f t="shared" ref="I407:I410" si="145">H407*60</f>
        <v>4080</v>
      </c>
      <c r="J407" s="27">
        <f t="shared" ref="J407:J411" si="146">G407*60</f>
        <v>6000</v>
      </c>
    </row>
    <row r="408" ht="12.75" customHeight="1">
      <c r="A408" s="36">
        <v>5391006.0</v>
      </c>
      <c r="B408" s="36" t="s">
        <v>2849</v>
      </c>
      <c r="C408" s="26">
        <v>6.0</v>
      </c>
      <c r="D408" s="27">
        <v>630.0</v>
      </c>
      <c r="E408" s="27">
        <f t="shared" si="143"/>
        <v>3780</v>
      </c>
      <c r="F408" s="27">
        <v>63.0</v>
      </c>
      <c r="G408" s="28">
        <v>150.0</v>
      </c>
      <c r="H408" s="27">
        <f t="shared" si="144"/>
        <v>87</v>
      </c>
      <c r="I408" s="27">
        <f t="shared" si="145"/>
        <v>5220</v>
      </c>
      <c r="J408" s="27">
        <f t="shared" si="146"/>
        <v>9000</v>
      </c>
    </row>
    <row r="409" ht="12.75" customHeight="1">
      <c r="A409" s="36">
        <v>5395004.0</v>
      </c>
      <c r="B409" s="36" t="s">
        <v>2850</v>
      </c>
      <c r="C409" s="26">
        <v>6.0</v>
      </c>
      <c r="D409" s="27">
        <v>800.0</v>
      </c>
      <c r="E409" s="27">
        <f t="shared" si="143"/>
        <v>4800</v>
      </c>
      <c r="F409" s="27">
        <v>80.0</v>
      </c>
      <c r="G409" s="28">
        <v>200.0</v>
      </c>
      <c r="H409" s="27">
        <f t="shared" si="144"/>
        <v>120</v>
      </c>
      <c r="I409" s="27">
        <f t="shared" si="145"/>
        <v>7200</v>
      </c>
      <c r="J409" s="27">
        <f t="shared" si="146"/>
        <v>12000</v>
      </c>
    </row>
    <row r="410" ht="12.75" customHeight="1">
      <c r="A410" s="36">
        <v>5392003.0</v>
      </c>
      <c r="B410" s="36" t="s">
        <v>2660</v>
      </c>
      <c r="C410" s="26">
        <v>6.0</v>
      </c>
      <c r="D410" s="27">
        <v>1600.0</v>
      </c>
      <c r="E410" s="27">
        <f t="shared" si="143"/>
        <v>9600</v>
      </c>
      <c r="F410" s="27">
        <v>160.0</v>
      </c>
      <c r="G410" s="28">
        <v>350.0</v>
      </c>
      <c r="H410" s="27">
        <f t="shared" si="144"/>
        <v>190</v>
      </c>
      <c r="I410" s="27">
        <f t="shared" si="145"/>
        <v>11400</v>
      </c>
      <c r="J410" s="27">
        <f t="shared" si="146"/>
        <v>21000</v>
      </c>
    </row>
    <row r="411" ht="12.75" customHeight="1">
      <c r="A411" s="36">
        <v>5396001.0</v>
      </c>
      <c r="B411" s="36" t="s">
        <v>2661</v>
      </c>
      <c r="C411" s="26">
        <v>6.0</v>
      </c>
      <c r="D411" s="27">
        <v>1900.0</v>
      </c>
      <c r="E411" s="27">
        <f t="shared" si="143"/>
        <v>11400</v>
      </c>
      <c r="F411" s="27">
        <v>190.0</v>
      </c>
      <c r="G411" s="28">
        <v>500.0</v>
      </c>
      <c r="H411" s="27">
        <f t="shared" si="144"/>
        <v>310</v>
      </c>
      <c r="I411" s="27">
        <f>H411*10</f>
        <v>3100</v>
      </c>
      <c r="J411" s="27">
        <f t="shared" si="146"/>
        <v>30000</v>
      </c>
    </row>
    <row r="412" ht="12.75" customHeight="1">
      <c r="A412" s="36">
        <v>5393000.0</v>
      </c>
      <c r="B412" s="36" t="s">
        <v>2662</v>
      </c>
      <c r="C412" s="26">
        <v>10.0</v>
      </c>
      <c r="D412" s="27">
        <v>1470.0</v>
      </c>
      <c r="E412" s="27">
        <f t="shared" si="143"/>
        <v>14700</v>
      </c>
      <c r="F412" s="27">
        <v>294.0</v>
      </c>
      <c r="G412" s="28">
        <v>600.0</v>
      </c>
      <c r="H412" s="27">
        <f t="shared" si="144"/>
        <v>306</v>
      </c>
      <c r="I412" s="27">
        <f>H412*50</f>
        <v>15300</v>
      </c>
      <c r="J412" s="27">
        <f>G412*50</f>
        <v>30000</v>
      </c>
    </row>
    <row r="413" ht="12.75" customHeight="1">
      <c r="A413" s="36">
        <v>4326049.0</v>
      </c>
      <c r="B413" s="36" t="s">
        <v>2760</v>
      </c>
      <c r="C413" s="26">
        <v>1.0</v>
      </c>
      <c r="D413" s="27">
        <v>2660.0</v>
      </c>
      <c r="E413" s="27">
        <f t="shared" si="143"/>
        <v>2660</v>
      </c>
      <c r="F413" s="27">
        <v>222.0</v>
      </c>
      <c r="G413" s="28">
        <v>450.0</v>
      </c>
      <c r="H413" s="27">
        <f t="shared" si="144"/>
        <v>228</v>
      </c>
      <c r="I413" s="27">
        <f>H413*12</f>
        <v>2736</v>
      </c>
      <c r="J413" s="27">
        <f>G413*12</f>
        <v>5400</v>
      </c>
    </row>
    <row r="414" ht="12.75" customHeight="1">
      <c r="A414" s="36">
        <v>5065026.0</v>
      </c>
      <c r="B414" s="36" t="s">
        <v>2851</v>
      </c>
      <c r="C414" s="26">
        <v>40.0</v>
      </c>
      <c r="D414" s="27">
        <v>149.0</v>
      </c>
      <c r="E414" s="27">
        <f t="shared" si="143"/>
        <v>5960</v>
      </c>
      <c r="F414" s="27">
        <v>149.0</v>
      </c>
      <c r="G414" s="28">
        <v>300.0</v>
      </c>
      <c r="H414" s="27">
        <f t="shared" si="144"/>
        <v>151</v>
      </c>
      <c r="I414" s="27">
        <f t="shared" ref="I414:I415" si="147">H414*40</f>
        <v>6040</v>
      </c>
      <c r="J414" s="27">
        <f t="shared" ref="J414:J415" si="148">G414*40</f>
        <v>12000</v>
      </c>
    </row>
    <row r="415" ht="12.75" customHeight="1">
      <c r="A415" s="36">
        <v>5062476.0</v>
      </c>
      <c r="B415" s="36" t="s">
        <v>2852</v>
      </c>
      <c r="C415" s="26">
        <v>40.0</v>
      </c>
      <c r="D415" s="27">
        <v>120.0</v>
      </c>
      <c r="E415" s="27">
        <f t="shared" si="143"/>
        <v>4800</v>
      </c>
      <c r="F415" s="27">
        <v>120.0</v>
      </c>
      <c r="G415" s="28">
        <v>300.0</v>
      </c>
      <c r="H415" s="27">
        <f t="shared" si="144"/>
        <v>180</v>
      </c>
      <c r="I415" s="27">
        <f t="shared" si="147"/>
        <v>7200</v>
      </c>
      <c r="J415" s="27">
        <f t="shared" si="148"/>
        <v>12000</v>
      </c>
    </row>
    <row r="416" ht="12.75" customHeight="1">
      <c r="A416" s="36">
        <v>4305005.0</v>
      </c>
      <c r="B416" s="36" t="s">
        <v>2853</v>
      </c>
      <c r="C416" s="26">
        <v>20.0</v>
      </c>
      <c r="D416" s="27">
        <v>690.0</v>
      </c>
      <c r="E416" s="27">
        <f t="shared" si="143"/>
        <v>13800</v>
      </c>
      <c r="F416" s="27">
        <v>690.0</v>
      </c>
      <c r="G416" s="28">
        <v>1300.0</v>
      </c>
      <c r="H416" s="27">
        <f t="shared" si="144"/>
        <v>610</v>
      </c>
      <c r="I416" s="27">
        <f>H416*20</f>
        <v>12200</v>
      </c>
      <c r="J416" s="27">
        <f>G416*20</f>
        <v>26000</v>
      </c>
    </row>
    <row r="417" ht="12.75" customHeight="1">
      <c r="A417" s="36">
        <v>5034459.0</v>
      </c>
      <c r="B417" s="36" t="s">
        <v>2854</v>
      </c>
      <c r="C417" s="26">
        <v>1.0</v>
      </c>
      <c r="D417" s="27">
        <v>9380.0</v>
      </c>
      <c r="E417" s="27">
        <f t="shared" si="143"/>
        <v>9380</v>
      </c>
      <c r="F417" s="27">
        <v>782.0</v>
      </c>
      <c r="G417" s="28">
        <v>1500.0</v>
      </c>
      <c r="H417" s="27">
        <f t="shared" si="144"/>
        <v>718</v>
      </c>
      <c r="I417" s="27">
        <f>H417*12</f>
        <v>8616</v>
      </c>
      <c r="J417" s="27">
        <f>G417*12</f>
        <v>18000</v>
      </c>
    </row>
    <row r="418" ht="12.75" customHeight="1">
      <c r="A418" s="36">
        <v>5060502.0</v>
      </c>
      <c r="B418" s="36" t="s">
        <v>2855</v>
      </c>
      <c r="C418" s="26">
        <v>3.0</v>
      </c>
      <c r="D418" s="27">
        <v>2920.0</v>
      </c>
      <c r="E418" s="27">
        <f t="shared" si="143"/>
        <v>8760</v>
      </c>
      <c r="F418" s="27">
        <v>244.0</v>
      </c>
      <c r="G418" s="28">
        <v>700.0</v>
      </c>
      <c r="H418" s="27">
        <f t="shared" si="144"/>
        <v>456</v>
      </c>
      <c r="I418" s="27">
        <f t="shared" ref="I418:I419" si="149">H418*36</f>
        <v>16416</v>
      </c>
      <c r="J418" s="27">
        <f t="shared" ref="J418:J419" si="150">G418*36</f>
        <v>25200</v>
      </c>
    </row>
    <row r="419" ht="12.75" customHeight="1">
      <c r="A419" s="36">
        <v>4822564.0</v>
      </c>
      <c r="B419" s="36" t="s">
        <v>2856</v>
      </c>
      <c r="C419" s="26">
        <v>3.0</v>
      </c>
      <c r="D419" s="27">
        <v>2810.0</v>
      </c>
      <c r="E419" s="27">
        <f t="shared" si="143"/>
        <v>8430</v>
      </c>
      <c r="F419" s="27">
        <v>235.0</v>
      </c>
      <c r="G419" s="28">
        <v>700.0</v>
      </c>
      <c r="H419" s="27">
        <f t="shared" si="144"/>
        <v>465</v>
      </c>
      <c r="I419" s="27">
        <f t="shared" si="149"/>
        <v>16740</v>
      </c>
      <c r="J419" s="27">
        <f t="shared" si="150"/>
        <v>25200</v>
      </c>
    </row>
    <row r="420" ht="12.75" customHeight="1">
      <c r="A420" s="36">
        <v>5034664.0</v>
      </c>
      <c r="B420" s="36" t="s">
        <v>2797</v>
      </c>
      <c r="C420" s="26">
        <v>1.0</v>
      </c>
      <c r="D420" s="27">
        <v>4940.0</v>
      </c>
      <c r="E420" s="27">
        <f t="shared" si="143"/>
        <v>4940</v>
      </c>
      <c r="F420" s="27">
        <v>412.0</v>
      </c>
      <c r="G420" s="28">
        <v>600.0</v>
      </c>
      <c r="H420" s="27">
        <f t="shared" si="144"/>
        <v>188</v>
      </c>
      <c r="I420" s="27">
        <f>H420*12</f>
        <v>2256</v>
      </c>
      <c r="J420" s="27">
        <f>G420*12</f>
        <v>7200</v>
      </c>
    </row>
    <row r="421" ht="12.75" customHeight="1">
      <c r="A421" s="36">
        <v>5500019.0</v>
      </c>
      <c r="B421" s="36" t="s">
        <v>2736</v>
      </c>
      <c r="C421" s="26">
        <v>2.0</v>
      </c>
      <c r="D421" s="27">
        <v>3000.0</v>
      </c>
      <c r="E421" s="27">
        <f t="shared" si="143"/>
        <v>6000</v>
      </c>
      <c r="F421" s="27">
        <v>250.0</v>
      </c>
      <c r="G421" s="28">
        <v>500.0</v>
      </c>
      <c r="H421" s="27">
        <f t="shared" si="144"/>
        <v>250</v>
      </c>
      <c r="I421" s="27">
        <f t="shared" ref="I421:I422" si="151">H421*24</f>
        <v>6000</v>
      </c>
      <c r="J421" s="27">
        <f t="shared" ref="J421:J422" si="152">G421*24</f>
        <v>12000</v>
      </c>
    </row>
    <row r="422" ht="12.75" customHeight="1">
      <c r="A422" s="36">
        <v>5500033.0</v>
      </c>
      <c r="B422" s="36" t="s">
        <v>2737</v>
      </c>
      <c r="C422" s="26">
        <v>2.0</v>
      </c>
      <c r="D422" s="27">
        <v>3000.0</v>
      </c>
      <c r="E422" s="27">
        <f t="shared" si="143"/>
        <v>6000</v>
      </c>
      <c r="F422" s="27">
        <v>250.0</v>
      </c>
      <c r="G422" s="28">
        <v>500.0</v>
      </c>
      <c r="H422" s="27">
        <f t="shared" si="144"/>
        <v>250</v>
      </c>
      <c r="I422" s="27">
        <f t="shared" si="151"/>
        <v>6000</v>
      </c>
      <c r="J422" s="27">
        <f t="shared" si="152"/>
        <v>12000</v>
      </c>
    </row>
    <row r="423" ht="12.75" customHeight="1">
      <c r="A423" s="36">
        <v>4630948.0</v>
      </c>
      <c r="B423" s="36" t="s">
        <v>2608</v>
      </c>
      <c r="C423" s="26">
        <v>1.0</v>
      </c>
      <c r="D423" s="27">
        <v>4870.0</v>
      </c>
      <c r="E423" s="27">
        <f t="shared" si="143"/>
        <v>4870</v>
      </c>
      <c r="F423" s="27">
        <v>98.0</v>
      </c>
      <c r="G423" s="28">
        <v>200.0</v>
      </c>
      <c r="H423" s="27">
        <f t="shared" si="144"/>
        <v>102</v>
      </c>
      <c r="I423" s="27">
        <f t="shared" ref="I423:I424" si="153">H423*50</f>
        <v>5100</v>
      </c>
      <c r="J423" s="27">
        <f t="shared" ref="J423:J424" si="154">G423*50</f>
        <v>10000</v>
      </c>
    </row>
    <row r="424" ht="12.75" customHeight="1">
      <c r="A424" s="36">
        <v>4630955.0</v>
      </c>
      <c r="B424" s="36" t="s">
        <v>2857</v>
      </c>
      <c r="C424" s="26">
        <v>1.0</v>
      </c>
      <c r="D424" s="27">
        <v>4870.0</v>
      </c>
      <c r="E424" s="27">
        <f t="shared" si="143"/>
        <v>4870</v>
      </c>
      <c r="F424" s="27">
        <v>98.0</v>
      </c>
      <c r="G424" s="28">
        <v>200.0</v>
      </c>
      <c r="H424" s="27">
        <f t="shared" si="144"/>
        <v>102</v>
      </c>
      <c r="I424" s="27">
        <f t="shared" si="153"/>
        <v>5100</v>
      </c>
      <c r="J424" s="27">
        <f t="shared" si="154"/>
        <v>10000</v>
      </c>
    </row>
    <row r="425" ht="12.75" customHeight="1">
      <c r="A425" s="36">
        <v>7412004.0</v>
      </c>
      <c r="B425" s="36" t="s">
        <v>2790</v>
      </c>
      <c r="C425" s="26">
        <v>20.0</v>
      </c>
      <c r="D425" s="27">
        <v>610.0</v>
      </c>
      <c r="E425" s="27">
        <f t="shared" si="143"/>
        <v>12200</v>
      </c>
      <c r="F425" s="27">
        <v>610.0</v>
      </c>
      <c r="G425" s="28">
        <v>1000.0</v>
      </c>
      <c r="H425" s="27">
        <f t="shared" si="144"/>
        <v>390</v>
      </c>
      <c r="I425" s="27">
        <f t="shared" ref="I425:I426" si="155">H425*20</f>
        <v>7800</v>
      </c>
      <c r="J425" s="27">
        <f t="shared" ref="J425:J426" si="156">G425*20</f>
        <v>20000</v>
      </c>
    </row>
    <row r="426" ht="12.75" customHeight="1">
      <c r="A426" s="36">
        <v>5105012.0</v>
      </c>
      <c r="B426" s="36" t="s">
        <v>2791</v>
      </c>
      <c r="C426" s="26">
        <v>20.0</v>
      </c>
      <c r="D426" s="27">
        <v>698.0</v>
      </c>
      <c r="E426" s="27">
        <f t="shared" si="143"/>
        <v>13960</v>
      </c>
      <c r="F426" s="27">
        <v>698.0</v>
      </c>
      <c r="G426" s="28">
        <v>1250.0</v>
      </c>
      <c r="H426" s="27">
        <f t="shared" si="144"/>
        <v>552</v>
      </c>
      <c r="I426" s="27">
        <f t="shared" si="155"/>
        <v>11040</v>
      </c>
      <c r="J426" s="27">
        <f t="shared" si="156"/>
        <v>25000</v>
      </c>
    </row>
    <row r="427" ht="12.75" customHeight="1">
      <c r="A427" s="36">
        <v>100008.0</v>
      </c>
      <c r="B427" s="36" t="s">
        <v>2689</v>
      </c>
      <c r="C427" s="26">
        <v>5.0</v>
      </c>
      <c r="D427" s="27">
        <v>420.0</v>
      </c>
      <c r="E427" s="27">
        <f t="shared" si="143"/>
        <v>2100</v>
      </c>
      <c r="F427" s="27">
        <v>420.0</v>
      </c>
      <c r="G427" s="28">
        <v>800.0</v>
      </c>
      <c r="H427" s="27">
        <f t="shared" si="144"/>
        <v>380</v>
      </c>
      <c r="I427" s="27">
        <f>H427*5</f>
        <v>1900</v>
      </c>
      <c r="J427" s="27">
        <f>G427*5</f>
        <v>4000</v>
      </c>
    </row>
    <row r="428" ht="12.75" customHeight="1">
      <c r="A428" s="36">
        <v>7163005.0</v>
      </c>
      <c r="B428" s="36" t="s">
        <v>2802</v>
      </c>
      <c r="C428" s="26">
        <v>1.0</v>
      </c>
      <c r="D428" s="27">
        <v>9010.0</v>
      </c>
      <c r="E428" s="27">
        <f t="shared" si="143"/>
        <v>9010</v>
      </c>
      <c r="F428" s="27">
        <v>376.0</v>
      </c>
      <c r="G428" s="28">
        <v>700.0</v>
      </c>
      <c r="H428" s="27">
        <f t="shared" si="144"/>
        <v>324</v>
      </c>
      <c r="I428" s="27">
        <f>H428*24</f>
        <v>7776</v>
      </c>
      <c r="J428" s="27">
        <f>G428*24</f>
        <v>16800</v>
      </c>
    </row>
    <row r="429" ht="12.75" customHeight="1">
      <c r="A429" s="36">
        <v>7162008.0</v>
      </c>
      <c r="B429" s="36" t="s">
        <v>2617</v>
      </c>
      <c r="C429" s="26">
        <v>1.0</v>
      </c>
      <c r="D429" s="27">
        <v>11670.0</v>
      </c>
      <c r="E429" s="27">
        <f t="shared" si="143"/>
        <v>11670</v>
      </c>
      <c r="F429" s="27">
        <v>973.0</v>
      </c>
      <c r="G429" s="28">
        <v>1500.0</v>
      </c>
      <c r="H429" s="27">
        <f t="shared" si="144"/>
        <v>527</v>
      </c>
      <c r="I429" s="27">
        <f>H429*12</f>
        <v>6324</v>
      </c>
      <c r="J429" s="27">
        <f>G429*12</f>
        <v>18000</v>
      </c>
    </row>
    <row r="430" ht="12.75" customHeight="1">
      <c r="A430" s="36">
        <v>100007.0</v>
      </c>
      <c r="B430" s="36" t="s">
        <v>2858</v>
      </c>
      <c r="C430" s="26">
        <v>5.0</v>
      </c>
      <c r="D430" s="27">
        <v>450.0</v>
      </c>
      <c r="E430" s="27">
        <f t="shared" si="143"/>
        <v>2250</v>
      </c>
      <c r="F430" s="27">
        <v>450.0</v>
      </c>
      <c r="G430" s="28">
        <v>800.0</v>
      </c>
      <c r="H430" s="27">
        <f t="shared" si="144"/>
        <v>350</v>
      </c>
      <c r="I430" s="27">
        <f t="shared" ref="I430:I434" si="157">H430*5</f>
        <v>1750</v>
      </c>
      <c r="J430" s="27">
        <f t="shared" ref="J430:J434" si="158">G430*5</f>
        <v>4000</v>
      </c>
    </row>
    <row r="431" ht="12.75" customHeight="1">
      <c r="A431" s="36">
        <v>100005.0</v>
      </c>
      <c r="B431" s="36" t="s">
        <v>2859</v>
      </c>
      <c r="C431" s="26">
        <v>5.0</v>
      </c>
      <c r="D431" s="27">
        <v>450.0</v>
      </c>
      <c r="E431" s="27">
        <f t="shared" si="143"/>
        <v>2250</v>
      </c>
      <c r="F431" s="27">
        <v>450.0</v>
      </c>
      <c r="G431" s="28">
        <v>800.0</v>
      </c>
      <c r="H431" s="27">
        <f t="shared" si="144"/>
        <v>350</v>
      </c>
      <c r="I431" s="27">
        <f t="shared" si="157"/>
        <v>1750</v>
      </c>
      <c r="J431" s="27">
        <f t="shared" si="158"/>
        <v>4000</v>
      </c>
    </row>
    <row r="432" ht="12.75" customHeight="1">
      <c r="A432" s="36">
        <v>100003.0</v>
      </c>
      <c r="B432" s="36" t="s">
        <v>2860</v>
      </c>
      <c r="C432" s="26">
        <v>5.0</v>
      </c>
      <c r="D432" s="27">
        <v>450.0</v>
      </c>
      <c r="E432" s="27">
        <f t="shared" si="143"/>
        <v>2250</v>
      </c>
      <c r="F432" s="27">
        <v>450.0</v>
      </c>
      <c r="G432" s="28">
        <v>800.0</v>
      </c>
      <c r="H432" s="27">
        <f t="shared" si="144"/>
        <v>350</v>
      </c>
      <c r="I432" s="27">
        <f t="shared" si="157"/>
        <v>1750</v>
      </c>
      <c r="J432" s="27">
        <f t="shared" si="158"/>
        <v>4000</v>
      </c>
    </row>
    <row r="433" ht="12.75" customHeight="1">
      <c r="A433" s="36">
        <v>100009.0</v>
      </c>
      <c r="B433" s="36" t="s">
        <v>2861</v>
      </c>
      <c r="C433" s="26">
        <v>5.0</v>
      </c>
      <c r="D433" s="27">
        <v>450.0</v>
      </c>
      <c r="E433" s="27">
        <f t="shared" si="143"/>
        <v>2250</v>
      </c>
      <c r="F433" s="27">
        <v>450.0</v>
      </c>
      <c r="G433" s="28">
        <v>800.0</v>
      </c>
      <c r="H433" s="27">
        <f t="shared" si="144"/>
        <v>350</v>
      </c>
      <c r="I433" s="27">
        <f t="shared" si="157"/>
        <v>1750</v>
      </c>
      <c r="J433" s="27">
        <f t="shared" si="158"/>
        <v>4000</v>
      </c>
    </row>
    <row r="434" ht="12.75" customHeight="1">
      <c r="A434" s="36">
        <v>100002.0</v>
      </c>
      <c r="B434" s="36" t="s">
        <v>2862</v>
      </c>
      <c r="C434" s="26">
        <v>5.0</v>
      </c>
      <c r="D434" s="27">
        <v>450.0</v>
      </c>
      <c r="E434" s="27">
        <f t="shared" si="143"/>
        <v>2250</v>
      </c>
      <c r="F434" s="27">
        <v>450.0</v>
      </c>
      <c r="G434" s="28">
        <v>800.0</v>
      </c>
      <c r="H434" s="27">
        <f t="shared" si="144"/>
        <v>350</v>
      </c>
      <c r="I434" s="27">
        <f t="shared" si="157"/>
        <v>1750</v>
      </c>
      <c r="J434" s="27">
        <f t="shared" si="158"/>
        <v>4000</v>
      </c>
    </row>
    <row r="435" ht="12.75" customHeight="1">
      <c r="A435" s="36">
        <v>5656012.0</v>
      </c>
      <c r="B435" s="36" t="s">
        <v>2690</v>
      </c>
      <c r="C435" s="26">
        <v>10.0</v>
      </c>
      <c r="D435" s="27">
        <v>490.0</v>
      </c>
      <c r="E435" s="27">
        <f t="shared" si="143"/>
        <v>4900</v>
      </c>
      <c r="F435" s="27">
        <v>490.0</v>
      </c>
      <c r="G435" s="28">
        <v>900.0</v>
      </c>
      <c r="H435" s="27">
        <f t="shared" si="144"/>
        <v>410</v>
      </c>
      <c r="I435" s="27">
        <f>H435*10</f>
        <v>4100</v>
      </c>
      <c r="J435" s="27">
        <f>G435*10</f>
        <v>9000</v>
      </c>
    </row>
    <row r="436" ht="12.75" customHeight="1">
      <c r="A436" s="36">
        <v>6165000.0</v>
      </c>
      <c r="B436" s="36" t="s">
        <v>2863</v>
      </c>
      <c r="C436" s="26">
        <v>20.0</v>
      </c>
      <c r="D436" s="27">
        <v>1400.0</v>
      </c>
      <c r="E436" s="27">
        <f t="shared" si="143"/>
        <v>28000</v>
      </c>
      <c r="F436" s="27">
        <v>1400.0</v>
      </c>
      <c r="G436" s="28">
        <v>2100.0</v>
      </c>
      <c r="H436" s="27">
        <f t="shared" si="144"/>
        <v>700</v>
      </c>
      <c r="I436" s="27">
        <f>H436*20</f>
        <v>14000</v>
      </c>
      <c r="J436" s="27">
        <f>G436*20</f>
        <v>42000</v>
      </c>
    </row>
    <row r="437" ht="12.75" customHeight="1">
      <c r="A437" s="36">
        <v>5027506.0</v>
      </c>
      <c r="B437" s="36" t="s">
        <v>2864</v>
      </c>
      <c r="C437" s="26">
        <v>2.0</v>
      </c>
      <c r="D437" s="27">
        <v>4360.0</v>
      </c>
      <c r="E437" s="27">
        <f t="shared" si="143"/>
        <v>8720</v>
      </c>
      <c r="F437" s="27">
        <v>175.0</v>
      </c>
      <c r="G437" s="28">
        <v>350.0</v>
      </c>
      <c r="H437" s="27">
        <f t="shared" si="144"/>
        <v>175</v>
      </c>
      <c r="I437" s="27">
        <f>H437*50</f>
        <v>8750</v>
      </c>
      <c r="J437" s="27">
        <f>G437*50</f>
        <v>17500</v>
      </c>
    </row>
    <row r="438" ht="12.75" customHeight="1">
      <c r="A438" s="36">
        <v>5117831.0</v>
      </c>
      <c r="B438" s="36" t="s">
        <v>2865</v>
      </c>
      <c r="C438" s="26">
        <v>3.0</v>
      </c>
      <c r="D438" s="27">
        <v>12640.0</v>
      </c>
      <c r="E438" s="27">
        <f t="shared" si="143"/>
        <v>37920</v>
      </c>
      <c r="F438" s="27">
        <v>1264.0</v>
      </c>
      <c r="G438" s="28">
        <v>2000.0</v>
      </c>
      <c r="H438" s="27">
        <f t="shared" si="144"/>
        <v>736</v>
      </c>
      <c r="I438" s="27">
        <f>H438*30</f>
        <v>22080</v>
      </c>
      <c r="J438" s="27">
        <f>G438*30</f>
        <v>60000</v>
      </c>
    </row>
    <row r="439" ht="12.75" customHeight="1">
      <c r="A439" s="25"/>
      <c r="C439" s="26"/>
      <c r="D439" s="27"/>
      <c r="E439" s="27"/>
      <c r="F439" s="27"/>
      <c r="G439" s="28"/>
      <c r="H439" s="27"/>
      <c r="I439" s="27"/>
      <c r="J439" s="27"/>
    </row>
    <row r="440" ht="12.75" customHeight="1">
      <c r="A440" s="25"/>
      <c r="C440" s="26"/>
      <c r="D440" s="27"/>
      <c r="E440" s="32">
        <f>SUM(E404:E438)</f>
        <v>275930</v>
      </c>
      <c r="F440" s="27"/>
      <c r="G440" s="28"/>
      <c r="H440" s="27"/>
      <c r="I440" s="39">
        <f t="shared" ref="I440:J440" si="159">SUM(I404:I438)</f>
        <v>255080</v>
      </c>
      <c r="J440" s="39">
        <f t="shared" si="159"/>
        <v>546700</v>
      </c>
    </row>
    <row r="441" ht="12.75" customHeight="1">
      <c r="A441" s="25"/>
      <c r="C441" s="26"/>
      <c r="D441" s="27"/>
      <c r="E441" s="27"/>
      <c r="F441" s="27"/>
      <c r="G441" s="28"/>
      <c r="H441" s="27"/>
      <c r="I441" s="27"/>
      <c r="J441" s="27"/>
    </row>
    <row r="442" ht="12.75" customHeight="1">
      <c r="A442" s="25"/>
      <c r="C442" s="26"/>
      <c r="D442" s="27"/>
      <c r="E442" s="27"/>
      <c r="F442" s="27"/>
      <c r="G442" s="28"/>
      <c r="H442" s="27"/>
      <c r="I442" s="27"/>
      <c r="J442" s="27"/>
    </row>
    <row r="443" ht="12.75" customHeight="1">
      <c r="A443" s="34">
        <v>45464.0</v>
      </c>
      <c r="C443" s="26"/>
      <c r="D443" s="27"/>
      <c r="E443" s="27"/>
      <c r="F443" s="27"/>
      <c r="G443" s="28"/>
      <c r="H443" s="27"/>
      <c r="I443" s="27"/>
      <c r="J443" s="27"/>
    </row>
    <row r="444" ht="12.75" customHeight="1">
      <c r="A444" s="25"/>
      <c r="C444" s="26"/>
      <c r="D444" s="27"/>
      <c r="E444" s="27"/>
      <c r="F444" s="27"/>
      <c r="G444" s="28"/>
      <c r="H444" s="27"/>
      <c r="I444" s="27"/>
      <c r="J444" s="27"/>
    </row>
    <row r="445" ht="12.75" customHeight="1">
      <c r="A445" s="36">
        <v>5704005.0</v>
      </c>
      <c r="B445" s="36" t="s">
        <v>2866</v>
      </c>
      <c r="C445" s="26">
        <v>1.0</v>
      </c>
      <c r="D445" s="27">
        <v>2510.0</v>
      </c>
      <c r="E445" s="27">
        <f t="shared" ref="E445:E480" si="160">D445*C445</f>
        <v>2510</v>
      </c>
      <c r="F445" s="27">
        <v>25.1</v>
      </c>
      <c r="G445" s="28">
        <v>120.0</v>
      </c>
      <c r="H445" s="27">
        <f t="shared" ref="H445:H480" si="161">G445-F445</f>
        <v>94.9</v>
      </c>
      <c r="I445" s="27">
        <f>H445*100</f>
        <v>9490</v>
      </c>
      <c r="J445" s="27">
        <f>G445*100</f>
        <v>12000</v>
      </c>
    </row>
    <row r="446" ht="12.75" customHeight="1">
      <c r="A446" s="36">
        <v>3668645.0</v>
      </c>
      <c r="B446" s="36" t="s">
        <v>2867</v>
      </c>
      <c r="C446" s="26">
        <v>20.0</v>
      </c>
      <c r="D446" s="27">
        <v>1240.0</v>
      </c>
      <c r="E446" s="27">
        <f t="shared" si="160"/>
        <v>24800</v>
      </c>
      <c r="F446" s="27">
        <v>1240.0</v>
      </c>
      <c r="G446" s="28">
        <v>1900.0</v>
      </c>
      <c r="H446" s="27">
        <f t="shared" si="161"/>
        <v>660</v>
      </c>
      <c r="I446" s="27">
        <f t="shared" ref="I446:I449" si="162">H446*20</f>
        <v>13200</v>
      </c>
      <c r="J446" s="27">
        <f t="shared" ref="J446:J449" si="163">G446*20</f>
        <v>38000</v>
      </c>
    </row>
    <row r="447" ht="12.75" customHeight="1">
      <c r="A447" s="36">
        <v>3941106.0</v>
      </c>
      <c r="B447" s="36" t="s">
        <v>2683</v>
      </c>
      <c r="C447" s="26">
        <v>20.0</v>
      </c>
      <c r="D447" s="27">
        <v>1250.0</v>
      </c>
      <c r="E447" s="27">
        <f t="shared" si="160"/>
        <v>25000</v>
      </c>
      <c r="F447" s="27">
        <v>1250.0</v>
      </c>
      <c r="G447" s="28">
        <v>2000.0</v>
      </c>
      <c r="H447" s="27">
        <f t="shared" si="161"/>
        <v>750</v>
      </c>
      <c r="I447" s="27">
        <f t="shared" si="162"/>
        <v>15000</v>
      </c>
      <c r="J447" s="27">
        <f t="shared" si="163"/>
        <v>40000</v>
      </c>
    </row>
    <row r="448" ht="12.75" customHeight="1">
      <c r="A448" s="36">
        <v>3882942.0</v>
      </c>
      <c r="B448" s="36" t="s">
        <v>2693</v>
      </c>
      <c r="C448" s="26">
        <v>20.0</v>
      </c>
      <c r="D448" s="27">
        <v>920.0</v>
      </c>
      <c r="E448" s="27">
        <f t="shared" si="160"/>
        <v>18400</v>
      </c>
      <c r="F448" s="27">
        <v>920.0</v>
      </c>
      <c r="G448" s="28">
        <v>1500.0</v>
      </c>
      <c r="H448" s="27">
        <f t="shared" si="161"/>
        <v>580</v>
      </c>
      <c r="I448" s="27">
        <f t="shared" si="162"/>
        <v>11600</v>
      </c>
      <c r="J448" s="27">
        <f t="shared" si="163"/>
        <v>30000</v>
      </c>
    </row>
    <row r="449" ht="12.75" customHeight="1">
      <c r="A449" s="36">
        <v>4164023.0</v>
      </c>
      <c r="B449" s="36" t="s">
        <v>2573</v>
      </c>
      <c r="C449" s="26">
        <v>20.0</v>
      </c>
      <c r="D449" s="27">
        <v>1240.0</v>
      </c>
      <c r="E449" s="27">
        <f t="shared" si="160"/>
        <v>24800</v>
      </c>
      <c r="F449" s="27">
        <v>1240.0</v>
      </c>
      <c r="G449" s="28">
        <v>1700.0</v>
      </c>
      <c r="H449" s="27">
        <f t="shared" si="161"/>
        <v>460</v>
      </c>
      <c r="I449" s="27">
        <f t="shared" si="162"/>
        <v>9200</v>
      </c>
      <c r="J449" s="27">
        <f t="shared" si="163"/>
        <v>34000</v>
      </c>
    </row>
    <row r="450" ht="12.75" customHeight="1">
      <c r="A450" s="36">
        <v>7412004.0</v>
      </c>
      <c r="B450" s="36" t="s">
        <v>2790</v>
      </c>
      <c r="C450" s="26">
        <v>12.0</v>
      </c>
      <c r="D450" s="27">
        <v>610.0</v>
      </c>
      <c r="E450" s="27">
        <f t="shared" si="160"/>
        <v>7320</v>
      </c>
      <c r="F450" s="27">
        <v>610.0</v>
      </c>
      <c r="G450" s="28">
        <v>1000.0</v>
      </c>
      <c r="H450" s="27">
        <f t="shared" si="161"/>
        <v>390</v>
      </c>
      <c r="I450" s="27">
        <f t="shared" ref="I450:I451" si="164">H450*12</f>
        <v>4680</v>
      </c>
      <c r="J450" s="27">
        <f t="shared" ref="J450:J451" si="165">G450*12</f>
        <v>12000</v>
      </c>
    </row>
    <row r="451" ht="12.75" customHeight="1">
      <c r="A451" s="36">
        <v>5105012.0</v>
      </c>
      <c r="B451" s="36" t="s">
        <v>2791</v>
      </c>
      <c r="C451" s="26">
        <v>12.0</v>
      </c>
      <c r="D451" s="27">
        <v>698.0</v>
      </c>
      <c r="E451" s="27">
        <f t="shared" si="160"/>
        <v>8376</v>
      </c>
      <c r="F451" s="27">
        <v>698.0</v>
      </c>
      <c r="G451" s="28">
        <v>1250.0</v>
      </c>
      <c r="H451" s="27">
        <f t="shared" si="161"/>
        <v>552</v>
      </c>
      <c r="I451" s="27">
        <f t="shared" si="164"/>
        <v>6624</v>
      </c>
      <c r="J451" s="27">
        <f t="shared" si="165"/>
        <v>15000</v>
      </c>
    </row>
    <row r="452" ht="12.75" customHeight="1">
      <c r="A452" s="36">
        <v>7163005.0</v>
      </c>
      <c r="B452" s="36" t="s">
        <v>2802</v>
      </c>
      <c r="C452" s="26">
        <v>1.0</v>
      </c>
      <c r="D452" s="27">
        <v>9010.0</v>
      </c>
      <c r="E452" s="27">
        <f t="shared" si="160"/>
        <v>9010</v>
      </c>
      <c r="F452" s="27">
        <v>375.4</v>
      </c>
      <c r="G452" s="28">
        <v>700.0</v>
      </c>
      <c r="H452" s="27">
        <f t="shared" si="161"/>
        <v>324.6</v>
      </c>
      <c r="I452" s="27">
        <f>H452*24</f>
        <v>7790.4</v>
      </c>
      <c r="J452" s="27">
        <f>G452*24</f>
        <v>16800</v>
      </c>
    </row>
    <row r="453" ht="12.75" customHeight="1">
      <c r="A453" s="36">
        <v>7162008.0</v>
      </c>
      <c r="B453" s="36" t="s">
        <v>2617</v>
      </c>
      <c r="C453" s="26">
        <v>1.0</v>
      </c>
      <c r="D453" s="27">
        <v>11670.0</v>
      </c>
      <c r="E453" s="27">
        <f t="shared" si="160"/>
        <v>11670</v>
      </c>
      <c r="F453" s="27">
        <v>972.5</v>
      </c>
      <c r="G453" s="28">
        <v>1500.0</v>
      </c>
      <c r="H453" s="27">
        <f t="shared" si="161"/>
        <v>527.5</v>
      </c>
      <c r="I453" s="27">
        <f>H453*12</f>
        <v>6330</v>
      </c>
      <c r="J453" s="27">
        <f>G453*12</f>
        <v>18000</v>
      </c>
    </row>
    <row r="454" ht="12.75" customHeight="1">
      <c r="A454" s="36">
        <v>710002.0</v>
      </c>
      <c r="B454" s="36" t="s">
        <v>2576</v>
      </c>
      <c r="C454" s="26">
        <v>1.0</v>
      </c>
      <c r="D454" s="27">
        <v>7340.0</v>
      </c>
      <c r="E454" s="27">
        <f t="shared" si="160"/>
        <v>7340</v>
      </c>
      <c r="F454" s="27">
        <v>293.6</v>
      </c>
      <c r="G454" s="28">
        <v>800.0</v>
      </c>
      <c r="H454" s="27">
        <f t="shared" si="161"/>
        <v>506.4</v>
      </c>
      <c r="I454" s="27">
        <f t="shared" ref="I454:I455" si="166">H454*25</f>
        <v>12660</v>
      </c>
      <c r="J454" s="27">
        <f t="shared" ref="J454:J455" si="167">G454*25</f>
        <v>20000</v>
      </c>
    </row>
    <row r="455" ht="12.75" customHeight="1">
      <c r="A455" s="36">
        <v>710003.0</v>
      </c>
      <c r="B455" s="36" t="s">
        <v>2607</v>
      </c>
      <c r="C455" s="26">
        <v>1.0</v>
      </c>
      <c r="D455" s="27">
        <v>3700.0</v>
      </c>
      <c r="E455" s="27">
        <f t="shared" si="160"/>
        <v>3700</v>
      </c>
      <c r="F455" s="27">
        <v>148.0</v>
      </c>
      <c r="G455" s="28">
        <v>400.0</v>
      </c>
      <c r="H455" s="27">
        <f t="shared" si="161"/>
        <v>252</v>
      </c>
      <c r="I455" s="27">
        <f t="shared" si="166"/>
        <v>6300</v>
      </c>
      <c r="J455" s="27">
        <f t="shared" si="167"/>
        <v>10000</v>
      </c>
    </row>
    <row r="456" ht="12.75" customHeight="1">
      <c r="A456" s="36">
        <v>8229859.0</v>
      </c>
      <c r="B456" s="36" t="s">
        <v>2569</v>
      </c>
      <c r="C456" s="26">
        <v>1.0</v>
      </c>
      <c r="D456" s="27">
        <v>10140.0</v>
      </c>
      <c r="E456" s="27">
        <f t="shared" si="160"/>
        <v>10140</v>
      </c>
      <c r="F456" s="27">
        <v>422.5</v>
      </c>
      <c r="G456" s="28">
        <v>700.0</v>
      </c>
      <c r="H456" s="27">
        <f t="shared" si="161"/>
        <v>277.5</v>
      </c>
      <c r="I456" s="27">
        <f t="shared" ref="I456:I457" si="168">H456*24</f>
        <v>6660</v>
      </c>
      <c r="J456" s="27">
        <f t="shared" ref="J456:J457" si="169">G456*24</f>
        <v>16800</v>
      </c>
    </row>
    <row r="457" ht="12.75" customHeight="1">
      <c r="A457" s="36">
        <v>5694221.0</v>
      </c>
      <c r="B457" s="36" t="s">
        <v>2570</v>
      </c>
      <c r="C457" s="26">
        <v>2.0</v>
      </c>
      <c r="D457" s="27">
        <v>7330.0</v>
      </c>
      <c r="E457" s="27">
        <f t="shared" si="160"/>
        <v>14660</v>
      </c>
      <c r="F457" s="27">
        <v>610.8</v>
      </c>
      <c r="G457" s="28">
        <v>1000.0</v>
      </c>
      <c r="H457" s="27">
        <f t="shared" si="161"/>
        <v>389.2</v>
      </c>
      <c r="I457" s="27">
        <f t="shared" si="168"/>
        <v>9340.8</v>
      </c>
      <c r="J457" s="27">
        <f t="shared" si="169"/>
        <v>24000</v>
      </c>
    </row>
    <row r="458" ht="12.75" customHeight="1">
      <c r="A458" s="36">
        <v>100004.0</v>
      </c>
      <c r="B458" s="36" t="s">
        <v>2868</v>
      </c>
      <c r="C458" s="26">
        <v>4.0</v>
      </c>
      <c r="D458" s="27">
        <v>450.0</v>
      </c>
      <c r="E458" s="27">
        <f t="shared" si="160"/>
        <v>1800</v>
      </c>
      <c r="F458" s="27">
        <v>450.0</v>
      </c>
      <c r="G458" s="28">
        <v>800.0</v>
      </c>
      <c r="H458" s="27">
        <f t="shared" si="161"/>
        <v>350</v>
      </c>
      <c r="I458" s="27">
        <f>H458*4</f>
        <v>1400</v>
      </c>
      <c r="J458" s="27">
        <f>G458*4</f>
        <v>3200</v>
      </c>
    </row>
    <row r="459" ht="12.75" customHeight="1">
      <c r="A459" s="36">
        <v>4408486.0</v>
      </c>
      <c r="B459" s="36" t="s">
        <v>2869</v>
      </c>
      <c r="C459" s="26">
        <v>10.0</v>
      </c>
      <c r="D459" s="27">
        <v>870.0</v>
      </c>
      <c r="E459" s="27">
        <f t="shared" si="160"/>
        <v>8700</v>
      </c>
      <c r="F459" s="27">
        <v>870.0</v>
      </c>
      <c r="G459" s="28">
        <v>1700.0</v>
      </c>
      <c r="H459" s="27">
        <f t="shared" si="161"/>
        <v>830</v>
      </c>
      <c r="I459" s="27">
        <f>H459*10</f>
        <v>8300</v>
      </c>
      <c r="J459" s="27">
        <f>G459*10</f>
        <v>17000</v>
      </c>
    </row>
    <row r="460" ht="12.75" customHeight="1">
      <c r="A460" s="36">
        <v>166385.0</v>
      </c>
      <c r="B460" s="36" t="s">
        <v>2870</v>
      </c>
      <c r="C460" s="26">
        <v>20.0</v>
      </c>
      <c r="D460" s="27">
        <v>275.0</v>
      </c>
      <c r="E460" s="27">
        <f t="shared" si="160"/>
        <v>5500</v>
      </c>
      <c r="F460" s="27">
        <v>275.0</v>
      </c>
      <c r="G460" s="28">
        <v>800.0</v>
      </c>
      <c r="H460" s="27">
        <f t="shared" si="161"/>
        <v>525</v>
      </c>
      <c r="I460" s="27">
        <f t="shared" ref="I460:I462" si="170">H460*20</f>
        <v>10500</v>
      </c>
      <c r="J460" s="27">
        <f t="shared" ref="J460:J462" si="171">G460*20</f>
        <v>16000</v>
      </c>
    </row>
    <row r="461" ht="12.75" customHeight="1">
      <c r="A461" s="36">
        <v>1104642.0</v>
      </c>
      <c r="B461" s="36" t="s">
        <v>2871</v>
      </c>
      <c r="C461" s="26">
        <v>20.0</v>
      </c>
      <c r="D461" s="27">
        <v>320.0</v>
      </c>
      <c r="E461" s="27">
        <f t="shared" si="160"/>
        <v>6400</v>
      </c>
      <c r="F461" s="27">
        <v>320.0</v>
      </c>
      <c r="G461" s="28">
        <v>900.0</v>
      </c>
      <c r="H461" s="27">
        <f t="shared" si="161"/>
        <v>580</v>
      </c>
      <c r="I461" s="27">
        <f t="shared" si="170"/>
        <v>11600</v>
      </c>
      <c r="J461" s="27">
        <f t="shared" si="171"/>
        <v>18000</v>
      </c>
    </row>
    <row r="462" ht="12.75" customHeight="1">
      <c r="A462" s="36">
        <v>1104659.0</v>
      </c>
      <c r="B462" s="36" t="s">
        <v>2872</v>
      </c>
      <c r="C462" s="26">
        <v>20.0</v>
      </c>
      <c r="D462" s="27">
        <v>355.0</v>
      </c>
      <c r="E462" s="27">
        <f t="shared" si="160"/>
        <v>7100</v>
      </c>
      <c r="F462" s="27">
        <v>355.0</v>
      </c>
      <c r="G462" s="28">
        <v>1000.0</v>
      </c>
      <c r="H462" s="27">
        <f t="shared" si="161"/>
        <v>645</v>
      </c>
      <c r="I462" s="27">
        <f t="shared" si="170"/>
        <v>12900</v>
      </c>
      <c r="J462" s="27">
        <f t="shared" si="171"/>
        <v>20000</v>
      </c>
    </row>
    <row r="463" ht="12.75" customHeight="1">
      <c r="A463" s="36">
        <v>4404577.0</v>
      </c>
      <c r="B463" s="36" t="s">
        <v>2679</v>
      </c>
      <c r="C463" s="26">
        <v>2.0</v>
      </c>
      <c r="D463" s="27">
        <v>2540.0</v>
      </c>
      <c r="E463" s="27">
        <f t="shared" si="160"/>
        <v>5080</v>
      </c>
      <c r="F463" s="27">
        <v>423.33</v>
      </c>
      <c r="G463" s="28">
        <v>1000.0</v>
      </c>
      <c r="H463" s="27">
        <f t="shared" si="161"/>
        <v>576.67</v>
      </c>
      <c r="I463" s="27">
        <f>H463*12</f>
        <v>6920.04</v>
      </c>
      <c r="J463" s="27">
        <f>G463*12</f>
        <v>12000</v>
      </c>
    </row>
    <row r="464" ht="12.75" customHeight="1">
      <c r="A464" s="36" t="s">
        <v>2873</v>
      </c>
      <c r="B464" s="36" t="s">
        <v>2874</v>
      </c>
      <c r="C464" s="26">
        <v>30.0</v>
      </c>
      <c r="D464" s="27">
        <v>360.0</v>
      </c>
      <c r="E464" s="27">
        <f t="shared" si="160"/>
        <v>10800</v>
      </c>
      <c r="F464" s="27">
        <v>360.0</v>
      </c>
      <c r="G464" s="28">
        <v>750.0</v>
      </c>
      <c r="H464" s="27">
        <f t="shared" si="161"/>
        <v>390</v>
      </c>
      <c r="I464" s="27">
        <f>H464*30</f>
        <v>11700</v>
      </c>
      <c r="J464" s="27">
        <f>G464*30</f>
        <v>22500</v>
      </c>
    </row>
    <row r="465" ht="12.75" customHeight="1">
      <c r="A465" s="36">
        <v>5015137.0</v>
      </c>
      <c r="B465" s="36" t="s">
        <v>2875</v>
      </c>
      <c r="C465" s="26">
        <v>10.0</v>
      </c>
      <c r="D465" s="27">
        <v>940.0</v>
      </c>
      <c r="E465" s="27">
        <f t="shared" si="160"/>
        <v>9400</v>
      </c>
      <c r="F465" s="27">
        <v>940.0</v>
      </c>
      <c r="G465" s="28">
        <v>1500.0</v>
      </c>
      <c r="H465" s="27">
        <f t="shared" si="161"/>
        <v>560</v>
      </c>
      <c r="I465" s="27">
        <f>H465*10</f>
        <v>5600</v>
      </c>
      <c r="J465" s="27">
        <f>G465*10</f>
        <v>15000</v>
      </c>
    </row>
    <row r="466" ht="12.75" customHeight="1">
      <c r="A466" s="36">
        <v>5019014.0</v>
      </c>
      <c r="B466" s="36" t="s">
        <v>2876</v>
      </c>
      <c r="C466" s="26">
        <v>3.0</v>
      </c>
      <c r="D466" s="27">
        <v>770.0</v>
      </c>
      <c r="E466" s="27">
        <f t="shared" si="160"/>
        <v>2310</v>
      </c>
      <c r="F466" s="27">
        <v>770.0</v>
      </c>
      <c r="G466" s="28">
        <v>1200.0</v>
      </c>
      <c r="H466" s="27">
        <f t="shared" si="161"/>
        <v>430</v>
      </c>
      <c r="I466" s="27">
        <f t="shared" ref="I466:I469" si="172">H466*3</f>
        <v>1290</v>
      </c>
      <c r="J466" s="27">
        <f t="shared" ref="J466:J469" si="173">G466*3</f>
        <v>3600</v>
      </c>
    </row>
    <row r="467" ht="12.75" customHeight="1">
      <c r="A467" s="36">
        <v>4558952.0</v>
      </c>
      <c r="B467" s="36" t="s">
        <v>2877</v>
      </c>
      <c r="C467" s="26">
        <v>3.0</v>
      </c>
      <c r="D467" s="27">
        <v>770.0</v>
      </c>
      <c r="E467" s="27">
        <f t="shared" si="160"/>
        <v>2310</v>
      </c>
      <c r="F467" s="27">
        <v>770.0</v>
      </c>
      <c r="G467" s="28">
        <v>1200.0</v>
      </c>
      <c r="H467" s="27">
        <f t="shared" si="161"/>
        <v>430</v>
      </c>
      <c r="I467" s="27">
        <f t="shared" si="172"/>
        <v>1290</v>
      </c>
      <c r="J467" s="27">
        <f t="shared" si="173"/>
        <v>3600</v>
      </c>
    </row>
    <row r="468" ht="12.75" customHeight="1">
      <c r="A468" s="36">
        <v>5019038.0</v>
      </c>
      <c r="B468" s="36" t="s">
        <v>2878</v>
      </c>
      <c r="C468" s="26">
        <v>3.0</v>
      </c>
      <c r="D468" s="27">
        <v>770.0</v>
      </c>
      <c r="E468" s="27">
        <f t="shared" si="160"/>
        <v>2310</v>
      </c>
      <c r="F468" s="27">
        <v>770.0</v>
      </c>
      <c r="G468" s="28">
        <v>1200.0</v>
      </c>
      <c r="H468" s="27">
        <f t="shared" si="161"/>
        <v>430</v>
      </c>
      <c r="I468" s="27">
        <f t="shared" si="172"/>
        <v>1290</v>
      </c>
      <c r="J468" s="27">
        <f t="shared" si="173"/>
        <v>3600</v>
      </c>
    </row>
    <row r="469" ht="12.75" customHeight="1">
      <c r="A469" s="36">
        <v>383804.0</v>
      </c>
      <c r="B469" s="36" t="s">
        <v>2879</v>
      </c>
      <c r="C469" s="26">
        <v>3.0</v>
      </c>
      <c r="D469" s="27">
        <v>770.0</v>
      </c>
      <c r="E469" s="27">
        <f t="shared" si="160"/>
        <v>2310</v>
      </c>
      <c r="F469" s="27">
        <v>770.0</v>
      </c>
      <c r="G469" s="28">
        <v>1200.0</v>
      </c>
      <c r="H469" s="27">
        <f t="shared" si="161"/>
        <v>430</v>
      </c>
      <c r="I469" s="27">
        <f t="shared" si="172"/>
        <v>1290</v>
      </c>
      <c r="J469" s="27">
        <f t="shared" si="173"/>
        <v>3600</v>
      </c>
    </row>
    <row r="470" ht="12.75" customHeight="1">
      <c r="A470" s="36">
        <v>5301008.0</v>
      </c>
      <c r="B470" s="36" t="s">
        <v>2880</v>
      </c>
      <c r="C470" s="26">
        <v>10.0</v>
      </c>
      <c r="D470" s="27">
        <v>1240.0</v>
      </c>
      <c r="E470" s="27">
        <f t="shared" si="160"/>
        <v>12400</v>
      </c>
      <c r="F470" s="27">
        <v>1240.0</v>
      </c>
      <c r="G470" s="28">
        <v>2500.0</v>
      </c>
      <c r="H470" s="27">
        <f t="shared" si="161"/>
        <v>1260</v>
      </c>
      <c r="I470" s="27">
        <f t="shared" ref="I470:I472" si="174">H470*10</f>
        <v>12600</v>
      </c>
      <c r="J470" s="27">
        <f t="shared" ref="J470:J472" si="175">G470*10</f>
        <v>25000</v>
      </c>
    </row>
    <row r="471" ht="12.75" customHeight="1">
      <c r="A471" s="36">
        <v>4087742.0</v>
      </c>
      <c r="B471" s="36" t="s">
        <v>2881</v>
      </c>
      <c r="C471" s="26">
        <v>10.0</v>
      </c>
      <c r="D471" s="27">
        <v>860.0</v>
      </c>
      <c r="E471" s="27">
        <f t="shared" si="160"/>
        <v>8600</v>
      </c>
      <c r="F471" s="27">
        <v>860.0</v>
      </c>
      <c r="G471" s="28">
        <v>1500.0</v>
      </c>
      <c r="H471" s="27">
        <f t="shared" si="161"/>
        <v>640</v>
      </c>
      <c r="I471" s="27">
        <f t="shared" si="174"/>
        <v>6400</v>
      </c>
      <c r="J471" s="27">
        <f t="shared" si="175"/>
        <v>15000</v>
      </c>
    </row>
    <row r="472" ht="12.75" customHeight="1">
      <c r="A472" s="36">
        <v>4087735.0</v>
      </c>
      <c r="B472" s="36" t="s">
        <v>2882</v>
      </c>
      <c r="C472" s="26">
        <v>10.0</v>
      </c>
      <c r="D472" s="27">
        <v>870.0</v>
      </c>
      <c r="E472" s="27">
        <f t="shared" si="160"/>
        <v>8700</v>
      </c>
      <c r="F472" s="27">
        <v>870.0</v>
      </c>
      <c r="G472" s="28">
        <v>1500.0</v>
      </c>
      <c r="H472" s="27">
        <f t="shared" si="161"/>
        <v>630</v>
      </c>
      <c r="I472" s="27">
        <f t="shared" si="174"/>
        <v>6300</v>
      </c>
      <c r="J472" s="27">
        <f t="shared" si="175"/>
        <v>15000</v>
      </c>
    </row>
    <row r="473" ht="12.75" customHeight="1">
      <c r="A473" s="36">
        <v>271154.0</v>
      </c>
      <c r="B473" s="36" t="s">
        <v>2883</v>
      </c>
      <c r="C473" s="26">
        <v>3.0</v>
      </c>
      <c r="D473" s="27">
        <v>410.0</v>
      </c>
      <c r="E473" s="27">
        <f t="shared" si="160"/>
        <v>1230</v>
      </c>
      <c r="F473" s="27">
        <v>410.0</v>
      </c>
      <c r="G473" s="28">
        <v>900.0</v>
      </c>
      <c r="H473" s="27">
        <f t="shared" si="161"/>
        <v>490</v>
      </c>
      <c r="I473" s="27">
        <f t="shared" ref="I473:I476" si="176">H473*3</f>
        <v>1470</v>
      </c>
      <c r="J473" s="27">
        <f t="shared" ref="J473:J476" si="177">G473*3</f>
        <v>2700</v>
      </c>
    </row>
    <row r="474" ht="12.75" customHeight="1">
      <c r="A474" s="36">
        <v>271109.0</v>
      </c>
      <c r="B474" s="36" t="s">
        <v>2884</v>
      </c>
      <c r="C474" s="26">
        <v>3.0</v>
      </c>
      <c r="D474" s="27">
        <v>410.0</v>
      </c>
      <c r="E474" s="27">
        <f t="shared" si="160"/>
        <v>1230</v>
      </c>
      <c r="F474" s="27">
        <v>410.0</v>
      </c>
      <c r="G474" s="28">
        <v>900.0</v>
      </c>
      <c r="H474" s="27">
        <f t="shared" si="161"/>
        <v>490</v>
      </c>
      <c r="I474" s="27">
        <f t="shared" si="176"/>
        <v>1470</v>
      </c>
      <c r="J474" s="27">
        <f t="shared" si="177"/>
        <v>2700</v>
      </c>
    </row>
    <row r="475" ht="12.75" customHeight="1">
      <c r="A475" s="36">
        <v>271147.0</v>
      </c>
      <c r="B475" s="36" t="s">
        <v>2885</v>
      </c>
      <c r="C475" s="26">
        <v>3.0</v>
      </c>
      <c r="D475" s="27">
        <v>500.0</v>
      </c>
      <c r="E475" s="27">
        <f t="shared" si="160"/>
        <v>1500</v>
      </c>
      <c r="F475" s="27">
        <v>500.0</v>
      </c>
      <c r="G475" s="28">
        <v>1000.0</v>
      </c>
      <c r="H475" s="27">
        <f t="shared" si="161"/>
        <v>500</v>
      </c>
      <c r="I475" s="27">
        <f t="shared" si="176"/>
        <v>1500</v>
      </c>
      <c r="J475" s="27">
        <f t="shared" si="177"/>
        <v>3000</v>
      </c>
    </row>
    <row r="476" ht="12.75" customHeight="1">
      <c r="A476" s="36">
        <v>4700207.0</v>
      </c>
      <c r="B476" s="36" t="s">
        <v>2886</v>
      </c>
      <c r="C476" s="26">
        <v>3.0</v>
      </c>
      <c r="D476" s="27">
        <v>1080.0</v>
      </c>
      <c r="E476" s="27">
        <f t="shared" si="160"/>
        <v>3240</v>
      </c>
      <c r="F476" s="27">
        <v>1080.0</v>
      </c>
      <c r="G476" s="28">
        <v>1500.0</v>
      </c>
      <c r="H476" s="27">
        <f t="shared" si="161"/>
        <v>420</v>
      </c>
      <c r="I476" s="27">
        <f t="shared" si="176"/>
        <v>1260</v>
      </c>
      <c r="J476" s="27">
        <f t="shared" si="177"/>
        <v>4500</v>
      </c>
    </row>
    <row r="477" ht="12.75" customHeight="1">
      <c r="A477" s="36">
        <v>3938151.0</v>
      </c>
      <c r="B477" s="36" t="s">
        <v>2887</v>
      </c>
      <c r="C477" s="26">
        <v>4.0</v>
      </c>
      <c r="D477" s="27">
        <v>3750.0</v>
      </c>
      <c r="E477" s="27">
        <f t="shared" si="160"/>
        <v>15000</v>
      </c>
      <c r="F477" s="27">
        <v>312.5</v>
      </c>
      <c r="G477" s="28">
        <v>600.0</v>
      </c>
      <c r="H477" s="27">
        <f t="shared" si="161"/>
        <v>287.5</v>
      </c>
      <c r="I477" s="27">
        <f t="shared" ref="I477:I478" si="178">H477*48</f>
        <v>13800</v>
      </c>
      <c r="J477" s="27">
        <f t="shared" ref="J477:J478" si="179">G477*48</f>
        <v>28800</v>
      </c>
    </row>
    <row r="478" ht="12.75" customHeight="1">
      <c r="A478" s="36">
        <v>3938168.0</v>
      </c>
      <c r="B478" s="36" t="s">
        <v>2888</v>
      </c>
      <c r="C478" s="26">
        <v>4.0</v>
      </c>
      <c r="D478" s="27">
        <v>3750.0</v>
      </c>
      <c r="E478" s="27">
        <f t="shared" si="160"/>
        <v>15000</v>
      </c>
      <c r="F478" s="27">
        <v>312.5</v>
      </c>
      <c r="G478" s="28">
        <v>600.0</v>
      </c>
      <c r="H478" s="27">
        <f t="shared" si="161"/>
        <v>287.5</v>
      </c>
      <c r="I478" s="27">
        <f t="shared" si="178"/>
        <v>13800</v>
      </c>
      <c r="J478" s="27">
        <f t="shared" si="179"/>
        <v>28800</v>
      </c>
    </row>
    <row r="479" ht="12.75" customHeight="1">
      <c r="A479" s="36">
        <v>3938175.0</v>
      </c>
      <c r="B479" s="36" t="s">
        <v>2889</v>
      </c>
      <c r="C479" s="26">
        <v>1.0</v>
      </c>
      <c r="D479" s="27">
        <v>3750.0</v>
      </c>
      <c r="E479" s="27">
        <f t="shared" si="160"/>
        <v>3750</v>
      </c>
      <c r="F479" s="27">
        <v>312.5</v>
      </c>
      <c r="G479" s="28">
        <v>600.0</v>
      </c>
      <c r="H479" s="27">
        <f t="shared" si="161"/>
        <v>287.5</v>
      </c>
      <c r="I479" s="27">
        <f t="shared" ref="I479:I480" si="180">H479*12</f>
        <v>3450</v>
      </c>
      <c r="J479" s="27">
        <f t="shared" ref="J479:J480" si="181">G479*12</f>
        <v>7200</v>
      </c>
    </row>
    <row r="480" ht="12.75" customHeight="1">
      <c r="A480" s="36">
        <v>3938182.0</v>
      </c>
      <c r="B480" s="36" t="s">
        <v>2890</v>
      </c>
      <c r="C480" s="26">
        <v>1.0</v>
      </c>
      <c r="D480" s="27">
        <v>3750.0</v>
      </c>
      <c r="E480" s="27">
        <f t="shared" si="160"/>
        <v>3750</v>
      </c>
      <c r="F480" s="27">
        <v>312.5</v>
      </c>
      <c r="G480" s="28">
        <v>600.0</v>
      </c>
      <c r="H480" s="27">
        <f t="shared" si="161"/>
        <v>287.5</v>
      </c>
      <c r="I480" s="27">
        <f t="shared" si="180"/>
        <v>3450</v>
      </c>
      <c r="J480" s="27">
        <f t="shared" si="181"/>
        <v>7200</v>
      </c>
    </row>
    <row r="481" ht="12.75" customHeight="1">
      <c r="A481" s="25"/>
      <c r="C481" s="26"/>
      <c r="D481" s="27"/>
      <c r="E481" s="27"/>
      <c r="F481" s="27"/>
      <c r="G481" s="28"/>
      <c r="H481" s="27"/>
      <c r="I481" s="27"/>
      <c r="J481" s="27"/>
    </row>
    <row r="482" ht="12.75" customHeight="1">
      <c r="A482" s="25"/>
      <c r="C482" s="26"/>
      <c r="D482" s="27"/>
      <c r="E482" s="32">
        <f>SUM(E445:E480)</f>
        <v>306146</v>
      </c>
      <c r="F482" s="27"/>
      <c r="G482" s="28"/>
      <c r="H482" s="27"/>
      <c r="I482" s="33">
        <f t="shared" ref="I482:J482" si="182">SUM(I445:I480)</f>
        <v>258455.24</v>
      </c>
      <c r="J482" s="33">
        <f t="shared" si="182"/>
        <v>564600</v>
      </c>
    </row>
    <row r="483" ht="12.75" customHeight="1">
      <c r="A483" s="25"/>
      <c r="C483" s="26"/>
      <c r="D483" s="27"/>
      <c r="E483" s="27"/>
      <c r="F483" s="27"/>
      <c r="G483" s="28"/>
      <c r="H483" s="27"/>
      <c r="I483" s="27"/>
      <c r="J483" s="27"/>
    </row>
    <row r="484" ht="12.75" customHeight="1">
      <c r="A484" s="25"/>
      <c r="C484" s="26"/>
      <c r="D484" s="27"/>
      <c r="E484" s="27"/>
      <c r="F484" s="27"/>
      <c r="G484" s="28"/>
      <c r="H484" s="27"/>
      <c r="I484" s="27"/>
      <c r="J484" s="27"/>
    </row>
    <row r="485" ht="12.75" customHeight="1">
      <c r="A485" s="34">
        <v>45482.0</v>
      </c>
      <c r="C485" s="26"/>
      <c r="D485" s="27"/>
      <c r="E485" s="27"/>
      <c r="F485" s="27"/>
      <c r="G485" s="28"/>
      <c r="H485" s="27"/>
      <c r="I485" s="27"/>
      <c r="J485" s="27"/>
    </row>
    <row r="486" ht="12.75" customHeight="1">
      <c r="A486" s="25"/>
      <c r="C486" s="26"/>
      <c r="D486" s="27"/>
      <c r="E486" s="27"/>
      <c r="F486" s="27"/>
      <c r="G486" s="28"/>
      <c r="H486" s="27"/>
      <c r="I486" s="27"/>
      <c r="J486" s="27"/>
    </row>
    <row r="487" ht="12.75" customHeight="1">
      <c r="A487" s="36">
        <v>4162001.0</v>
      </c>
      <c r="B487" s="36" t="s">
        <v>2733</v>
      </c>
      <c r="C487" s="26">
        <v>20.0</v>
      </c>
      <c r="D487" s="27">
        <v>770.0</v>
      </c>
      <c r="E487" s="27">
        <f t="shared" ref="E487:E517" si="183">D487*C487</f>
        <v>15400</v>
      </c>
      <c r="F487" s="27">
        <v>770.0</v>
      </c>
      <c r="G487" s="28">
        <v>1500.0</v>
      </c>
      <c r="H487" s="27">
        <f t="shared" ref="H487:H517" si="184">G487-F487</f>
        <v>730</v>
      </c>
      <c r="I487" s="27">
        <f t="shared" ref="I487:I488" si="185">H487*20</f>
        <v>14600</v>
      </c>
      <c r="J487" s="27">
        <f t="shared" ref="J487:J488" si="186">G487*20</f>
        <v>30000</v>
      </c>
    </row>
    <row r="488" ht="12.75" customHeight="1">
      <c r="A488" s="36">
        <v>8381002.0</v>
      </c>
      <c r="B488" s="36" t="s">
        <v>2597</v>
      </c>
      <c r="C488" s="26">
        <v>1.0</v>
      </c>
      <c r="D488" s="27">
        <v>3430.0</v>
      </c>
      <c r="E488" s="27">
        <f t="shared" si="183"/>
        <v>3430</v>
      </c>
      <c r="F488" s="27">
        <v>171.5</v>
      </c>
      <c r="G488" s="28">
        <v>350.0</v>
      </c>
      <c r="H488" s="27">
        <f t="shared" si="184"/>
        <v>178.5</v>
      </c>
      <c r="I488" s="27">
        <f t="shared" si="185"/>
        <v>3570</v>
      </c>
      <c r="J488" s="27">
        <f t="shared" si="186"/>
        <v>7000</v>
      </c>
    </row>
    <row r="489" ht="12.75" customHeight="1">
      <c r="A489" s="36">
        <v>5027376.0</v>
      </c>
      <c r="B489" s="36" t="s">
        <v>2891</v>
      </c>
      <c r="C489" s="26">
        <v>1.0</v>
      </c>
      <c r="D489" s="27">
        <v>11190.0</v>
      </c>
      <c r="E489" s="27">
        <f t="shared" si="183"/>
        <v>11190</v>
      </c>
      <c r="F489" s="27">
        <v>93.25</v>
      </c>
      <c r="G489" s="28">
        <v>250.0</v>
      </c>
      <c r="H489" s="27">
        <f t="shared" si="184"/>
        <v>156.75</v>
      </c>
      <c r="I489" s="27">
        <f>H489*120</f>
        <v>18810</v>
      </c>
      <c r="J489" s="27">
        <f>G489*120</f>
        <v>30000</v>
      </c>
    </row>
    <row r="490" ht="12.75" customHeight="1">
      <c r="A490" s="36">
        <v>3801493.0</v>
      </c>
      <c r="B490" s="36" t="s">
        <v>2892</v>
      </c>
      <c r="C490" s="26">
        <v>2.0</v>
      </c>
      <c r="D490" s="27">
        <v>3940.0</v>
      </c>
      <c r="E490" s="27">
        <f t="shared" si="183"/>
        <v>7880</v>
      </c>
      <c r="F490" s="27">
        <v>328.33</v>
      </c>
      <c r="G490" s="28">
        <v>750.0</v>
      </c>
      <c r="H490" s="27">
        <f t="shared" si="184"/>
        <v>421.67</v>
      </c>
      <c r="I490" s="27">
        <f>H490*24</f>
        <v>10120.08</v>
      </c>
      <c r="J490" s="27">
        <f>G490*24</f>
        <v>18000</v>
      </c>
    </row>
    <row r="491" ht="12.75" customHeight="1">
      <c r="A491" s="36">
        <v>5034480.0</v>
      </c>
      <c r="B491" s="36" t="s">
        <v>2591</v>
      </c>
      <c r="C491" s="26">
        <v>5.0</v>
      </c>
      <c r="D491" s="27">
        <v>4900.0</v>
      </c>
      <c r="E491" s="27">
        <f t="shared" si="183"/>
        <v>24500</v>
      </c>
      <c r="F491" s="27">
        <v>490.0</v>
      </c>
      <c r="G491" s="28">
        <v>1000.0</v>
      </c>
      <c r="H491" s="27">
        <f t="shared" si="184"/>
        <v>510</v>
      </c>
      <c r="I491" s="27">
        <f>H491*50</f>
        <v>25500</v>
      </c>
      <c r="J491" s="27">
        <f>G491*50</f>
        <v>50000</v>
      </c>
    </row>
    <row r="492" ht="12.75" customHeight="1">
      <c r="A492" s="36">
        <v>5052408.0</v>
      </c>
      <c r="B492" s="36" t="s">
        <v>2609</v>
      </c>
      <c r="C492" s="26">
        <v>3.0</v>
      </c>
      <c r="D492" s="27">
        <v>4900.0</v>
      </c>
      <c r="E492" s="27">
        <f t="shared" si="183"/>
        <v>14700</v>
      </c>
      <c r="F492" s="27">
        <v>490.0</v>
      </c>
      <c r="G492" s="28">
        <v>1000.0</v>
      </c>
      <c r="H492" s="27">
        <f t="shared" si="184"/>
        <v>510</v>
      </c>
      <c r="I492" s="27">
        <f t="shared" ref="I492:I493" si="187">H492*30</f>
        <v>15300</v>
      </c>
      <c r="J492" s="27">
        <f t="shared" ref="J492:J493" si="188">G492*30</f>
        <v>30000</v>
      </c>
    </row>
    <row r="493" ht="12.75" customHeight="1">
      <c r="A493" s="36">
        <v>5052392.0</v>
      </c>
      <c r="B493" s="36" t="s">
        <v>2610</v>
      </c>
      <c r="C493" s="26">
        <v>3.0</v>
      </c>
      <c r="D493" s="27">
        <v>4900.0</v>
      </c>
      <c r="E493" s="27">
        <f t="shared" si="183"/>
        <v>14700</v>
      </c>
      <c r="F493" s="27">
        <v>490.0</v>
      </c>
      <c r="G493" s="28">
        <v>1000.0</v>
      </c>
      <c r="H493" s="27">
        <f t="shared" si="184"/>
        <v>510</v>
      </c>
      <c r="I493" s="27">
        <f t="shared" si="187"/>
        <v>15300</v>
      </c>
      <c r="J493" s="27">
        <f t="shared" si="188"/>
        <v>30000</v>
      </c>
    </row>
    <row r="494" ht="12.75" customHeight="1">
      <c r="A494" s="36">
        <v>5045646.0</v>
      </c>
      <c r="B494" s="36" t="s">
        <v>2592</v>
      </c>
      <c r="C494" s="26">
        <v>2.0</v>
      </c>
      <c r="D494" s="27">
        <v>4900.0</v>
      </c>
      <c r="E494" s="27">
        <f t="shared" si="183"/>
        <v>9800</v>
      </c>
      <c r="F494" s="27">
        <v>490.0</v>
      </c>
      <c r="G494" s="28">
        <v>1000.0</v>
      </c>
      <c r="H494" s="27">
        <f t="shared" si="184"/>
        <v>510</v>
      </c>
      <c r="I494" s="27">
        <f t="shared" ref="I494:I495" si="189">H494*20</f>
        <v>10200</v>
      </c>
      <c r="J494" s="27">
        <f t="shared" ref="J494:J495" si="190">G494*20</f>
        <v>20000</v>
      </c>
    </row>
    <row r="495" ht="12.75" customHeight="1">
      <c r="A495" s="36">
        <v>5045653.0</v>
      </c>
      <c r="B495" s="36" t="s">
        <v>2593</v>
      </c>
      <c r="C495" s="26">
        <v>2.0</v>
      </c>
      <c r="D495" s="27">
        <v>4900.0</v>
      </c>
      <c r="E495" s="27">
        <f t="shared" si="183"/>
        <v>9800</v>
      </c>
      <c r="F495" s="27">
        <v>490.0</v>
      </c>
      <c r="G495" s="28">
        <v>1000.0</v>
      </c>
      <c r="H495" s="27">
        <f t="shared" si="184"/>
        <v>510</v>
      </c>
      <c r="I495" s="27">
        <f t="shared" si="189"/>
        <v>10200</v>
      </c>
      <c r="J495" s="27">
        <f t="shared" si="190"/>
        <v>20000</v>
      </c>
    </row>
    <row r="496" ht="12.75" customHeight="1">
      <c r="A496" s="36">
        <v>5029851.0</v>
      </c>
      <c r="B496" s="36" t="s">
        <v>2893</v>
      </c>
      <c r="C496" s="26">
        <v>1.0</v>
      </c>
      <c r="D496" s="27">
        <v>12500.0</v>
      </c>
      <c r="E496" s="27">
        <f t="shared" si="183"/>
        <v>12500</v>
      </c>
      <c r="F496" s="27">
        <v>1250.0</v>
      </c>
      <c r="G496" s="28">
        <v>1800.0</v>
      </c>
      <c r="H496" s="27">
        <f t="shared" si="184"/>
        <v>550</v>
      </c>
      <c r="I496" s="27">
        <f t="shared" ref="I496:I499" si="191">H496*10</f>
        <v>5500</v>
      </c>
      <c r="J496" s="27">
        <f t="shared" ref="J496:J499" si="192">G496*10</f>
        <v>18000</v>
      </c>
    </row>
    <row r="497" ht="12.75" customHeight="1">
      <c r="A497" s="36">
        <v>5008245.0</v>
      </c>
      <c r="B497" s="36" t="s">
        <v>2894</v>
      </c>
      <c r="C497" s="26">
        <v>1.0</v>
      </c>
      <c r="D497" s="27">
        <v>12650.0</v>
      </c>
      <c r="E497" s="27">
        <f t="shared" si="183"/>
        <v>12650</v>
      </c>
      <c r="F497" s="27">
        <v>1265.0</v>
      </c>
      <c r="G497" s="28">
        <v>1800.0</v>
      </c>
      <c r="H497" s="27">
        <f t="shared" si="184"/>
        <v>535</v>
      </c>
      <c r="I497" s="27">
        <f t="shared" si="191"/>
        <v>5350</v>
      </c>
      <c r="J497" s="27">
        <f t="shared" si="192"/>
        <v>18000</v>
      </c>
    </row>
    <row r="498" ht="12.75" customHeight="1">
      <c r="A498" s="36">
        <v>4104289.0</v>
      </c>
      <c r="B498" s="36" t="s">
        <v>2895</v>
      </c>
      <c r="C498" s="26">
        <v>10.0</v>
      </c>
      <c r="D498" s="27">
        <v>705.0</v>
      </c>
      <c r="E498" s="27">
        <f t="shared" si="183"/>
        <v>7050</v>
      </c>
      <c r="F498" s="27">
        <v>705.0</v>
      </c>
      <c r="G498" s="28">
        <v>1500.0</v>
      </c>
      <c r="H498" s="27">
        <f t="shared" si="184"/>
        <v>795</v>
      </c>
      <c r="I498" s="27">
        <f t="shared" si="191"/>
        <v>7950</v>
      </c>
      <c r="J498" s="27">
        <f t="shared" si="192"/>
        <v>15000</v>
      </c>
    </row>
    <row r="499" ht="12.75" customHeight="1">
      <c r="A499" s="36">
        <v>6898.0</v>
      </c>
      <c r="B499" s="36" t="s">
        <v>2658</v>
      </c>
      <c r="C499" s="26">
        <v>10.0</v>
      </c>
      <c r="D499" s="27">
        <v>930.0</v>
      </c>
      <c r="E499" s="27">
        <f t="shared" si="183"/>
        <v>9300</v>
      </c>
      <c r="F499" s="27">
        <v>930.0</v>
      </c>
      <c r="G499" s="28">
        <v>2000.0</v>
      </c>
      <c r="H499" s="27">
        <f t="shared" si="184"/>
        <v>1070</v>
      </c>
      <c r="I499" s="27">
        <f t="shared" si="191"/>
        <v>10700</v>
      </c>
      <c r="J499" s="27">
        <f t="shared" si="192"/>
        <v>20000</v>
      </c>
    </row>
    <row r="500" ht="12.75" customHeight="1">
      <c r="A500" s="36">
        <v>9454340.0</v>
      </c>
      <c r="B500" s="36" t="s">
        <v>2896</v>
      </c>
      <c r="C500" s="26">
        <v>1.0</v>
      </c>
      <c r="D500" s="27">
        <v>5340.0</v>
      </c>
      <c r="E500" s="27">
        <f t="shared" si="183"/>
        <v>5340</v>
      </c>
      <c r="F500" s="27">
        <v>53.4</v>
      </c>
      <c r="G500" s="28">
        <v>150.0</v>
      </c>
      <c r="H500" s="27">
        <f t="shared" si="184"/>
        <v>96.6</v>
      </c>
      <c r="I500" s="27">
        <f t="shared" ref="I500:I502" si="193">H500*100</f>
        <v>9660</v>
      </c>
      <c r="J500" s="27">
        <f t="shared" ref="J500:J502" si="194">G500*100</f>
        <v>15000</v>
      </c>
    </row>
    <row r="501" ht="12.75" customHeight="1">
      <c r="A501" s="36">
        <v>7678643.0</v>
      </c>
      <c r="B501" s="36" t="s">
        <v>2897</v>
      </c>
      <c r="C501" s="26">
        <v>1.0</v>
      </c>
      <c r="D501" s="27">
        <v>5340.0</v>
      </c>
      <c r="E501" s="27">
        <f t="shared" si="183"/>
        <v>5340</v>
      </c>
      <c r="F501" s="27">
        <v>53.4</v>
      </c>
      <c r="G501" s="28">
        <v>150.0</v>
      </c>
      <c r="H501" s="27">
        <f t="shared" si="184"/>
        <v>96.6</v>
      </c>
      <c r="I501" s="27">
        <f t="shared" si="193"/>
        <v>9660</v>
      </c>
      <c r="J501" s="27">
        <f t="shared" si="194"/>
        <v>15000</v>
      </c>
    </row>
    <row r="502" ht="12.75" customHeight="1">
      <c r="A502" s="36">
        <v>2729618.0</v>
      </c>
      <c r="B502" s="36" t="s">
        <v>2898</v>
      </c>
      <c r="C502" s="26">
        <v>1.0</v>
      </c>
      <c r="D502" s="27">
        <v>5340.0</v>
      </c>
      <c r="E502" s="27">
        <f t="shared" si="183"/>
        <v>5340</v>
      </c>
      <c r="F502" s="27">
        <v>53.4</v>
      </c>
      <c r="G502" s="28">
        <v>150.0</v>
      </c>
      <c r="H502" s="27">
        <f t="shared" si="184"/>
        <v>96.6</v>
      </c>
      <c r="I502" s="27">
        <f t="shared" si="193"/>
        <v>9660</v>
      </c>
      <c r="J502" s="27">
        <f t="shared" si="194"/>
        <v>15000</v>
      </c>
    </row>
    <row r="503" ht="12.75" customHeight="1">
      <c r="A503" s="36">
        <v>2747594.0</v>
      </c>
      <c r="B503" s="36" t="s">
        <v>2899</v>
      </c>
      <c r="C503" s="26">
        <v>25.0</v>
      </c>
      <c r="D503" s="27">
        <v>560.0</v>
      </c>
      <c r="E503" s="27">
        <f t="shared" si="183"/>
        <v>14000</v>
      </c>
      <c r="F503" s="27">
        <v>560.0</v>
      </c>
      <c r="G503" s="28">
        <v>1000.0</v>
      </c>
      <c r="H503" s="27">
        <f t="shared" si="184"/>
        <v>440</v>
      </c>
      <c r="I503" s="27">
        <f>H503*25</f>
        <v>11000</v>
      </c>
      <c r="J503" s="27">
        <f>G503*25</f>
        <v>25000</v>
      </c>
    </row>
    <row r="504" ht="12.75" customHeight="1">
      <c r="A504" s="36">
        <v>4450225.0</v>
      </c>
      <c r="B504" s="36" t="s">
        <v>2900</v>
      </c>
      <c r="C504" s="26">
        <v>1.0</v>
      </c>
      <c r="D504" s="27">
        <v>4560.0</v>
      </c>
      <c r="E504" s="27">
        <f t="shared" si="183"/>
        <v>4560</v>
      </c>
      <c r="F504" s="27">
        <v>456.0</v>
      </c>
      <c r="G504" s="28">
        <v>1000.0</v>
      </c>
      <c r="H504" s="27">
        <f t="shared" si="184"/>
        <v>544</v>
      </c>
      <c r="I504" s="27">
        <f t="shared" ref="I504:I507" si="195">H504*10</f>
        <v>5440</v>
      </c>
      <c r="J504" s="27">
        <f t="shared" ref="J504:J507" si="196">G504*10</f>
        <v>10000</v>
      </c>
    </row>
    <row r="505" ht="12.75" customHeight="1">
      <c r="A505" s="36">
        <v>4450256.0</v>
      </c>
      <c r="B505" s="36" t="s">
        <v>2901</v>
      </c>
      <c r="C505" s="26">
        <v>1.0</v>
      </c>
      <c r="D505" s="27">
        <v>4560.0</v>
      </c>
      <c r="E505" s="27">
        <f t="shared" si="183"/>
        <v>4560</v>
      </c>
      <c r="F505" s="27">
        <v>456.0</v>
      </c>
      <c r="G505" s="28">
        <v>1000.0</v>
      </c>
      <c r="H505" s="27">
        <f t="shared" si="184"/>
        <v>544</v>
      </c>
      <c r="I505" s="27">
        <f t="shared" si="195"/>
        <v>5440</v>
      </c>
      <c r="J505" s="27">
        <f t="shared" si="196"/>
        <v>10000</v>
      </c>
    </row>
    <row r="506" ht="12.75" customHeight="1">
      <c r="A506" s="36">
        <v>4450775.0</v>
      </c>
      <c r="B506" s="36" t="s">
        <v>2902</v>
      </c>
      <c r="C506" s="26">
        <v>1.0</v>
      </c>
      <c r="D506" s="27">
        <v>4560.0</v>
      </c>
      <c r="E506" s="27">
        <f t="shared" si="183"/>
        <v>4560</v>
      </c>
      <c r="F506" s="27">
        <v>456.0</v>
      </c>
      <c r="G506" s="28">
        <v>1000.0</v>
      </c>
      <c r="H506" s="27">
        <f t="shared" si="184"/>
        <v>544</v>
      </c>
      <c r="I506" s="27">
        <f t="shared" si="195"/>
        <v>5440</v>
      </c>
      <c r="J506" s="27">
        <f t="shared" si="196"/>
        <v>10000</v>
      </c>
    </row>
    <row r="507" ht="12.75" customHeight="1">
      <c r="A507" s="36">
        <v>4450232.0</v>
      </c>
      <c r="B507" s="36" t="s">
        <v>2903</v>
      </c>
      <c r="C507" s="26">
        <v>1.0</v>
      </c>
      <c r="D507" s="27">
        <v>4560.0</v>
      </c>
      <c r="E507" s="27">
        <f t="shared" si="183"/>
        <v>4560</v>
      </c>
      <c r="F507" s="27">
        <v>456.0</v>
      </c>
      <c r="G507" s="28">
        <v>850.0</v>
      </c>
      <c r="H507" s="27">
        <f t="shared" si="184"/>
        <v>394</v>
      </c>
      <c r="I507" s="27">
        <f t="shared" si="195"/>
        <v>3940</v>
      </c>
      <c r="J507" s="27">
        <f t="shared" si="196"/>
        <v>8500</v>
      </c>
    </row>
    <row r="508" ht="12.75" customHeight="1">
      <c r="A508" s="36">
        <v>238.0</v>
      </c>
      <c r="B508" s="36" t="s">
        <v>2904</v>
      </c>
      <c r="C508" s="26">
        <v>1.0</v>
      </c>
      <c r="D508" s="27">
        <v>2360.0</v>
      </c>
      <c r="E508" s="27">
        <f t="shared" si="183"/>
        <v>2360</v>
      </c>
      <c r="F508" s="27">
        <v>47.2</v>
      </c>
      <c r="G508" s="28">
        <v>200.0</v>
      </c>
      <c r="H508" s="27">
        <f t="shared" si="184"/>
        <v>152.8</v>
      </c>
      <c r="I508" s="27">
        <f>H508*50</f>
        <v>7640</v>
      </c>
      <c r="J508" s="27">
        <f>G508*50</f>
        <v>10000</v>
      </c>
    </row>
    <row r="509" ht="12.75" customHeight="1">
      <c r="A509" s="36">
        <v>5060656.0</v>
      </c>
      <c r="B509" s="36" t="s">
        <v>2905</v>
      </c>
      <c r="C509" s="26">
        <v>20.0</v>
      </c>
      <c r="D509" s="27">
        <v>139.0</v>
      </c>
      <c r="E509" s="27">
        <f t="shared" si="183"/>
        <v>2780</v>
      </c>
      <c r="F509" s="27">
        <v>139.0</v>
      </c>
      <c r="G509" s="28">
        <v>300.0</v>
      </c>
      <c r="H509" s="27">
        <f t="shared" si="184"/>
        <v>161</v>
      </c>
      <c r="I509" s="27">
        <f t="shared" ref="I509:I513" si="197">H509*20</f>
        <v>3220</v>
      </c>
      <c r="J509" s="27">
        <f t="shared" ref="J509:J513" si="198">G509*20</f>
        <v>6000</v>
      </c>
    </row>
    <row r="510" ht="12.75" customHeight="1">
      <c r="A510" s="36">
        <v>5060878.0</v>
      </c>
      <c r="B510" s="36" t="s">
        <v>2906</v>
      </c>
      <c r="C510" s="26">
        <v>20.0</v>
      </c>
      <c r="D510" s="27">
        <v>139.0</v>
      </c>
      <c r="E510" s="27">
        <f t="shared" si="183"/>
        <v>2780</v>
      </c>
      <c r="F510" s="27">
        <v>139.0</v>
      </c>
      <c r="G510" s="28">
        <v>300.0</v>
      </c>
      <c r="H510" s="27">
        <f t="shared" si="184"/>
        <v>161</v>
      </c>
      <c r="I510" s="27">
        <f t="shared" si="197"/>
        <v>3220</v>
      </c>
      <c r="J510" s="27">
        <f t="shared" si="198"/>
        <v>6000</v>
      </c>
    </row>
    <row r="511" ht="12.75" customHeight="1">
      <c r="A511" s="36">
        <v>5060823.0</v>
      </c>
      <c r="B511" s="36" t="s">
        <v>2906</v>
      </c>
      <c r="C511" s="26">
        <v>20.0</v>
      </c>
      <c r="D511" s="27">
        <v>139.0</v>
      </c>
      <c r="E511" s="27">
        <f t="shared" si="183"/>
        <v>2780</v>
      </c>
      <c r="F511" s="27">
        <v>139.0</v>
      </c>
      <c r="G511" s="28">
        <v>300.0</v>
      </c>
      <c r="H511" s="27">
        <f t="shared" si="184"/>
        <v>161</v>
      </c>
      <c r="I511" s="27">
        <f t="shared" si="197"/>
        <v>3220</v>
      </c>
      <c r="J511" s="27">
        <f t="shared" si="198"/>
        <v>6000</v>
      </c>
    </row>
    <row r="512" ht="12.75" customHeight="1">
      <c r="A512" s="36">
        <v>5060564.0</v>
      </c>
      <c r="B512" s="36" t="s">
        <v>2907</v>
      </c>
      <c r="C512" s="26">
        <v>20.0</v>
      </c>
      <c r="D512" s="27">
        <v>139.0</v>
      </c>
      <c r="E512" s="27">
        <f t="shared" si="183"/>
        <v>2780</v>
      </c>
      <c r="F512" s="27">
        <v>139.0</v>
      </c>
      <c r="G512" s="28">
        <v>300.0</v>
      </c>
      <c r="H512" s="27">
        <f t="shared" si="184"/>
        <v>161</v>
      </c>
      <c r="I512" s="27">
        <f t="shared" si="197"/>
        <v>3220</v>
      </c>
      <c r="J512" s="27">
        <f t="shared" si="198"/>
        <v>6000</v>
      </c>
    </row>
    <row r="513" ht="12.75" customHeight="1">
      <c r="A513" s="36">
        <v>5060854.0</v>
      </c>
      <c r="B513" s="36" t="s">
        <v>2906</v>
      </c>
      <c r="C513" s="26">
        <v>20.0</v>
      </c>
      <c r="D513" s="27">
        <v>139.0</v>
      </c>
      <c r="E513" s="27">
        <f t="shared" si="183"/>
        <v>2780</v>
      </c>
      <c r="F513" s="27">
        <v>139.0</v>
      </c>
      <c r="G513" s="28">
        <v>300.0</v>
      </c>
      <c r="H513" s="27">
        <f t="shared" si="184"/>
        <v>161</v>
      </c>
      <c r="I513" s="27">
        <f t="shared" si="197"/>
        <v>3220</v>
      </c>
      <c r="J513" s="27">
        <f t="shared" si="198"/>
        <v>6000</v>
      </c>
    </row>
    <row r="514" ht="12.75" customHeight="1">
      <c r="A514" s="36">
        <v>4328227.0</v>
      </c>
      <c r="B514" s="36" t="s">
        <v>2675</v>
      </c>
      <c r="C514" s="26">
        <v>5.0</v>
      </c>
      <c r="D514" s="27">
        <v>860.0</v>
      </c>
      <c r="E514" s="27">
        <f t="shared" si="183"/>
        <v>4300</v>
      </c>
      <c r="F514" s="27">
        <v>860.0</v>
      </c>
      <c r="G514" s="28">
        <v>2000.0</v>
      </c>
      <c r="H514" s="27">
        <f t="shared" si="184"/>
        <v>1140</v>
      </c>
      <c r="I514" s="27">
        <f t="shared" ref="I514:I515" si="199">H514*5</f>
        <v>5700</v>
      </c>
      <c r="J514" s="27">
        <f t="shared" ref="J514:J515" si="200">G514*5</f>
        <v>10000</v>
      </c>
    </row>
    <row r="515" ht="12.75" customHeight="1">
      <c r="A515" s="36">
        <v>7959043.0</v>
      </c>
      <c r="B515" s="36" t="s">
        <v>2612</v>
      </c>
      <c r="C515" s="26">
        <v>5.0</v>
      </c>
      <c r="D515" s="27">
        <v>930.0</v>
      </c>
      <c r="E515" s="27">
        <f t="shared" si="183"/>
        <v>4650</v>
      </c>
      <c r="F515" s="27">
        <v>930.0</v>
      </c>
      <c r="G515" s="28">
        <v>2000.0</v>
      </c>
      <c r="H515" s="27">
        <f t="shared" si="184"/>
        <v>1070</v>
      </c>
      <c r="I515" s="27">
        <f t="shared" si="199"/>
        <v>5350</v>
      </c>
      <c r="J515" s="27">
        <f t="shared" si="200"/>
        <v>10000</v>
      </c>
    </row>
    <row r="516" ht="12.75" customHeight="1">
      <c r="A516" s="36">
        <v>1606070.0</v>
      </c>
      <c r="B516" s="36" t="s">
        <v>2908</v>
      </c>
      <c r="C516" s="26">
        <v>10.0</v>
      </c>
      <c r="D516" s="27">
        <v>930.0</v>
      </c>
      <c r="E516" s="27">
        <f t="shared" si="183"/>
        <v>9300</v>
      </c>
      <c r="F516" s="27">
        <v>930.0</v>
      </c>
      <c r="G516" s="28">
        <v>2000.0</v>
      </c>
      <c r="H516" s="27">
        <f t="shared" si="184"/>
        <v>1070</v>
      </c>
      <c r="I516" s="27">
        <f t="shared" ref="I516:I517" si="201">H516*10</f>
        <v>10700</v>
      </c>
      <c r="J516" s="27">
        <f t="shared" ref="J516:J517" si="202">G516*10</f>
        <v>20000</v>
      </c>
    </row>
    <row r="517" ht="12.75" customHeight="1">
      <c r="A517" s="36">
        <v>4170303.0</v>
      </c>
      <c r="B517" s="36" t="s">
        <v>2678</v>
      </c>
      <c r="C517" s="26">
        <v>10.0</v>
      </c>
      <c r="D517" s="27">
        <v>930.0</v>
      </c>
      <c r="E517" s="27">
        <f t="shared" si="183"/>
        <v>9300</v>
      </c>
      <c r="F517" s="27">
        <v>930.0</v>
      </c>
      <c r="G517" s="28">
        <v>2000.0</v>
      </c>
      <c r="H517" s="27">
        <f t="shared" si="184"/>
        <v>1070</v>
      </c>
      <c r="I517" s="27">
        <f t="shared" si="201"/>
        <v>10700</v>
      </c>
      <c r="J517" s="27">
        <f t="shared" si="202"/>
        <v>20000</v>
      </c>
    </row>
    <row r="518" ht="12.75" customHeight="1">
      <c r="A518" s="25"/>
      <c r="C518" s="26"/>
      <c r="D518" s="27"/>
      <c r="E518" s="27"/>
      <c r="F518" s="27"/>
      <c r="G518" s="28"/>
      <c r="H518" s="27"/>
      <c r="I518" s="27"/>
      <c r="J518" s="27"/>
    </row>
    <row r="519" ht="12.75" customHeight="1">
      <c r="A519" s="25"/>
      <c r="C519" s="26"/>
      <c r="D519" s="27"/>
      <c r="E519" s="32">
        <f>SUM(E487:E517)</f>
        <v>244970</v>
      </c>
      <c r="F519" s="27"/>
      <c r="G519" s="28"/>
      <c r="H519" s="27"/>
      <c r="I519" s="33">
        <f t="shared" ref="I519:J519" si="203">SUM(I487:I517)</f>
        <v>269530.08</v>
      </c>
      <c r="J519" s="33">
        <f t="shared" si="203"/>
        <v>514500</v>
      </c>
    </row>
    <row r="520" ht="12.75" customHeight="1">
      <c r="A520" s="25"/>
      <c r="C520" s="26"/>
      <c r="D520" s="27"/>
      <c r="E520" s="27"/>
      <c r="F520" s="27"/>
      <c r="G520" s="28"/>
      <c r="H520" s="27"/>
      <c r="I520" s="27"/>
      <c r="J520" s="27"/>
    </row>
    <row r="521" ht="12.75" customHeight="1">
      <c r="A521" s="25"/>
      <c r="C521" s="26"/>
      <c r="D521" s="27"/>
      <c r="E521" s="27"/>
      <c r="F521" s="27"/>
      <c r="G521" s="28"/>
      <c r="H521" s="27"/>
      <c r="I521" s="27"/>
      <c r="J521" s="27"/>
    </row>
    <row r="522" ht="12.75" customHeight="1">
      <c r="A522" s="34">
        <v>45496.0</v>
      </c>
      <c r="C522" s="26"/>
      <c r="D522" s="27"/>
      <c r="E522" s="27"/>
      <c r="F522" s="27"/>
      <c r="G522" s="28"/>
      <c r="H522" s="27"/>
      <c r="I522" s="27"/>
      <c r="J522" s="27"/>
    </row>
    <row r="523" ht="12.75" customHeight="1">
      <c r="A523" s="25"/>
      <c r="C523" s="26"/>
      <c r="D523" s="27"/>
      <c r="E523" s="27"/>
      <c r="F523" s="27"/>
      <c r="G523" s="28"/>
      <c r="H523" s="27"/>
      <c r="I523" s="27"/>
      <c r="J523" s="27"/>
    </row>
    <row r="524" ht="12.75" customHeight="1">
      <c r="A524" s="36">
        <v>4101005.0</v>
      </c>
      <c r="B524" s="36" t="s">
        <v>2909</v>
      </c>
      <c r="C524" s="26">
        <v>24.0</v>
      </c>
      <c r="D524" s="27">
        <v>790.0</v>
      </c>
      <c r="E524" s="27">
        <f t="shared" ref="E524:E528" si="204">D524*C524</f>
        <v>18960</v>
      </c>
      <c r="F524" s="27">
        <v>65.83</v>
      </c>
      <c r="G524" s="28">
        <v>150.0</v>
      </c>
      <c r="H524" s="27">
        <f t="shared" ref="H524:H528" si="205">G524-F524</f>
        <v>84.17</v>
      </c>
      <c r="I524" s="27">
        <f>H524*288</f>
        <v>24240.96</v>
      </c>
      <c r="J524" s="27">
        <f>G524*288</f>
        <v>43200</v>
      </c>
    </row>
    <row r="525" ht="12.75" customHeight="1">
      <c r="A525" s="36">
        <v>383185.0</v>
      </c>
      <c r="B525" s="36" t="s">
        <v>2910</v>
      </c>
      <c r="C525" s="26">
        <v>2.0</v>
      </c>
      <c r="D525" s="27">
        <v>1870.0</v>
      </c>
      <c r="E525" s="27">
        <f t="shared" si="204"/>
        <v>3740</v>
      </c>
      <c r="F525" s="27">
        <v>187.0</v>
      </c>
      <c r="G525" s="28">
        <v>350.0</v>
      </c>
      <c r="H525" s="27">
        <f t="shared" si="205"/>
        <v>163</v>
      </c>
      <c r="I525" s="27">
        <f>H525*20</f>
        <v>3260</v>
      </c>
      <c r="J525" s="27">
        <f>G525*20</f>
        <v>7000</v>
      </c>
    </row>
    <row r="526" ht="12.75" customHeight="1">
      <c r="A526" s="36">
        <v>4416009.0</v>
      </c>
      <c r="B526" s="36" t="s">
        <v>2699</v>
      </c>
      <c r="C526" s="26">
        <v>12.0</v>
      </c>
      <c r="D526" s="27">
        <v>1560.0</v>
      </c>
      <c r="E526" s="27">
        <f t="shared" si="204"/>
        <v>18720</v>
      </c>
      <c r="F526" s="27">
        <v>1560.0</v>
      </c>
      <c r="G526" s="28">
        <v>2300.0</v>
      </c>
      <c r="H526" s="27">
        <f t="shared" si="205"/>
        <v>740</v>
      </c>
      <c r="I526" s="27">
        <f>H526*12</f>
        <v>8880</v>
      </c>
      <c r="J526" s="27">
        <f>G526*12</f>
        <v>27600</v>
      </c>
    </row>
    <row r="527" ht="12.75" customHeight="1">
      <c r="A527" s="36">
        <v>5027345.0</v>
      </c>
      <c r="B527" s="36" t="s">
        <v>2911</v>
      </c>
      <c r="C527" s="26">
        <v>1.0</v>
      </c>
      <c r="D527" s="27">
        <v>11190.0</v>
      </c>
      <c r="E527" s="27">
        <f t="shared" si="204"/>
        <v>11190</v>
      </c>
      <c r="F527" s="27">
        <v>93.25</v>
      </c>
      <c r="G527" s="28">
        <v>200.0</v>
      </c>
      <c r="H527" s="27">
        <f t="shared" si="205"/>
        <v>106.75</v>
      </c>
      <c r="I527" s="27">
        <f>H527*120</f>
        <v>12810</v>
      </c>
      <c r="J527" s="27">
        <f>G527*120</f>
        <v>24000</v>
      </c>
    </row>
    <row r="528" ht="12.75" customHeight="1">
      <c r="A528" s="36">
        <v>4450096.0</v>
      </c>
      <c r="B528" s="36" t="s">
        <v>2912</v>
      </c>
      <c r="C528" s="26">
        <v>1.0</v>
      </c>
      <c r="D528" s="27">
        <v>6100.0</v>
      </c>
      <c r="E528" s="27">
        <f t="shared" si="204"/>
        <v>6100</v>
      </c>
      <c r="F528" s="27">
        <v>610.0</v>
      </c>
      <c r="G528" s="28">
        <v>1200.0</v>
      </c>
      <c r="H528" s="27">
        <f t="shared" si="205"/>
        <v>590</v>
      </c>
      <c r="I528" s="27">
        <f>H528*10</f>
        <v>5900</v>
      </c>
      <c r="J528" s="27">
        <f>G528*10</f>
        <v>12000</v>
      </c>
    </row>
    <row r="529" ht="12.75" customHeight="1">
      <c r="A529" s="25"/>
      <c r="C529" s="26"/>
      <c r="D529" s="27"/>
      <c r="E529" s="27"/>
      <c r="F529" s="27"/>
      <c r="G529" s="28"/>
      <c r="H529" s="27"/>
      <c r="I529" s="27"/>
      <c r="J529" s="27"/>
    </row>
    <row r="530" ht="12.75" customHeight="1">
      <c r="A530" s="25"/>
      <c r="C530" s="26"/>
      <c r="D530" s="27"/>
      <c r="E530" s="32">
        <f>SUM(E524:E528)</f>
        <v>58710</v>
      </c>
      <c r="F530" s="32"/>
      <c r="G530" s="42"/>
      <c r="H530" s="32"/>
      <c r="I530" s="33">
        <f t="shared" ref="I530:J530" si="206">SUM(I524:I528)</f>
        <v>55090.96</v>
      </c>
      <c r="J530" s="33">
        <f t="shared" si="206"/>
        <v>113800</v>
      </c>
    </row>
    <row r="531" ht="12.75" customHeight="1">
      <c r="A531" s="25"/>
      <c r="C531" s="26"/>
      <c r="D531" s="27"/>
      <c r="E531" s="27"/>
      <c r="F531" s="27"/>
      <c r="G531" s="28"/>
      <c r="H531" s="27"/>
      <c r="I531" s="27"/>
      <c r="J531" s="27"/>
    </row>
    <row r="532" ht="12.75" customHeight="1">
      <c r="A532" s="25"/>
      <c r="C532" s="26"/>
      <c r="D532" s="27"/>
      <c r="E532" s="27"/>
      <c r="F532" s="27"/>
      <c r="G532" s="28"/>
      <c r="H532" s="27"/>
      <c r="I532" s="27"/>
      <c r="J532" s="27"/>
    </row>
    <row r="533" ht="12.75" customHeight="1">
      <c r="A533" s="34">
        <v>45518.0</v>
      </c>
      <c r="C533" s="26"/>
      <c r="D533" s="27"/>
      <c r="E533" s="27"/>
      <c r="F533" s="27"/>
      <c r="G533" s="28"/>
      <c r="H533" s="27"/>
      <c r="I533" s="27"/>
      <c r="J533" s="27"/>
    </row>
    <row r="534" ht="12.75" customHeight="1">
      <c r="A534" s="25"/>
      <c r="C534" s="26"/>
      <c r="D534" s="27"/>
      <c r="E534" s="27"/>
      <c r="F534" s="27"/>
      <c r="G534" s="28"/>
      <c r="H534" s="27"/>
      <c r="I534" s="27"/>
      <c r="J534" s="27"/>
    </row>
    <row r="535" ht="12.75" customHeight="1">
      <c r="A535" s="36">
        <v>4085939.0</v>
      </c>
      <c r="B535" s="36" t="s">
        <v>2686</v>
      </c>
      <c r="C535" s="26">
        <v>20.0</v>
      </c>
      <c r="D535" s="27">
        <v>1240.0</v>
      </c>
      <c r="E535" s="27">
        <f t="shared" ref="E535:E561" si="207">D535*C535</f>
        <v>24800</v>
      </c>
      <c r="F535" s="27">
        <v>1240.0</v>
      </c>
      <c r="G535" s="28">
        <v>1900.0</v>
      </c>
      <c r="H535" s="27">
        <f t="shared" ref="H535:H561" si="208">G535-F535</f>
        <v>660</v>
      </c>
      <c r="I535" s="27">
        <f t="shared" ref="I535:I536" si="209">H535*20</f>
        <v>13200</v>
      </c>
      <c r="J535" s="27">
        <f t="shared" ref="J535:J536" si="210">G535*20</f>
        <v>38000</v>
      </c>
    </row>
    <row r="536" ht="12.75" customHeight="1">
      <c r="A536" s="36">
        <v>4412728.0</v>
      </c>
      <c r="B536" s="36" t="s">
        <v>2687</v>
      </c>
      <c r="C536" s="26">
        <v>20.0</v>
      </c>
      <c r="D536" s="27">
        <v>1240.0</v>
      </c>
      <c r="E536" s="27">
        <f t="shared" si="207"/>
        <v>24800</v>
      </c>
      <c r="F536" s="27">
        <v>1240.0</v>
      </c>
      <c r="G536" s="28">
        <v>2000.0</v>
      </c>
      <c r="H536" s="27">
        <f t="shared" si="208"/>
        <v>760</v>
      </c>
      <c r="I536" s="27">
        <f t="shared" si="209"/>
        <v>15200</v>
      </c>
      <c r="J536" s="27">
        <f t="shared" si="210"/>
        <v>40000</v>
      </c>
    </row>
    <row r="537" ht="12.75" customHeight="1">
      <c r="A537" s="36">
        <v>3875029.0</v>
      </c>
      <c r="B537" s="36" t="s">
        <v>2913</v>
      </c>
      <c r="C537" s="26">
        <v>1.0</v>
      </c>
      <c r="D537" s="27">
        <v>3940.0</v>
      </c>
      <c r="E537" s="27">
        <f t="shared" si="207"/>
        <v>3940</v>
      </c>
      <c r="F537" s="27">
        <v>328.33</v>
      </c>
      <c r="G537" s="28">
        <v>800.0</v>
      </c>
      <c r="H537" s="27">
        <f t="shared" si="208"/>
        <v>471.67</v>
      </c>
      <c r="I537" s="27">
        <f>H537*12</f>
        <v>5660.04</v>
      </c>
      <c r="J537" s="27">
        <f>G537*12</f>
        <v>9600</v>
      </c>
    </row>
    <row r="538" ht="12.75" customHeight="1">
      <c r="A538" s="36">
        <v>701843.0</v>
      </c>
      <c r="B538" s="36" t="s">
        <v>2602</v>
      </c>
      <c r="C538" s="26">
        <v>6.0</v>
      </c>
      <c r="D538" s="27">
        <v>290.0</v>
      </c>
      <c r="E538" s="27">
        <f t="shared" si="207"/>
        <v>1740</v>
      </c>
      <c r="F538" s="27">
        <v>290.0</v>
      </c>
      <c r="G538" s="28">
        <v>600.0</v>
      </c>
      <c r="H538" s="27">
        <f t="shared" si="208"/>
        <v>310</v>
      </c>
      <c r="I538" s="27">
        <f>H538*6</f>
        <v>1860</v>
      </c>
      <c r="J538" s="27">
        <f>G538*6</f>
        <v>3600</v>
      </c>
    </row>
    <row r="539" ht="12.75" customHeight="1">
      <c r="A539" s="36">
        <v>5038372.0</v>
      </c>
      <c r="B539" s="36" t="s">
        <v>2914</v>
      </c>
      <c r="C539" s="26">
        <v>8.0</v>
      </c>
      <c r="D539" s="27">
        <v>2930.0</v>
      </c>
      <c r="E539" s="27">
        <f t="shared" si="207"/>
        <v>23440</v>
      </c>
      <c r="F539" s="27">
        <v>2930.0</v>
      </c>
      <c r="G539" s="28">
        <v>4200.0</v>
      </c>
      <c r="H539" s="27">
        <f t="shared" si="208"/>
        <v>1270</v>
      </c>
      <c r="I539" s="27">
        <f>H539*8</f>
        <v>10160</v>
      </c>
      <c r="J539" s="27">
        <f>G539*8</f>
        <v>33600</v>
      </c>
    </row>
    <row r="540" ht="12.75" customHeight="1">
      <c r="A540" s="36">
        <v>3940499.0</v>
      </c>
      <c r="B540" s="36" t="s">
        <v>2715</v>
      </c>
      <c r="C540" s="26">
        <v>30.0</v>
      </c>
      <c r="D540" s="27">
        <v>770.0</v>
      </c>
      <c r="E540" s="27">
        <f t="shared" si="207"/>
        <v>23100</v>
      </c>
      <c r="F540" s="27">
        <v>770.0</v>
      </c>
      <c r="G540" s="28">
        <v>1300.0</v>
      </c>
      <c r="H540" s="27">
        <f t="shared" si="208"/>
        <v>530</v>
      </c>
      <c r="I540" s="27">
        <f>H540*30</f>
        <v>15900</v>
      </c>
      <c r="J540" s="27">
        <f>G540*30</f>
        <v>39000</v>
      </c>
    </row>
    <row r="541" ht="12.75" customHeight="1">
      <c r="A541" s="36">
        <v>5015717.0</v>
      </c>
      <c r="B541" s="36" t="s">
        <v>2915</v>
      </c>
      <c r="C541" s="26">
        <v>1.0</v>
      </c>
      <c r="D541" s="27">
        <v>15500.0</v>
      </c>
      <c r="E541" s="27">
        <f t="shared" si="207"/>
        <v>15500</v>
      </c>
      <c r="F541" s="27">
        <v>1550.0</v>
      </c>
      <c r="G541" s="28">
        <v>3300.0</v>
      </c>
      <c r="H541" s="27">
        <f t="shared" si="208"/>
        <v>1750</v>
      </c>
      <c r="I541" s="27">
        <f>H541*10</f>
        <v>17500</v>
      </c>
      <c r="J541" s="27">
        <f>G541*10</f>
        <v>33000</v>
      </c>
    </row>
    <row r="542" ht="12.75" customHeight="1">
      <c r="A542" s="36">
        <v>4416009.0</v>
      </c>
      <c r="B542" s="36" t="s">
        <v>2699</v>
      </c>
      <c r="C542" s="26">
        <v>6.0</v>
      </c>
      <c r="D542" s="27">
        <v>1560.0</v>
      </c>
      <c r="E542" s="27">
        <f t="shared" si="207"/>
        <v>9360</v>
      </c>
      <c r="F542" s="27">
        <v>1560.0</v>
      </c>
      <c r="G542" s="28">
        <v>2300.0</v>
      </c>
      <c r="H542" s="27">
        <f t="shared" si="208"/>
        <v>740</v>
      </c>
      <c r="I542" s="27">
        <f>H542*6</f>
        <v>4440</v>
      </c>
      <c r="J542" s="27">
        <f>G542*6</f>
        <v>13800</v>
      </c>
    </row>
    <row r="543" ht="12.75" customHeight="1">
      <c r="A543" s="36">
        <v>2041.0</v>
      </c>
      <c r="B543" s="36" t="s">
        <v>2694</v>
      </c>
      <c r="C543" s="26">
        <v>1.0</v>
      </c>
      <c r="D543" s="27">
        <v>7580.0</v>
      </c>
      <c r="E543" s="27">
        <f t="shared" si="207"/>
        <v>7580</v>
      </c>
      <c r="F543" s="27">
        <v>75.8</v>
      </c>
      <c r="G543" s="28">
        <v>200.0</v>
      </c>
      <c r="H543" s="27">
        <f t="shared" si="208"/>
        <v>124.2</v>
      </c>
      <c r="I543" s="27">
        <f>H543*100</f>
        <v>12420</v>
      </c>
      <c r="J543" s="27">
        <f>G543*100</f>
        <v>20000</v>
      </c>
    </row>
    <row r="544" ht="12.75" customHeight="1">
      <c r="A544" s="36">
        <v>6503003.0</v>
      </c>
      <c r="B544" s="36" t="s">
        <v>2916</v>
      </c>
      <c r="C544" s="26">
        <v>1.0</v>
      </c>
      <c r="D544" s="27">
        <v>2280.0</v>
      </c>
      <c r="E544" s="27">
        <f t="shared" si="207"/>
        <v>2280</v>
      </c>
      <c r="F544" s="27">
        <v>91.2</v>
      </c>
      <c r="G544" s="28">
        <v>200.0</v>
      </c>
      <c r="H544" s="27">
        <f t="shared" si="208"/>
        <v>108.8</v>
      </c>
      <c r="I544" s="27">
        <f t="shared" ref="I544:I545" si="211">H544*25</f>
        <v>2720</v>
      </c>
      <c r="J544" s="27">
        <f t="shared" ref="J544:J545" si="212">G544*25</f>
        <v>5000</v>
      </c>
    </row>
    <row r="545" ht="12.75" customHeight="1">
      <c r="A545" s="36">
        <v>6501009.0</v>
      </c>
      <c r="B545" s="36" t="s">
        <v>2917</v>
      </c>
      <c r="C545" s="26">
        <v>1.0</v>
      </c>
      <c r="D545" s="27">
        <v>2340.0</v>
      </c>
      <c r="E545" s="27">
        <f t="shared" si="207"/>
        <v>2340</v>
      </c>
      <c r="F545" s="27">
        <v>93.6</v>
      </c>
      <c r="G545" s="28">
        <v>200.0</v>
      </c>
      <c r="H545" s="27">
        <f t="shared" si="208"/>
        <v>106.4</v>
      </c>
      <c r="I545" s="27">
        <f t="shared" si="211"/>
        <v>2660</v>
      </c>
      <c r="J545" s="27">
        <f t="shared" si="212"/>
        <v>5000</v>
      </c>
    </row>
    <row r="546" ht="12.75" customHeight="1">
      <c r="A546" s="36">
        <v>3003015.0</v>
      </c>
      <c r="B546" s="36" t="s">
        <v>2918</v>
      </c>
      <c r="C546" s="26">
        <v>30.0</v>
      </c>
      <c r="D546" s="27">
        <v>170.0</v>
      </c>
      <c r="E546" s="27">
        <f t="shared" si="207"/>
        <v>5100</v>
      </c>
      <c r="F546" s="27">
        <v>170.0</v>
      </c>
      <c r="G546" s="28">
        <v>400.0</v>
      </c>
      <c r="H546" s="27">
        <f t="shared" si="208"/>
        <v>230</v>
      </c>
      <c r="I546" s="27">
        <f>H546*30</f>
        <v>6900</v>
      </c>
      <c r="J546" s="27">
        <f>G546*30</f>
        <v>12000</v>
      </c>
    </row>
    <row r="547" ht="12.75" customHeight="1">
      <c r="A547" s="36">
        <v>7542008.0</v>
      </c>
      <c r="B547" s="36" t="s">
        <v>2778</v>
      </c>
      <c r="C547" s="26">
        <v>12.0</v>
      </c>
      <c r="D547" s="27">
        <v>440.0</v>
      </c>
      <c r="E547" s="27">
        <f t="shared" si="207"/>
        <v>5280</v>
      </c>
      <c r="F547" s="27">
        <v>440.0</v>
      </c>
      <c r="G547" s="28">
        <v>750.0</v>
      </c>
      <c r="H547" s="27">
        <f t="shared" si="208"/>
        <v>310</v>
      </c>
      <c r="I547" s="27">
        <f>H547*12</f>
        <v>3720</v>
      </c>
      <c r="J547" s="27">
        <f>G547*12</f>
        <v>9000</v>
      </c>
    </row>
    <row r="548" ht="12.75" customHeight="1">
      <c r="A548" s="36">
        <v>5039690.0</v>
      </c>
      <c r="B548" s="36" t="s">
        <v>2919</v>
      </c>
      <c r="C548" s="26">
        <v>6.0</v>
      </c>
      <c r="D548" s="27">
        <v>3060.0</v>
      </c>
      <c r="E548" s="27">
        <f t="shared" si="207"/>
        <v>18360</v>
      </c>
      <c r="F548" s="27">
        <v>3060.0</v>
      </c>
      <c r="G548" s="28">
        <v>5000.0</v>
      </c>
      <c r="H548" s="27">
        <f t="shared" si="208"/>
        <v>1940</v>
      </c>
      <c r="I548" s="27">
        <f>H548*6</f>
        <v>11640</v>
      </c>
      <c r="J548" s="27">
        <f>G548*6</f>
        <v>30000</v>
      </c>
    </row>
    <row r="549" ht="12.75" customHeight="1">
      <c r="A549" s="36">
        <v>4222020.0</v>
      </c>
      <c r="B549" s="36" t="s">
        <v>2920</v>
      </c>
      <c r="C549" s="26">
        <v>1.0</v>
      </c>
      <c r="D549" s="27">
        <v>1800.0</v>
      </c>
      <c r="E549" s="27">
        <f t="shared" si="207"/>
        <v>1800</v>
      </c>
      <c r="F549" s="27">
        <v>180.0</v>
      </c>
      <c r="G549" s="28">
        <v>450.0</v>
      </c>
      <c r="H549" s="27">
        <f t="shared" si="208"/>
        <v>270</v>
      </c>
      <c r="I549" s="27">
        <f t="shared" ref="I549:I559" si="213">H549*10</f>
        <v>2700</v>
      </c>
      <c r="J549" s="27">
        <f t="shared" ref="J549:J559" si="214">G549*10</f>
        <v>4500</v>
      </c>
    </row>
    <row r="550" ht="12.75" customHeight="1">
      <c r="A550" s="36">
        <v>4221979.0</v>
      </c>
      <c r="B550" s="36" t="s">
        <v>2921</v>
      </c>
      <c r="C550" s="26">
        <v>1.0</v>
      </c>
      <c r="D550" s="27">
        <v>1800.0</v>
      </c>
      <c r="E550" s="27">
        <f t="shared" si="207"/>
        <v>1800</v>
      </c>
      <c r="F550" s="27">
        <v>180.0</v>
      </c>
      <c r="G550" s="28">
        <v>450.0</v>
      </c>
      <c r="H550" s="27">
        <f t="shared" si="208"/>
        <v>270</v>
      </c>
      <c r="I550" s="27">
        <f t="shared" si="213"/>
        <v>2700</v>
      </c>
      <c r="J550" s="27">
        <f t="shared" si="214"/>
        <v>4500</v>
      </c>
    </row>
    <row r="551" ht="12.75" customHeight="1">
      <c r="A551" s="36">
        <v>4221924.0</v>
      </c>
      <c r="B551" s="36" t="s">
        <v>2922</v>
      </c>
      <c r="C551" s="26">
        <v>1.0</v>
      </c>
      <c r="D551" s="27">
        <v>1800.0</v>
      </c>
      <c r="E551" s="27">
        <f t="shared" si="207"/>
        <v>1800</v>
      </c>
      <c r="F551" s="27">
        <v>180.0</v>
      </c>
      <c r="G551" s="28">
        <v>450.0</v>
      </c>
      <c r="H551" s="27">
        <f t="shared" si="208"/>
        <v>270</v>
      </c>
      <c r="I551" s="27">
        <f t="shared" si="213"/>
        <v>2700</v>
      </c>
      <c r="J551" s="27">
        <f t="shared" si="214"/>
        <v>4500</v>
      </c>
    </row>
    <row r="552" ht="12.75" customHeight="1">
      <c r="A552" s="36">
        <v>4221986.0</v>
      </c>
      <c r="B552" s="36" t="s">
        <v>2923</v>
      </c>
      <c r="C552" s="26">
        <v>1.0</v>
      </c>
      <c r="D552" s="27">
        <v>1800.0</v>
      </c>
      <c r="E552" s="27">
        <f t="shared" si="207"/>
        <v>1800</v>
      </c>
      <c r="F552" s="27">
        <v>180.0</v>
      </c>
      <c r="G552" s="28">
        <v>450.0</v>
      </c>
      <c r="H552" s="27">
        <f t="shared" si="208"/>
        <v>270</v>
      </c>
      <c r="I552" s="27">
        <f t="shared" si="213"/>
        <v>2700</v>
      </c>
      <c r="J552" s="27">
        <f t="shared" si="214"/>
        <v>4500</v>
      </c>
    </row>
    <row r="553" ht="12.75" customHeight="1">
      <c r="A553" s="36">
        <v>4221917.0</v>
      </c>
      <c r="B553" s="36" t="s">
        <v>2924</v>
      </c>
      <c r="C553" s="26">
        <v>1.0</v>
      </c>
      <c r="D553" s="27">
        <v>1800.0</v>
      </c>
      <c r="E553" s="27">
        <f t="shared" si="207"/>
        <v>1800</v>
      </c>
      <c r="F553" s="27">
        <v>180.0</v>
      </c>
      <c r="G553" s="28">
        <v>450.0</v>
      </c>
      <c r="H553" s="27">
        <f t="shared" si="208"/>
        <v>270</v>
      </c>
      <c r="I553" s="27">
        <f t="shared" si="213"/>
        <v>2700</v>
      </c>
      <c r="J553" s="27">
        <f t="shared" si="214"/>
        <v>4500</v>
      </c>
    </row>
    <row r="554" ht="12.75" customHeight="1">
      <c r="A554" s="36">
        <v>4470322.0</v>
      </c>
      <c r="B554" s="36" t="s">
        <v>2925</v>
      </c>
      <c r="C554" s="26">
        <v>1.0</v>
      </c>
      <c r="D554" s="27">
        <v>1800.0</v>
      </c>
      <c r="E554" s="27">
        <f t="shared" si="207"/>
        <v>1800</v>
      </c>
      <c r="F554" s="27">
        <v>180.0</v>
      </c>
      <c r="G554" s="28">
        <v>450.0</v>
      </c>
      <c r="H554" s="27">
        <f t="shared" si="208"/>
        <v>270</v>
      </c>
      <c r="I554" s="27">
        <f t="shared" si="213"/>
        <v>2700</v>
      </c>
      <c r="J554" s="27">
        <f t="shared" si="214"/>
        <v>4500</v>
      </c>
    </row>
    <row r="555" ht="12.75" customHeight="1">
      <c r="A555" s="36">
        <v>4221900.0</v>
      </c>
      <c r="B555" s="36" t="s">
        <v>2926</v>
      </c>
      <c r="C555" s="26">
        <v>1.0</v>
      </c>
      <c r="D555" s="27">
        <v>1800.0</v>
      </c>
      <c r="E555" s="27">
        <f t="shared" si="207"/>
        <v>1800</v>
      </c>
      <c r="F555" s="27">
        <v>180.0</v>
      </c>
      <c r="G555" s="28">
        <v>450.0</v>
      </c>
      <c r="H555" s="27">
        <f t="shared" si="208"/>
        <v>270</v>
      </c>
      <c r="I555" s="27">
        <f t="shared" si="213"/>
        <v>2700</v>
      </c>
      <c r="J555" s="27">
        <f t="shared" si="214"/>
        <v>4500</v>
      </c>
    </row>
    <row r="556" ht="12.75" customHeight="1">
      <c r="A556" s="36">
        <v>4221887.0</v>
      </c>
      <c r="B556" s="36" t="s">
        <v>2927</v>
      </c>
      <c r="C556" s="26">
        <v>1.0</v>
      </c>
      <c r="D556" s="27">
        <v>1800.0</v>
      </c>
      <c r="E556" s="27">
        <f t="shared" si="207"/>
        <v>1800</v>
      </c>
      <c r="F556" s="27">
        <v>180.0</v>
      </c>
      <c r="G556" s="28">
        <v>450.0</v>
      </c>
      <c r="H556" s="27">
        <f t="shared" si="208"/>
        <v>270</v>
      </c>
      <c r="I556" s="27">
        <f t="shared" si="213"/>
        <v>2700</v>
      </c>
      <c r="J556" s="27">
        <f t="shared" si="214"/>
        <v>4500</v>
      </c>
    </row>
    <row r="557" ht="12.75" customHeight="1">
      <c r="A557" s="36">
        <v>4221948.0</v>
      </c>
      <c r="B557" s="36" t="s">
        <v>2928</v>
      </c>
      <c r="C557" s="26">
        <v>1.0</v>
      </c>
      <c r="D557" s="27">
        <v>1800.0</v>
      </c>
      <c r="E557" s="27">
        <f t="shared" si="207"/>
        <v>1800</v>
      </c>
      <c r="F557" s="27">
        <v>180.0</v>
      </c>
      <c r="G557" s="28">
        <v>450.0</v>
      </c>
      <c r="H557" s="27">
        <f t="shared" si="208"/>
        <v>270</v>
      </c>
      <c r="I557" s="27">
        <f t="shared" si="213"/>
        <v>2700</v>
      </c>
      <c r="J557" s="27">
        <f t="shared" si="214"/>
        <v>4500</v>
      </c>
    </row>
    <row r="558" ht="12.75" customHeight="1">
      <c r="A558" s="36">
        <v>4221863.0</v>
      </c>
      <c r="B558" s="36" t="s">
        <v>2929</v>
      </c>
      <c r="C558" s="26">
        <v>1.0</v>
      </c>
      <c r="D558" s="27">
        <v>1800.0</v>
      </c>
      <c r="E558" s="27">
        <f t="shared" si="207"/>
        <v>1800</v>
      </c>
      <c r="F558" s="27">
        <v>180.0</v>
      </c>
      <c r="G558" s="28">
        <v>450.0</v>
      </c>
      <c r="H558" s="27">
        <f t="shared" si="208"/>
        <v>270</v>
      </c>
      <c r="I558" s="27">
        <f t="shared" si="213"/>
        <v>2700</v>
      </c>
      <c r="J558" s="27">
        <f t="shared" si="214"/>
        <v>4500</v>
      </c>
    </row>
    <row r="559" ht="12.75" customHeight="1">
      <c r="A559" s="36">
        <v>4221870.0</v>
      </c>
      <c r="B559" s="36" t="s">
        <v>2930</v>
      </c>
      <c r="C559" s="26">
        <v>1.0</v>
      </c>
      <c r="D559" s="27">
        <v>1800.0</v>
      </c>
      <c r="E559" s="27">
        <f t="shared" si="207"/>
        <v>1800</v>
      </c>
      <c r="F559" s="27">
        <v>180.0</v>
      </c>
      <c r="G559" s="28">
        <v>450.0</v>
      </c>
      <c r="H559" s="27">
        <f t="shared" si="208"/>
        <v>270</v>
      </c>
      <c r="I559" s="27">
        <f t="shared" si="213"/>
        <v>2700</v>
      </c>
      <c r="J559" s="27">
        <f t="shared" si="214"/>
        <v>4500</v>
      </c>
    </row>
    <row r="560" ht="12.75" customHeight="1">
      <c r="A560" s="36">
        <v>4221894.0</v>
      </c>
      <c r="B560" s="36" t="s">
        <v>2931</v>
      </c>
      <c r="C560" s="26">
        <v>2.0</v>
      </c>
      <c r="D560" s="27">
        <v>1800.0</v>
      </c>
      <c r="E560" s="27">
        <f t="shared" si="207"/>
        <v>3600</v>
      </c>
      <c r="F560" s="27">
        <v>180.0</v>
      </c>
      <c r="G560" s="28">
        <v>450.0</v>
      </c>
      <c r="H560" s="27">
        <f t="shared" si="208"/>
        <v>270</v>
      </c>
      <c r="I560" s="27">
        <f>H560*20</f>
        <v>5400</v>
      </c>
      <c r="J560" s="27">
        <f>G560*20</f>
        <v>9000</v>
      </c>
    </row>
    <row r="561" ht="12.75" customHeight="1">
      <c r="A561" s="36">
        <v>4222013.0</v>
      </c>
      <c r="B561" s="36" t="s">
        <v>2932</v>
      </c>
      <c r="C561" s="26">
        <v>1.0</v>
      </c>
      <c r="D561" s="27">
        <v>1800.0</v>
      </c>
      <c r="E561" s="27">
        <f t="shared" si="207"/>
        <v>1800</v>
      </c>
      <c r="F561" s="27">
        <v>180.0</v>
      </c>
      <c r="G561" s="28">
        <v>450.0</v>
      </c>
      <c r="H561" s="27">
        <f t="shared" si="208"/>
        <v>270</v>
      </c>
      <c r="I561" s="27">
        <f>H561*10</f>
        <v>2700</v>
      </c>
      <c r="J561" s="27">
        <f>G561*10</f>
        <v>4500</v>
      </c>
    </row>
    <row r="562" ht="12.75" customHeight="1">
      <c r="A562" s="25"/>
      <c r="C562" s="26"/>
      <c r="D562" s="27"/>
      <c r="E562" s="27"/>
      <c r="F562" s="27"/>
      <c r="G562" s="28"/>
      <c r="H562" s="27"/>
      <c r="I562" s="27"/>
      <c r="J562" s="27"/>
    </row>
    <row r="563" ht="12.75" customHeight="1">
      <c r="A563" s="25"/>
      <c r="C563" s="26"/>
      <c r="D563" s="27"/>
      <c r="E563" s="32">
        <f>SUM(E535:E561)</f>
        <v>192820</v>
      </c>
      <c r="F563" s="27"/>
      <c r="G563" s="28"/>
      <c r="H563" s="27"/>
      <c r="I563" s="33">
        <f t="shared" ref="I563:J563" si="215">SUM(I535:I561)</f>
        <v>161780.04</v>
      </c>
      <c r="J563" s="33">
        <f t="shared" si="215"/>
        <v>354600</v>
      </c>
    </row>
    <row r="564" ht="12.75" customHeight="1">
      <c r="A564" s="25"/>
      <c r="C564" s="26"/>
      <c r="D564" s="27"/>
      <c r="E564" s="27"/>
      <c r="F564" s="27"/>
      <c r="G564" s="28"/>
      <c r="H564" s="27"/>
      <c r="I564" s="27"/>
      <c r="J564" s="27"/>
    </row>
    <row r="565" ht="12.75" customHeight="1">
      <c r="A565" s="25"/>
      <c r="C565" s="26"/>
      <c r="D565" s="27"/>
      <c r="E565" s="27"/>
      <c r="F565" s="27"/>
      <c r="G565" s="28"/>
      <c r="H565" s="27"/>
      <c r="I565" s="27"/>
      <c r="J565" s="27"/>
    </row>
    <row r="566" ht="12.75" customHeight="1">
      <c r="A566" s="34">
        <v>45540.0</v>
      </c>
      <c r="C566" s="26"/>
      <c r="D566" s="27"/>
      <c r="E566" s="27"/>
      <c r="F566" s="27"/>
      <c r="G566" s="28"/>
      <c r="H566" s="27"/>
      <c r="I566" s="27"/>
      <c r="J566" s="27"/>
    </row>
    <row r="567" ht="12.75" customHeight="1">
      <c r="A567" s="25"/>
      <c r="C567" s="26"/>
      <c r="D567" s="27"/>
      <c r="E567" s="27"/>
      <c r="F567" s="27"/>
      <c r="G567" s="28"/>
      <c r="H567" s="27"/>
      <c r="I567" s="27"/>
      <c r="J567" s="27"/>
    </row>
    <row r="568" ht="12.75" customHeight="1">
      <c r="A568" s="36">
        <v>4087742.0</v>
      </c>
      <c r="B568" s="36" t="s">
        <v>2881</v>
      </c>
      <c r="C568" s="26">
        <v>12.0</v>
      </c>
      <c r="D568" s="27">
        <v>860.0</v>
      </c>
      <c r="E568" s="27">
        <f t="shared" ref="E568:E587" si="216">D568*C568</f>
        <v>10320</v>
      </c>
      <c r="F568" s="27">
        <v>860.0</v>
      </c>
      <c r="G568" s="28">
        <v>1500.0</v>
      </c>
      <c r="H568" s="27">
        <f t="shared" ref="H568:H587" si="217">G568-F568</f>
        <v>640</v>
      </c>
      <c r="I568" s="27">
        <f t="shared" ref="I568:I569" si="218">H568*12</f>
        <v>7680</v>
      </c>
      <c r="J568" s="27">
        <f t="shared" ref="J568:J569" si="219">G568*12</f>
        <v>18000</v>
      </c>
    </row>
    <row r="569" ht="12.75" customHeight="1">
      <c r="A569" s="36">
        <v>4087735.0</v>
      </c>
      <c r="B569" s="36" t="s">
        <v>2882</v>
      </c>
      <c r="C569" s="26">
        <v>12.0</v>
      </c>
      <c r="D569" s="27">
        <v>870.0</v>
      </c>
      <c r="E569" s="27">
        <f t="shared" si="216"/>
        <v>10440</v>
      </c>
      <c r="F569" s="27">
        <v>870.0</v>
      </c>
      <c r="G569" s="28">
        <v>1500.0</v>
      </c>
      <c r="H569" s="27">
        <f t="shared" si="217"/>
        <v>630</v>
      </c>
      <c r="I569" s="27">
        <f t="shared" si="218"/>
        <v>7560</v>
      </c>
      <c r="J569" s="27">
        <f t="shared" si="219"/>
        <v>18000</v>
      </c>
    </row>
    <row r="570" ht="12.75" customHeight="1">
      <c r="A570" s="36">
        <v>6.0</v>
      </c>
      <c r="B570" s="36" t="s">
        <v>2933</v>
      </c>
      <c r="C570" s="26">
        <v>10.0</v>
      </c>
      <c r="D570" s="27">
        <v>300.0</v>
      </c>
      <c r="E570" s="27">
        <f t="shared" si="216"/>
        <v>3000</v>
      </c>
      <c r="F570" s="27">
        <v>300.0</v>
      </c>
      <c r="G570" s="28">
        <v>700.0</v>
      </c>
      <c r="H570" s="27">
        <f t="shared" si="217"/>
        <v>400</v>
      </c>
      <c r="I570" s="27">
        <f t="shared" ref="I570:I572" si="220">H570*10</f>
        <v>4000</v>
      </c>
      <c r="J570" s="27">
        <f t="shared" ref="J570:J572" si="221">G570*10</f>
        <v>7000</v>
      </c>
    </row>
    <row r="571" ht="12.75" customHeight="1">
      <c r="A571" s="36">
        <v>4.0</v>
      </c>
      <c r="B571" s="36" t="s">
        <v>2934</v>
      </c>
      <c r="C571" s="26">
        <v>10.0</v>
      </c>
      <c r="D571" s="27">
        <v>300.0</v>
      </c>
      <c r="E571" s="27">
        <f t="shared" si="216"/>
        <v>3000</v>
      </c>
      <c r="F571" s="27">
        <v>300.0</v>
      </c>
      <c r="G571" s="28">
        <v>700.0</v>
      </c>
      <c r="H571" s="27">
        <f t="shared" si="217"/>
        <v>400</v>
      </c>
      <c r="I571" s="27">
        <f t="shared" si="220"/>
        <v>4000</v>
      </c>
      <c r="J571" s="27">
        <f t="shared" si="221"/>
        <v>7000</v>
      </c>
    </row>
    <row r="572" ht="12.75" customHeight="1">
      <c r="A572" s="36">
        <v>1.0</v>
      </c>
      <c r="B572" s="36" t="s">
        <v>2935</v>
      </c>
      <c r="C572" s="26">
        <v>10.0</v>
      </c>
      <c r="D572" s="27">
        <v>300.0</v>
      </c>
      <c r="E572" s="27">
        <f t="shared" si="216"/>
        <v>3000</v>
      </c>
      <c r="F572" s="27">
        <v>300.0</v>
      </c>
      <c r="G572" s="28">
        <v>700.0</v>
      </c>
      <c r="H572" s="27">
        <f t="shared" si="217"/>
        <v>400</v>
      </c>
      <c r="I572" s="27">
        <f t="shared" si="220"/>
        <v>4000</v>
      </c>
      <c r="J572" s="27">
        <f t="shared" si="221"/>
        <v>7000</v>
      </c>
    </row>
    <row r="573" ht="12.75" customHeight="1">
      <c r="A573" s="43" t="s">
        <v>2936</v>
      </c>
      <c r="B573" s="36" t="s">
        <v>2937</v>
      </c>
      <c r="C573" s="26">
        <v>2.0</v>
      </c>
      <c r="D573" s="27">
        <v>11900.0</v>
      </c>
      <c r="E573" s="27">
        <f t="shared" si="216"/>
        <v>23800</v>
      </c>
      <c r="F573" s="27">
        <v>1190.0</v>
      </c>
      <c r="G573" s="28">
        <v>1800.0</v>
      </c>
      <c r="H573" s="27">
        <f t="shared" si="217"/>
        <v>610</v>
      </c>
      <c r="I573" s="27">
        <f t="shared" ref="I573:I579" si="222">H573*20</f>
        <v>12200</v>
      </c>
      <c r="J573" s="27">
        <f t="shared" ref="J573:J579" si="223">G573*20</f>
        <v>36000</v>
      </c>
    </row>
    <row r="574" ht="12.75" customHeight="1">
      <c r="A574" s="43" t="s">
        <v>2938</v>
      </c>
      <c r="B574" s="36" t="s">
        <v>2595</v>
      </c>
      <c r="C574" s="26">
        <v>2.0</v>
      </c>
      <c r="D574" s="27">
        <v>11900.0</v>
      </c>
      <c r="E574" s="27">
        <f t="shared" si="216"/>
        <v>23800</v>
      </c>
      <c r="F574" s="27">
        <v>1190.0</v>
      </c>
      <c r="G574" s="28">
        <v>1800.0</v>
      </c>
      <c r="H574" s="27">
        <f t="shared" si="217"/>
        <v>610</v>
      </c>
      <c r="I574" s="27">
        <f t="shared" si="222"/>
        <v>12200</v>
      </c>
      <c r="J574" s="27">
        <f t="shared" si="223"/>
        <v>36000</v>
      </c>
    </row>
    <row r="575" ht="12.75" customHeight="1">
      <c r="A575" s="43" t="s">
        <v>2939</v>
      </c>
      <c r="B575" s="36" t="s">
        <v>2940</v>
      </c>
      <c r="C575" s="26">
        <v>2.0</v>
      </c>
      <c r="D575" s="27">
        <v>11900.0</v>
      </c>
      <c r="E575" s="27">
        <f t="shared" si="216"/>
        <v>23800</v>
      </c>
      <c r="F575" s="27">
        <v>1190.0</v>
      </c>
      <c r="G575" s="28">
        <v>1800.0</v>
      </c>
      <c r="H575" s="27">
        <f t="shared" si="217"/>
        <v>610</v>
      </c>
      <c r="I575" s="27">
        <f t="shared" si="222"/>
        <v>12200</v>
      </c>
      <c r="J575" s="27">
        <f t="shared" si="223"/>
        <v>36000</v>
      </c>
    </row>
    <row r="576" ht="12.75" customHeight="1">
      <c r="A576" s="43" t="s">
        <v>2941</v>
      </c>
      <c r="B576" s="36" t="s">
        <v>2942</v>
      </c>
      <c r="C576" s="26">
        <v>2.0</v>
      </c>
      <c r="D576" s="27">
        <v>11900.0</v>
      </c>
      <c r="E576" s="27">
        <f t="shared" si="216"/>
        <v>23800</v>
      </c>
      <c r="F576" s="27">
        <v>1190.0</v>
      </c>
      <c r="G576" s="28">
        <v>1800.0</v>
      </c>
      <c r="H576" s="27">
        <f t="shared" si="217"/>
        <v>610</v>
      </c>
      <c r="I576" s="27">
        <f t="shared" si="222"/>
        <v>12200</v>
      </c>
      <c r="J576" s="27">
        <f t="shared" si="223"/>
        <v>36000</v>
      </c>
    </row>
    <row r="577" ht="12.75" customHeight="1">
      <c r="A577" s="43" t="s">
        <v>2943</v>
      </c>
      <c r="B577" s="36" t="s">
        <v>2944</v>
      </c>
      <c r="C577" s="26">
        <v>2.0</v>
      </c>
      <c r="D577" s="27">
        <v>11900.0</v>
      </c>
      <c r="E577" s="27">
        <f t="shared" si="216"/>
        <v>23800</v>
      </c>
      <c r="F577" s="27">
        <v>1190.0</v>
      </c>
      <c r="G577" s="28">
        <v>1800.0</v>
      </c>
      <c r="H577" s="27">
        <f t="shared" si="217"/>
        <v>610</v>
      </c>
      <c r="I577" s="27">
        <f t="shared" si="222"/>
        <v>12200</v>
      </c>
      <c r="J577" s="27">
        <f t="shared" si="223"/>
        <v>36000</v>
      </c>
    </row>
    <row r="578" ht="12.75" customHeight="1">
      <c r="A578" s="43" t="s">
        <v>2945</v>
      </c>
      <c r="B578" s="36" t="s">
        <v>2946</v>
      </c>
      <c r="C578" s="26">
        <v>2.0</v>
      </c>
      <c r="D578" s="27">
        <v>11900.0</v>
      </c>
      <c r="E578" s="27">
        <f t="shared" si="216"/>
        <v>23800</v>
      </c>
      <c r="F578" s="27">
        <v>1190.0</v>
      </c>
      <c r="G578" s="28">
        <v>1800.0</v>
      </c>
      <c r="H578" s="27">
        <f t="shared" si="217"/>
        <v>610</v>
      </c>
      <c r="I578" s="27">
        <f t="shared" si="222"/>
        <v>12200</v>
      </c>
      <c r="J578" s="27">
        <f t="shared" si="223"/>
        <v>36000</v>
      </c>
    </row>
    <row r="579" ht="12.75" customHeight="1">
      <c r="A579" s="43" t="s">
        <v>2947</v>
      </c>
      <c r="B579" s="36" t="s">
        <v>2948</v>
      </c>
      <c r="C579" s="26">
        <v>2.0</v>
      </c>
      <c r="D579" s="27">
        <v>11900.0</v>
      </c>
      <c r="E579" s="27">
        <f t="shared" si="216"/>
        <v>23800</v>
      </c>
      <c r="F579" s="27">
        <v>1190.0</v>
      </c>
      <c r="G579" s="28">
        <v>1800.0</v>
      </c>
      <c r="H579" s="27">
        <f t="shared" si="217"/>
        <v>610</v>
      </c>
      <c r="I579" s="27">
        <f t="shared" si="222"/>
        <v>12200</v>
      </c>
      <c r="J579" s="27">
        <f t="shared" si="223"/>
        <v>36000</v>
      </c>
    </row>
    <row r="580" ht="12.75" customHeight="1">
      <c r="A580" s="36">
        <v>5117718.0</v>
      </c>
      <c r="B580" s="36" t="s">
        <v>2949</v>
      </c>
      <c r="C580" s="26">
        <v>16.0</v>
      </c>
      <c r="D580" s="27">
        <v>2030.0</v>
      </c>
      <c r="E580" s="27">
        <f t="shared" si="216"/>
        <v>32480</v>
      </c>
      <c r="F580" s="27">
        <v>2030.0</v>
      </c>
      <c r="G580" s="28">
        <v>4800.0</v>
      </c>
      <c r="H580" s="27">
        <f t="shared" si="217"/>
        <v>2770</v>
      </c>
      <c r="I580" s="27">
        <f>H580*16</f>
        <v>44320</v>
      </c>
      <c r="J580" s="27">
        <f>G580*16</f>
        <v>76800</v>
      </c>
    </row>
    <row r="581" ht="12.75" customHeight="1">
      <c r="A581" s="36">
        <v>7542008.0</v>
      </c>
      <c r="B581" s="36" t="s">
        <v>2778</v>
      </c>
      <c r="C581" s="26">
        <v>15.0</v>
      </c>
      <c r="D581" s="27">
        <v>440.0</v>
      </c>
      <c r="E581" s="27">
        <f t="shared" si="216"/>
        <v>6600</v>
      </c>
      <c r="F581" s="27">
        <v>440.0</v>
      </c>
      <c r="G581" s="28">
        <v>750.0</v>
      </c>
      <c r="H581" s="27">
        <f t="shared" si="217"/>
        <v>310</v>
      </c>
      <c r="I581" s="27">
        <f>H581*15</f>
        <v>4650</v>
      </c>
      <c r="J581" s="27">
        <f>G581*15</f>
        <v>11250</v>
      </c>
    </row>
    <row r="582" ht="12.75" customHeight="1">
      <c r="A582" s="36">
        <v>5500019.0</v>
      </c>
      <c r="B582" s="36" t="s">
        <v>2736</v>
      </c>
      <c r="C582" s="26">
        <v>1.0</v>
      </c>
      <c r="D582" s="27">
        <v>3000.0</v>
      </c>
      <c r="E582" s="27">
        <f t="shared" si="216"/>
        <v>3000</v>
      </c>
      <c r="F582" s="27">
        <v>250.0</v>
      </c>
      <c r="G582" s="28">
        <v>500.0</v>
      </c>
      <c r="H582" s="27">
        <f t="shared" si="217"/>
        <v>250</v>
      </c>
      <c r="I582" s="27">
        <f>H582*12</f>
        <v>3000</v>
      </c>
      <c r="J582" s="27">
        <f>G582*12</f>
        <v>6000</v>
      </c>
    </row>
    <row r="583" ht="12.75" customHeight="1">
      <c r="A583" s="36">
        <v>3668669.0</v>
      </c>
      <c r="B583" s="36" t="s">
        <v>2950</v>
      </c>
      <c r="C583" s="26">
        <v>10.0</v>
      </c>
      <c r="D583" s="27">
        <v>1080.0</v>
      </c>
      <c r="E583" s="27">
        <f t="shared" si="216"/>
        <v>10800</v>
      </c>
      <c r="F583" s="27">
        <v>1080.0</v>
      </c>
      <c r="G583" s="28">
        <v>1600.0</v>
      </c>
      <c r="H583" s="27">
        <f t="shared" si="217"/>
        <v>520</v>
      </c>
      <c r="I583" s="27">
        <f>H583*10</f>
        <v>5200</v>
      </c>
      <c r="J583" s="27">
        <f>G583*10</f>
        <v>16000</v>
      </c>
    </row>
    <row r="584" ht="12.75" customHeight="1">
      <c r="A584" s="36">
        <v>7162008.0</v>
      </c>
      <c r="B584" s="36" t="s">
        <v>2617</v>
      </c>
      <c r="C584" s="26">
        <v>2.0</v>
      </c>
      <c r="D584" s="27">
        <v>11670.0</v>
      </c>
      <c r="E584" s="27">
        <f t="shared" si="216"/>
        <v>23340</v>
      </c>
      <c r="F584" s="27">
        <v>972.5</v>
      </c>
      <c r="G584" s="28">
        <v>1500.0</v>
      </c>
      <c r="H584" s="27">
        <f t="shared" si="217"/>
        <v>527.5</v>
      </c>
      <c r="I584" s="27">
        <f>H584*24</f>
        <v>12660</v>
      </c>
      <c r="J584" s="27">
        <f>G584*24</f>
        <v>36000</v>
      </c>
    </row>
    <row r="585" ht="12.75" customHeight="1">
      <c r="A585" s="36">
        <v>5100529.0</v>
      </c>
      <c r="B585" s="36" t="s">
        <v>2601</v>
      </c>
      <c r="C585" s="26">
        <v>10.0</v>
      </c>
      <c r="D585" s="27">
        <v>1640.0</v>
      </c>
      <c r="E585" s="27">
        <f t="shared" si="216"/>
        <v>16400</v>
      </c>
      <c r="F585" s="27">
        <v>1640.0</v>
      </c>
      <c r="G585" s="28">
        <v>2400.0</v>
      </c>
      <c r="H585" s="27">
        <f t="shared" si="217"/>
        <v>760</v>
      </c>
      <c r="I585" s="27">
        <f>H585*10</f>
        <v>7600</v>
      </c>
      <c r="J585" s="27">
        <f>G585*10</f>
        <v>24000</v>
      </c>
    </row>
    <row r="586" ht="12.75" customHeight="1">
      <c r="A586" s="36">
        <v>5015137.0</v>
      </c>
      <c r="B586" s="36" t="s">
        <v>2875</v>
      </c>
      <c r="C586" s="26">
        <v>6.0</v>
      </c>
      <c r="D586" s="27">
        <v>940.0</v>
      </c>
      <c r="E586" s="27">
        <f t="shared" si="216"/>
        <v>5640</v>
      </c>
      <c r="F586" s="27">
        <v>940.0</v>
      </c>
      <c r="G586" s="28">
        <v>1500.0</v>
      </c>
      <c r="H586" s="27">
        <f t="shared" si="217"/>
        <v>560</v>
      </c>
      <c r="I586" s="27">
        <f>H586*6</f>
        <v>3360</v>
      </c>
      <c r="J586" s="27">
        <f>G586*6</f>
        <v>9000</v>
      </c>
    </row>
    <row r="587" ht="12.75" customHeight="1">
      <c r="A587" s="36">
        <v>5501016.0</v>
      </c>
      <c r="B587" s="36" t="s">
        <v>2575</v>
      </c>
      <c r="C587" s="26">
        <v>2.0</v>
      </c>
      <c r="D587" s="27">
        <v>3000.0</v>
      </c>
      <c r="E587" s="27">
        <f t="shared" si="216"/>
        <v>6000</v>
      </c>
      <c r="F587" s="27">
        <v>250.0</v>
      </c>
      <c r="G587" s="28">
        <v>500.0</v>
      </c>
      <c r="H587" s="27">
        <f t="shared" si="217"/>
        <v>250</v>
      </c>
      <c r="I587" s="27">
        <f>H587*24</f>
        <v>6000</v>
      </c>
      <c r="J587" s="27">
        <f>G587*24</f>
        <v>12000</v>
      </c>
    </row>
    <row r="588" ht="12.75" customHeight="1">
      <c r="A588" s="25"/>
      <c r="C588" s="26"/>
      <c r="D588" s="27"/>
      <c r="E588" s="27"/>
      <c r="F588" s="27"/>
      <c r="G588" s="28"/>
      <c r="H588" s="27"/>
      <c r="I588" s="27"/>
      <c r="J588" s="27"/>
    </row>
    <row r="589" ht="12.75" customHeight="1">
      <c r="A589" s="25"/>
      <c r="C589" s="26"/>
      <c r="D589" s="27"/>
      <c r="E589" s="32">
        <f>SUM(E568:E587)</f>
        <v>300620</v>
      </c>
      <c r="F589" s="27"/>
      <c r="G589" s="28"/>
      <c r="H589" s="27"/>
      <c r="I589" s="33">
        <f t="shared" ref="I589:J589" si="224">SUM(I568:I587)</f>
        <v>199430</v>
      </c>
      <c r="J589" s="33">
        <f t="shared" si="224"/>
        <v>500050</v>
      </c>
    </row>
    <row r="590" ht="12.75" customHeight="1">
      <c r="A590" s="25"/>
      <c r="C590" s="26"/>
      <c r="D590" s="27"/>
      <c r="E590" s="27"/>
      <c r="F590" s="27"/>
      <c r="G590" s="28"/>
      <c r="H590" s="27"/>
      <c r="I590" s="27"/>
      <c r="J590" s="27"/>
    </row>
    <row r="591" ht="12.75" customHeight="1">
      <c r="A591" s="25"/>
      <c r="C591" s="26"/>
      <c r="D591" s="27"/>
      <c r="E591" s="27"/>
      <c r="F591" s="27"/>
      <c r="G591" s="28"/>
      <c r="H591" s="27"/>
      <c r="I591" s="27"/>
      <c r="J591" s="27"/>
    </row>
    <row r="592" ht="12.75" customHeight="1">
      <c r="A592" s="34">
        <v>45559.0</v>
      </c>
      <c r="C592" s="26"/>
      <c r="D592" s="27"/>
      <c r="E592" s="27"/>
      <c r="F592" s="27"/>
      <c r="G592" s="28"/>
      <c r="H592" s="27"/>
      <c r="I592" s="27"/>
      <c r="J592" s="27"/>
    </row>
    <row r="593" ht="12.75" customHeight="1">
      <c r="A593" s="25"/>
      <c r="C593" s="26"/>
      <c r="D593" s="27"/>
      <c r="E593" s="27"/>
      <c r="F593" s="27"/>
      <c r="G593" s="28"/>
      <c r="H593" s="27"/>
      <c r="I593" s="27"/>
      <c r="J593" s="27"/>
    </row>
    <row r="594" ht="12.75" customHeight="1">
      <c r="A594" s="36">
        <v>5117718.0</v>
      </c>
      <c r="B594" s="36" t="s">
        <v>2949</v>
      </c>
      <c r="C594" s="26">
        <v>18.0</v>
      </c>
      <c r="D594" s="27">
        <v>1690.0</v>
      </c>
      <c r="E594" s="27">
        <f t="shared" ref="E594:E600" si="225">D594*C594</f>
        <v>30420</v>
      </c>
      <c r="F594" s="27">
        <v>1690.0</v>
      </c>
      <c r="G594" s="28">
        <v>4500.0</v>
      </c>
      <c r="H594" s="27">
        <f t="shared" ref="H594:H600" si="226">G594-F594</f>
        <v>2810</v>
      </c>
      <c r="I594" s="27">
        <f>H594*18</f>
        <v>50580</v>
      </c>
      <c r="J594" s="27">
        <f>G594*18</f>
        <v>81000</v>
      </c>
    </row>
    <row r="595" ht="12.75" customHeight="1">
      <c r="A595" s="36">
        <v>9928084.0</v>
      </c>
      <c r="B595" s="36" t="s">
        <v>2951</v>
      </c>
      <c r="C595" s="26">
        <v>3.0</v>
      </c>
      <c r="D595" s="27">
        <v>4200.0</v>
      </c>
      <c r="E595" s="27">
        <f t="shared" si="225"/>
        <v>12600</v>
      </c>
      <c r="F595" s="27">
        <v>1400.0</v>
      </c>
      <c r="G595" s="28">
        <v>3000.0</v>
      </c>
      <c r="H595" s="27">
        <f t="shared" si="226"/>
        <v>1600</v>
      </c>
      <c r="I595" s="27">
        <f>H595*9</f>
        <v>14400</v>
      </c>
      <c r="J595" s="27">
        <f>G595*9</f>
        <v>27000</v>
      </c>
    </row>
    <row r="596" ht="12.75" customHeight="1">
      <c r="A596" s="36">
        <v>4042970.0</v>
      </c>
      <c r="B596" s="36" t="s">
        <v>2952</v>
      </c>
      <c r="C596" s="26">
        <v>2.0</v>
      </c>
      <c r="D596" s="27">
        <v>5590.0</v>
      </c>
      <c r="E596" s="27">
        <f t="shared" si="225"/>
        <v>11180</v>
      </c>
      <c r="F596" s="27">
        <v>1397.5</v>
      </c>
      <c r="G596" s="28">
        <v>3000.0</v>
      </c>
      <c r="H596" s="27">
        <f t="shared" si="226"/>
        <v>1602.5</v>
      </c>
      <c r="I596" s="27">
        <f>H596*8</f>
        <v>12820</v>
      </c>
      <c r="J596" s="27">
        <f>G596*8</f>
        <v>24000</v>
      </c>
    </row>
    <row r="597" ht="12.75" customHeight="1">
      <c r="A597" s="36">
        <v>7283000.0</v>
      </c>
      <c r="B597" s="36" t="s">
        <v>2795</v>
      </c>
      <c r="C597" s="26">
        <v>2.0</v>
      </c>
      <c r="D597" s="27">
        <v>4880.0</v>
      </c>
      <c r="E597" s="27">
        <f t="shared" si="225"/>
        <v>9760</v>
      </c>
      <c r="F597" s="27">
        <v>406.66</v>
      </c>
      <c r="G597" s="28">
        <v>800.0</v>
      </c>
      <c r="H597" s="27">
        <f t="shared" si="226"/>
        <v>393.34</v>
      </c>
      <c r="I597" s="27">
        <f>H597*24</f>
        <v>9440.16</v>
      </c>
      <c r="J597" s="27">
        <f>G597*24</f>
        <v>19200</v>
      </c>
    </row>
    <row r="598" ht="12.75" customHeight="1">
      <c r="A598" s="36">
        <v>7284007.0</v>
      </c>
      <c r="B598" s="36" t="s">
        <v>2953</v>
      </c>
      <c r="C598" s="26">
        <v>1.0</v>
      </c>
      <c r="D598" s="27">
        <v>4700.0</v>
      </c>
      <c r="E598" s="27">
        <f t="shared" si="225"/>
        <v>4700</v>
      </c>
      <c r="F598" s="27">
        <v>783.33</v>
      </c>
      <c r="G598" s="28">
        <v>1500.0</v>
      </c>
      <c r="H598" s="27">
        <f t="shared" si="226"/>
        <v>716.67</v>
      </c>
      <c r="I598" s="27">
        <f>H598*6</f>
        <v>4300.02</v>
      </c>
      <c r="J598" s="27">
        <f>G598*6</f>
        <v>9000</v>
      </c>
    </row>
    <row r="599" ht="12.75" customHeight="1">
      <c r="A599" s="36">
        <v>3003015.0</v>
      </c>
      <c r="B599" s="36" t="s">
        <v>2918</v>
      </c>
      <c r="C599" s="26">
        <v>20.0</v>
      </c>
      <c r="D599" s="27">
        <v>170.0</v>
      </c>
      <c r="E599" s="27">
        <f t="shared" si="225"/>
        <v>3400</v>
      </c>
      <c r="F599" s="27">
        <v>170.0</v>
      </c>
      <c r="G599" s="28">
        <v>400.0</v>
      </c>
      <c r="H599" s="27">
        <f t="shared" si="226"/>
        <v>230</v>
      </c>
      <c r="I599" s="27">
        <f>H599*20</f>
        <v>4600</v>
      </c>
      <c r="J599" s="27">
        <f>G599*20</f>
        <v>8000</v>
      </c>
    </row>
    <row r="600" ht="12.75" customHeight="1">
      <c r="A600" s="36">
        <v>3933286.0</v>
      </c>
      <c r="B600" s="36" t="s">
        <v>2954</v>
      </c>
      <c r="C600" s="26">
        <v>1.0</v>
      </c>
      <c r="D600" s="27">
        <v>1650.0</v>
      </c>
      <c r="E600" s="27">
        <f t="shared" si="225"/>
        <v>1650</v>
      </c>
      <c r="F600" s="27">
        <v>0.0</v>
      </c>
      <c r="G600" s="28">
        <v>0.0</v>
      </c>
      <c r="H600" s="27">
        <f t="shared" si="226"/>
        <v>0</v>
      </c>
      <c r="I600" s="27">
        <f>H600*1</f>
        <v>0</v>
      </c>
      <c r="J600" s="27">
        <f>G600*0</f>
        <v>0</v>
      </c>
    </row>
    <row r="601" ht="12.75" customHeight="1">
      <c r="A601" s="25"/>
      <c r="C601" s="26"/>
      <c r="D601" s="27"/>
      <c r="E601" s="27"/>
      <c r="F601" s="27"/>
      <c r="G601" s="28"/>
      <c r="H601" s="27"/>
      <c r="I601" s="27"/>
      <c r="J601" s="27"/>
    </row>
    <row r="602" ht="12.75" customHeight="1">
      <c r="A602" s="25"/>
      <c r="C602" s="26"/>
      <c r="D602" s="27"/>
      <c r="E602" s="32">
        <f>SUM(E594:E600)</f>
        <v>73710</v>
      </c>
      <c r="F602" s="27"/>
      <c r="G602" s="28"/>
      <c r="H602" s="27"/>
      <c r="I602" s="33">
        <f t="shared" ref="I602:J602" si="227">SUM(I594:I600)</f>
        <v>96140.18</v>
      </c>
      <c r="J602" s="33">
        <f t="shared" si="227"/>
        <v>168200</v>
      </c>
    </row>
    <row r="603" ht="12.75" customHeight="1">
      <c r="A603" s="25"/>
      <c r="C603" s="26"/>
      <c r="D603" s="27"/>
      <c r="E603" s="27"/>
      <c r="F603" s="27"/>
      <c r="G603" s="28"/>
      <c r="H603" s="27"/>
      <c r="I603" s="27"/>
      <c r="J603" s="27"/>
    </row>
    <row r="604" ht="12.75" customHeight="1">
      <c r="A604" s="25"/>
      <c r="C604" s="26"/>
      <c r="D604" s="27"/>
      <c r="E604" s="27"/>
      <c r="F604" s="27"/>
      <c r="G604" s="28"/>
      <c r="H604" s="27"/>
      <c r="I604" s="27"/>
      <c r="J604" s="27"/>
    </row>
    <row r="605" ht="12.75" customHeight="1">
      <c r="A605" s="34">
        <v>45570.0</v>
      </c>
      <c r="C605" s="26"/>
      <c r="D605" s="27"/>
      <c r="E605" s="27"/>
      <c r="F605" s="27"/>
      <c r="G605" s="28"/>
      <c r="H605" s="27"/>
      <c r="I605" s="27"/>
      <c r="J605" s="27"/>
    </row>
    <row r="606" ht="12.75" customHeight="1">
      <c r="A606" s="25"/>
      <c r="C606" s="26"/>
      <c r="D606" s="27"/>
      <c r="E606" s="27"/>
      <c r="F606" s="27"/>
      <c r="G606" s="28"/>
      <c r="H606" s="27"/>
      <c r="I606" s="27"/>
      <c r="J606" s="27"/>
    </row>
    <row r="607" ht="12.75" customHeight="1">
      <c r="A607" s="36">
        <v>4700191.0</v>
      </c>
      <c r="B607" s="36" t="s">
        <v>2955</v>
      </c>
      <c r="C607" s="26">
        <v>12.0</v>
      </c>
      <c r="D607" s="27">
        <v>930.0</v>
      </c>
      <c r="E607" s="27">
        <f t="shared" ref="E607:E628" si="228">D607*C607</f>
        <v>11160</v>
      </c>
      <c r="F607" s="27">
        <v>930.0</v>
      </c>
      <c r="G607" s="28">
        <v>1800.0</v>
      </c>
      <c r="H607" s="27">
        <f t="shared" ref="H607:H628" si="229">G607-F607</f>
        <v>870</v>
      </c>
      <c r="I607" s="27">
        <f t="shared" ref="I607:I609" si="230">H607*12</f>
        <v>10440</v>
      </c>
      <c r="J607" s="27">
        <f t="shared" ref="J607:J609" si="231">G607*12</f>
        <v>21600</v>
      </c>
    </row>
    <row r="608" ht="12.75" customHeight="1">
      <c r="A608" s="36">
        <v>4408486.0</v>
      </c>
      <c r="B608" s="36" t="s">
        <v>2869</v>
      </c>
      <c r="C608" s="26">
        <v>12.0</v>
      </c>
      <c r="D608" s="27">
        <v>870.0</v>
      </c>
      <c r="E608" s="27">
        <f t="shared" si="228"/>
        <v>10440</v>
      </c>
      <c r="F608" s="27">
        <v>870.0</v>
      </c>
      <c r="G608" s="28">
        <v>1700.0</v>
      </c>
      <c r="H608" s="27">
        <f t="shared" si="229"/>
        <v>830</v>
      </c>
      <c r="I608" s="27">
        <f t="shared" si="230"/>
        <v>9960</v>
      </c>
      <c r="J608" s="27">
        <f t="shared" si="231"/>
        <v>20400</v>
      </c>
    </row>
    <row r="609" ht="12.75" customHeight="1">
      <c r="A609" s="36">
        <v>4700177.0</v>
      </c>
      <c r="B609" s="36" t="s">
        <v>2956</v>
      </c>
      <c r="C609" s="26">
        <v>12.0</v>
      </c>
      <c r="D609" s="27">
        <v>800.0</v>
      </c>
      <c r="E609" s="27">
        <f t="shared" si="228"/>
        <v>9600</v>
      </c>
      <c r="F609" s="27">
        <v>800.0</v>
      </c>
      <c r="G609" s="28">
        <v>1700.0</v>
      </c>
      <c r="H609" s="27">
        <f t="shared" si="229"/>
        <v>900</v>
      </c>
      <c r="I609" s="27">
        <f t="shared" si="230"/>
        <v>10800</v>
      </c>
      <c r="J609" s="27">
        <f t="shared" si="231"/>
        <v>20400</v>
      </c>
    </row>
    <row r="610" ht="12.75" customHeight="1">
      <c r="A610" s="36">
        <v>4700146.0</v>
      </c>
      <c r="B610" s="36" t="s">
        <v>2957</v>
      </c>
      <c r="C610" s="26">
        <v>3.0</v>
      </c>
      <c r="D610" s="27">
        <v>1180.0</v>
      </c>
      <c r="E610" s="27">
        <f t="shared" si="228"/>
        <v>3540</v>
      </c>
      <c r="F610" s="27">
        <v>23.6</v>
      </c>
      <c r="G610" s="28">
        <v>50.0</v>
      </c>
      <c r="H610" s="27">
        <f t="shared" si="229"/>
        <v>26.4</v>
      </c>
      <c r="I610" s="27">
        <f>H610*150</f>
        <v>3960</v>
      </c>
      <c r="J610" s="27">
        <f>G610*150</f>
        <v>7500</v>
      </c>
    </row>
    <row r="611" ht="12.75" customHeight="1">
      <c r="A611" s="36">
        <v>4408479.0</v>
      </c>
      <c r="B611" s="36" t="s">
        <v>2958</v>
      </c>
      <c r="C611" s="26">
        <v>5.0</v>
      </c>
      <c r="D611" s="27">
        <v>1180.0</v>
      </c>
      <c r="E611" s="27">
        <f t="shared" si="228"/>
        <v>5900</v>
      </c>
      <c r="F611" s="27">
        <v>23.6</v>
      </c>
      <c r="G611" s="28">
        <v>50.0</v>
      </c>
      <c r="H611" s="27">
        <f t="shared" si="229"/>
        <v>26.4</v>
      </c>
      <c r="I611" s="27">
        <f>H611*250</f>
        <v>6600</v>
      </c>
      <c r="J611" s="27">
        <f>G611*250</f>
        <v>12500</v>
      </c>
    </row>
    <row r="612" ht="12.75" customHeight="1">
      <c r="A612" s="36">
        <v>40516.0</v>
      </c>
      <c r="B612" s="36" t="s">
        <v>2959</v>
      </c>
      <c r="C612" s="26">
        <v>1.0</v>
      </c>
      <c r="D612" s="27">
        <v>2360.0</v>
      </c>
      <c r="E612" s="27">
        <f t="shared" si="228"/>
        <v>2360</v>
      </c>
      <c r="F612" s="27">
        <v>23.6</v>
      </c>
      <c r="G612" s="28">
        <v>100.0</v>
      </c>
      <c r="H612" s="27">
        <f t="shared" si="229"/>
        <v>76.4</v>
      </c>
      <c r="I612" s="27">
        <f t="shared" ref="I612:I613" si="232">H612*100</f>
        <v>7640</v>
      </c>
      <c r="J612" s="27">
        <f t="shared" ref="J612:J613" si="233">G612*100</f>
        <v>10000</v>
      </c>
    </row>
    <row r="613" ht="12.75" customHeight="1">
      <c r="A613" s="36">
        <v>40509.0</v>
      </c>
      <c r="B613" s="36" t="s">
        <v>2960</v>
      </c>
      <c r="C613" s="26">
        <v>1.0</v>
      </c>
      <c r="D613" s="27">
        <v>3450.0</v>
      </c>
      <c r="E613" s="27">
        <f t="shared" si="228"/>
        <v>3450</v>
      </c>
      <c r="F613" s="27">
        <v>34.5</v>
      </c>
      <c r="G613" s="28">
        <v>150.0</v>
      </c>
      <c r="H613" s="27">
        <f t="shared" si="229"/>
        <v>115.5</v>
      </c>
      <c r="I613" s="27">
        <f t="shared" si="232"/>
        <v>11550</v>
      </c>
      <c r="J613" s="27">
        <f t="shared" si="233"/>
        <v>15000</v>
      </c>
    </row>
    <row r="614" ht="12.75" customHeight="1">
      <c r="A614" s="36">
        <v>6453097.0</v>
      </c>
      <c r="B614" s="36" t="s">
        <v>2659</v>
      </c>
      <c r="C614" s="26">
        <v>4.0</v>
      </c>
      <c r="D614" s="27">
        <v>980.0</v>
      </c>
      <c r="E614" s="27">
        <f t="shared" si="228"/>
        <v>3920</v>
      </c>
      <c r="F614" s="27">
        <v>122.5</v>
      </c>
      <c r="G614" s="28">
        <v>350.0</v>
      </c>
      <c r="H614" s="27">
        <f t="shared" si="229"/>
        <v>227.5</v>
      </c>
      <c r="I614" s="27">
        <f>H614*32</f>
        <v>7280</v>
      </c>
      <c r="J614" s="27">
        <f>G614*32</f>
        <v>11200</v>
      </c>
    </row>
    <row r="615" ht="12.75" customHeight="1">
      <c r="A615" s="36">
        <v>6706005.0</v>
      </c>
      <c r="B615" s="36" t="s">
        <v>2961</v>
      </c>
      <c r="C615" s="26">
        <v>10.0</v>
      </c>
      <c r="D615" s="27">
        <v>2310.0</v>
      </c>
      <c r="E615" s="27">
        <f t="shared" si="228"/>
        <v>23100</v>
      </c>
      <c r="F615" s="27">
        <v>2310.0</v>
      </c>
      <c r="G615" s="28">
        <v>4500.0</v>
      </c>
      <c r="H615" s="27">
        <f t="shared" si="229"/>
        <v>2190</v>
      </c>
      <c r="I615" s="27">
        <f>H615*10</f>
        <v>21900</v>
      </c>
      <c r="J615" s="27">
        <f>G615*10</f>
        <v>45000</v>
      </c>
    </row>
    <row r="616" ht="12.75" customHeight="1">
      <c r="A616" s="36">
        <v>4539951.0</v>
      </c>
      <c r="B616" s="36" t="s">
        <v>2962</v>
      </c>
      <c r="C616" s="26">
        <v>4.0</v>
      </c>
      <c r="D616" s="27">
        <v>1400.0</v>
      </c>
      <c r="E616" s="27">
        <f t="shared" si="228"/>
        <v>5600</v>
      </c>
      <c r="F616" s="27">
        <v>28.0</v>
      </c>
      <c r="G616" s="28">
        <v>100.0</v>
      </c>
      <c r="H616" s="27">
        <f t="shared" si="229"/>
        <v>72</v>
      </c>
      <c r="I616" s="27">
        <f>H616*200</f>
        <v>14400</v>
      </c>
      <c r="J616" s="27">
        <f>G616*200</f>
        <v>20000</v>
      </c>
    </row>
    <row r="617" ht="12.75" customHeight="1">
      <c r="A617" s="36">
        <v>1112081.0</v>
      </c>
      <c r="B617" s="36" t="s">
        <v>2963</v>
      </c>
      <c r="C617" s="26">
        <v>10.0</v>
      </c>
      <c r="D617" s="27">
        <v>1260.0</v>
      </c>
      <c r="E617" s="27">
        <f t="shared" si="228"/>
        <v>12600</v>
      </c>
      <c r="F617" s="27">
        <v>1260.0</v>
      </c>
      <c r="G617" s="28">
        <v>2500.0</v>
      </c>
      <c r="H617" s="27">
        <f t="shared" si="229"/>
        <v>1240</v>
      </c>
      <c r="I617" s="27">
        <f t="shared" ref="I617:I620" si="234">H617*10</f>
        <v>12400</v>
      </c>
      <c r="J617" s="27">
        <f t="shared" ref="J617:J620" si="235">G617*10</f>
        <v>25000</v>
      </c>
    </row>
    <row r="618" ht="12.75" customHeight="1">
      <c r="A618" s="36">
        <v>4167345.0</v>
      </c>
      <c r="B618" s="36" t="s">
        <v>2833</v>
      </c>
      <c r="C618" s="26">
        <v>1.0</v>
      </c>
      <c r="D618" s="27">
        <v>5640.0</v>
      </c>
      <c r="E618" s="27">
        <f t="shared" si="228"/>
        <v>5640</v>
      </c>
      <c r="F618" s="27">
        <v>564.0</v>
      </c>
      <c r="G618" s="28">
        <v>1300.0</v>
      </c>
      <c r="H618" s="27">
        <f t="shared" si="229"/>
        <v>736</v>
      </c>
      <c r="I618" s="27">
        <f t="shared" si="234"/>
        <v>7360</v>
      </c>
      <c r="J618" s="27">
        <f t="shared" si="235"/>
        <v>13000</v>
      </c>
    </row>
    <row r="619" ht="12.75" customHeight="1">
      <c r="A619" s="36">
        <v>4167352.0</v>
      </c>
      <c r="B619" s="36" t="s">
        <v>2823</v>
      </c>
      <c r="C619" s="26">
        <v>1.0</v>
      </c>
      <c r="D619" s="27">
        <v>5640.0</v>
      </c>
      <c r="E619" s="27">
        <f t="shared" si="228"/>
        <v>5640</v>
      </c>
      <c r="F619" s="27">
        <v>564.0</v>
      </c>
      <c r="G619" s="28">
        <v>1300.0</v>
      </c>
      <c r="H619" s="27">
        <f t="shared" si="229"/>
        <v>736</v>
      </c>
      <c r="I619" s="27">
        <f t="shared" si="234"/>
        <v>7360</v>
      </c>
      <c r="J619" s="27">
        <f t="shared" si="235"/>
        <v>13000</v>
      </c>
    </row>
    <row r="620" ht="12.75" customHeight="1">
      <c r="A620" s="36">
        <v>4224086.0</v>
      </c>
      <c r="B620" s="36" t="s">
        <v>2964</v>
      </c>
      <c r="C620" s="26">
        <v>1.0</v>
      </c>
      <c r="D620" s="27">
        <v>5640.0</v>
      </c>
      <c r="E620" s="27">
        <f t="shared" si="228"/>
        <v>5640</v>
      </c>
      <c r="F620" s="27">
        <v>564.0</v>
      </c>
      <c r="G620" s="28">
        <v>1300.0</v>
      </c>
      <c r="H620" s="27">
        <f t="shared" si="229"/>
        <v>736</v>
      </c>
      <c r="I620" s="27">
        <f t="shared" si="234"/>
        <v>7360</v>
      </c>
      <c r="J620" s="27">
        <f t="shared" si="235"/>
        <v>13000</v>
      </c>
    </row>
    <row r="621" ht="12.75" customHeight="1">
      <c r="A621" s="36">
        <v>3003007.0</v>
      </c>
      <c r="B621" s="36" t="s">
        <v>2634</v>
      </c>
      <c r="C621" s="26">
        <v>30.0</v>
      </c>
      <c r="D621" s="27">
        <v>180.0</v>
      </c>
      <c r="E621" s="27">
        <f t="shared" si="228"/>
        <v>5400</v>
      </c>
      <c r="F621" s="27">
        <v>180.0</v>
      </c>
      <c r="G621" s="28">
        <v>400.0</v>
      </c>
      <c r="H621" s="27">
        <f t="shared" si="229"/>
        <v>220</v>
      </c>
      <c r="I621" s="27">
        <f>H621*30</f>
        <v>6600</v>
      </c>
      <c r="J621" s="27">
        <f>G621*30</f>
        <v>12000</v>
      </c>
    </row>
    <row r="622" ht="12.75" customHeight="1">
      <c r="A622" s="36">
        <v>522256.0</v>
      </c>
      <c r="B622" s="36" t="s">
        <v>2965</v>
      </c>
      <c r="C622" s="26">
        <v>1.0</v>
      </c>
      <c r="D622" s="27">
        <v>4620.0</v>
      </c>
      <c r="E622" s="27">
        <f t="shared" si="228"/>
        <v>4620</v>
      </c>
      <c r="F622" s="27">
        <v>184.8</v>
      </c>
      <c r="G622" s="28">
        <v>400.0</v>
      </c>
      <c r="H622" s="27">
        <f t="shared" si="229"/>
        <v>215.2</v>
      </c>
      <c r="I622" s="27">
        <f>H622*25</f>
        <v>5380</v>
      </c>
      <c r="J622" s="27">
        <f>G622*25</f>
        <v>10000</v>
      </c>
    </row>
    <row r="623" ht="12.75" customHeight="1">
      <c r="A623" s="36">
        <v>3003004.0</v>
      </c>
      <c r="B623" s="36" t="s">
        <v>2623</v>
      </c>
      <c r="C623" s="26">
        <v>20.0</v>
      </c>
      <c r="D623" s="27">
        <v>180.0</v>
      </c>
      <c r="E623" s="27">
        <f t="shared" si="228"/>
        <v>3600</v>
      </c>
      <c r="F623" s="27">
        <v>180.0</v>
      </c>
      <c r="G623" s="28">
        <v>400.0</v>
      </c>
      <c r="H623" s="27">
        <f t="shared" si="229"/>
        <v>220</v>
      </c>
      <c r="I623" s="27">
        <f>H623*20</f>
        <v>4400</v>
      </c>
      <c r="J623" s="27">
        <f>G623*20</f>
        <v>8000</v>
      </c>
    </row>
    <row r="624" ht="12.75" customHeight="1">
      <c r="A624" s="36">
        <v>522263.0</v>
      </c>
      <c r="B624" s="36" t="s">
        <v>2966</v>
      </c>
      <c r="C624" s="26">
        <v>1.0</v>
      </c>
      <c r="D624" s="27">
        <v>4620.0</v>
      </c>
      <c r="E624" s="27">
        <f t="shared" si="228"/>
        <v>4620</v>
      </c>
      <c r="F624" s="27">
        <v>184.8</v>
      </c>
      <c r="G624" s="28">
        <v>400.0</v>
      </c>
      <c r="H624" s="27">
        <f t="shared" si="229"/>
        <v>215.2</v>
      </c>
      <c r="I624" s="27">
        <f>H624*25</f>
        <v>5380</v>
      </c>
      <c r="J624" s="27">
        <f>G624*25</f>
        <v>10000</v>
      </c>
    </row>
    <row r="625" ht="12.75" customHeight="1">
      <c r="A625" s="36">
        <v>422358.0</v>
      </c>
      <c r="B625" s="36" t="s">
        <v>2640</v>
      </c>
      <c r="C625" s="26">
        <v>1.0</v>
      </c>
      <c r="D625" s="27">
        <v>6250.0</v>
      </c>
      <c r="E625" s="27">
        <f t="shared" si="228"/>
        <v>6250</v>
      </c>
      <c r="F625" s="27">
        <v>312.5</v>
      </c>
      <c r="G625" s="28">
        <v>550.0</v>
      </c>
      <c r="H625" s="27">
        <f t="shared" si="229"/>
        <v>237.5</v>
      </c>
      <c r="I625" s="27">
        <f t="shared" ref="I625:I628" si="236">H625*20</f>
        <v>4750</v>
      </c>
      <c r="J625" s="27">
        <f t="shared" ref="J625:J628" si="237">G625*20</f>
        <v>11000</v>
      </c>
    </row>
    <row r="626" ht="12.75" customHeight="1">
      <c r="A626" s="36">
        <v>422362.0</v>
      </c>
      <c r="B626" s="36" t="s">
        <v>2647</v>
      </c>
      <c r="C626" s="26">
        <v>1.0</v>
      </c>
      <c r="D626" s="27">
        <v>6250.0</v>
      </c>
      <c r="E626" s="27">
        <f t="shared" si="228"/>
        <v>6250</v>
      </c>
      <c r="F626" s="27">
        <v>312.5</v>
      </c>
      <c r="G626" s="28">
        <v>550.0</v>
      </c>
      <c r="H626" s="27">
        <f t="shared" si="229"/>
        <v>237.5</v>
      </c>
      <c r="I626" s="27">
        <f t="shared" si="236"/>
        <v>4750</v>
      </c>
      <c r="J626" s="27">
        <f t="shared" si="237"/>
        <v>11000</v>
      </c>
    </row>
    <row r="627" ht="12.75" customHeight="1">
      <c r="A627" s="36">
        <v>422366.0</v>
      </c>
      <c r="B627" s="36" t="s">
        <v>2642</v>
      </c>
      <c r="C627" s="26">
        <v>1.0</v>
      </c>
      <c r="D627" s="27">
        <v>6250.0</v>
      </c>
      <c r="E627" s="27">
        <f t="shared" si="228"/>
        <v>6250</v>
      </c>
      <c r="F627" s="27">
        <v>312.5</v>
      </c>
      <c r="G627" s="28">
        <v>550.0</v>
      </c>
      <c r="H627" s="27">
        <f t="shared" si="229"/>
        <v>237.5</v>
      </c>
      <c r="I627" s="27">
        <f t="shared" si="236"/>
        <v>4750</v>
      </c>
      <c r="J627" s="27">
        <f t="shared" si="237"/>
        <v>11000</v>
      </c>
    </row>
    <row r="628" ht="12.75" customHeight="1">
      <c r="A628" s="36">
        <v>422365.0</v>
      </c>
      <c r="B628" s="36" t="s">
        <v>2637</v>
      </c>
      <c r="C628" s="26">
        <v>1.0</v>
      </c>
      <c r="D628" s="27">
        <v>6250.0</v>
      </c>
      <c r="E628" s="27">
        <f t="shared" si="228"/>
        <v>6250</v>
      </c>
      <c r="F628" s="27">
        <v>312.5</v>
      </c>
      <c r="G628" s="28">
        <v>550.0</v>
      </c>
      <c r="H628" s="27">
        <f t="shared" si="229"/>
        <v>237.5</v>
      </c>
      <c r="I628" s="27">
        <f t="shared" si="236"/>
        <v>4750</v>
      </c>
      <c r="J628" s="27">
        <f t="shared" si="237"/>
        <v>11000</v>
      </c>
    </row>
    <row r="629" ht="12.75" customHeight="1">
      <c r="A629" s="25"/>
      <c r="C629" s="26"/>
      <c r="D629" s="27"/>
      <c r="E629" s="27"/>
      <c r="F629" s="27"/>
      <c r="G629" s="28"/>
      <c r="H629" s="27"/>
      <c r="I629" s="27"/>
      <c r="J629" s="27"/>
    </row>
    <row r="630" ht="12.75" customHeight="1">
      <c r="A630" s="25"/>
      <c r="C630" s="26"/>
      <c r="D630" s="27"/>
      <c r="E630" s="32">
        <f>SUM(E607:E628)</f>
        <v>151830</v>
      </c>
      <c r="F630" s="27"/>
      <c r="G630" s="28"/>
      <c r="H630" s="27"/>
      <c r="I630" s="33">
        <f t="shared" ref="I630:J630" si="238">SUM(I607:I628)</f>
        <v>179770</v>
      </c>
      <c r="J630" s="33">
        <f t="shared" si="238"/>
        <v>331600</v>
      </c>
    </row>
    <row r="631" ht="12.75" customHeight="1">
      <c r="A631" s="25"/>
      <c r="C631" s="26"/>
      <c r="D631" s="27"/>
      <c r="E631" s="27"/>
      <c r="F631" s="27"/>
      <c r="G631" s="28"/>
      <c r="H631" s="27"/>
      <c r="I631" s="27"/>
      <c r="J631" s="27"/>
    </row>
    <row r="632" ht="12.75" customHeight="1">
      <c r="A632" s="25"/>
      <c r="C632" s="26"/>
      <c r="D632" s="27"/>
      <c r="E632" s="27"/>
      <c r="F632" s="27"/>
      <c r="G632" s="28"/>
      <c r="H632" s="27"/>
      <c r="I632" s="27"/>
      <c r="J632" s="27"/>
    </row>
    <row r="633" ht="12.75" customHeight="1">
      <c r="A633" s="34">
        <v>45582.0</v>
      </c>
      <c r="C633" s="26"/>
      <c r="D633" s="27"/>
      <c r="E633" s="27"/>
      <c r="F633" s="27"/>
      <c r="G633" s="28"/>
      <c r="H633" s="27"/>
      <c r="I633" s="27"/>
      <c r="J633" s="27"/>
    </row>
    <row r="634" ht="12.75" customHeight="1">
      <c r="A634" s="25"/>
      <c r="C634" s="26"/>
      <c r="D634" s="27"/>
      <c r="E634" s="27"/>
      <c r="F634" s="27"/>
      <c r="G634" s="28"/>
      <c r="H634" s="27"/>
      <c r="I634" s="27"/>
      <c r="J634" s="27"/>
    </row>
    <row r="635" ht="12.75" customHeight="1">
      <c r="A635" s="36">
        <v>6898.0</v>
      </c>
      <c r="B635" s="36" t="s">
        <v>2658</v>
      </c>
      <c r="C635" s="26">
        <v>6.0</v>
      </c>
      <c r="D635" s="27">
        <v>930.0</v>
      </c>
      <c r="E635" s="27">
        <f t="shared" ref="E635:E666" si="239">D635*C635</f>
        <v>5580</v>
      </c>
      <c r="F635" s="27">
        <v>930.0</v>
      </c>
      <c r="G635" s="28">
        <v>2000.0</v>
      </c>
      <c r="H635" s="27">
        <f t="shared" ref="H635:H666" si="240">G635-F635</f>
        <v>1070</v>
      </c>
      <c r="I635" s="27">
        <f>H635*6</f>
        <v>6420</v>
      </c>
      <c r="J635" s="27">
        <f>G635*6</f>
        <v>12000</v>
      </c>
    </row>
    <row r="636" ht="12.75" customHeight="1">
      <c r="A636" s="36">
        <v>4134101.0</v>
      </c>
      <c r="B636" s="36" t="s">
        <v>2967</v>
      </c>
      <c r="C636" s="26">
        <v>1.0</v>
      </c>
      <c r="D636" s="27">
        <v>1560.0</v>
      </c>
      <c r="E636" s="27">
        <f t="shared" si="239"/>
        <v>1560</v>
      </c>
      <c r="F636" s="27">
        <v>78.0</v>
      </c>
      <c r="G636" s="28">
        <v>150.0</v>
      </c>
      <c r="H636" s="27">
        <f t="shared" si="240"/>
        <v>72</v>
      </c>
      <c r="I636" s="27">
        <f t="shared" ref="I636:I637" si="241">H636*20</f>
        <v>1440</v>
      </c>
      <c r="J636" s="27">
        <f t="shared" ref="J636:J637" si="242">G636*20</f>
        <v>3000</v>
      </c>
    </row>
    <row r="637" ht="12.75" customHeight="1">
      <c r="A637" s="36">
        <v>4134118.0</v>
      </c>
      <c r="B637" s="36" t="s">
        <v>2968</v>
      </c>
      <c r="C637" s="26">
        <v>1.0</v>
      </c>
      <c r="D637" s="27">
        <v>1560.0</v>
      </c>
      <c r="E637" s="27">
        <f t="shared" si="239"/>
        <v>1560</v>
      </c>
      <c r="F637" s="27">
        <v>78.0</v>
      </c>
      <c r="G637" s="28">
        <v>150.0</v>
      </c>
      <c r="H637" s="27">
        <f t="shared" si="240"/>
        <v>72</v>
      </c>
      <c r="I637" s="27">
        <f t="shared" si="241"/>
        <v>1440</v>
      </c>
      <c r="J637" s="27">
        <f t="shared" si="242"/>
        <v>3000</v>
      </c>
    </row>
    <row r="638" ht="12.75" customHeight="1">
      <c r="A638" s="36">
        <v>4134057.0</v>
      </c>
      <c r="B638" s="36" t="s">
        <v>2969</v>
      </c>
      <c r="C638" s="26">
        <v>2.0</v>
      </c>
      <c r="D638" s="27">
        <v>1560.0</v>
      </c>
      <c r="E638" s="27">
        <f t="shared" si="239"/>
        <v>3120</v>
      </c>
      <c r="F638" s="27">
        <v>78.0</v>
      </c>
      <c r="G638" s="28">
        <v>150.0</v>
      </c>
      <c r="H638" s="27">
        <f t="shared" si="240"/>
        <v>72</v>
      </c>
      <c r="I638" s="27">
        <f>H638*40</f>
        <v>2880</v>
      </c>
      <c r="J638" s="27">
        <f>G638*40</f>
        <v>6000</v>
      </c>
    </row>
    <row r="639" ht="12.75" customHeight="1">
      <c r="A639" s="36">
        <v>4409216.0</v>
      </c>
      <c r="B639" s="36" t="s">
        <v>2970</v>
      </c>
      <c r="C639" s="26">
        <v>1.0</v>
      </c>
      <c r="D639" s="27">
        <v>1560.0</v>
      </c>
      <c r="E639" s="27">
        <f t="shared" si="239"/>
        <v>1560</v>
      </c>
      <c r="F639" s="27">
        <v>78.0</v>
      </c>
      <c r="G639" s="28">
        <v>150.0</v>
      </c>
      <c r="H639" s="27">
        <f t="shared" si="240"/>
        <v>72</v>
      </c>
      <c r="I639" s="27">
        <f t="shared" ref="I639:I641" si="243">H639*20</f>
        <v>1440</v>
      </c>
      <c r="J639" s="27">
        <f t="shared" ref="J639:J641" si="244">G639*20</f>
        <v>3000</v>
      </c>
    </row>
    <row r="640" ht="12.75" customHeight="1">
      <c r="A640" s="36">
        <v>4014489.0</v>
      </c>
      <c r="B640" s="36" t="s">
        <v>2971</v>
      </c>
      <c r="C640" s="26">
        <v>20.0</v>
      </c>
      <c r="D640" s="27">
        <v>500.0</v>
      </c>
      <c r="E640" s="27">
        <f t="shared" si="239"/>
        <v>10000</v>
      </c>
      <c r="F640" s="27">
        <v>500.0</v>
      </c>
      <c r="G640" s="28">
        <v>1200.0</v>
      </c>
      <c r="H640" s="27">
        <f t="shared" si="240"/>
        <v>700</v>
      </c>
      <c r="I640" s="27">
        <f t="shared" si="243"/>
        <v>14000</v>
      </c>
      <c r="J640" s="27">
        <f t="shared" si="244"/>
        <v>24000</v>
      </c>
    </row>
    <row r="641" ht="12.75" customHeight="1">
      <c r="A641" s="36">
        <v>4014465.0</v>
      </c>
      <c r="B641" s="36" t="s">
        <v>2972</v>
      </c>
      <c r="C641" s="26">
        <v>20.0</v>
      </c>
      <c r="D641" s="27">
        <v>640.0</v>
      </c>
      <c r="E641" s="27">
        <f t="shared" si="239"/>
        <v>12800</v>
      </c>
      <c r="F641" s="27">
        <v>640.0</v>
      </c>
      <c r="G641" s="28">
        <v>1500.0</v>
      </c>
      <c r="H641" s="27">
        <f t="shared" si="240"/>
        <v>860</v>
      </c>
      <c r="I641" s="27">
        <f t="shared" si="243"/>
        <v>17200</v>
      </c>
      <c r="J641" s="27">
        <f t="shared" si="244"/>
        <v>30000</v>
      </c>
    </row>
    <row r="642" ht="12.75" customHeight="1">
      <c r="A642" s="36">
        <v>5029851.0</v>
      </c>
      <c r="B642" s="36" t="s">
        <v>2893</v>
      </c>
      <c r="C642" s="26">
        <v>1.0</v>
      </c>
      <c r="D642" s="27">
        <v>12500.0</v>
      </c>
      <c r="E642" s="27">
        <f t="shared" si="239"/>
        <v>12500</v>
      </c>
      <c r="F642" s="27">
        <v>1250.0</v>
      </c>
      <c r="G642" s="28">
        <v>2000.0</v>
      </c>
      <c r="H642" s="27">
        <f t="shared" si="240"/>
        <v>750</v>
      </c>
      <c r="I642" s="27">
        <f>H642*10</f>
        <v>7500</v>
      </c>
      <c r="J642" s="27">
        <f>G642*10</f>
        <v>20000</v>
      </c>
    </row>
    <row r="643" ht="12.75" customHeight="1">
      <c r="A643" s="36">
        <v>4630306.0</v>
      </c>
      <c r="B643" s="36" t="s">
        <v>2759</v>
      </c>
      <c r="C643" s="26">
        <v>1.0</v>
      </c>
      <c r="D643" s="27">
        <v>2650.0</v>
      </c>
      <c r="E643" s="27">
        <f t="shared" si="239"/>
        <v>2650</v>
      </c>
      <c r="F643" s="27">
        <v>220.83</v>
      </c>
      <c r="G643" s="28">
        <v>450.0</v>
      </c>
      <c r="H643" s="27">
        <f t="shared" si="240"/>
        <v>229.17</v>
      </c>
      <c r="I643" s="27">
        <f t="shared" ref="I643:I644" si="245">H643*12</f>
        <v>2750.04</v>
      </c>
      <c r="J643" s="27">
        <f t="shared" ref="J643:J644" si="246">G643*12</f>
        <v>5400</v>
      </c>
    </row>
    <row r="644" ht="12.75" customHeight="1">
      <c r="A644" s="36">
        <v>4326049.0</v>
      </c>
      <c r="B644" s="36" t="s">
        <v>2760</v>
      </c>
      <c r="C644" s="26">
        <v>1.0</v>
      </c>
      <c r="D644" s="27">
        <v>2660.0</v>
      </c>
      <c r="E644" s="27">
        <f t="shared" si="239"/>
        <v>2660</v>
      </c>
      <c r="F644" s="27">
        <v>221.66</v>
      </c>
      <c r="G644" s="28">
        <v>450.0</v>
      </c>
      <c r="H644" s="27">
        <f t="shared" si="240"/>
        <v>228.34</v>
      </c>
      <c r="I644" s="27">
        <f t="shared" si="245"/>
        <v>2740.08</v>
      </c>
      <c r="J644" s="27">
        <f t="shared" si="246"/>
        <v>5400</v>
      </c>
    </row>
    <row r="645" ht="12.75" customHeight="1">
      <c r="A645" s="36">
        <v>4414081.0</v>
      </c>
      <c r="B645" s="36" t="s">
        <v>2973</v>
      </c>
      <c r="C645" s="26">
        <v>1.0</v>
      </c>
      <c r="D645" s="27">
        <v>2340.0</v>
      </c>
      <c r="E645" s="27">
        <f t="shared" si="239"/>
        <v>2340</v>
      </c>
      <c r="F645" s="27">
        <v>2340.0</v>
      </c>
      <c r="G645" s="28">
        <v>2340.0</v>
      </c>
      <c r="H645" s="27">
        <f t="shared" si="240"/>
        <v>0</v>
      </c>
      <c r="I645" s="27">
        <f>H645*0</f>
        <v>0</v>
      </c>
      <c r="J645" s="27">
        <f>G645*0</f>
        <v>0</v>
      </c>
    </row>
    <row r="646" ht="12.75" customHeight="1">
      <c r="A646" s="36">
        <v>5398005.0</v>
      </c>
      <c r="B646" s="36" t="s">
        <v>2663</v>
      </c>
      <c r="C646" s="26">
        <v>4.0</v>
      </c>
      <c r="D646" s="27">
        <v>2100.0</v>
      </c>
      <c r="E646" s="27">
        <f t="shared" si="239"/>
        <v>8400</v>
      </c>
      <c r="F646" s="27">
        <v>420.0</v>
      </c>
      <c r="G646" s="28">
        <v>800.0</v>
      </c>
      <c r="H646" s="27">
        <f t="shared" si="240"/>
        <v>380</v>
      </c>
      <c r="I646" s="27">
        <f t="shared" ref="I646:I648" si="247">H646*20</f>
        <v>7600</v>
      </c>
      <c r="J646" s="27">
        <f t="shared" ref="J646:J648" si="248">G646*20</f>
        <v>16000</v>
      </c>
    </row>
    <row r="647" ht="12.75" customHeight="1">
      <c r="A647" s="36">
        <v>5399002.0</v>
      </c>
      <c r="B647" s="36" t="s">
        <v>2664</v>
      </c>
      <c r="C647" s="26">
        <v>4.0</v>
      </c>
      <c r="D647" s="27">
        <v>3060.0</v>
      </c>
      <c r="E647" s="27">
        <f t="shared" si="239"/>
        <v>12240</v>
      </c>
      <c r="F647" s="27">
        <v>612.0</v>
      </c>
      <c r="G647" s="28">
        <v>1100.0</v>
      </c>
      <c r="H647" s="27">
        <f t="shared" si="240"/>
        <v>488</v>
      </c>
      <c r="I647" s="27">
        <f t="shared" si="247"/>
        <v>9760</v>
      </c>
      <c r="J647" s="27">
        <f t="shared" si="248"/>
        <v>22000</v>
      </c>
    </row>
    <row r="648" ht="12.75" customHeight="1">
      <c r="A648" s="36">
        <v>5394007.0</v>
      </c>
      <c r="B648" s="36" t="s">
        <v>2665</v>
      </c>
      <c r="C648" s="26">
        <v>4.0</v>
      </c>
      <c r="D648" s="27">
        <v>3830.0</v>
      </c>
      <c r="E648" s="27">
        <f t="shared" si="239"/>
        <v>15320</v>
      </c>
      <c r="F648" s="27">
        <v>766.0</v>
      </c>
      <c r="G648" s="28">
        <v>1300.0</v>
      </c>
      <c r="H648" s="27">
        <f t="shared" si="240"/>
        <v>534</v>
      </c>
      <c r="I648" s="27">
        <f t="shared" si="247"/>
        <v>10680</v>
      </c>
      <c r="J648" s="27">
        <f t="shared" si="248"/>
        <v>26000</v>
      </c>
    </row>
    <row r="649" ht="12.75" customHeight="1">
      <c r="A649" s="36">
        <v>1530705.0</v>
      </c>
      <c r="B649" s="36" t="s">
        <v>2666</v>
      </c>
      <c r="C649" s="26">
        <v>1.0</v>
      </c>
      <c r="D649" s="27">
        <v>4890.0</v>
      </c>
      <c r="E649" s="27">
        <f t="shared" si="239"/>
        <v>4890</v>
      </c>
      <c r="F649" s="27">
        <v>978.0</v>
      </c>
      <c r="G649" s="28">
        <v>1600.0</v>
      </c>
      <c r="H649" s="27">
        <f t="shared" si="240"/>
        <v>622</v>
      </c>
      <c r="I649" s="27">
        <f>H649*5</f>
        <v>3110</v>
      </c>
      <c r="J649" s="27">
        <f>G649*5</f>
        <v>8000</v>
      </c>
    </row>
    <row r="650" ht="12.75" customHeight="1">
      <c r="A650" s="36">
        <v>5015137.0</v>
      </c>
      <c r="B650" s="36" t="s">
        <v>2875</v>
      </c>
      <c r="C650" s="26">
        <v>6.0</v>
      </c>
      <c r="D650" s="27">
        <v>940.0</v>
      </c>
      <c r="E650" s="27">
        <f t="shared" si="239"/>
        <v>5640</v>
      </c>
      <c r="F650" s="27">
        <v>940.0</v>
      </c>
      <c r="G650" s="28">
        <v>1500.0</v>
      </c>
      <c r="H650" s="27">
        <f t="shared" si="240"/>
        <v>560</v>
      </c>
      <c r="I650" s="27">
        <f>H650*6</f>
        <v>3360</v>
      </c>
      <c r="J650" s="27">
        <f>G650*6</f>
        <v>9000</v>
      </c>
    </row>
    <row r="651" ht="12.75" customHeight="1">
      <c r="A651" s="36">
        <v>300124.0</v>
      </c>
      <c r="B651" s="36" t="s">
        <v>2974</v>
      </c>
      <c r="C651" s="26">
        <v>25.0</v>
      </c>
      <c r="D651" s="27">
        <v>820.0</v>
      </c>
      <c r="E651" s="27">
        <f t="shared" si="239"/>
        <v>20500</v>
      </c>
      <c r="F651" s="27">
        <v>820.0</v>
      </c>
      <c r="G651" s="28">
        <v>1800.0</v>
      </c>
      <c r="H651" s="27">
        <f t="shared" si="240"/>
        <v>980</v>
      </c>
      <c r="I651" s="27">
        <f>H651*25</f>
        <v>24500</v>
      </c>
      <c r="J651" s="27">
        <f>G651*25</f>
        <v>45000</v>
      </c>
    </row>
    <row r="652" ht="12.75" customHeight="1">
      <c r="A652" s="36">
        <v>129665.0</v>
      </c>
      <c r="B652" s="36" t="s">
        <v>2975</v>
      </c>
      <c r="C652" s="26">
        <v>2.0</v>
      </c>
      <c r="D652" s="27">
        <v>9500.0</v>
      </c>
      <c r="E652" s="27">
        <f t="shared" si="239"/>
        <v>19000</v>
      </c>
      <c r="F652" s="27">
        <v>190.0</v>
      </c>
      <c r="G652" s="28">
        <v>400.0</v>
      </c>
      <c r="H652" s="27">
        <f t="shared" si="240"/>
        <v>210</v>
      </c>
      <c r="I652" s="27">
        <f t="shared" ref="I652:I654" si="249">H652*100</f>
        <v>21000</v>
      </c>
      <c r="J652" s="27">
        <f t="shared" ref="J652:J654" si="250">G652*100</f>
        <v>40000</v>
      </c>
    </row>
    <row r="653" ht="12.75" customHeight="1">
      <c r="A653" s="36">
        <v>129634.0</v>
      </c>
      <c r="B653" s="36" t="s">
        <v>2976</v>
      </c>
      <c r="C653" s="26">
        <v>2.0</v>
      </c>
      <c r="D653" s="27">
        <v>9500.0</v>
      </c>
      <c r="E653" s="27">
        <f t="shared" si="239"/>
        <v>19000</v>
      </c>
      <c r="F653" s="27">
        <v>190.0</v>
      </c>
      <c r="G653" s="28">
        <v>400.0</v>
      </c>
      <c r="H653" s="27">
        <f t="shared" si="240"/>
        <v>210</v>
      </c>
      <c r="I653" s="27">
        <f t="shared" si="249"/>
        <v>21000</v>
      </c>
      <c r="J653" s="27">
        <f t="shared" si="250"/>
        <v>40000</v>
      </c>
    </row>
    <row r="654" ht="12.75" customHeight="1">
      <c r="A654" s="36">
        <v>129627.0</v>
      </c>
      <c r="B654" s="36" t="s">
        <v>2977</v>
      </c>
      <c r="C654" s="26">
        <v>2.0</v>
      </c>
      <c r="D654" s="27">
        <v>9500.0</v>
      </c>
      <c r="E654" s="27">
        <f t="shared" si="239"/>
        <v>19000</v>
      </c>
      <c r="F654" s="27">
        <v>190.0</v>
      </c>
      <c r="G654" s="28">
        <v>400.0</v>
      </c>
      <c r="H654" s="27">
        <f t="shared" si="240"/>
        <v>210</v>
      </c>
      <c r="I654" s="27">
        <f t="shared" si="249"/>
        <v>21000</v>
      </c>
      <c r="J654" s="27">
        <f t="shared" si="250"/>
        <v>40000</v>
      </c>
    </row>
    <row r="655" ht="12.75" customHeight="1">
      <c r="A655" s="36">
        <v>4221849.0</v>
      </c>
      <c r="B655" s="36" t="s">
        <v>2978</v>
      </c>
      <c r="C655" s="26">
        <v>2.0</v>
      </c>
      <c r="D655" s="27">
        <v>1800.0</v>
      </c>
      <c r="E655" s="27">
        <f t="shared" si="239"/>
        <v>3600</v>
      </c>
      <c r="F655" s="27">
        <v>180.0</v>
      </c>
      <c r="G655" s="28">
        <v>450.0</v>
      </c>
      <c r="H655" s="27">
        <f t="shared" si="240"/>
        <v>270</v>
      </c>
      <c r="I655" s="27">
        <f t="shared" ref="I655:I656" si="251">H655*20</f>
        <v>5400</v>
      </c>
      <c r="J655" s="27">
        <f t="shared" ref="J655:J656" si="252">G655*20</f>
        <v>9000</v>
      </c>
    </row>
    <row r="656" ht="12.75" customHeight="1">
      <c r="A656" s="36">
        <v>4222006.0</v>
      </c>
      <c r="B656" s="36" t="s">
        <v>2979</v>
      </c>
      <c r="C656" s="26">
        <v>2.0</v>
      </c>
      <c r="D656" s="27">
        <v>1800.0</v>
      </c>
      <c r="E656" s="27">
        <f t="shared" si="239"/>
        <v>3600</v>
      </c>
      <c r="F656" s="27">
        <v>180.0</v>
      </c>
      <c r="G656" s="28">
        <v>450.0</v>
      </c>
      <c r="H656" s="27">
        <f t="shared" si="240"/>
        <v>270</v>
      </c>
      <c r="I656" s="27">
        <f t="shared" si="251"/>
        <v>5400</v>
      </c>
      <c r="J656" s="27">
        <f t="shared" si="252"/>
        <v>9000</v>
      </c>
    </row>
    <row r="657" ht="12.75" customHeight="1">
      <c r="A657" s="36">
        <v>4221948.0</v>
      </c>
      <c r="B657" s="36" t="s">
        <v>2928</v>
      </c>
      <c r="C657" s="26">
        <v>1.0</v>
      </c>
      <c r="D657" s="27">
        <v>1800.0</v>
      </c>
      <c r="E657" s="27">
        <f t="shared" si="239"/>
        <v>1800</v>
      </c>
      <c r="F657" s="27">
        <v>180.0</v>
      </c>
      <c r="G657" s="28">
        <v>450.0</v>
      </c>
      <c r="H657" s="27">
        <f t="shared" si="240"/>
        <v>270</v>
      </c>
      <c r="I657" s="27">
        <f t="shared" ref="I657:I663" si="253">H657*10</f>
        <v>2700</v>
      </c>
      <c r="J657" s="27">
        <f t="shared" ref="J657:J663" si="254">G657*10</f>
        <v>4500</v>
      </c>
    </row>
    <row r="658" ht="12.75" customHeight="1">
      <c r="A658" s="36">
        <v>4222020.0</v>
      </c>
      <c r="B658" s="36" t="s">
        <v>2920</v>
      </c>
      <c r="C658" s="26">
        <v>1.0</v>
      </c>
      <c r="D658" s="27">
        <v>1800.0</v>
      </c>
      <c r="E658" s="27">
        <f t="shared" si="239"/>
        <v>1800</v>
      </c>
      <c r="F658" s="27">
        <v>180.0</v>
      </c>
      <c r="G658" s="28">
        <v>450.0</v>
      </c>
      <c r="H658" s="27">
        <f t="shared" si="240"/>
        <v>270</v>
      </c>
      <c r="I658" s="27">
        <f t="shared" si="253"/>
        <v>2700</v>
      </c>
      <c r="J658" s="27">
        <f t="shared" si="254"/>
        <v>4500</v>
      </c>
    </row>
    <row r="659" ht="12.75" customHeight="1">
      <c r="A659" s="36">
        <v>4221979.0</v>
      </c>
      <c r="B659" s="36" t="s">
        <v>2921</v>
      </c>
      <c r="C659" s="26">
        <v>1.0</v>
      </c>
      <c r="D659" s="27">
        <v>1800.0</v>
      </c>
      <c r="E659" s="27">
        <f t="shared" si="239"/>
        <v>1800</v>
      </c>
      <c r="F659" s="27">
        <v>180.0</v>
      </c>
      <c r="G659" s="28">
        <v>450.0</v>
      </c>
      <c r="H659" s="27">
        <f t="shared" si="240"/>
        <v>270</v>
      </c>
      <c r="I659" s="27">
        <f t="shared" si="253"/>
        <v>2700</v>
      </c>
      <c r="J659" s="27">
        <f t="shared" si="254"/>
        <v>4500</v>
      </c>
    </row>
    <row r="660" ht="12.75" customHeight="1">
      <c r="A660" s="36">
        <v>4221924.0</v>
      </c>
      <c r="B660" s="36" t="s">
        <v>2922</v>
      </c>
      <c r="C660" s="26">
        <v>1.0</v>
      </c>
      <c r="D660" s="27">
        <v>1800.0</v>
      </c>
      <c r="E660" s="27">
        <f t="shared" si="239"/>
        <v>1800</v>
      </c>
      <c r="F660" s="27">
        <v>180.0</v>
      </c>
      <c r="G660" s="28">
        <v>450.0</v>
      </c>
      <c r="H660" s="27">
        <f t="shared" si="240"/>
        <v>270</v>
      </c>
      <c r="I660" s="27">
        <f t="shared" si="253"/>
        <v>2700</v>
      </c>
      <c r="J660" s="27">
        <f t="shared" si="254"/>
        <v>4500</v>
      </c>
    </row>
    <row r="661" ht="12.75" customHeight="1">
      <c r="A661" s="36">
        <v>4221986.0</v>
      </c>
      <c r="B661" s="36" t="s">
        <v>2923</v>
      </c>
      <c r="C661" s="26">
        <v>1.0</v>
      </c>
      <c r="D661" s="27">
        <v>1800.0</v>
      </c>
      <c r="E661" s="27">
        <f t="shared" si="239"/>
        <v>1800</v>
      </c>
      <c r="F661" s="27">
        <v>180.0</v>
      </c>
      <c r="G661" s="28">
        <v>450.0</v>
      </c>
      <c r="H661" s="27">
        <f t="shared" si="240"/>
        <v>270</v>
      </c>
      <c r="I661" s="27">
        <f t="shared" si="253"/>
        <v>2700</v>
      </c>
      <c r="J661" s="27">
        <f t="shared" si="254"/>
        <v>4500</v>
      </c>
    </row>
    <row r="662" ht="12.75" customHeight="1">
      <c r="A662" s="36">
        <v>4221955.0</v>
      </c>
      <c r="B662" s="36" t="s">
        <v>2980</v>
      </c>
      <c r="C662" s="26">
        <v>1.0</v>
      </c>
      <c r="D662" s="27">
        <v>1800.0</v>
      </c>
      <c r="E662" s="27">
        <f t="shared" si="239"/>
        <v>1800</v>
      </c>
      <c r="F662" s="27">
        <v>180.0</v>
      </c>
      <c r="G662" s="28">
        <v>450.0</v>
      </c>
      <c r="H662" s="27">
        <f t="shared" si="240"/>
        <v>270</v>
      </c>
      <c r="I662" s="27">
        <f t="shared" si="253"/>
        <v>2700</v>
      </c>
      <c r="J662" s="27">
        <f t="shared" si="254"/>
        <v>4500</v>
      </c>
    </row>
    <row r="663" ht="12.75" customHeight="1">
      <c r="A663" s="36">
        <v>4221962.0</v>
      </c>
      <c r="B663" s="36" t="s">
        <v>2981</v>
      </c>
      <c r="C663" s="26">
        <v>1.0</v>
      </c>
      <c r="D663" s="27">
        <v>1800.0</v>
      </c>
      <c r="E663" s="27">
        <f t="shared" si="239"/>
        <v>1800</v>
      </c>
      <c r="F663" s="27">
        <v>180.0</v>
      </c>
      <c r="G663" s="28">
        <v>450.0</v>
      </c>
      <c r="H663" s="27">
        <f t="shared" si="240"/>
        <v>270</v>
      </c>
      <c r="I663" s="27">
        <f t="shared" si="253"/>
        <v>2700</v>
      </c>
      <c r="J663" s="27">
        <f t="shared" si="254"/>
        <v>4500</v>
      </c>
    </row>
    <row r="664" ht="12.75" customHeight="1">
      <c r="A664" s="36">
        <v>4221900.0</v>
      </c>
      <c r="B664" s="36" t="s">
        <v>2926</v>
      </c>
      <c r="C664" s="26">
        <v>2.0</v>
      </c>
      <c r="D664" s="27">
        <v>1800.0</v>
      </c>
      <c r="E664" s="27">
        <f t="shared" si="239"/>
        <v>3600</v>
      </c>
      <c r="F664" s="27">
        <v>180.0</v>
      </c>
      <c r="G664" s="28">
        <v>450.0</v>
      </c>
      <c r="H664" s="27">
        <f t="shared" si="240"/>
        <v>270</v>
      </c>
      <c r="I664" s="27">
        <f t="shared" ref="I664:I665" si="255">H664*20</f>
        <v>5400</v>
      </c>
      <c r="J664" s="27">
        <f t="shared" ref="J664:J665" si="256">G664*20</f>
        <v>9000</v>
      </c>
    </row>
    <row r="665" ht="12.75" customHeight="1">
      <c r="A665" s="36">
        <v>4221887.0</v>
      </c>
      <c r="B665" s="36" t="s">
        <v>2927</v>
      </c>
      <c r="C665" s="26">
        <v>2.0</v>
      </c>
      <c r="D665" s="27">
        <v>1800.0</v>
      </c>
      <c r="E665" s="27">
        <f t="shared" si="239"/>
        <v>3600</v>
      </c>
      <c r="F665" s="27">
        <v>180.0</v>
      </c>
      <c r="G665" s="28">
        <v>450.0</v>
      </c>
      <c r="H665" s="27">
        <f t="shared" si="240"/>
        <v>270</v>
      </c>
      <c r="I665" s="27">
        <f t="shared" si="255"/>
        <v>5400</v>
      </c>
      <c r="J665" s="27">
        <f t="shared" si="256"/>
        <v>9000</v>
      </c>
    </row>
    <row r="666" ht="12.75" customHeight="1">
      <c r="A666" s="36">
        <v>4221917.0</v>
      </c>
      <c r="B666" s="36" t="s">
        <v>2924</v>
      </c>
      <c r="C666" s="26">
        <v>1.0</v>
      </c>
      <c r="D666" s="27">
        <v>1800.0</v>
      </c>
      <c r="E666" s="27">
        <f t="shared" si="239"/>
        <v>1800</v>
      </c>
      <c r="F666" s="27">
        <v>180.0</v>
      </c>
      <c r="G666" s="28">
        <v>450.0</v>
      </c>
      <c r="H666" s="27">
        <f t="shared" si="240"/>
        <v>270</v>
      </c>
      <c r="I666" s="27">
        <f>H666*10</f>
        <v>2700</v>
      </c>
      <c r="J666" s="27">
        <f>G666*10</f>
        <v>4500</v>
      </c>
    </row>
    <row r="667" ht="12.75" customHeight="1">
      <c r="A667" s="25"/>
      <c r="C667" s="26"/>
      <c r="D667" s="27"/>
      <c r="E667" s="27"/>
      <c r="F667" s="27"/>
      <c r="G667" s="28"/>
      <c r="H667" s="27"/>
      <c r="I667" s="27"/>
      <c r="J667" s="27"/>
    </row>
    <row r="668" ht="12.75" customHeight="1">
      <c r="A668" s="25"/>
      <c r="C668" s="26"/>
      <c r="D668" s="27"/>
      <c r="E668" s="32">
        <f>SUM(E635:E666)</f>
        <v>209120</v>
      </c>
      <c r="F668" s="27"/>
      <c r="G668" s="28"/>
      <c r="H668" s="27"/>
      <c r="I668" s="33">
        <f t="shared" ref="I668:J668" si="257">SUM(I635:I666)</f>
        <v>223020.12</v>
      </c>
      <c r="J668" s="33">
        <f t="shared" si="257"/>
        <v>429800</v>
      </c>
    </row>
    <row r="669" ht="12.75" customHeight="1">
      <c r="A669" s="25"/>
      <c r="C669" s="26"/>
      <c r="D669" s="27"/>
      <c r="E669" s="27"/>
      <c r="F669" s="27"/>
      <c r="G669" s="28"/>
      <c r="H669" s="27"/>
      <c r="I669" s="27"/>
      <c r="J669" s="27"/>
    </row>
    <row r="670" ht="12.75" customHeight="1">
      <c r="A670" s="25"/>
      <c r="C670" s="26"/>
      <c r="D670" s="27"/>
      <c r="E670" s="27"/>
      <c r="F670" s="27"/>
      <c r="G670" s="28"/>
      <c r="H670" s="27"/>
      <c r="I670" s="27"/>
      <c r="J670" s="27"/>
    </row>
    <row r="671" ht="12.75" customHeight="1">
      <c r="A671" s="34">
        <v>45621.0</v>
      </c>
      <c r="C671" s="26"/>
      <c r="D671" s="27"/>
      <c r="E671" s="27"/>
      <c r="F671" s="27"/>
      <c r="G671" s="28"/>
      <c r="H671" s="27"/>
      <c r="I671" s="27"/>
      <c r="J671" s="27"/>
    </row>
    <row r="672" ht="12.75" customHeight="1">
      <c r="A672" s="25"/>
      <c r="C672" s="26"/>
      <c r="D672" s="27"/>
      <c r="E672" s="27"/>
      <c r="F672" s="27"/>
      <c r="G672" s="28"/>
      <c r="H672" s="27"/>
      <c r="I672" s="27"/>
      <c r="J672" s="27"/>
    </row>
    <row r="673" ht="12.75" customHeight="1">
      <c r="A673" s="36">
        <v>5034442.0</v>
      </c>
      <c r="B673" s="36" t="s">
        <v>2982</v>
      </c>
      <c r="C673" s="26">
        <v>1.0</v>
      </c>
      <c r="D673" s="27">
        <v>9380.0</v>
      </c>
      <c r="E673" s="27">
        <f t="shared" ref="E673:E687" si="258">D673*C673</f>
        <v>9380</v>
      </c>
      <c r="F673" s="27">
        <v>781.66</v>
      </c>
      <c r="G673" s="28">
        <v>1500.0</v>
      </c>
      <c r="H673" s="27">
        <f t="shared" ref="H673:H687" si="259">G673-F673</f>
        <v>718.34</v>
      </c>
      <c r="I673" s="27">
        <f t="shared" ref="I673:I675" si="260">H673*12</f>
        <v>8620.08</v>
      </c>
      <c r="J673" s="27">
        <f t="shared" ref="J673:J675" si="261">G673*12</f>
        <v>18000</v>
      </c>
    </row>
    <row r="674" ht="12.75" customHeight="1">
      <c r="A674" s="36">
        <v>5500019.0</v>
      </c>
      <c r="B674" s="36" t="s">
        <v>2736</v>
      </c>
      <c r="C674" s="26">
        <v>1.0</v>
      </c>
      <c r="D674" s="27">
        <v>3000.0</v>
      </c>
      <c r="E674" s="27">
        <f t="shared" si="258"/>
        <v>3000</v>
      </c>
      <c r="F674" s="27">
        <v>250.0</v>
      </c>
      <c r="G674" s="28">
        <v>500.0</v>
      </c>
      <c r="H674" s="27">
        <f t="shared" si="259"/>
        <v>250</v>
      </c>
      <c r="I674" s="27">
        <f t="shared" si="260"/>
        <v>3000</v>
      </c>
      <c r="J674" s="27">
        <f t="shared" si="261"/>
        <v>6000</v>
      </c>
    </row>
    <row r="675" ht="12.75" customHeight="1">
      <c r="A675" s="36">
        <v>5501016.0</v>
      </c>
      <c r="B675" s="36" t="s">
        <v>2575</v>
      </c>
      <c r="C675" s="26">
        <v>1.0</v>
      </c>
      <c r="D675" s="27">
        <v>3000.0</v>
      </c>
      <c r="E675" s="27">
        <f t="shared" si="258"/>
        <v>3000</v>
      </c>
      <c r="F675" s="27">
        <v>250.0</v>
      </c>
      <c r="G675" s="28">
        <v>500.0</v>
      </c>
      <c r="H675" s="27">
        <f t="shared" si="259"/>
        <v>250</v>
      </c>
      <c r="I675" s="27">
        <f t="shared" si="260"/>
        <v>3000</v>
      </c>
      <c r="J675" s="27">
        <f t="shared" si="261"/>
        <v>6000</v>
      </c>
    </row>
    <row r="676" ht="12.75" customHeight="1">
      <c r="A676" s="36">
        <v>5991417.0</v>
      </c>
      <c r="B676" s="36" t="s">
        <v>2680</v>
      </c>
      <c r="C676" s="26">
        <v>3.0</v>
      </c>
      <c r="D676" s="27">
        <v>1650.0</v>
      </c>
      <c r="E676" s="27">
        <f t="shared" si="258"/>
        <v>4950</v>
      </c>
      <c r="F676" s="27">
        <v>1650.0</v>
      </c>
      <c r="G676" s="28">
        <v>2400.0</v>
      </c>
      <c r="H676" s="27">
        <f t="shared" si="259"/>
        <v>750</v>
      </c>
      <c r="I676" s="27">
        <f>H676*3</f>
        <v>2250</v>
      </c>
      <c r="J676" s="27">
        <f>G676*3</f>
        <v>7200</v>
      </c>
    </row>
    <row r="677" ht="12.75" customHeight="1">
      <c r="A677" s="36">
        <v>4469538.0</v>
      </c>
      <c r="B677" s="36" t="s">
        <v>2983</v>
      </c>
      <c r="C677" s="26">
        <v>3.0</v>
      </c>
      <c r="D677" s="27">
        <v>1880.0</v>
      </c>
      <c r="E677" s="27">
        <f t="shared" si="258"/>
        <v>5640</v>
      </c>
      <c r="F677" s="27">
        <v>313.33</v>
      </c>
      <c r="G677" s="28">
        <v>900.0</v>
      </c>
      <c r="H677" s="27">
        <f t="shared" si="259"/>
        <v>586.67</v>
      </c>
      <c r="I677" s="27">
        <f>H677*18</f>
        <v>10560.06</v>
      </c>
      <c r="J677" s="27">
        <f>G677*18</f>
        <v>16200</v>
      </c>
    </row>
    <row r="678" ht="12.75" customHeight="1">
      <c r="A678" s="43" t="s">
        <v>2984</v>
      </c>
      <c r="B678" s="36" t="s">
        <v>2985</v>
      </c>
      <c r="C678" s="26">
        <v>3.0</v>
      </c>
      <c r="D678" s="27">
        <v>960.0</v>
      </c>
      <c r="E678" s="27">
        <f t="shared" si="258"/>
        <v>2880</v>
      </c>
      <c r="F678" s="27">
        <v>80.0</v>
      </c>
      <c r="G678" s="28">
        <v>200.0</v>
      </c>
      <c r="H678" s="27">
        <f t="shared" si="259"/>
        <v>120</v>
      </c>
      <c r="I678" s="27">
        <f>H678*36</f>
        <v>4320</v>
      </c>
      <c r="J678" s="27">
        <f>G678*36</f>
        <v>7200</v>
      </c>
    </row>
    <row r="679" ht="12.75" customHeight="1">
      <c r="A679" s="36">
        <v>5.5010523E7</v>
      </c>
      <c r="B679" s="36" t="s">
        <v>2574</v>
      </c>
      <c r="C679" s="26">
        <v>1.0</v>
      </c>
      <c r="D679" s="27">
        <v>3000.0</v>
      </c>
      <c r="E679" s="27">
        <f t="shared" si="258"/>
        <v>3000</v>
      </c>
      <c r="F679" s="27">
        <v>250.0</v>
      </c>
      <c r="G679" s="28">
        <v>500.0</v>
      </c>
      <c r="H679" s="27">
        <f t="shared" si="259"/>
        <v>250</v>
      </c>
      <c r="I679" s="27">
        <f t="shared" ref="I679:I682" si="262">H679*12</f>
        <v>3000</v>
      </c>
      <c r="J679" s="27">
        <f t="shared" ref="J679:J682" si="263">G679*12</f>
        <v>6000</v>
      </c>
    </row>
    <row r="680" ht="12.75" customHeight="1">
      <c r="A680" s="36">
        <v>4162001.0</v>
      </c>
      <c r="B680" s="36" t="s">
        <v>2733</v>
      </c>
      <c r="C680" s="26">
        <v>12.0</v>
      </c>
      <c r="D680" s="27">
        <v>770.0</v>
      </c>
      <c r="E680" s="27">
        <f t="shared" si="258"/>
        <v>9240</v>
      </c>
      <c r="F680" s="27">
        <v>770.0</v>
      </c>
      <c r="G680" s="28">
        <v>1500.0</v>
      </c>
      <c r="H680" s="27">
        <f t="shared" si="259"/>
        <v>730</v>
      </c>
      <c r="I680" s="27">
        <f t="shared" si="262"/>
        <v>8760</v>
      </c>
      <c r="J680" s="27">
        <f t="shared" si="263"/>
        <v>18000</v>
      </c>
    </row>
    <row r="681" ht="12.75" customHeight="1">
      <c r="A681" s="44">
        <v>7412004.0</v>
      </c>
      <c r="B681" s="36" t="s">
        <v>2790</v>
      </c>
      <c r="C681" s="26">
        <v>12.0</v>
      </c>
      <c r="D681" s="27">
        <v>610.0</v>
      </c>
      <c r="E681" s="27">
        <f t="shared" si="258"/>
        <v>7320</v>
      </c>
      <c r="F681" s="27">
        <v>610.0</v>
      </c>
      <c r="G681" s="28">
        <v>1000.0</v>
      </c>
      <c r="H681" s="27">
        <f t="shared" si="259"/>
        <v>390</v>
      </c>
      <c r="I681" s="27">
        <f t="shared" si="262"/>
        <v>4680</v>
      </c>
      <c r="J681" s="27">
        <f t="shared" si="263"/>
        <v>12000</v>
      </c>
    </row>
    <row r="682" ht="12.75" customHeight="1">
      <c r="A682" s="36">
        <v>5105012.0</v>
      </c>
      <c r="B682" s="36" t="s">
        <v>2791</v>
      </c>
      <c r="C682" s="26">
        <v>12.0</v>
      </c>
      <c r="D682" s="27">
        <v>698.0</v>
      </c>
      <c r="E682" s="27">
        <f t="shared" si="258"/>
        <v>8376</v>
      </c>
      <c r="F682" s="27">
        <v>698.0</v>
      </c>
      <c r="G682" s="28">
        <v>1250.0</v>
      </c>
      <c r="H682" s="27">
        <f t="shared" si="259"/>
        <v>552</v>
      </c>
      <c r="I682" s="27">
        <f t="shared" si="262"/>
        <v>6624</v>
      </c>
      <c r="J682" s="27">
        <f t="shared" si="263"/>
        <v>15000</v>
      </c>
    </row>
    <row r="683" ht="12.75" customHeight="1">
      <c r="A683" s="36">
        <v>4164023.0</v>
      </c>
      <c r="B683" s="36" t="s">
        <v>2573</v>
      </c>
      <c r="C683" s="26">
        <v>6.0</v>
      </c>
      <c r="D683" s="27">
        <v>1390.0</v>
      </c>
      <c r="E683" s="27">
        <f t="shared" si="258"/>
        <v>8340</v>
      </c>
      <c r="F683" s="27">
        <v>1390.0</v>
      </c>
      <c r="G683" s="28">
        <v>1800.0</v>
      </c>
      <c r="H683" s="27">
        <f t="shared" si="259"/>
        <v>410</v>
      </c>
      <c r="I683" s="27">
        <f>H683*6</f>
        <v>2460</v>
      </c>
      <c r="J683" s="27">
        <f>G683*6</f>
        <v>10800</v>
      </c>
    </row>
    <row r="684" ht="12.75" customHeight="1">
      <c r="A684" s="36">
        <v>3003007.0</v>
      </c>
      <c r="B684" s="36" t="s">
        <v>2634</v>
      </c>
      <c r="C684" s="26">
        <v>20.0</v>
      </c>
      <c r="D684" s="27">
        <v>180.0</v>
      </c>
      <c r="E684" s="27">
        <f t="shared" si="258"/>
        <v>3600</v>
      </c>
      <c r="F684" s="27">
        <v>180.0</v>
      </c>
      <c r="G684" s="28">
        <v>400.0</v>
      </c>
      <c r="H684" s="27">
        <f t="shared" si="259"/>
        <v>220</v>
      </c>
      <c r="I684" s="27">
        <f>H684*20</f>
        <v>4400</v>
      </c>
      <c r="J684" s="27">
        <f>G684*20</f>
        <v>8000</v>
      </c>
    </row>
    <row r="685" ht="12.75" customHeight="1">
      <c r="A685" s="36">
        <v>4305005.0</v>
      </c>
      <c r="B685" s="36" t="s">
        <v>2853</v>
      </c>
      <c r="C685" s="26">
        <v>12.0</v>
      </c>
      <c r="D685" s="27">
        <v>690.0</v>
      </c>
      <c r="E685" s="27">
        <f t="shared" si="258"/>
        <v>8280</v>
      </c>
      <c r="F685" s="27">
        <v>690.0</v>
      </c>
      <c r="G685" s="28">
        <v>1300.0</v>
      </c>
      <c r="H685" s="27">
        <f t="shared" si="259"/>
        <v>610</v>
      </c>
      <c r="I685" s="27">
        <f>H685*12</f>
        <v>7320</v>
      </c>
      <c r="J685" s="27">
        <f>G685*12</f>
        <v>15600</v>
      </c>
    </row>
    <row r="686" ht="12.75" customHeight="1">
      <c r="A686" s="36">
        <v>7715796.0</v>
      </c>
      <c r="B686" s="36" t="s">
        <v>2986</v>
      </c>
      <c r="C686" s="26">
        <v>1.0</v>
      </c>
      <c r="D686" s="27">
        <v>2340.0</v>
      </c>
      <c r="E686" s="27">
        <f t="shared" si="258"/>
        <v>2340</v>
      </c>
      <c r="F686" s="27">
        <v>2340.0</v>
      </c>
      <c r="G686" s="28">
        <v>2340.0</v>
      </c>
      <c r="H686" s="27">
        <f t="shared" si="259"/>
        <v>0</v>
      </c>
      <c r="I686" s="27">
        <f t="shared" ref="I686:I687" si="264">H686*1</f>
        <v>0</v>
      </c>
      <c r="J686" s="27">
        <f t="shared" ref="J686:J687" si="265">G686*0</f>
        <v>0</v>
      </c>
    </row>
    <row r="687" ht="12.75" customHeight="1">
      <c r="A687" s="36">
        <v>8985125.0</v>
      </c>
      <c r="B687" s="36" t="s">
        <v>2987</v>
      </c>
      <c r="C687" s="26">
        <v>1.0</v>
      </c>
      <c r="D687" s="27">
        <v>2500.0</v>
      </c>
      <c r="E687" s="27">
        <f t="shared" si="258"/>
        <v>2500</v>
      </c>
      <c r="F687" s="27">
        <v>2500.0</v>
      </c>
      <c r="G687" s="28">
        <v>2500.0</v>
      </c>
      <c r="H687" s="27">
        <f t="shared" si="259"/>
        <v>0</v>
      </c>
      <c r="I687" s="27">
        <f t="shared" si="264"/>
        <v>0</v>
      </c>
      <c r="J687" s="27">
        <f t="shared" si="265"/>
        <v>0</v>
      </c>
    </row>
    <row r="688" ht="12.75" customHeight="1">
      <c r="A688" s="25"/>
      <c r="C688" s="26"/>
      <c r="D688" s="27"/>
      <c r="E688" s="27"/>
      <c r="F688" s="27"/>
      <c r="G688" s="28"/>
      <c r="H688" s="27"/>
      <c r="I688" s="27"/>
      <c r="J688" s="27"/>
    </row>
    <row r="689" ht="12.75" customHeight="1">
      <c r="A689" s="25"/>
      <c r="C689" s="26"/>
      <c r="D689" s="27"/>
      <c r="E689" s="32">
        <f>SUM(E673:E687)</f>
        <v>81846</v>
      </c>
      <c r="F689" s="32"/>
      <c r="G689" s="42"/>
      <c r="H689" s="32"/>
      <c r="I689" s="33">
        <f t="shared" ref="I689:J689" si="266">SUM(I673:I687)</f>
        <v>68994.14</v>
      </c>
      <c r="J689" s="33">
        <f t="shared" si="266"/>
        <v>146000</v>
      </c>
    </row>
    <row r="690" ht="12.75" customHeight="1">
      <c r="A690" s="25"/>
      <c r="C690" s="26"/>
      <c r="D690" s="27"/>
      <c r="E690" s="27"/>
      <c r="F690" s="27"/>
      <c r="G690" s="28"/>
      <c r="H690" s="27"/>
      <c r="I690" s="27"/>
      <c r="J690" s="27"/>
    </row>
    <row r="691" ht="12.75" customHeight="1">
      <c r="A691" s="25"/>
      <c r="C691" s="26"/>
      <c r="D691" s="27"/>
      <c r="E691" s="27"/>
      <c r="F691" s="27"/>
      <c r="G691" s="28"/>
      <c r="H691" s="27"/>
      <c r="I691" s="27"/>
      <c r="J691" s="27"/>
    </row>
    <row r="692" ht="12.75" customHeight="1">
      <c r="A692" s="34">
        <v>45676.0</v>
      </c>
      <c r="C692" s="26"/>
      <c r="D692" s="27"/>
      <c r="E692" s="27"/>
      <c r="F692" s="27"/>
      <c r="G692" s="28"/>
      <c r="H692" s="27"/>
      <c r="I692" s="27"/>
      <c r="J692" s="27"/>
    </row>
    <row r="693" ht="12.75" customHeight="1">
      <c r="A693" s="25"/>
      <c r="C693" s="26"/>
      <c r="D693" s="27"/>
      <c r="E693" s="27"/>
      <c r="F693" s="27"/>
      <c r="G693" s="28"/>
      <c r="H693" s="27"/>
      <c r="I693" s="27"/>
      <c r="J693" s="27"/>
    </row>
    <row r="694" ht="12.75" customHeight="1">
      <c r="A694" s="36">
        <v>522188.0</v>
      </c>
      <c r="B694" s="36" t="s">
        <v>2988</v>
      </c>
      <c r="C694" s="26">
        <v>2.0</v>
      </c>
      <c r="D694" s="27">
        <v>4500.0</v>
      </c>
      <c r="E694" s="27">
        <f t="shared" ref="E694:E733" si="267">D694*C694</f>
        <v>9000</v>
      </c>
      <c r="F694" s="27">
        <v>180.0</v>
      </c>
      <c r="G694" s="28">
        <v>400.0</v>
      </c>
      <c r="H694" s="27">
        <f t="shared" ref="H694:H733" si="268">G694-F694</f>
        <v>220</v>
      </c>
      <c r="I694" s="27">
        <f>H694*50</f>
        <v>11000</v>
      </c>
      <c r="J694" s="27">
        <f>G694*50</f>
        <v>20000</v>
      </c>
    </row>
    <row r="695" ht="12.75" customHeight="1">
      <c r="A695" s="36">
        <v>522232.0</v>
      </c>
      <c r="B695" s="36" t="s">
        <v>2989</v>
      </c>
      <c r="C695" s="26">
        <v>1.0</v>
      </c>
      <c r="D695" s="27">
        <v>4500.0</v>
      </c>
      <c r="E695" s="27">
        <f t="shared" si="267"/>
        <v>4500</v>
      </c>
      <c r="F695" s="27">
        <v>180.0</v>
      </c>
      <c r="G695" s="28">
        <v>400.0</v>
      </c>
      <c r="H695" s="27">
        <f t="shared" si="268"/>
        <v>220</v>
      </c>
      <c r="I695" s="27">
        <f t="shared" ref="I695:I702" si="269">H695*25</f>
        <v>5500</v>
      </c>
      <c r="J695" s="27">
        <f t="shared" ref="J695:J702" si="270">G695*25</f>
        <v>10000</v>
      </c>
    </row>
    <row r="696" ht="12.75" customHeight="1">
      <c r="A696" s="36">
        <v>522263.0</v>
      </c>
      <c r="B696" s="36" t="s">
        <v>2966</v>
      </c>
      <c r="C696" s="26">
        <v>1.0</v>
      </c>
      <c r="D696" s="27">
        <v>4500.0</v>
      </c>
      <c r="E696" s="27">
        <f t="shared" si="267"/>
        <v>4500</v>
      </c>
      <c r="F696" s="27">
        <v>180.0</v>
      </c>
      <c r="G696" s="28">
        <v>400.0</v>
      </c>
      <c r="H696" s="27">
        <f t="shared" si="268"/>
        <v>220</v>
      </c>
      <c r="I696" s="27">
        <f t="shared" si="269"/>
        <v>5500</v>
      </c>
      <c r="J696" s="27">
        <f t="shared" si="270"/>
        <v>10000</v>
      </c>
    </row>
    <row r="697" ht="12.75" customHeight="1">
      <c r="A697" s="36">
        <v>522256.0</v>
      </c>
      <c r="B697" s="36" t="s">
        <v>2965</v>
      </c>
      <c r="C697" s="26">
        <v>1.0</v>
      </c>
      <c r="D697" s="27">
        <v>4500.0</v>
      </c>
      <c r="E697" s="27">
        <f t="shared" si="267"/>
        <v>4500</v>
      </c>
      <c r="F697" s="27">
        <v>180.0</v>
      </c>
      <c r="G697" s="28">
        <v>400.0</v>
      </c>
      <c r="H697" s="27">
        <f t="shared" si="268"/>
        <v>220</v>
      </c>
      <c r="I697" s="27">
        <f t="shared" si="269"/>
        <v>5500</v>
      </c>
      <c r="J697" s="27">
        <f t="shared" si="270"/>
        <v>10000</v>
      </c>
    </row>
    <row r="698" ht="12.75" customHeight="1">
      <c r="A698" s="36">
        <v>522195.0</v>
      </c>
      <c r="B698" s="36" t="s">
        <v>2990</v>
      </c>
      <c r="C698" s="26">
        <v>1.0</v>
      </c>
      <c r="D698" s="27">
        <v>4500.0</v>
      </c>
      <c r="E698" s="27">
        <f t="shared" si="267"/>
        <v>4500</v>
      </c>
      <c r="F698" s="27">
        <v>180.0</v>
      </c>
      <c r="G698" s="28">
        <v>400.0</v>
      </c>
      <c r="H698" s="27">
        <f t="shared" si="268"/>
        <v>220</v>
      </c>
      <c r="I698" s="27">
        <f t="shared" si="269"/>
        <v>5500</v>
      </c>
      <c r="J698" s="27">
        <f t="shared" si="270"/>
        <v>10000</v>
      </c>
    </row>
    <row r="699" ht="12.75" customHeight="1">
      <c r="A699" s="36">
        <v>522201.0</v>
      </c>
      <c r="B699" s="36" t="s">
        <v>2991</v>
      </c>
      <c r="C699" s="26">
        <v>1.0</v>
      </c>
      <c r="D699" s="27">
        <v>4620.0</v>
      </c>
      <c r="E699" s="27">
        <f t="shared" si="267"/>
        <v>4620</v>
      </c>
      <c r="F699" s="27">
        <v>184.8</v>
      </c>
      <c r="G699" s="28">
        <v>400.0</v>
      </c>
      <c r="H699" s="27">
        <f t="shared" si="268"/>
        <v>215.2</v>
      </c>
      <c r="I699" s="27">
        <f t="shared" si="269"/>
        <v>5380</v>
      </c>
      <c r="J699" s="27">
        <f t="shared" si="270"/>
        <v>10000</v>
      </c>
    </row>
    <row r="700" ht="12.75" customHeight="1">
      <c r="A700" s="36">
        <v>522119.0</v>
      </c>
      <c r="B700" s="36" t="s">
        <v>2992</v>
      </c>
      <c r="C700" s="26">
        <v>1.0</v>
      </c>
      <c r="D700" s="27">
        <v>4500.0</v>
      </c>
      <c r="E700" s="27">
        <f t="shared" si="267"/>
        <v>4500</v>
      </c>
      <c r="F700" s="27">
        <v>180.0</v>
      </c>
      <c r="G700" s="28">
        <v>400.0</v>
      </c>
      <c r="H700" s="27">
        <f t="shared" si="268"/>
        <v>220</v>
      </c>
      <c r="I700" s="27">
        <f t="shared" si="269"/>
        <v>5500</v>
      </c>
      <c r="J700" s="27">
        <f t="shared" si="270"/>
        <v>10000</v>
      </c>
    </row>
    <row r="701" ht="12.75" customHeight="1">
      <c r="A701" s="36">
        <v>522102.0</v>
      </c>
      <c r="B701" s="36" t="s">
        <v>2993</v>
      </c>
      <c r="C701" s="26">
        <v>1.0</v>
      </c>
      <c r="D701" s="27">
        <v>4500.0</v>
      </c>
      <c r="E701" s="27">
        <f t="shared" si="267"/>
        <v>4500</v>
      </c>
      <c r="F701" s="27">
        <v>180.0</v>
      </c>
      <c r="G701" s="28">
        <v>400.0</v>
      </c>
      <c r="H701" s="27">
        <f t="shared" si="268"/>
        <v>220</v>
      </c>
      <c r="I701" s="27">
        <f t="shared" si="269"/>
        <v>5500</v>
      </c>
      <c r="J701" s="27">
        <f t="shared" si="270"/>
        <v>10000</v>
      </c>
    </row>
    <row r="702" ht="12.75" customHeight="1">
      <c r="A702" s="36">
        <v>522140.0</v>
      </c>
      <c r="B702" s="36" t="s">
        <v>2994</v>
      </c>
      <c r="C702" s="26">
        <v>1.0</v>
      </c>
      <c r="D702" s="27">
        <v>4500.0</v>
      </c>
      <c r="E702" s="27">
        <f t="shared" si="267"/>
        <v>4500</v>
      </c>
      <c r="F702" s="27">
        <v>180.0</v>
      </c>
      <c r="G702" s="28">
        <v>400.0</v>
      </c>
      <c r="H702" s="27">
        <f t="shared" si="268"/>
        <v>220</v>
      </c>
      <c r="I702" s="27">
        <f t="shared" si="269"/>
        <v>5500</v>
      </c>
      <c r="J702" s="27">
        <f t="shared" si="270"/>
        <v>10000</v>
      </c>
    </row>
    <row r="703" ht="12.75" customHeight="1">
      <c r="A703" s="36">
        <v>422364.0</v>
      </c>
      <c r="B703" s="36" t="s">
        <v>2639</v>
      </c>
      <c r="C703" s="26">
        <v>1.0</v>
      </c>
      <c r="D703" s="27">
        <v>6560.0</v>
      </c>
      <c r="E703" s="27">
        <f t="shared" si="267"/>
        <v>6560</v>
      </c>
      <c r="F703" s="27">
        <v>328.0</v>
      </c>
      <c r="G703" s="28">
        <v>550.0</v>
      </c>
      <c r="H703" s="27">
        <f t="shared" si="268"/>
        <v>222</v>
      </c>
      <c r="I703" s="27">
        <f t="shared" ref="I703:I707" si="271">H703*20</f>
        <v>4440</v>
      </c>
      <c r="J703" s="27">
        <f t="shared" ref="J703:J707" si="272">G703*20</f>
        <v>11000</v>
      </c>
    </row>
    <row r="704" ht="12.75" customHeight="1">
      <c r="A704" s="36">
        <v>422366.0</v>
      </c>
      <c r="B704" s="36" t="s">
        <v>2642</v>
      </c>
      <c r="C704" s="26">
        <v>1.0</v>
      </c>
      <c r="D704" s="27">
        <v>6560.0</v>
      </c>
      <c r="E704" s="27">
        <f t="shared" si="267"/>
        <v>6560</v>
      </c>
      <c r="F704" s="27">
        <v>328.0</v>
      </c>
      <c r="G704" s="28">
        <v>550.0</v>
      </c>
      <c r="H704" s="27">
        <f t="shared" si="268"/>
        <v>222</v>
      </c>
      <c r="I704" s="27">
        <f t="shared" si="271"/>
        <v>4440</v>
      </c>
      <c r="J704" s="27">
        <f t="shared" si="272"/>
        <v>11000</v>
      </c>
    </row>
    <row r="705" ht="12.75" customHeight="1">
      <c r="A705" s="36">
        <v>422352.0</v>
      </c>
      <c r="B705" s="36" t="s">
        <v>2636</v>
      </c>
      <c r="C705" s="26">
        <v>1.0</v>
      </c>
      <c r="D705" s="27">
        <v>6560.0</v>
      </c>
      <c r="E705" s="27">
        <f t="shared" si="267"/>
        <v>6560</v>
      </c>
      <c r="F705" s="27">
        <v>328.0</v>
      </c>
      <c r="G705" s="28">
        <v>550.0</v>
      </c>
      <c r="H705" s="27">
        <f t="shared" si="268"/>
        <v>222</v>
      </c>
      <c r="I705" s="27">
        <f t="shared" si="271"/>
        <v>4440</v>
      </c>
      <c r="J705" s="27">
        <f t="shared" si="272"/>
        <v>11000</v>
      </c>
    </row>
    <row r="706" ht="12.75" customHeight="1">
      <c r="A706" s="36">
        <v>422349.0</v>
      </c>
      <c r="B706" s="36" t="s">
        <v>2635</v>
      </c>
      <c r="C706" s="26">
        <v>1.0</v>
      </c>
      <c r="D706" s="27">
        <v>6560.0</v>
      </c>
      <c r="E706" s="27">
        <f t="shared" si="267"/>
        <v>6560</v>
      </c>
      <c r="F706" s="27">
        <v>328.0</v>
      </c>
      <c r="G706" s="28">
        <v>550.0</v>
      </c>
      <c r="H706" s="27">
        <f t="shared" si="268"/>
        <v>222</v>
      </c>
      <c r="I706" s="27">
        <f t="shared" si="271"/>
        <v>4440</v>
      </c>
      <c r="J706" s="27">
        <f t="shared" si="272"/>
        <v>11000</v>
      </c>
    </row>
    <row r="707" ht="12.75" customHeight="1">
      <c r="A707" s="36">
        <v>4322805.0</v>
      </c>
      <c r="B707" s="36" t="s">
        <v>2826</v>
      </c>
      <c r="C707" s="26">
        <v>2.0</v>
      </c>
      <c r="D707" s="27">
        <v>5640.0</v>
      </c>
      <c r="E707" s="27">
        <f t="shared" si="267"/>
        <v>11280</v>
      </c>
      <c r="F707" s="27">
        <v>564.0</v>
      </c>
      <c r="G707" s="28">
        <v>1300.0</v>
      </c>
      <c r="H707" s="27">
        <f t="shared" si="268"/>
        <v>736</v>
      </c>
      <c r="I707" s="27">
        <f t="shared" si="271"/>
        <v>14720</v>
      </c>
      <c r="J707" s="27">
        <f t="shared" si="272"/>
        <v>26000</v>
      </c>
    </row>
    <row r="708" ht="12.75" customHeight="1">
      <c r="A708" s="36">
        <v>4470278.0</v>
      </c>
      <c r="B708" s="36" t="s">
        <v>2835</v>
      </c>
      <c r="C708" s="26">
        <v>1.0</v>
      </c>
      <c r="D708" s="27">
        <v>5640.0</v>
      </c>
      <c r="E708" s="27">
        <f t="shared" si="267"/>
        <v>5640</v>
      </c>
      <c r="F708" s="27">
        <v>564.0</v>
      </c>
      <c r="G708" s="28">
        <v>1300.0</v>
      </c>
      <c r="H708" s="27">
        <f t="shared" si="268"/>
        <v>736</v>
      </c>
      <c r="I708" s="27">
        <f t="shared" ref="I708:I716" si="273">H708*10</f>
        <v>7360</v>
      </c>
      <c r="J708" s="27">
        <f t="shared" ref="J708:J710" si="274">G708*10</f>
        <v>13000</v>
      </c>
    </row>
    <row r="709" ht="12.75" customHeight="1">
      <c r="A709" s="36">
        <v>4167369.0</v>
      </c>
      <c r="B709" s="36" t="s">
        <v>2836</v>
      </c>
      <c r="C709" s="26">
        <v>1.0</v>
      </c>
      <c r="D709" s="27">
        <v>5640.0</v>
      </c>
      <c r="E709" s="27">
        <f t="shared" si="267"/>
        <v>5640</v>
      </c>
      <c r="F709" s="27">
        <v>564.0</v>
      </c>
      <c r="G709" s="28">
        <v>1300.0</v>
      </c>
      <c r="H709" s="27">
        <f t="shared" si="268"/>
        <v>736</v>
      </c>
      <c r="I709" s="27">
        <f t="shared" si="273"/>
        <v>7360</v>
      </c>
      <c r="J709" s="27">
        <f t="shared" si="274"/>
        <v>13000</v>
      </c>
    </row>
    <row r="710" ht="12.75" customHeight="1">
      <c r="A710" s="36">
        <v>4322829.0</v>
      </c>
      <c r="B710" s="36" t="s">
        <v>2834</v>
      </c>
      <c r="C710" s="26">
        <v>1.0</v>
      </c>
      <c r="D710" s="27">
        <v>5640.0</v>
      </c>
      <c r="E710" s="27">
        <f t="shared" si="267"/>
        <v>5640</v>
      </c>
      <c r="F710" s="27">
        <v>564.0</v>
      </c>
      <c r="G710" s="28">
        <v>1300.0</v>
      </c>
      <c r="H710" s="27">
        <f t="shared" si="268"/>
        <v>736</v>
      </c>
      <c r="I710" s="27">
        <f t="shared" si="273"/>
        <v>7360</v>
      </c>
      <c r="J710" s="27">
        <f t="shared" si="274"/>
        <v>13000</v>
      </c>
    </row>
    <row r="711" ht="12.75" customHeight="1">
      <c r="A711" s="36">
        <v>4167383.0</v>
      </c>
      <c r="B711" s="36" t="s">
        <v>2829</v>
      </c>
      <c r="C711" s="26">
        <v>1.0</v>
      </c>
      <c r="D711" s="27">
        <v>5640.0</v>
      </c>
      <c r="E711" s="27">
        <f t="shared" si="267"/>
        <v>5640</v>
      </c>
      <c r="F711" s="27">
        <v>564.0</v>
      </c>
      <c r="G711" s="28">
        <v>1300.0</v>
      </c>
      <c r="H711" s="27">
        <f t="shared" si="268"/>
        <v>736</v>
      </c>
      <c r="I711" s="27">
        <f t="shared" si="273"/>
        <v>7360</v>
      </c>
      <c r="J711" s="27">
        <f>G712*10</f>
        <v>13000</v>
      </c>
    </row>
    <row r="712" ht="12.75" customHeight="1">
      <c r="A712" s="36">
        <v>4470292.0</v>
      </c>
      <c r="B712" s="36" t="s">
        <v>2828</v>
      </c>
      <c r="C712" s="26">
        <v>1.0</v>
      </c>
      <c r="D712" s="27">
        <v>5640.0</v>
      </c>
      <c r="E712" s="27">
        <f t="shared" si="267"/>
        <v>5640</v>
      </c>
      <c r="F712" s="27">
        <v>564.0</v>
      </c>
      <c r="G712" s="28">
        <v>1300.0</v>
      </c>
      <c r="H712" s="27">
        <f t="shared" si="268"/>
        <v>736</v>
      </c>
      <c r="I712" s="27">
        <f t="shared" si="273"/>
        <v>7360</v>
      </c>
      <c r="J712" s="27">
        <f t="shared" ref="J712:J716" si="275">G712*10</f>
        <v>13000</v>
      </c>
    </row>
    <row r="713" ht="12.75" customHeight="1">
      <c r="A713" s="36">
        <v>4167376.0</v>
      </c>
      <c r="B713" s="36" t="s">
        <v>2830</v>
      </c>
      <c r="C713" s="26">
        <v>1.0</v>
      </c>
      <c r="D713" s="27">
        <v>5640.0</v>
      </c>
      <c r="E713" s="27">
        <f t="shared" si="267"/>
        <v>5640</v>
      </c>
      <c r="F713" s="27">
        <v>564.0</v>
      </c>
      <c r="G713" s="28">
        <v>1300.0</v>
      </c>
      <c r="H713" s="27">
        <f t="shared" si="268"/>
        <v>736</v>
      </c>
      <c r="I713" s="27">
        <f t="shared" si="273"/>
        <v>7360</v>
      </c>
      <c r="J713" s="27">
        <f t="shared" si="275"/>
        <v>13000</v>
      </c>
    </row>
    <row r="714" ht="12.75" customHeight="1">
      <c r="A714" s="36">
        <v>4224093.0</v>
      </c>
      <c r="B714" s="36" t="s">
        <v>2824</v>
      </c>
      <c r="C714" s="26">
        <v>1.0</v>
      </c>
      <c r="D714" s="27">
        <v>5640.0</v>
      </c>
      <c r="E714" s="27">
        <f t="shared" si="267"/>
        <v>5640</v>
      </c>
      <c r="F714" s="27">
        <v>564.0</v>
      </c>
      <c r="G714" s="28">
        <v>1300.0</v>
      </c>
      <c r="H714" s="27">
        <f t="shared" si="268"/>
        <v>736</v>
      </c>
      <c r="I714" s="27">
        <f t="shared" si="273"/>
        <v>7360</v>
      </c>
      <c r="J714" s="27">
        <f t="shared" si="275"/>
        <v>13000</v>
      </c>
    </row>
    <row r="715" ht="12.75" customHeight="1">
      <c r="A715" s="36">
        <v>4224086.0</v>
      </c>
      <c r="B715" s="36" t="s">
        <v>2964</v>
      </c>
      <c r="C715" s="26">
        <v>1.0</v>
      </c>
      <c r="D715" s="27">
        <v>5640.0</v>
      </c>
      <c r="E715" s="27">
        <f t="shared" si="267"/>
        <v>5640</v>
      </c>
      <c r="F715" s="27">
        <v>564.0</v>
      </c>
      <c r="G715" s="28">
        <v>1300.0</v>
      </c>
      <c r="H715" s="27">
        <f t="shared" si="268"/>
        <v>736</v>
      </c>
      <c r="I715" s="27">
        <f t="shared" si="273"/>
        <v>7360</v>
      </c>
      <c r="J715" s="27">
        <f t="shared" si="275"/>
        <v>13000</v>
      </c>
    </row>
    <row r="716" ht="12.75" customHeight="1">
      <c r="A716" s="36">
        <v>4322812.0</v>
      </c>
      <c r="B716" s="36" t="s">
        <v>2831</v>
      </c>
      <c r="C716" s="26">
        <v>1.0</v>
      </c>
      <c r="D716" s="27">
        <v>5640.0</v>
      </c>
      <c r="E716" s="27">
        <f t="shared" si="267"/>
        <v>5640</v>
      </c>
      <c r="F716" s="27">
        <v>564.0</v>
      </c>
      <c r="G716" s="28">
        <v>1300.0</v>
      </c>
      <c r="H716" s="27">
        <f t="shared" si="268"/>
        <v>736</v>
      </c>
      <c r="I716" s="27">
        <f t="shared" si="273"/>
        <v>7360</v>
      </c>
      <c r="J716" s="27">
        <f t="shared" si="275"/>
        <v>13000</v>
      </c>
    </row>
    <row r="717" ht="12.75" customHeight="1">
      <c r="A717" s="36">
        <v>4167345.0</v>
      </c>
      <c r="B717" s="36" t="s">
        <v>2833</v>
      </c>
      <c r="C717" s="26">
        <v>2.0</v>
      </c>
      <c r="D717" s="27">
        <v>5640.0</v>
      </c>
      <c r="E717" s="27">
        <f t="shared" si="267"/>
        <v>11280</v>
      </c>
      <c r="F717" s="27">
        <v>564.0</v>
      </c>
      <c r="G717" s="28">
        <v>1300.0</v>
      </c>
      <c r="H717" s="27">
        <f t="shared" si="268"/>
        <v>736</v>
      </c>
      <c r="I717" s="27">
        <f t="shared" ref="I717:I719" si="276">H717*20</f>
        <v>14720</v>
      </c>
      <c r="J717" s="27">
        <f t="shared" ref="J717:J719" si="277">G717*20</f>
        <v>26000</v>
      </c>
    </row>
    <row r="718" ht="12.75" customHeight="1">
      <c r="A718" s="36">
        <v>4167321.0</v>
      </c>
      <c r="B718" s="36" t="s">
        <v>2827</v>
      </c>
      <c r="C718" s="26">
        <v>2.0</v>
      </c>
      <c r="D718" s="27">
        <v>5640.0</v>
      </c>
      <c r="E718" s="27">
        <f t="shared" si="267"/>
        <v>11280</v>
      </c>
      <c r="F718" s="27">
        <v>564.0</v>
      </c>
      <c r="G718" s="28">
        <v>1300.0</v>
      </c>
      <c r="H718" s="27">
        <f t="shared" si="268"/>
        <v>736</v>
      </c>
      <c r="I718" s="27">
        <f t="shared" si="276"/>
        <v>14720</v>
      </c>
      <c r="J718" s="27">
        <f t="shared" si="277"/>
        <v>26000</v>
      </c>
    </row>
    <row r="719" ht="12.75" customHeight="1">
      <c r="A719" s="36">
        <v>4167338.0</v>
      </c>
      <c r="B719" s="36" t="s">
        <v>2832</v>
      </c>
      <c r="C719" s="26">
        <v>2.0</v>
      </c>
      <c r="D719" s="27">
        <v>5640.0</v>
      </c>
      <c r="E719" s="27">
        <f t="shared" si="267"/>
        <v>11280</v>
      </c>
      <c r="F719" s="27">
        <v>564.0</v>
      </c>
      <c r="G719" s="28">
        <v>1300.0</v>
      </c>
      <c r="H719" s="27">
        <f t="shared" si="268"/>
        <v>736</v>
      </c>
      <c r="I719" s="27">
        <f t="shared" si="276"/>
        <v>14720</v>
      </c>
      <c r="J719" s="27">
        <f t="shared" si="277"/>
        <v>26000</v>
      </c>
    </row>
    <row r="720" ht="12.75" customHeight="1">
      <c r="A720" s="36">
        <v>4162001.0</v>
      </c>
      <c r="B720" s="36" t="s">
        <v>2733</v>
      </c>
      <c r="C720" s="26">
        <v>12.0</v>
      </c>
      <c r="D720" s="27">
        <v>780.0</v>
      </c>
      <c r="E720" s="27">
        <f t="shared" si="267"/>
        <v>9360</v>
      </c>
      <c r="F720" s="27">
        <v>780.0</v>
      </c>
      <c r="G720" s="28">
        <v>1500.0</v>
      </c>
      <c r="H720" s="27">
        <f t="shared" si="268"/>
        <v>720</v>
      </c>
      <c r="I720" s="27">
        <f>H720*12</f>
        <v>8640</v>
      </c>
      <c r="J720" s="27">
        <f>G720*12</f>
        <v>18000</v>
      </c>
    </row>
    <row r="721" ht="12.75" customHeight="1">
      <c r="A721" s="36">
        <v>4101005.0</v>
      </c>
      <c r="B721" s="36" t="s">
        <v>2909</v>
      </c>
      <c r="C721" s="26">
        <v>12.0</v>
      </c>
      <c r="D721" s="27">
        <v>790.0</v>
      </c>
      <c r="E721" s="27">
        <f t="shared" si="267"/>
        <v>9480</v>
      </c>
      <c r="F721" s="27">
        <v>65.83</v>
      </c>
      <c r="G721" s="28">
        <v>150.0</v>
      </c>
      <c r="H721" s="27">
        <f t="shared" si="268"/>
        <v>84.17</v>
      </c>
      <c r="I721" s="27">
        <f>H721*144</f>
        <v>12120.48</v>
      </c>
      <c r="J721" s="27">
        <f>G721*144</f>
        <v>21600</v>
      </c>
    </row>
    <row r="722" ht="12.75" customHeight="1">
      <c r="A722" s="36">
        <v>2027118.0</v>
      </c>
      <c r="B722" s="36" t="s">
        <v>2728</v>
      </c>
      <c r="C722" s="26">
        <v>1.0</v>
      </c>
      <c r="D722" s="27">
        <v>1850.0</v>
      </c>
      <c r="E722" s="27">
        <f t="shared" si="267"/>
        <v>1850</v>
      </c>
      <c r="F722" s="27">
        <v>185.0</v>
      </c>
      <c r="G722" s="28">
        <v>400.0</v>
      </c>
      <c r="H722" s="27">
        <f t="shared" si="268"/>
        <v>215</v>
      </c>
      <c r="I722" s="27">
        <f t="shared" ref="I722:I726" si="278">H722*10</f>
        <v>2150</v>
      </c>
      <c r="J722" s="27">
        <f t="shared" ref="J722:J726" si="279">G722*10</f>
        <v>4000</v>
      </c>
    </row>
    <row r="723" ht="12.75" customHeight="1">
      <c r="A723" s="36">
        <v>2027224.0</v>
      </c>
      <c r="B723" s="36" t="s">
        <v>2995</v>
      </c>
      <c r="C723" s="26">
        <v>1.0</v>
      </c>
      <c r="D723" s="27">
        <v>1850.0</v>
      </c>
      <c r="E723" s="27">
        <f t="shared" si="267"/>
        <v>1850</v>
      </c>
      <c r="F723" s="27">
        <v>185.0</v>
      </c>
      <c r="G723" s="28">
        <v>400.0</v>
      </c>
      <c r="H723" s="27">
        <f t="shared" si="268"/>
        <v>215</v>
      </c>
      <c r="I723" s="27">
        <f t="shared" si="278"/>
        <v>2150</v>
      </c>
      <c r="J723" s="27">
        <f t="shared" si="279"/>
        <v>4000</v>
      </c>
    </row>
    <row r="724" ht="12.75" customHeight="1">
      <c r="A724" s="36">
        <v>2027194.0</v>
      </c>
      <c r="B724" s="36" t="s">
        <v>2996</v>
      </c>
      <c r="C724" s="26">
        <v>1.0</v>
      </c>
      <c r="D724" s="27">
        <v>1850.0</v>
      </c>
      <c r="E724" s="27">
        <f t="shared" si="267"/>
        <v>1850</v>
      </c>
      <c r="F724" s="27">
        <v>185.0</v>
      </c>
      <c r="G724" s="28">
        <v>400.0</v>
      </c>
      <c r="H724" s="27">
        <f t="shared" si="268"/>
        <v>215</v>
      </c>
      <c r="I724" s="27">
        <f t="shared" si="278"/>
        <v>2150</v>
      </c>
      <c r="J724" s="27">
        <f t="shared" si="279"/>
        <v>4000</v>
      </c>
    </row>
    <row r="725" ht="12.75" customHeight="1">
      <c r="A725" s="36">
        <v>2027125.0</v>
      </c>
      <c r="B725" s="36" t="s">
        <v>2725</v>
      </c>
      <c r="C725" s="26">
        <v>1.0</v>
      </c>
      <c r="D725" s="27">
        <v>1850.0</v>
      </c>
      <c r="E725" s="27">
        <f t="shared" si="267"/>
        <v>1850</v>
      </c>
      <c r="F725" s="27">
        <v>185.0</v>
      </c>
      <c r="G725" s="28">
        <v>400.0</v>
      </c>
      <c r="H725" s="27">
        <f t="shared" si="268"/>
        <v>215</v>
      </c>
      <c r="I725" s="27">
        <f t="shared" si="278"/>
        <v>2150</v>
      </c>
      <c r="J725" s="27">
        <f t="shared" si="279"/>
        <v>4000</v>
      </c>
    </row>
    <row r="726" ht="12.75" customHeight="1">
      <c r="A726" s="36">
        <v>2027156.0</v>
      </c>
      <c r="B726" s="36" t="s">
        <v>2997</v>
      </c>
      <c r="C726" s="26">
        <v>1.0</v>
      </c>
      <c r="D726" s="27">
        <v>1850.0</v>
      </c>
      <c r="E726" s="27">
        <f t="shared" si="267"/>
        <v>1850</v>
      </c>
      <c r="F726" s="27">
        <v>185.0</v>
      </c>
      <c r="G726" s="28">
        <v>400.0</v>
      </c>
      <c r="H726" s="27">
        <f t="shared" si="268"/>
        <v>215</v>
      </c>
      <c r="I726" s="27">
        <f t="shared" si="278"/>
        <v>2150</v>
      </c>
      <c r="J726" s="27">
        <f t="shared" si="279"/>
        <v>4000</v>
      </c>
    </row>
    <row r="727" ht="12.75" customHeight="1">
      <c r="A727" s="36">
        <v>2026944.0</v>
      </c>
      <c r="B727" s="36" t="s">
        <v>2613</v>
      </c>
      <c r="C727" s="26">
        <v>2.0</v>
      </c>
      <c r="D727" s="27">
        <v>1480.0</v>
      </c>
      <c r="E727" s="27">
        <f t="shared" si="267"/>
        <v>2960</v>
      </c>
      <c r="F727" s="27">
        <v>148.0</v>
      </c>
      <c r="G727" s="28">
        <v>300.0</v>
      </c>
      <c r="H727" s="27">
        <f t="shared" si="268"/>
        <v>152</v>
      </c>
      <c r="I727" s="27">
        <f>H727*20</f>
        <v>3040</v>
      </c>
      <c r="J727" s="27">
        <f>G727*20</f>
        <v>6000</v>
      </c>
    </row>
    <row r="728" ht="12.75" customHeight="1">
      <c r="A728" s="36">
        <v>2027064.0</v>
      </c>
      <c r="B728" s="36" t="s">
        <v>2720</v>
      </c>
      <c r="C728" s="26">
        <v>1.0</v>
      </c>
      <c r="D728" s="27">
        <v>1560.0</v>
      </c>
      <c r="E728" s="27">
        <f t="shared" si="267"/>
        <v>1560</v>
      </c>
      <c r="F728" s="27">
        <v>156.0</v>
      </c>
      <c r="G728" s="28">
        <v>300.0</v>
      </c>
      <c r="H728" s="27">
        <f t="shared" si="268"/>
        <v>144</v>
      </c>
      <c r="I728" s="27">
        <f t="shared" ref="I728:I731" si="280">H728*10</f>
        <v>1440</v>
      </c>
      <c r="J728" s="27">
        <f t="shared" ref="J728:J731" si="281">G728*10</f>
        <v>3000</v>
      </c>
    </row>
    <row r="729" ht="12.75" customHeight="1">
      <c r="A729" s="36">
        <v>2027057.0</v>
      </c>
      <c r="B729" s="36" t="s">
        <v>2742</v>
      </c>
      <c r="C729" s="26">
        <v>1.0</v>
      </c>
      <c r="D729" s="27">
        <v>1560.0</v>
      </c>
      <c r="E729" s="27">
        <f t="shared" si="267"/>
        <v>1560</v>
      </c>
      <c r="F729" s="27">
        <v>156.0</v>
      </c>
      <c r="G729" s="28">
        <v>300.0</v>
      </c>
      <c r="H729" s="27">
        <f t="shared" si="268"/>
        <v>144</v>
      </c>
      <c r="I729" s="27">
        <f t="shared" si="280"/>
        <v>1440</v>
      </c>
      <c r="J729" s="27">
        <f t="shared" si="281"/>
        <v>3000</v>
      </c>
    </row>
    <row r="730" ht="12.75" customHeight="1">
      <c r="A730" s="36">
        <v>2027095.0</v>
      </c>
      <c r="B730" s="36" t="s">
        <v>2740</v>
      </c>
      <c r="C730" s="26">
        <v>1.0</v>
      </c>
      <c r="D730" s="27">
        <v>1560.0</v>
      </c>
      <c r="E730" s="27">
        <f t="shared" si="267"/>
        <v>1560</v>
      </c>
      <c r="F730" s="27">
        <v>156.0</v>
      </c>
      <c r="G730" s="28">
        <v>300.0</v>
      </c>
      <c r="H730" s="27">
        <f t="shared" si="268"/>
        <v>144</v>
      </c>
      <c r="I730" s="27">
        <f t="shared" si="280"/>
        <v>1440</v>
      </c>
      <c r="J730" s="27">
        <f t="shared" si="281"/>
        <v>3000</v>
      </c>
    </row>
    <row r="731" ht="12.75" customHeight="1">
      <c r="A731" s="36">
        <v>2027088.0</v>
      </c>
      <c r="B731" s="36" t="s">
        <v>2739</v>
      </c>
      <c r="C731" s="26">
        <v>1.0</v>
      </c>
      <c r="D731" s="27">
        <v>1560.0</v>
      </c>
      <c r="E731" s="27">
        <f t="shared" si="267"/>
        <v>1560</v>
      </c>
      <c r="F731" s="27">
        <v>156.0</v>
      </c>
      <c r="G731" s="28">
        <v>300.0</v>
      </c>
      <c r="H731" s="27">
        <f t="shared" si="268"/>
        <v>144</v>
      </c>
      <c r="I731" s="27">
        <f t="shared" si="280"/>
        <v>1440</v>
      </c>
      <c r="J731" s="27">
        <f t="shared" si="281"/>
        <v>3000</v>
      </c>
    </row>
    <row r="732" ht="12.75" customHeight="1">
      <c r="A732" s="36">
        <v>2027040.0</v>
      </c>
      <c r="B732" s="36" t="s">
        <v>2998</v>
      </c>
      <c r="C732" s="26">
        <v>2.0</v>
      </c>
      <c r="D732" s="27">
        <v>1560.0</v>
      </c>
      <c r="E732" s="27">
        <f t="shared" si="267"/>
        <v>3120</v>
      </c>
      <c r="F732" s="27">
        <v>156.0</v>
      </c>
      <c r="G732" s="28">
        <v>300.0</v>
      </c>
      <c r="H732" s="27">
        <f t="shared" si="268"/>
        <v>144</v>
      </c>
      <c r="I732" s="27">
        <f t="shared" ref="I732:I733" si="282">H732*20</f>
        <v>2880</v>
      </c>
      <c r="J732" s="27">
        <f t="shared" ref="J732:J733" si="283">G732*20</f>
        <v>6000</v>
      </c>
    </row>
    <row r="733" ht="12.75" customHeight="1">
      <c r="A733" s="36">
        <v>300117.0</v>
      </c>
      <c r="B733" s="36" t="s">
        <v>2999</v>
      </c>
      <c r="C733" s="26">
        <v>20.0</v>
      </c>
      <c r="D733" s="27">
        <v>475.0</v>
      </c>
      <c r="E733" s="27">
        <f t="shared" si="267"/>
        <v>9500</v>
      </c>
      <c r="F733" s="27">
        <v>475.0</v>
      </c>
      <c r="G733" s="28">
        <v>1500.0</v>
      </c>
      <c r="H733" s="27">
        <f t="shared" si="268"/>
        <v>1025</v>
      </c>
      <c r="I733" s="27">
        <f t="shared" si="282"/>
        <v>20500</v>
      </c>
      <c r="J733" s="27">
        <f t="shared" si="283"/>
        <v>30000</v>
      </c>
    </row>
    <row r="734" ht="12.75" customHeight="1">
      <c r="A734" s="25"/>
      <c r="C734" s="26"/>
      <c r="D734" s="27"/>
      <c r="E734" s="27"/>
      <c r="F734" s="27"/>
      <c r="G734" s="28"/>
      <c r="H734" s="27"/>
      <c r="I734" s="27"/>
      <c r="J734" s="27"/>
    </row>
    <row r="735" ht="12.75" customHeight="1">
      <c r="A735" s="25"/>
      <c r="C735" s="26"/>
      <c r="D735" s="27"/>
      <c r="E735" s="32">
        <f>SUM(E694:E733)</f>
        <v>217150</v>
      </c>
      <c r="F735" s="27"/>
      <c r="G735" s="28"/>
      <c r="H735" s="27"/>
      <c r="I735" s="33">
        <f t="shared" ref="I735:J735" si="284">SUM(I694:I733)</f>
        <v>261450.48</v>
      </c>
      <c r="J735" s="33">
        <f t="shared" si="284"/>
        <v>478600</v>
      </c>
    </row>
    <row r="736" ht="12.75" customHeight="1">
      <c r="A736" s="25"/>
      <c r="C736" s="26"/>
      <c r="D736" s="27"/>
      <c r="E736" s="27"/>
      <c r="F736" s="27"/>
      <c r="G736" s="28"/>
      <c r="H736" s="27"/>
      <c r="I736" s="27"/>
      <c r="J736" s="27"/>
    </row>
    <row r="737" ht="12.75" customHeight="1">
      <c r="A737" s="25"/>
      <c r="C737" s="26"/>
      <c r="D737" s="27"/>
      <c r="E737" s="27"/>
      <c r="F737" s="27"/>
      <c r="G737" s="28"/>
      <c r="H737" s="27"/>
      <c r="I737" s="27"/>
      <c r="J737" s="27"/>
    </row>
    <row r="738" ht="12.75" customHeight="1">
      <c r="A738" s="34">
        <v>45696.0</v>
      </c>
      <c r="C738" s="26"/>
      <c r="D738" s="27"/>
      <c r="E738" s="27"/>
      <c r="F738" s="27"/>
      <c r="G738" s="28"/>
      <c r="H738" s="27"/>
      <c r="I738" s="27"/>
      <c r="J738" s="27"/>
    </row>
    <row r="739" ht="12.75" customHeight="1">
      <c r="A739" s="25"/>
      <c r="C739" s="26"/>
      <c r="D739" s="27"/>
      <c r="E739" s="27"/>
      <c r="F739" s="27"/>
      <c r="G739" s="28"/>
      <c r="H739" s="27"/>
      <c r="I739" s="27"/>
      <c r="J739" s="27"/>
    </row>
    <row r="740" ht="12.75" customHeight="1">
      <c r="A740" s="36">
        <v>3882942.0</v>
      </c>
      <c r="B740" s="36" t="s">
        <v>2693</v>
      </c>
      <c r="C740" s="26">
        <v>6.0</v>
      </c>
      <c r="D740" s="27">
        <v>920.0</v>
      </c>
      <c r="E740" s="27">
        <f t="shared" ref="E740:E788" si="285">D740*C740</f>
        <v>5520</v>
      </c>
      <c r="F740" s="27">
        <v>920.0</v>
      </c>
      <c r="G740" s="28">
        <v>1500.0</v>
      </c>
      <c r="H740" s="27">
        <f t="shared" ref="H740:H788" si="286">G740-F740</f>
        <v>580</v>
      </c>
      <c r="I740" s="27">
        <f>H740*6</f>
        <v>3480</v>
      </c>
      <c r="J740" s="27">
        <f>G740*6</f>
        <v>9000</v>
      </c>
    </row>
    <row r="741" ht="12.75" customHeight="1">
      <c r="A741" s="36">
        <v>367860.0</v>
      </c>
      <c r="B741" s="36" t="s">
        <v>2651</v>
      </c>
      <c r="C741" s="26">
        <v>10.0</v>
      </c>
      <c r="D741" s="27">
        <v>510.0</v>
      </c>
      <c r="E741" s="27">
        <f t="shared" si="285"/>
        <v>5100</v>
      </c>
      <c r="F741" s="27">
        <v>510.0</v>
      </c>
      <c r="G741" s="28">
        <v>1000.0</v>
      </c>
      <c r="H741" s="27">
        <f t="shared" si="286"/>
        <v>490</v>
      </c>
      <c r="I741" s="27">
        <f>H741*10</f>
        <v>4900</v>
      </c>
      <c r="J741" s="27">
        <f>G741*10</f>
        <v>10000</v>
      </c>
    </row>
    <row r="742" ht="12.75" customHeight="1">
      <c r="A742" s="36">
        <v>7510007.0</v>
      </c>
      <c r="B742" s="36" t="s">
        <v>2611</v>
      </c>
      <c r="C742" s="26">
        <v>12.0</v>
      </c>
      <c r="D742" s="27">
        <v>420.0</v>
      </c>
      <c r="E742" s="27">
        <f t="shared" si="285"/>
        <v>5040</v>
      </c>
      <c r="F742" s="27">
        <v>420.0</v>
      </c>
      <c r="G742" s="28">
        <v>650.0</v>
      </c>
      <c r="H742" s="27">
        <f t="shared" si="286"/>
        <v>230</v>
      </c>
      <c r="I742" s="27">
        <f>H742*12</f>
        <v>2760</v>
      </c>
      <c r="J742" s="27">
        <f>G742*12</f>
        <v>7800</v>
      </c>
    </row>
    <row r="743" ht="12.75" customHeight="1">
      <c r="A743" s="36">
        <v>7552007.0</v>
      </c>
      <c r="B743" s="36" t="s">
        <v>2700</v>
      </c>
      <c r="C743" s="26">
        <v>20.0</v>
      </c>
      <c r="D743" s="27">
        <v>380.0</v>
      </c>
      <c r="E743" s="27">
        <f t="shared" si="285"/>
        <v>7600</v>
      </c>
      <c r="F743" s="27">
        <v>380.0</v>
      </c>
      <c r="G743" s="28">
        <v>700.0</v>
      </c>
      <c r="H743" s="27">
        <f t="shared" si="286"/>
        <v>320</v>
      </c>
      <c r="I743" s="27">
        <f>H743*20</f>
        <v>6400</v>
      </c>
      <c r="J743" s="27">
        <f>G743*20</f>
        <v>14000</v>
      </c>
    </row>
    <row r="744" ht="12.75" customHeight="1">
      <c r="A744" s="36">
        <v>4128483.0</v>
      </c>
      <c r="B744" s="36" t="s">
        <v>3000</v>
      </c>
      <c r="C744" s="26">
        <v>5.0</v>
      </c>
      <c r="D744" s="27">
        <v>610.0</v>
      </c>
      <c r="E744" s="27">
        <f t="shared" si="285"/>
        <v>3050</v>
      </c>
      <c r="F744" s="27">
        <v>610.0</v>
      </c>
      <c r="G744" s="28">
        <v>1000.0</v>
      </c>
      <c r="H744" s="27">
        <f t="shared" si="286"/>
        <v>390</v>
      </c>
      <c r="I744" s="27">
        <f>H744*5</f>
        <v>1950</v>
      </c>
      <c r="J744" s="27">
        <f>G744*5</f>
        <v>5000</v>
      </c>
    </row>
    <row r="745" ht="12.75" customHeight="1">
      <c r="A745" s="36">
        <v>5986123.0</v>
      </c>
      <c r="B745" s="36" t="s">
        <v>3001</v>
      </c>
      <c r="C745" s="26">
        <v>3.0</v>
      </c>
      <c r="D745" s="27">
        <v>210.0</v>
      </c>
      <c r="E745" s="27">
        <f t="shared" si="285"/>
        <v>630</v>
      </c>
      <c r="F745" s="27">
        <v>210.0</v>
      </c>
      <c r="G745" s="28">
        <v>400.0</v>
      </c>
      <c r="H745" s="27">
        <f t="shared" si="286"/>
        <v>190</v>
      </c>
      <c r="I745" s="27">
        <f>H745*3</f>
        <v>570</v>
      </c>
      <c r="J745" s="27">
        <f>G745*3</f>
        <v>1200</v>
      </c>
    </row>
    <row r="746" ht="12.75" customHeight="1">
      <c r="A746" s="36">
        <v>4173575.0</v>
      </c>
      <c r="B746" s="36" t="s">
        <v>3002</v>
      </c>
      <c r="C746" s="26">
        <v>10.0</v>
      </c>
      <c r="D746" s="27">
        <v>125.0</v>
      </c>
      <c r="E746" s="27">
        <f t="shared" si="285"/>
        <v>1250</v>
      </c>
      <c r="F746" s="27">
        <v>125.0</v>
      </c>
      <c r="G746" s="28">
        <v>300.0</v>
      </c>
      <c r="H746" s="27">
        <f t="shared" si="286"/>
        <v>175</v>
      </c>
      <c r="I746" s="27">
        <f t="shared" ref="I746:I747" si="287">H746*10</f>
        <v>1750</v>
      </c>
      <c r="J746" s="27">
        <f t="shared" ref="J746:J747" si="288">G746*10</f>
        <v>3000</v>
      </c>
    </row>
    <row r="747" ht="12.75" customHeight="1">
      <c r="A747" s="36">
        <v>4173582.0</v>
      </c>
      <c r="B747" s="36" t="s">
        <v>3003</v>
      </c>
      <c r="C747" s="26">
        <v>10.0</v>
      </c>
      <c r="D747" s="27">
        <v>190.0</v>
      </c>
      <c r="E747" s="27">
        <f t="shared" si="285"/>
        <v>1900</v>
      </c>
      <c r="F747" s="27">
        <v>190.0</v>
      </c>
      <c r="G747" s="28">
        <v>350.0</v>
      </c>
      <c r="H747" s="27">
        <f t="shared" si="286"/>
        <v>160</v>
      </c>
      <c r="I747" s="27">
        <f t="shared" si="287"/>
        <v>1600</v>
      </c>
      <c r="J747" s="27">
        <f t="shared" si="288"/>
        <v>3500</v>
      </c>
    </row>
    <row r="748" ht="12.75" customHeight="1">
      <c r="A748" s="36">
        <v>3670853.0</v>
      </c>
      <c r="B748" s="36" t="s">
        <v>3004</v>
      </c>
      <c r="C748" s="26">
        <v>3.0</v>
      </c>
      <c r="D748" s="27">
        <v>860.0</v>
      </c>
      <c r="E748" s="27">
        <f t="shared" si="285"/>
        <v>2580</v>
      </c>
      <c r="F748" s="27">
        <v>860.0</v>
      </c>
      <c r="G748" s="28">
        <v>1500.0</v>
      </c>
      <c r="H748" s="27">
        <f t="shared" si="286"/>
        <v>640</v>
      </c>
      <c r="I748" s="27">
        <f>H748*3</f>
        <v>1920</v>
      </c>
      <c r="J748" s="27">
        <f>G748*3</f>
        <v>4500</v>
      </c>
    </row>
    <row r="749" ht="12.75" customHeight="1">
      <c r="A749" s="36">
        <v>2027248.0</v>
      </c>
      <c r="B749" s="36" t="s">
        <v>3005</v>
      </c>
      <c r="C749" s="26">
        <v>1.0</v>
      </c>
      <c r="D749" s="27">
        <v>1850.0</v>
      </c>
      <c r="E749" s="27">
        <f t="shared" si="285"/>
        <v>1850</v>
      </c>
      <c r="F749" s="27">
        <v>185.0</v>
      </c>
      <c r="G749" s="28">
        <v>400.0</v>
      </c>
      <c r="H749" s="27">
        <f t="shared" si="286"/>
        <v>215</v>
      </c>
      <c r="I749" s="27">
        <f t="shared" ref="I749:I752" si="289">H749*10</f>
        <v>2150</v>
      </c>
      <c r="J749" s="27">
        <f t="shared" ref="J749:J752" si="290">G749*10</f>
        <v>4000</v>
      </c>
    </row>
    <row r="750" ht="12.75" customHeight="1">
      <c r="A750" s="36">
        <v>2027255.0</v>
      </c>
      <c r="B750" s="36" t="s">
        <v>2729</v>
      </c>
      <c r="C750" s="26">
        <v>1.0</v>
      </c>
      <c r="D750" s="27">
        <v>1850.0</v>
      </c>
      <c r="E750" s="27">
        <f t="shared" si="285"/>
        <v>1850</v>
      </c>
      <c r="F750" s="27">
        <v>185.0</v>
      </c>
      <c r="G750" s="28">
        <v>400.0</v>
      </c>
      <c r="H750" s="27">
        <f t="shared" si="286"/>
        <v>215</v>
      </c>
      <c r="I750" s="27">
        <f t="shared" si="289"/>
        <v>2150</v>
      </c>
      <c r="J750" s="27">
        <f t="shared" si="290"/>
        <v>4000</v>
      </c>
    </row>
    <row r="751" ht="12.75" customHeight="1">
      <c r="A751" s="36">
        <v>3668645.0</v>
      </c>
      <c r="B751" s="36" t="s">
        <v>2867</v>
      </c>
      <c r="C751" s="26">
        <v>10.0</v>
      </c>
      <c r="D751" s="27">
        <v>1240.0</v>
      </c>
      <c r="E751" s="27">
        <f t="shared" si="285"/>
        <v>12400</v>
      </c>
      <c r="F751" s="27">
        <v>1240.0</v>
      </c>
      <c r="G751" s="28">
        <v>1900.0</v>
      </c>
      <c r="H751" s="27">
        <f t="shared" si="286"/>
        <v>660</v>
      </c>
      <c r="I751" s="27">
        <f t="shared" si="289"/>
        <v>6600</v>
      </c>
      <c r="J751" s="27">
        <f t="shared" si="290"/>
        <v>19000</v>
      </c>
    </row>
    <row r="752" ht="12.75" customHeight="1">
      <c r="A752" s="36">
        <v>3941106.0</v>
      </c>
      <c r="B752" s="36" t="s">
        <v>2683</v>
      </c>
      <c r="C752" s="26">
        <v>10.0</v>
      </c>
      <c r="D752" s="27">
        <v>1250.0</v>
      </c>
      <c r="E752" s="27">
        <f t="shared" si="285"/>
        <v>12500</v>
      </c>
      <c r="F752" s="27">
        <v>1250.0</v>
      </c>
      <c r="G752" s="28">
        <v>2000.0</v>
      </c>
      <c r="H752" s="27">
        <f t="shared" si="286"/>
        <v>750</v>
      </c>
      <c r="I752" s="27">
        <f t="shared" si="289"/>
        <v>7500</v>
      </c>
      <c r="J752" s="27">
        <f t="shared" si="290"/>
        <v>20000</v>
      </c>
    </row>
    <row r="753" ht="12.75" customHeight="1">
      <c r="A753" s="36">
        <v>5991417.0</v>
      </c>
      <c r="B753" s="36" t="s">
        <v>2680</v>
      </c>
      <c r="C753" s="26">
        <v>4.0</v>
      </c>
      <c r="D753" s="27">
        <v>1650.0</v>
      </c>
      <c r="E753" s="27">
        <f t="shared" si="285"/>
        <v>6600</v>
      </c>
      <c r="F753" s="27">
        <v>1650.0</v>
      </c>
      <c r="G753" s="28">
        <v>2400.0</v>
      </c>
      <c r="H753" s="27">
        <f t="shared" si="286"/>
        <v>750</v>
      </c>
      <c r="I753" s="27">
        <f>H753*4</f>
        <v>3000</v>
      </c>
      <c r="J753" s="27">
        <f>G753*4</f>
        <v>9600</v>
      </c>
    </row>
    <row r="754" ht="12.75" customHeight="1">
      <c r="A754" s="36">
        <v>3668089.0</v>
      </c>
      <c r="B754" s="36" t="s">
        <v>3006</v>
      </c>
      <c r="C754" s="26">
        <v>3.0</v>
      </c>
      <c r="D754" s="27">
        <v>1240.0</v>
      </c>
      <c r="E754" s="27">
        <f t="shared" si="285"/>
        <v>3720</v>
      </c>
      <c r="F754" s="27">
        <v>1240.0</v>
      </c>
      <c r="G754" s="28">
        <v>1800.0</v>
      </c>
      <c r="H754" s="27">
        <f t="shared" si="286"/>
        <v>560</v>
      </c>
      <c r="I754" s="27">
        <f>H754*3</f>
        <v>1680</v>
      </c>
      <c r="J754" s="27">
        <f>G754*3</f>
        <v>5400</v>
      </c>
    </row>
    <row r="755" ht="12.75" customHeight="1">
      <c r="A755" s="36">
        <v>2027354.0</v>
      </c>
      <c r="B755" s="36" t="s">
        <v>3007</v>
      </c>
      <c r="C755" s="26">
        <v>1.0</v>
      </c>
      <c r="D755" s="27">
        <v>1990.0</v>
      </c>
      <c r="E755" s="27">
        <f t="shared" si="285"/>
        <v>1990</v>
      </c>
      <c r="F755" s="27">
        <v>199.0</v>
      </c>
      <c r="G755" s="28">
        <v>450.0</v>
      </c>
      <c r="H755" s="27">
        <f t="shared" si="286"/>
        <v>251</v>
      </c>
      <c r="I755" s="27">
        <f>H755*10</f>
        <v>2510</v>
      </c>
      <c r="J755" s="27">
        <f>G755*10</f>
        <v>4500</v>
      </c>
    </row>
    <row r="756" ht="12.75" customHeight="1">
      <c r="A756" s="36">
        <v>710003.0</v>
      </c>
      <c r="B756" s="36" t="s">
        <v>2607</v>
      </c>
      <c r="C756" s="26">
        <v>1.0</v>
      </c>
      <c r="D756" s="27">
        <v>3810.0</v>
      </c>
      <c r="E756" s="27">
        <f t="shared" si="285"/>
        <v>3810</v>
      </c>
      <c r="F756" s="27">
        <v>152.4</v>
      </c>
      <c r="G756" s="28">
        <v>400.0</v>
      </c>
      <c r="H756" s="27">
        <f t="shared" si="286"/>
        <v>247.6</v>
      </c>
      <c r="I756" s="27">
        <f>H756*25</f>
        <v>6190</v>
      </c>
      <c r="J756" s="27">
        <f>G756*25</f>
        <v>10000</v>
      </c>
    </row>
    <row r="757" ht="12.75" customHeight="1">
      <c r="A757" s="36">
        <v>7162008.0</v>
      </c>
      <c r="B757" s="36" t="s">
        <v>2617</v>
      </c>
      <c r="C757" s="26">
        <v>1.0</v>
      </c>
      <c r="D757" s="27">
        <v>11670.0</v>
      </c>
      <c r="E757" s="27">
        <f t="shared" si="285"/>
        <v>11670</v>
      </c>
      <c r="F757" s="27">
        <v>972.5</v>
      </c>
      <c r="G757" s="28">
        <v>1500.0</v>
      </c>
      <c r="H757" s="27">
        <f t="shared" si="286"/>
        <v>527.5</v>
      </c>
      <c r="I757" s="27">
        <f t="shared" ref="I757:I760" si="291">H757*12</f>
        <v>6330</v>
      </c>
      <c r="J757" s="27">
        <f t="shared" ref="J757:J760" si="292">G757*12</f>
        <v>18000</v>
      </c>
    </row>
    <row r="758" ht="12.75" customHeight="1">
      <c r="A758" s="36">
        <v>7284007.0</v>
      </c>
      <c r="B758" s="36" t="s">
        <v>2953</v>
      </c>
      <c r="C758" s="26">
        <v>2.0</v>
      </c>
      <c r="D758" s="27">
        <v>4700.0</v>
      </c>
      <c r="E758" s="27">
        <f t="shared" si="285"/>
        <v>9400</v>
      </c>
      <c r="F758" s="27">
        <v>783.33</v>
      </c>
      <c r="G758" s="28">
        <v>1500.0</v>
      </c>
      <c r="H758" s="27">
        <f t="shared" si="286"/>
        <v>716.67</v>
      </c>
      <c r="I758" s="27">
        <f t="shared" si="291"/>
        <v>8600.04</v>
      </c>
      <c r="J758" s="27">
        <f t="shared" si="292"/>
        <v>18000</v>
      </c>
    </row>
    <row r="759" ht="12.75" customHeight="1">
      <c r="A759" s="36">
        <v>7412004.0</v>
      </c>
      <c r="B759" s="36" t="s">
        <v>2790</v>
      </c>
      <c r="C759" s="26">
        <v>12.0</v>
      </c>
      <c r="D759" s="27">
        <v>610.0</v>
      </c>
      <c r="E759" s="27">
        <f t="shared" si="285"/>
        <v>7320</v>
      </c>
      <c r="F759" s="27">
        <v>610.0</v>
      </c>
      <c r="G759" s="28">
        <v>1000.0</v>
      </c>
      <c r="H759" s="27">
        <f t="shared" si="286"/>
        <v>390</v>
      </c>
      <c r="I759" s="27">
        <f t="shared" si="291"/>
        <v>4680</v>
      </c>
      <c r="J759" s="27">
        <f t="shared" si="292"/>
        <v>12000</v>
      </c>
    </row>
    <row r="760" ht="12.75" customHeight="1">
      <c r="A760" s="36">
        <v>250091.0</v>
      </c>
      <c r="B760" s="36" t="s">
        <v>3008</v>
      </c>
      <c r="C760" s="26">
        <v>12.0</v>
      </c>
      <c r="D760" s="27">
        <v>620.0</v>
      </c>
      <c r="E760" s="27">
        <f t="shared" si="285"/>
        <v>7440</v>
      </c>
      <c r="F760" s="27">
        <v>620.0</v>
      </c>
      <c r="G760" s="28">
        <v>1250.0</v>
      </c>
      <c r="H760" s="27">
        <f t="shared" si="286"/>
        <v>630</v>
      </c>
      <c r="I760" s="27">
        <f t="shared" si="291"/>
        <v>7560</v>
      </c>
      <c r="J760" s="27">
        <f t="shared" si="292"/>
        <v>15000</v>
      </c>
    </row>
    <row r="761" ht="12.75" customHeight="1">
      <c r="A761" s="36">
        <v>4131278.0</v>
      </c>
      <c r="B761" s="36" t="s">
        <v>3009</v>
      </c>
      <c r="C761" s="26">
        <v>3.0</v>
      </c>
      <c r="D761" s="27">
        <v>770.0</v>
      </c>
      <c r="E761" s="27">
        <f t="shared" si="285"/>
        <v>2310</v>
      </c>
      <c r="F761" s="27">
        <v>770.0</v>
      </c>
      <c r="G761" s="28">
        <v>1200.0</v>
      </c>
      <c r="H761" s="27">
        <f t="shared" si="286"/>
        <v>430</v>
      </c>
      <c r="I761" s="27">
        <f t="shared" ref="I761:I766" si="293">H761*3</f>
        <v>1290</v>
      </c>
      <c r="J761" s="27">
        <f t="shared" ref="J761:J766" si="294">G761*3</f>
        <v>3600</v>
      </c>
    </row>
    <row r="762" ht="12.75" customHeight="1">
      <c r="A762" s="36">
        <v>5656003.0</v>
      </c>
      <c r="B762" s="36" t="s">
        <v>3010</v>
      </c>
      <c r="C762" s="26">
        <v>3.0</v>
      </c>
      <c r="D762" s="27">
        <v>525.0</v>
      </c>
      <c r="E762" s="27">
        <f t="shared" si="285"/>
        <v>1575</v>
      </c>
      <c r="F762" s="27">
        <v>525.0</v>
      </c>
      <c r="G762" s="28">
        <v>900.0</v>
      </c>
      <c r="H762" s="27">
        <f t="shared" si="286"/>
        <v>375</v>
      </c>
      <c r="I762" s="27">
        <f t="shared" si="293"/>
        <v>1125</v>
      </c>
      <c r="J762" s="27">
        <f t="shared" si="294"/>
        <v>2700</v>
      </c>
    </row>
    <row r="763" ht="12.75" customHeight="1">
      <c r="A763" s="36">
        <v>100012.0</v>
      </c>
      <c r="B763" s="36" t="s">
        <v>3011</v>
      </c>
      <c r="C763" s="26">
        <v>3.0</v>
      </c>
      <c r="D763" s="27">
        <v>450.0</v>
      </c>
      <c r="E763" s="27">
        <f t="shared" si="285"/>
        <v>1350</v>
      </c>
      <c r="F763" s="27">
        <v>450.0</v>
      </c>
      <c r="G763" s="28">
        <v>800.0</v>
      </c>
      <c r="H763" s="27">
        <f t="shared" si="286"/>
        <v>350</v>
      </c>
      <c r="I763" s="27">
        <f t="shared" si="293"/>
        <v>1050</v>
      </c>
      <c r="J763" s="27">
        <f t="shared" si="294"/>
        <v>2400</v>
      </c>
    </row>
    <row r="764" ht="12.75" customHeight="1">
      <c r="A764" s="36">
        <v>100007.0</v>
      </c>
      <c r="B764" s="36" t="s">
        <v>2858</v>
      </c>
      <c r="C764" s="26">
        <v>3.0</v>
      </c>
      <c r="D764" s="27">
        <v>450.0</v>
      </c>
      <c r="E764" s="27">
        <f t="shared" si="285"/>
        <v>1350</v>
      </c>
      <c r="F764" s="27">
        <v>450.0</v>
      </c>
      <c r="G764" s="28">
        <v>800.0</v>
      </c>
      <c r="H764" s="27">
        <f t="shared" si="286"/>
        <v>350</v>
      </c>
      <c r="I764" s="27">
        <f t="shared" si="293"/>
        <v>1050</v>
      </c>
      <c r="J764" s="27">
        <f t="shared" si="294"/>
        <v>2400</v>
      </c>
    </row>
    <row r="765" ht="12.75" customHeight="1">
      <c r="A765" s="36">
        <v>100010.0</v>
      </c>
      <c r="B765" s="36" t="s">
        <v>3012</v>
      </c>
      <c r="C765" s="26">
        <v>3.0</v>
      </c>
      <c r="D765" s="27">
        <v>450.0</v>
      </c>
      <c r="E765" s="27">
        <f t="shared" si="285"/>
        <v>1350</v>
      </c>
      <c r="F765" s="27">
        <v>450.0</v>
      </c>
      <c r="G765" s="28">
        <v>800.0</v>
      </c>
      <c r="H765" s="27">
        <f t="shared" si="286"/>
        <v>350</v>
      </c>
      <c r="I765" s="27">
        <f t="shared" si="293"/>
        <v>1050</v>
      </c>
      <c r="J765" s="27">
        <f t="shared" si="294"/>
        <v>2400</v>
      </c>
    </row>
    <row r="766" ht="12.75" customHeight="1">
      <c r="A766" s="36">
        <v>100008.0</v>
      </c>
      <c r="B766" s="36" t="s">
        <v>2689</v>
      </c>
      <c r="C766" s="26">
        <v>3.0</v>
      </c>
      <c r="D766" s="27">
        <v>420.0</v>
      </c>
      <c r="E766" s="27">
        <f t="shared" si="285"/>
        <v>1260</v>
      </c>
      <c r="F766" s="27">
        <v>420.0</v>
      </c>
      <c r="G766" s="28">
        <v>800.0</v>
      </c>
      <c r="H766" s="27">
        <f t="shared" si="286"/>
        <v>380</v>
      </c>
      <c r="I766" s="27">
        <f t="shared" si="293"/>
        <v>1140</v>
      </c>
      <c r="J766" s="27">
        <f t="shared" si="294"/>
        <v>2400</v>
      </c>
    </row>
    <row r="767" ht="12.75" customHeight="1">
      <c r="A767" s="36">
        <v>5982996.0</v>
      </c>
      <c r="B767" s="36" t="s">
        <v>3013</v>
      </c>
      <c r="C767" s="26">
        <v>10.0</v>
      </c>
      <c r="D767" s="27">
        <v>1490.0</v>
      </c>
      <c r="E767" s="27">
        <f t="shared" si="285"/>
        <v>14900</v>
      </c>
      <c r="F767" s="27">
        <v>1490.0</v>
      </c>
      <c r="G767" s="28">
        <v>2100.0</v>
      </c>
      <c r="H767" s="27">
        <f t="shared" si="286"/>
        <v>610</v>
      </c>
      <c r="I767" s="27">
        <f>H767*10</f>
        <v>6100</v>
      </c>
      <c r="J767" s="27">
        <f>G767*10</f>
        <v>21000</v>
      </c>
    </row>
    <row r="768" ht="12.75" customHeight="1">
      <c r="A768" s="36">
        <v>4305005.0</v>
      </c>
      <c r="B768" s="36" t="s">
        <v>2853</v>
      </c>
      <c r="C768" s="26">
        <v>12.0</v>
      </c>
      <c r="D768" s="27">
        <v>690.0</v>
      </c>
      <c r="E768" s="27">
        <f t="shared" si="285"/>
        <v>8280</v>
      </c>
      <c r="F768" s="27">
        <v>690.0</v>
      </c>
      <c r="G768" s="28">
        <v>1300.0</v>
      </c>
      <c r="H768" s="27">
        <f t="shared" si="286"/>
        <v>610</v>
      </c>
      <c r="I768" s="27">
        <f>H768*12</f>
        <v>7320</v>
      </c>
      <c r="J768" s="27">
        <f>G768*12</f>
        <v>15600</v>
      </c>
    </row>
    <row r="769" ht="12.75" customHeight="1">
      <c r="A769" s="36">
        <v>2041.0</v>
      </c>
      <c r="B769" s="36" t="s">
        <v>2694</v>
      </c>
      <c r="C769" s="26">
        <v>1.0</v>
      </c>
      <c r="D769" s="27">
        <v>7870.0</v>
      </c>
      <c r="E769" s="27">
        <f t="shared" si="285"/>
        <v>7870</v>
      </c>
      <c r="F769" s="27">
        <v>78.7</v>
      </c>
      <c r="G769" s="28">
        <v>200.0</v>
      </c>
      <c r="H769" s="27">
        <f t="shared" si="286"/>
        <v>121.3</v>
      </c>
      <c r="I769" s="27">
        <f>H769*100</f>
        <v>12130</v>
      </c>
      <c r="J769" s="27">
        <f>G769*100</f>
        <v>20000</v>
      </c>
    </row>
    <row r="770" ht="12.75" customHeight="1">
      <c r="A770" s="36" t="s">
        <v>3014</v>
      </c>
      <c r="B770" s="36" t="s">
        <v>3015</v>
      </c>
      <c r="C770" s="26">
        <v>24.0</v>
      </c>
      <c r="D770" s="27">
        <v>300.0</v>
      </c>
      <c r="E770" s="27">
        <f t="shared" si="285"/>
        <v>7200</v>
      </c>
      <c r="F770" s="27">
        <v>300.0</v>
      </c>
      <c r="G770" s="28">
        <v>1000.0</v>
      </c>
      <c r="H770" s="27">
        <f t="shared" si="286"/>
        <v>700</v>
      </c>
      <c r="I770" s="27">
        <f>H770*24</f>
        <v>16800</v>
      </c>
      <c r="J770" s="27">
        <f>G770*24</f>
        <v>24000</v>
      </c>
    </row>
    <row r="771" ht="12.75" customHeight="1">
      <c r="A771" s="36">
        <v>13.0</v>
      </c>
      <c r="B771" s="36" t="s">
        <v>3016</v>
      </c>
      <c r="C771" s="26">
        <v>6.0</v>
      </c>
      <c r="D771" s="27">
        <v>850.0</v>
      </c>
      <c r="E771" s="27">
        <f t="shared" si="285"/>
        <v>5100</v>
      </c>
      <c r="F771" s="27">
        <v>850.0</v>
      </c>
      <c r="G771" s="28">
        <v>1500.0</v>
      </c>
      <c r="H771" s="27">
        <f t="shared" si="286"/>
        <v>650</v>
      </c>
      <c r="I771" s="27">
        <f t="shared" ref="I771:I774" si="295">H771*6</f>
        <v>3900</v>
      </c>
      <c r="J771" s="27">
        <f t="shared" ref="J771:J774" si="296">G771*6</f>
        <v>9000</v>
      </c>
    </row>
    <row r="772" ht="12.75" customHeight="1">
      <c r="A772" s="36">
        <v>14.0</v>
      </c>
      <c r="B772" s="36" t="s">
        <v>3017</v>
      </c>
      <c r="C772" s="26">
        <v>6.0</v>
      </c>
      <c r="D772" s="27">
        <v>850.0</v>
      </c>
      <c r="E772" s="27">
        <f t="shared" si="285"/>
        <v>5100</v>
      </c>
      <c r="F772" s="27">
        <v>850.0</v>
      </c>
      <c r="G772" s="28">
        <v>1500.0</v>
      </c>
      <c r="H772" s="27">
        <f t="shared" si="286"/>
        <v>650</v>
      </c>
      <c r="I772" s="27">
        <f t="shared" si="295"/>
        <v>3900</v>
      </c>
      <c r="J772" s="27">
        <f t="shared" si="296"/>
        <v>9000</v>
      </c>
    </row>
    <row r="773" ht="12.75" customHeight="1">
      <c r="A773" s="36">
        <v>6.0</v>
      </c>
      <c r="B773" s="36" t="s">
        <v>3018</v>
      </c>
      <c r="C773" s="26">
        <v>6.0</v>
      </c>
      <c r="D773" s="27">
        <v>300.0</v>
      </c>
      <c r="E773" s="27">
        <f t="shared" si="285"/>
        <v>1800</v>
      </c>
      <c r="F773" s="27">
        <v>300.0</v>
      </c>
      <c r="G773" s="28">
        <v>800.0</v>
      </c>
      <c r="H773" s="27">
        <f t="shared" si="286"/>
        <v>500</v>
      </c>
      <c r="I773" s="27">
        <f t="shared" si="295"/>
        <v>3000</v>
      </c>
      <c r="J773" s="27">
        <f t="shared" si="296"/>
        <v>4800</v>
      </c>
    </row>
    <row r="774" ht="12.75" customHeight="1">
      <c r="A774" s="36">
        <v>4.0</v>
      </c>
      <c r="B774" s="36" t="s">
        <v>2934</v>
      </c>
      <c r="C774" s="26">
        <v>6.0</v>
      </c>
      <c r="D774" s="27">
        <v>300.0</v>
      </c>
      <c r="E774" s="27">
        <f t="shared" si="285"/>
        <v>1800</v>
      </c>
      <c r="F774" s="27">
        <v>300.0</v>
      </c>
      <c r="G774" s="28">
        <v>800.0</v>
      </c>
      <c r="H774" s="27">
        <f t="shared" si="286"/>
        <v>500</v>
      </c>
      <c r="I774" s="27">
        <f t="shared" si="295"/>
        <v>3000</v>
      </c>
      <c r="J774" s="27">
        <f t="shared" si="296"/>
        <v>4800</v>
      </c>
    </row>
    <row r="775" ht="12.75" customHeight="1">
      <c r="A775" s="36">
        <v>7.0</v>
      </c>
      <c r="B775" s="36" t="s">
        <v>3019</v>
      </c>
      <c r="C775" s="26">
        <v>10.0</v>
      </c>
      <c r="D775" s="27">
        <v>300.0</v>
      </c>
      <c r="E775" s="27">
        <f t="shared" si="285"/>
        <v>3000</v>
      </c>
      <c r="F775" s="27">
        <v>300.0</v>
      </c>
      <c r="G775" s="28">
        <v>800.0</v>
      </c>
      <c r="H775" s="27">
        <f t="shared" si="286"/>
        <v>500</v>
      </c>
      <c r="I775" s="27">
        <f>H775*10</f>
        <v>5000</v>
      </c>
      <c r="J775" s="27">
        <f>G775*10</f>
        <v>8000</v>
      </c>
    </row>
    <row r="776" ht="12.75" customHeight="1">
      <c r="A776" s="36">
        <v>5664009.0</v>
      </c>
      <c r="B776" s="36" t="s">
        <v>2582</v>
      </c>
      <c r="C776" s="26">
        <v>1.0</v>
      </c>
      <c r="D776" s="27">
        <v>3590.0</v>
      </c>
      <c r="E776" s="27">
        <f t="shared" si="285"/>
        <v>3590</v>
      </c>
      <c r="F776" s="27">
        <v>299.16</v>
      </c>
      <c r="G776" s="28">
        <v>700.0</v>
      </c>
      <c r="H776" s="27">
        <f t="shared" si="286"/>
        <v>400.84</v>
      </c>
      <c r="I776" s="27">
        <f>H776*12</f>
        <v>4810.08</v>
      </c>
      <c r="J776" s="27">
        <f>G776*12</f>
        <v>8400</v>
      </c>
    </row>
    <row r="777" ht="12.75" customHeight="1">
      <c r="A777" s="36">
        <v>5501016.0</v>
      </c>
      <c r="B777" s="36" t="s">
        <v>2575</v>
      </c>
      <c r="C777" s="26">
        <v>2.0</v>
      </c>
      <c r="D777" s="27">
        <v>3000.0</v>
      </c>
      <c r="E777" s="27">
        <f t="shared" si="285"/>
        <v>6000</v>
      </c>
      <c r="F777" s="27">
        <v>250.0</v>
      </c>
      <c r="G777" s="28">
        <v>500.0</v>
      </c>
      <c r="H777" s="27">
        <f t="shared" si="286"/>
        <v>250</v>
      </c>
      <c r="I777" s="27">
        <f t="shared" ref="I777:I778" si="297">H777*24</f>
        <v>6000</v>
      </c>
      <c r="J777" s="27">
        <f t="shared" ref="J777:J778" si="298">G777*24</f>
        <v>12000</v>
      </c>
    </row>
    <row r="778" ht="12.75" customHeight="1">
      <c r="A778" s="36">
        <v>5.5010523E7</v>
      </c>
      <c r="B778" s="36" t="s">
        <v>2574</v>
      </c>
      <c r="C778" s="26">
        <v>2.0</v>
      </c>
      <c r="D778" s="27">
        <v>3000.0</v>
      </c>
      <c r="E778" s="27">
        <f t="shared" si="285"/>
        <v>6000</v>
      </c>
      <c r="F778" s="27">
        <v>250.0</v>
      </c>
      <c r="G778" s="28">
        <v>500.0</v>
      </c>
      <c r="H778" s="27">
        <f t="shared" si="286"/>
        <v>250</v>
      </c>
      <c r="I778" s="27">
        <f t="shared" si="297"/>
        <v>6000</v>
      </c>
      <c r="J778" s="27">
        <f t="shared" si="298"/>
        <v>12000</v>
      </c>
    </row>
    <row r="779" ht="12.75" customHeight="1">
      <c r="A779" s="36">
        <v>5501030.0</v>
      </c>
      <c r="B779" s="36" t="s">
        <v>3020</v>
      </c>
      <c r="C779" s="26">
        <v>1.0</v>
      </c>
      <c r="D779" s="27">
        <v>3000.0</v>
      </c>
      <c r="E779" s="27">
        <f t="shared" si="285"/>
        <v>3000</v>
      </c>
      <c r="F779" s="27">
        <v>250.0</v>
      </c>
      <c r="G779" s="28">
        <v>500.0</v>
      </c>
      <c r="H779" s="27">
        <f t="shared" si="286"/>
        <v>250</v>
      </c>
      <c r="I779" s="27">
        <f t="shared" ref="I779:I780" si="299">H779*12</f>
        <v>3000</v>
      </c>
      <c r="J779" s="27">
        <f t="shared" ref="J779:J780" si="300">G779*12</f>
        <v>6000</v>
      </c>
    </row>
    <row r="780" ht="12.75" customHeight="1">
      <c r="A780" s="36">
        <v>5500019.0</v>
      </c>
      <c r="B780" s="36" t="s">
        <v>2736</v>
      </c>
      <c r="C780" s="26">
        <v>1.0</v>
      </c>
      <c r="D780" s="27">
        <v>3000.0</v>
      </c>
      <c r="E780" s="27">
        <f t="shared" si="285"/>
        <v>3000</v>
      </c>
      <c r="F780" s="27">
        <v>250.0</v>
      </c>
      <c r="G780" s="28">
        <v>500.0</v>
      </c>
      <c r="H780" s="27">
        <f t="shared" si="286"/>
        <v>250</v>
      </c>
      <c r="I780" s="27">
        <f t="shared" si="299"/>
        <v>3000</v>
      </c>
      <c r="J780" s="27">
        <f t="shared" si="300"/>
        <v>6000</v>
      </c>
    </row>
    <row r="781" ht="12.75" customHeight="1">
      <c r="A781" s="36">
        <v>5500026.0</v>
      </c>
      <c r="B781" s="36" t="s">
        <v>2735</v>
      </c>
      <c r="C781" s="26">
        <v>2.0</v>
      </c>
      <c r="D781" s="27">
        <v>3000.0</v>
      </c>
      <c r="E781" s="27">
        <f t="shared" si="285"/>
        <v>6000</v>
      </c>
      <c r="F781" s="27">
        <v>250.0</v>
      </c>
      <c r="G781" s="28">
        <v>500.0</v>
      </c>
      <c r="H781" s="27">
        <f t="shared" si="286"/>
        <v>250</v>
      </c>
      <c r="I781" s="27">
        <f>H781*24</f>
        <v>6000</v>
      </c>
      <c r="J781" s="27">
        <f>G781*24</f>
        <v>12000</v>
      </c>
    </row>
    <row r="782" ht="12.75" customHeight="1">
      <c r="A782" s="36">
        <v>5500033.0</v>
      </c>
      <c r="B782" s="36" t="s">
        <v>2737</v>
      </c>
      <c r="C782" s="26">
        <v>1.0</v>
      </c>
      <c r="D782" s="27">
        <v>3000.0</v>
      </c>
      <c r="E782" s="27">
        <f t="shared" si="285"/>
        <v>3000</v>
      </c>
      <c r="F782" s="27">
        <v>250.0</v>
      </c>
      <c r="G782" s="28">
        <v>500.0</v>
      </c>
      <c r="H782" s="27">
        <f t="shared" si="286"/>
        <v>250</v>
      </c>
      <c r="I782" s="27">
        <f>H782*12</f>
        <v>3000</v>
      </c>
      <c r="J782" s="27">
        <f>G782*12</f>
        <v>6000</v>
      </c>
    </row>
    <row r="783" ht="12.75" customHeight="1">
      <c r="A783" s="36">
        <v>1109678.0</v>
      </c>
      <c r="B783" s="36" t="s">
        <v>3021</v>
      </c>
      <c r="C783" s="26">
        <v>8.0</v>
      </c>
      <c r="D783" s="27">
        <v>2490.0</v>
      </c>
      <c r="E783" s="27">
        <f t="shared" si="285"/>
        <v>19920</v>
      </c>
      <c r="F783" s="27">
        <v>2490.0</v>
      </c>
      <c r="G783" s="28">
        <v>4500.0</v>
      </c>
      <c r="H783" s="27">
        <f t="shared" si="286"/>
        <v>2010</v>
      </c>
      <c r="I783" s="27">
        <f>H783*8</f>
        <v>16080</v>
      </c>
      <c r="J783" s="27">
        <f>G783*8</f>
        <v>36000</v>
      </c>
    </row>
    <row r="784" ht="12.75" customHeight="1">
      <c r="A784" s="36">
        <v>1111428.0</v>
      </c>
      <c r="B784" s="36" t="s">
        <v>3022</v>
      </c>
      <c r="C784" s="26">
        <v>3.0</v>
      </c>
      <c r="D784" s="27">
        <v>900.0</v>
      </c>
      <c r="E784" s="27">
        <f t="shared" si="285"/>
        <v>2700</v>
      </c>
      <c r="F784" s="27">
        <v>75.0</v>
      </c>
      <c r="G784" s="28">
        <v>200.0</v>
      </c>
      <c r="H784" s="27">
        <f t="shared" si="286"/>
        <v>125</v>
      </c>
      <c r="I784" s="27">
        <f t="shared" ref="I784:I785" si="301">H784*36</f>
        <v>4500</v>
      </c>
      <c r="J784" s="27">
        <f t="shared" ref="J784:J785" si="302">G784*36</f>
        <v>7200</v>
      </c>
    </row>
    <row r="785" ht="12.75" customHeight="1">
      <c r="A785" s="36">
        <v>1111411.0</v>
      </c>
      <c r="B785" s="36" t="s">
        <v>3023</v>
      </c>
      <c r="C785" s="26">
        <v>3.0</v>
      </c>
      <c r="D785" s="27">
        <v>900.0</v>
      </c>
      <c r="E785" s="27">
        <f t="shared" si="285"/>
        <v>2700</v>
      </c>
      <c r="F785" s="27">
        <v>75.0</v>
      </c>
      <c r="G785" s="28">
        <v>200.0</v>
      </c>
      <c r="H785" s="27">
        <f t="shared" si="286"/>
        <v>125</v>
      </c>
      <c r="I785" s="27">
        <f t="shared" si="301"/>
        <v>4500</v>
      </c>
      <c r="J785" s="27">
        <f t="shared" si="302"/>
        <v>7200</v>
      </c>
    </row>
    <row r="786" ht="12.75" customHeight="1">
      <c r="A786" s="36">
        <v>4414098.0</v>
      </c>
      <c r="B786" s="36" t="s">
        <v>3024</v>
      </c>
      <c r="C786" s="26">
        <v>1.0</v>
      </c>
      <c r="D786" s="27">
        <v>2340.0</v>
      </c>
      <c r="E786" s="27">
        <f t="shared" si="285"/>
        <v>2340</v>
      </c>
      <c r="F786" s="27">
        <v>2340.0</v>
      </c>
      <c r="G786" s="28">
        <v>2340.0</v>
      </c>
      <c r="H786" s="27">
        <f t="shared" si="286"/>
        <v>0</v>
      </c>
      <c r="I786" s="27">
        <f t="shared" ref="I786:I788" si="303">H786*1</f>
        <v>0</v>
      </c>
      <c r="J786" s="27">
        <f>G787*0</f>
        <v>0</v>
      </c>
    </row>
    <row r="787" ht="12.75" customHeight="1">
      <c r="A787" s="36">
        <v>4837867.0</v>
      </c>
      <c r="B787" s="36" t="s">
        <v>3025</v>
      </c>
      <c r="C787" s="26">
        <v>1.0</v>
      </c>
      <c r="D787" s="27">
        <v>2340.0</v>
      </c>
      <c r="E787" s="27">
        <f t="shared" si="285"/>
        <v>2340</v>
      </c>
      <c r="F787" s="27">
        <v>2340.0</v>
      </c>
      <c r="G787" s="28">
        <v>2340.0</v>
      </c>
      <c r="H787" s="27">
        <f t="shared" si="286"/>
        <v>0</v>
      </c>
      <c r="I787" s="27">
        <f t="shared" si="303"/>
        <v>0</v>
      </c>
      <c r="J787" s="27">
        <f t="shared" ref="J787:J788" si="304">G787*0</f>
        <v>0</v>
      </c>
    </row>
    <row r="788" ht="12.75" customHeight="1">
      <c r="A788" s="36">
        <v>2875535.0</v>
      </c>
      <c r="B788" s="36" t="s">
        <v>3026</v>
      </c>
      <c r="C788" s="26">
        <v>1.0</v>
      </c>
      <c r="D788" s="27">
        <v>2340.0</v>
      </c>
      <c r="E788" s="27">
        <f t="shared" si="285"/>
        <v>2340</v>
      </c>
      <c r="F788" s="27">
        <v>2340.0</v>
      </c>
      <c r="G788" s="28">
        <v>2340.0</v>
      </c>
      <c r="H788" s="27">
        <f t="shared" si="286"/>
        <v>0</v>
      </c>
      <c r="I788" s="27">
        <f t="shared" si="303"/>
        <v>0</v>
      </c>
      <c r="J788" s="27">
        <f t="shared" si="304"/>
        <v>0</v>
      </c>
    </row>
    <row r="789" ht="12.75" customHeight="1">
      <c r="A789" s="25"/>
      <c r="C789" s="26"/>
      <c r="D789" s="27"/>
      <c r="E789" s="27"/>
      <c r="F789" s="27"/>
      <c r="G789" s="28"/>
      <c r="H789" s="27"/>
      <c r="I789" s="27"/>
      <c r="J789" s="27"/>
    </row>
    <row r="790" ht="12.75" customHeight="1">
      <c r="A790" s="25"/>
      <c r="C790" s="26"/>
      <c r="D790" s="27"/>
      <c r="E790" s="32">
        <f>SUM(E740:E788)</f>
        <v>240395</v>
      </c>
      <c r="F790" s="27"/>
      <c r="G790" s="28"/>
      <c r="H790" s="27"/>
      <c r="I790" s="33">
        <f t="shared" ref="I790:J790" si="305">SUM(I740:I788)</f>
        <v>209025.12</v>
      </c>
      <c r="J790" s="33">
        <f t="shared" si="305"/>
        <v>442400</v>
      </c>
    </row>
    <row r="791" ht="12.75" customHeight="1">
      <c r="A791" s="25"/>
      <c r="C791" s="26"/>
      <c r="D791" s="27"/>
      <c r="E791" s="27"/>
      <c r="F791" s="27"/>
      <c r="G791" s="28"/>
      <c r="H791" s="27"/>
      <c r="I791" s="27"/>
      <c r="J791" s="27"/>
    </row>
    <row r="792" ht="12.75" customHeight="1">
      <c r="A792" s="25"/>
      <c r="C792" s="26"/>
      <c r="D792" s="27"/>
      <c r="E792" s="27"/>
      <c r="F792" s="27"/>
      <c r="G792" s="28"/>
      <c r="H792" s="27"/>
      <c r="I792" s="27"/>
      <c r="J792" s="27"/>
    </row>
    <row r="793" ht="12.75" customHeight="1">
      <c r="A793" s="34">
        <v>45719.0</v>
      </c>
      <c r="C793" s="26"/>
      <c r="D793" s="27"/>
      <c r="E793" s="27"/>
      <c r="F793" s="27"/>
      <c r="G793" s="28"/>
      <c r="H793" s="27"/>
      <c r="I793" s="27"/>
      <c r="J793" s="27"/>
    </row>
    <row r="794" ht="12.75" customHeight="1">
      <c r="A794" s="25"/>
      <c r="C794" s="26"/>
      <c r="D794" s="27"/>
      <c r="E794" s="27"/>
      <c r="F794" s="27"/>
      <c r="G794" s="28"/>
      <c r="H794" s="27"/>
      <c r="I794" s="27"/>
      <c r="J794" s="27"/>
    </row>
    <row r="795" ht="12.75" customHeight="1">
      <c r="A795" s="36">
        <v>6703003.0</v>
      </c>
      <c r="B795" s="36" t="s">
        <v>2781</v>
      </c>
      <c r="C795" s="26">
        <v>18.0</v>
      </c>
      <c r="D795" s="27">
        <v>360.0</v>
      </c>
      <c r="E795" s="27">
        <f t="shared" ref="E795:E818" si="306">D795*C795</f>
        <v>6480</v>
      </c>
      <c r="F795" s="27">
        <v>360.0</v>
      </c>
      <c r="G795" s="28">
        <v>750.0</v>
      </c>
      <c r="H795" s="27">
        <f t="shared" ref="H795:H818" si="307">G795-F795</f>
        <v>390</v>
      </c>
      <c r="I795" s="27">
        <f>H795*18</f>
        <v>7020</v>
      </c>
      <c r="J795" s="27">
        <f>G795*18</f>
        <v>13500</v>
      </c>
    </row>
    <row r="796" ht="12.75" customHeight="1">
      <c r="A796" s="36">
        <v>3882942.0</v>
      </c>
      <c r="B796" s="36" t="s">
        <v>2693</v>
      </c>
      <c r="C796" s="26">
        <v>20.0</v>
      </c>
      <c r="D796" s="27">
        <v>920.0</v>
      </c>
      <c r="E796" s="27">
        <f t="shared" si="306"/>
        <v>18400</v>
      </c>
      <c r="F796" s="27">
        <v>920.0</v>
      </c>
      <c r="G796" s="28">
        <v>1500.0</v>
      </c>
      <c r="H796" s="27">
        <f t="shared" si="307"/>
        <v>580</v>
      </c>
      <c r="I796" s="27">
        <f>H796*20</f>
        <v>11600</v>
      </c>
      <c r="J796" s="27">
        <f>G796*20</f>
        <v>30000</v>
      </c>
    </row>
    <row r="797" ht="12.75" customHeight="1">
      <c r="A797" s="36">
        <v>4164023.0</v>
      </c>
      <c r="B797" s="36" t="s">
        <v>2573</v>
      </c>
      <c r="C797" s="26">
        <v>10.0</v>
      </c>
      <c r="D797" s="27">
        <v>1390.0</v>
      </c>
      <c r="E797" s="27">
        <f t="shared" si="306"/>
        <v>13900</v>
      </c>
      <c r="F797" s="27">
        <v>1390.0</v>
      </c>
      <c r="G797" s="28">
        <v>1800.0</v>
      </c>
      <c r="H797" s="27">
        <f t="shared" si="307"/>
        <v>410</v>
      </c>
      <c r="I797" s="27">
        <f>H797*10</f>
        <v>4100</v>
      </c>
      <c r="J797" s="27">
        <f>G797*10</f>
        <v>18000</v>
      </c>
    </row>
    <row r="798" ht="12.75" customHeight="1">
      <c r="A798" s="36">
        <v>5100529.0</v>
      </c>
      <c r="B798" s="36" t="s">
        <v>2601</v>
      </c>
      <c r="C798" s="26">
        <v>20.0</v>
      </c>
      <c r="D798" s="27">
        <v>1690.0</v>
      </c>
      <c r="E798" s="27">
        <f t="shared" si="306"/>
        <v>33800</v>
      </c>
      <c r="F798" s="27">
        <v>1690.0</v>
      </c>
      <c r="G798" s="28">
        <v>2400.0</v>
      </c>
      <c r="H798" s="27">
        <f t="shared" si="307"/>
        <v>710</v>
      </c>
      <c r="I798" s="27">
        <f>H798*20</f>
        <v>14200</v>
      </c>
      <c r="J798" s="27">
        <f>G798*20</f>
        <v>48000</v>
      </c>
    </row>
    <row r="799" ht="12.75" customHeight="1">
      <c r="A799" s="36">
        <v>1108695.0</v>
      </c>
      <c r="B799" s="36" t="s">
        <v>3027</v>
      </c>
      <c r="C799" s="26">
        <v>10.0</v>
      </c>
      <c r="D799" s="27">
        <v>860.0</v>
      </c>
      <c r="E799" s="27">
        <f t="shared" si="306"/>
        <v>8600</v>
      </c>
      <c r="F799" s="27">
        <v>860.0</v>
      </c>
      <c r="G799" s="28">
        <v>1500.0</v>
      </c>
      <c r="H799" s="27">
        <f t="shared" si="307"/>
        <v>640</v>
      </c>
      <c r="I799" s="27">
        <f>H799*10</f>
        <v>6400</v>
      </c>
      <c r="J799" s="27">
        <f>G799*10</f>
        <v>15000</v>
      </c>
    </row>
    <row r="800" ht="12.75" customHeight="1">
      <c r="A800" s="36">
        <v>4173575.0</v>
      </c>
      <c r="B800" s="36" t="s">
        <v>3002</v>
      </c>
      <c r="C800" s="26">
        <v>20.0</v>
      </c>
      <c r="D800" s="27">
        <v>125.0</v>
      </c>
      <c r="E800" s="27">
        <f t="shared" si="306"/>
        <v>2500</v>
      </c>
      <c r="F800" s="27">
        <v>125.0</v>
      </c>
      <c r="G800" s="28">
        <v>300.0</v>
      </c>
      <c r="H800" s="27">
        <f t="shared" si="307"/>
        <v>175</v>
      </c>
      <c r="I800" s="27">
        <f>H800*20</f>
        <v>3500</v>
      </c>
      <c r="J800" s="27">
        <f>G800*20</f>
        <v>6000</v>
      </c>
    </row>
    <row r="801" ht="12.75" customHeight="1">
      <c r="A801" s="36">
        <v>710002.0</v>
      </c>
      <c r="B801" s="36" t="s">
        <v>2576</v>
      </c>
      <c r="C801" s="26">
        <v>3.0</v>
      </c>
      <c r="D801" s="27">
        <v>7580.0</v>
      </c>
      <c r="E801" s="27">
        <f t="shared" si="306"/>
        <v>22740</v>
      </c>
      <c r="F801" s="27">
        <v>303.2</v>
      </c>
      <c r="G801" s="28">
        <v>800.0</v>
      </c>
      <c r="H801" s="27">
        <f t="shared" si="307"/>
        <v>496.8</v>
      </c>
      <c r="I801" s="27">
        <f>H801*75</f>
        <v>37260</v>
      </c>
      <c r="J801" s="27">
        <f>G801*75</f>
        <v>60000</v>
      </c>
    </row>
    <row r="802" ht="12.75" customHeight="1">
      <c r="A802" s="36">
        <v>5694221.0</v>
      </c>
      <c r="B802" s="36" t="s">
        <v>2570</v>
      </c>
      <c r="C802" s="26">
        <v>4.0</v>
      </c>
      <c r="D802" s="27">
        <v>7710.0</v>
      </c>
      <c r="E802" s="27">
        <f t="shared" si="306"/>
        <v>30840</v>
      </c>
      <c r="F802" s="27">
        <v>642.5</v>
      </c>
      <c r="G802" s="28">
        <v>1100.0</v>
      </c>
      <c r="H802" s="27">
        <f t="shared" si="307"/>
        <v>457.5</v>
      </c>
      <c r="I802" s="27">
        <f>H802*48</f>
        <v>21960</v>
      </c>
      <c r="J802" s="27">
        <f>G802*48</f>
        <v>52800</v>
      </c>
    </row>
    <row r="803" ht="12.75" customHeight="1">
      <c r="A803" s="36">
        <v>7162008.0</v>
      </c>
      <c r="B803" s="36" t="s">
        <v>2617</v>
      </c>
      <c r="C803" s="26">
        <v>2.0</v>
      </c>
      <c r="D803" s="27">
        <v>11670.0</v>
      </c>
      <c r="E803" s="27">
        <f t="shared" si="306"/>
        <v>23340</v>
      </c>
      <c r="F803" s="27">
        <v>972.5</v>
      </c>
      <c r="G803" s="28">
        <v>1500.0</v>
      </c>
      <c r="H803" s="27">
        <f t="shared" si="307"/>
        <v>527.5</v>
      </c>
      <c r="I803" s="27">
        <f>H803*24</f>
        <v>12660</v>
      </c>
      <c r="J803" s="27">
        <f>G803*24</f>
        <v>36000</v>
      </c>
    </row>
    <row r="804" ht="12.75" customHeight="1">
      <c r="A804" s="36">
        <v>7552007.0</v>
      </c>
      <c r="B804" s="36" t="s">
        <v>2700</v>
      </c>
      <c r="C804" s="26">
        <v>20.0</v>
      </c>
      <c r="D804" s="27">
        <v>380.0</v>
      </c>
      <c r="E804" s="27">
        <f t="shared" si="306"/>
        <v>7600</v>
      </c>
      <c r="F804" s="27">
        <v>380.0</v>
      </c>
      <c r="G804" s="28">
        <v>700.0</v>
      </c>
      <c r="H804" s="27">
        <f t="shared" si="307"/>
        <v>320</v>
      </c>
      <c r="I804" s="27">
        <f>H804*20</f>
        <v>6400</v>
      </c>
      <c r="J804" s="27">
        <f>G804*20</f>
        <v>14000</v>
      </c>
    </row>
    <row r="805" ht="12.75" customHeight="1">
      <c r="A805" s="36">
        <v>5982996.0</v>
      </c>
      <c r="B805" s="36" t="s">
        <v>3013</v>
      </c>
      <c r="C805" s="26">
        <v>10.0</v>
      </c>
      <c r="D805" s="27">
        <v>1490.0</v>
      </c>
      <c r="E805" s="27">
        <f t="shared" si="306"/>
        <v>14900</v>
      </c>
      <c r="F805" s="27">
        <v>1490.0</v>
      </c>
      <c r="G805" s="28">
        <v>2100.0</v>
      </c>
      <c r="H805" s="27">
        <f t="shared" si="307"/>
        <v>610</v>
      </c>
      <c r="I805" s="27">
        <f>H805*10</f>
        <v>6100</v>
      </c>
      <c r="J805" s="27">
        <f>G805*10</f>
        <v>21000</v>
      </c>
    </row>
    <row r="806" ht="12.75" customHeight="1">
      <c r="A806" s="36">
        <v>4305005.0</v>
      </c>
      <c r="B806" s="36" t="s">
        <v>2853</v>
      </c>
      <c r="C806" s="26">
        <v>12.0</v>
      </c>
      <c r="D806" s="27">
        <v>690.0</v>
      </c>
      <c r="E806" s="27">
        <f t="shared" si="306"/>
        <v>8280</v>
      </c>
      <c r="F806" s="27">
        <v>690.0</v>
      </c>
      <c r="G806" s="28">
        <v>1300.0</v>
      </c>
      <c r="H806" s="27">
        <f t="shared" si="307"/>
        <v>610</v>
      </c>
      <c r="I806" s="27">
        <f t="shared" ref="I806:I807" si="308">H806*12</f>
        <v>7320</v>
      </c>
      <c r="J806" s="27">
        <f t="shared" ref="J806:J807" si="309">G806*12</f>
        <v>15600</v>
      </c>
    </row>
    <row r="807" ht="12.75" customHeight="1">
      <c r="A807" s="36">
        <v>4162001.0</v>
      </c>
      <c r="B807" s="36" t="s">
        <v>2733</v>
      </c>
      <c r="C807" s="26">
        <v>12.0</v>
      </c>
      <c r="D807" s="27">
        <v>780.0</v>
      </c>
      <c r="E807" s="27">
        <f t="shared" si="306"/>
        <v>9360</v>
      </c>
      <c r="F807" s="27">
        <v>780.0</v>
      </c>
      <c r="G807" s="28">
        <v>1500.0</v>
      </c>
      <c r="H807" s="27">
        <f t="shared" si="307"/>
        <v>720</v>
      </c>
      <c r="I807" s="27">
        <f t="shared" si="308"/>
        <v>8640</v>
      </c>
      <c r="J807" s="27">
        <f t="shared" si="309"/>
        <v>18000</v>
      </c>
    </row>
    <row r="808" ht="12.75" customHeight="1">
      <c r="A808" s="36">
        <v>6898.0</v>
      </c>
      <c r="B808" s="36" t="s">
        <v>2658</v>
      </c>
      <c r="C808" s="26">
        <v>10.0</v>
      </c>
      <c r="D808" s="27">
        <v>930.0</v>
      </c>
      <c r="E808" s="27">
        <f t="shared" si="306"/>
        <v>9300</v>
      </c>
      <c r="F808" s="27">
        <v>930.0</v>
      </c>
      <c r="G808" s="28">
        <v>2000.0</v>
      </c>
      <c r="H808" s="27">
        <f t="shared" si="307"/>
        <v>1070</v>
      </c>
      <c r="I808" s="27">
        <f t="shared" ref="I808:I810" si="310">H808*10</f>
        <v>10700</v>
      </c>
      <c r="J808" s="27">
        <f t="shared" ref="J808:J810" si="311">G808*10</f>
        <v>20000</v>
      </c>
    </row>
    <row r="809" ht="12.75" customHeight="1">
      <c r="A809" s="36">
        <v>4087735.0</v>
      </c>
      <c r="B809" s="36" t="s">
        <v>2882</v>
      </c>
      <c r="C809" s="26">
        <v>10.0</v>
      </c>
      <c r="D809" s="27">
        <v>870.0</v>
      </c>
      <c r="E809" s="27">
        <f t="shared" si="306"/>
        <v>8700</v>
      </c>
      <c r="F809" s="27">
        <v>870.0</v>
      </c>
      <c r="G809" s="28">
        <v>1500.0</v>
      </c>
      <c r="H809" s="27">
        <f t="shared" si="307"/>
        <v>630</v>
      </c>
      <c r="I809" s="27">
        <f t="shared" si="310"/>
        <v>6300</v>
      </c>
      <c r="J809" s="27">
        <f t="shared" si="311"/>
        <v>15000</v>
      </c>
    </row>
    <row r="810" ht="12.75" customHeight="1">
      <c r="A810" s="36">
        <v>4087742.0</v>
      </c>
      <c r="B810" s="36" t="s">
        <v>2881</v>
      </c>
      <c r="C810" s="26">
        <v>10.0</v>
      </c>
      <c r="D810" s="27">
        <v>860.0</v>
      </c>
      <c r="E810" s="27">
        <f t="shared" si="306"/>
        <v>8600</v>
      </c>
      <c r="F810" s="27">
        <v>860.0</v>
      </c>
      <c r="G810" s="28">
        <v>1500.0</v>
      </c>
      <c r="H810" s="27">
        <f t="shared" si="307"/>
        <v>640</v>
      </c>
      <c r="I810" s="27">
        <f t="shared" si="310"/>
        <v>6400</v>
      </c>
      <c r="J810" s="27">
        <f t="shared" si="311"/>
        <v>15000</v>
      </c>
    </row>
    <row r="811" ht="12.75" customHeight="1">
      <c r="A811" s="36">
        <v>5035319.0</v>
      </c>
      <c r="B811" s="36" t="s">
        <v>3028</v>
      </c>
      <c r="C811" s="26">
        <v>2.0</v>
      </c>
      <c r="D811" s="27">
        <v>3450.0</v>
      </c>
      <c r="E811" s="27">
        <f t="shared" si="306"/>
        <v>6900</v>
      </c>
      <c r="F811" s="27">
        <v>287.5</v>
      </c>
      <c r="G811" s="28">
        <v>500.0</v>
      </c>
      <c r="H811" s="27">
        <f t="shared" si="307"/>
        <v>212.5</v>
      </c>
      <c r="I811" s="27">
        <f>H811*24</f>
        <v>5100</v>
      </c>
      <c r="J811" s="27">
        <f>G811*24</f>
        <v>12000</v>
      </c>
    </row>
    <row r="812" ht="12.75" customHeight="1">
      <c r="A812" s="36">
        <v>1112098.0</v>
      </c>
      <c r="B812" s="36" t="s">
        <v>3029</v>
      </c>
      <c r="C812" s="26">
        <v>10.0</v>
      </c>
      <c r="D812" s="27">
        <v>2070.0</v>
      </c>
      <c r="E812" s="27">
        <f t="shared" si="306"/>
        <v>20700</v>
      </c>
      <c r="F812" s="27">
        <v>2070.0</v>
      </c>
      <c r="G812" s="28">
        <v>3800.0</v>
      </c>
      <c r="H812" s="27">
        <f t="shared" si="307"/>
        <v>1730</v>
      </c>
      <c r="I812" s="27">
        <f>H812*10</f>
        <v>17300</v>
      </c>
      <c r="J812" s="27">
        <f>G812*10</f>
        <v>38000</v>
      </c>
    </row>
    <row r="813" ht="12.75" customHeight="1">
      <c r="A813" s="36">
        <v>4469538.0</v>
      </c>
      <c r="B813" s="36" t="s">
        <v>2983</v>
      </c>
      <c r="C813" s="26">
        <v>2.0</v>
      </c>
      <c r="D813" s="27">
        <v>1970.0</v>
      </c>
      <c r="E813" s="27">
        <f t="shared" si="306"/>
        <v>3940</v>
      </c>
      <c r="F813" s="27">
        <v>328.33</v>
      </c>
      <c r="G813" s="28">
        <v>1000.0</v>
      </c>
      <c r="H813" s="27">
        <f t="shared" si="307"/>
        <v>671.67</v>
      </c>
      <c r="I813" s="27">
        <f>H813*12</f>
        <v>8060.04</v>
      </c>
      <c r="J813" s="27">
        <f>G813*12</f>
        <v>12000</v>
      </c>
    </row>
    <row r="814" ht="12.75" customHeight="1">
      <c r="A814" s="36">
        <v>6501009.0</v>
      </c>
      <c r="B814" s="36" t="s">
        <v>2917</v>
      </c>
      <c r="C814" s="26">
        <v>2.0</v>
      </c>
      <c r="D814" s="27">
        <v>2280.0</v>
      </c>
      <c r="E814" s="27">
        <f t="shared" si="306"/>
        <v>4560</v>
      </c>
      <c r="F814" s="27">
        <v>91.2</v>
      </c>
      <c r="G814" s="28">
        <v>200.0</v>
      </c>
      <c r="H814" s="27">
        <f t="shared" si="307"/>
        <v>108.8</v>
      </c>
      <c r="I814" s="27">
        <f>H814*50</f>
        <v>5440</v>
      </c>
      <c r="J814" s="27">
        <f>G814*50</f>
        <v>10000</v>
      </c>
    </row>
    <row r="815" ht="12.75" customHeight="1">
      <c r="A815" s="36">
        <v>8381002.0</v>
      </c>
      <c r="B815" s="36" t="s">
        <v>2597</v>
      </c>
      <c r="C815" s="26">
        <v>2.0</v>
      </c>
      <c r="D815" s="27">
        <v>3430.0</v>
      </c>
      <c r="E815" s="27">
        <f t="shared" si="306"/>
        <v>6860</v>
      </c>
      <c r="F815" s="27">
        <v>171.5</v>
      </c>
      <c r="G815" s="28">
        <v>350.0</v>
      </c>
      <c r="H815" s="27">
        <f t="shared" si="307"/>
        <v>178.5</v>
      </c>
      <c r="I815" s="27">
        <f>H815*40</f>
        <v>7140</v>
      </c>
      <c r="J815" s="27">
        <f>G815*40</f>
        <v>14000</v>
      </c>
    </row>
    <row r="816" ht="12.75" customHeight="1">
      <c r="A816" s="36">
        <v>5045639.0</v>
      </c>
      <c r="B816" s="36" t="s">
        <v>3030</v>
      </c>
      <c r="C816" s="26">
        <v>2.0</v>
      </c>
      <c r="D816" s="27">
        <v>5430.0</v>
      </c>
      <c r="E816" s="27">
        <f t="shared" si="306"/>
        <v>10860</v>
      </c>
      <c r="F816" s="27">
        <v>543.0</v>
      </c>
      <c r="G816" s="28">
        <v>900.0</v>
      </c>
      <c r="H816" s="27">
        <f t="shared" si="307"/>
        <v>357</v>
      </c>
      <c r="I816" s="27">
        <f>H816*20</f>
        <v>7140</v>
      </c>
      <c r="J816" s="27">
        <f>G816*20</f>
        <v>18000</v>
      </c>
    </row>
    <row r="817" ht="12.75" customHeight="1">
      <c r="A817" s="36">
        <v>700426.0</v>
      </c>
      <c r="B817" s="36" t="s">
        <v>3031</v>
      </c>
      <c r="C817" s="26">
        <v>1.0</v>
      </c>
      <c r="D817" s="27">
        <v>4110.0</v>
      </c>
      <c r="E817" s="27">
        <f t="shared" si="306"/>
        <v>4110</v>
      </c>
      <c r="F817" s="27">
        <v>342.5</v>
      </c>
      <c r="G817" s="28">
        <v>700.0</v>
      </c>
      <c r="H817" s="27">
        <f t="shared" si="307"/>
        <v>357.5</v>
      </c>
      <c r="I817" s="27">
        <f>H817*12</f>
        <v>4290</v>
      </c>
      <c r="J817" s="27">
        <f>G817*12</f>
        <v>8400</v>
      </c>
    </row>
    <row r="818" ht="12.75" customHeight="1">
      <c r="A818" s="36">
        <v>7563003.0</v>
      </c>
      <c r="B818" s="36" t="s">
        <v>3032</v>
      </c>
      <c r="C818" s="26">
        <v>20.0</v>
      </c>
      <c r="D818" s="27">
        <v>125.0</v>
      </c>
      <c r="E818" s="27">
        <f t="shared" si="306"/>
        <v>2500</v>
      </c>
      <c r="F818" s="27">
        <v>125.0</v>
      </c>
      <c r="G818" s="28">
        <v>300.0</v>
      </c>
      <c r="H818" s="27">
        <f t="shared" si="307"/>
        <v>175</v>
      </c>
      <c r="I818" s="27">
        <f>H818*20</f>
        <v>3500</v>
      </c>
      <c r="J818" s="27">
        <f>G818*20</f>
        <v>6000</v>
      </c>
    </row>
    <row r="819" ht="12.75" customHeight="1">
      <c r="A819" s="25"/>
      <c r="C819" s="26"/>
      <c r="D819" s="27"/>
      <c r="E819" s="27"/>
      <c r="F819" s="27"/>
      <c r="G819" s="28"/>
      <c r="H819" s="27"/>
      <c r="I819" s="27"/>
      <c r="J819" s="27"/>
    </row>
    <row r="820" ht="12.75" customHeight="1">
      <c r="A820" s="25"/>
      <c r="C820" s="26"/>
      <c r="D820" s="27"/>
      <c r="E820" s="32">
        <f>SUM(E795:E818)</f>
        <v>287770</v>
      </c>
      <c r="F820" s="27"/>
      <c r="G820" s="28"/>
      <c r="H820" s="27"/>
      <c r="I820" s="33">
        <f t="shared" ref="I820:J820" si="312">SUM(I795:I818)</f>
        <v>228530.04</v>
      </c>
      <c r="J820" s="33">
        <f t="shared" si="312"/>
        <v>516300</v>
      </c>
    </row>
    <row r="821" ht="12.75" customHeight="1">
      <c r="A821" s="25"/>
      <c r="C821" s="26"/>
      <c r="D821" s="27"/>
      <c r="E821" s="27"/>
      <c r="F821" s="27"/>
      <c r="G821" s="28"/>
      <c r="H821" s="27"/>
      <c r="I821" s="27"/>
      <c r="J821" s="27"/>
    </row>
    <row r="822" ht="12.75" customHeight="1">
      <c r="A822" s="25"/>
      <c r="C822" s="26"/>
      <c r="D822" s="27"/>
      <c r="E822" s="27"/>
      <c r="F822" s="27"/>
      <c r="G822" s="28"/>
      <c r="H822" s="27"/>
      <c r="I822" s="27"/>
      <c r="J822" s="27"/>
    </row>
    <row r="823" ht="12.75" customHeight="1">
      <c r="A823" s="34">
        <v>45726.0</v>
      </c>
      <c r="C823" s="26"/>
      <c r="D823" s="27"/>
      <c r="E823" s="27"/>
      <c r="F823" s="27"/>
      <c r="G823" s="28"/>
      <c r="H823" s="27"/>
      <c r="I823" s="27"/>
      <c r="J823" s="27"/>
    </row>
    <row r="824" ht="12.75" customHeight="1">
      <c r="A824" s="25"/>
      <c r="C824" s="26"/>
      <c r="D824" s="27"/>
      <c r="E824" s="27"/>
      <c r="F824" s="27"/>
      <c r="G824" s="28"/>
      <c r="H824" s="27"/>
      <c r="I824" s="27"/>
      <c r="J824" s="27"/>
    </row>
    <row r="825" ht="12.75" customHeight="1">
      <c r="A825" s="36">
        <v>5664009.0</v>
      </c>
      <c r="B825" s="36" t="s">
        <v>2582</v>
      </c>
      <c r="C825" s="26">
        <v>3.0</v>
      </c>
      <c r="D825" s="27">
        <v>3940.0</v>
      </c>
      <c r="E825" s="27">
        <f t="shared" ref="E825:E842" si="313">D825*C825</f>
        <v>11820</v>
      </c>
      <c r="F825" s="27">
        <v>328.33</v>
      </c>
      <c r="G825" s="28">
        <v>700.0</v>
      </c>
      <c r="H825" s="27">
        <f t="shared" ref="H825:H842" si="314">G825-F825</f>
        <v>371.67</v>
      </c>
      <c r="I825" s="27">
        <f>H825*36</f>
        <v>13380.12</v>
      </c>
      <c r="J825" s="27">
        <f>G825*36</f>
        <v>25200</v>
      </c>
    </row>
    <row r="826" ht="12.75" customHeight="1">
      <c r="A826" s="36">
        <v>1112104.0</v>
      </c>
      <c r="B826" s="36" t="s">
        <v>3033</v>
      </c>
      <c r="C826" s="26">
        <v>20.0</v>
      </c>
      <c r="D826" s="27">
        <v>2290.0</v>
      </c>
      <c r="E826" s="27">
        <f t="shared" si="313"/>
        <v>45800</v>
      </c>
      <c r="F826" s="27">
        <v>2290.0</v>
      </c>
      <c r="G826" s="28">
        <v>4500.0</v>
      </c>
      <c r="H826" s="27">
        <f t="shared" si="314"/>
        <v>2210</v>
      </c>
      <c r="I826" s="27">
        <f>H826*20</f>
        <v>44200</v>
      </c>
      <c r="J826" s="27">
        <f>G826*20</f>
        <v>90000</v>
      </c>
    </row>
    <row r="827" ht="12.75" customHeight="1">
      <c r="A827" s="36">
        <v>1112098.0</v>
      </c>
      <c r="B827" s="36" t="s">
        <v>3029</v>
      </c>
      <c r="C827" s="26">
        <v>15.0</v>
      </c>
      <c r="D827" s="27">
        <v>2070.0</v>
      </c>
      <c r="E827" s="27">
        <f t="shared" si="313"/>
        <v>31050</v>
      </c>
      <c r="F827" s="27">
        <v>2070.0</v>
      </c>
      <c r="G827" s="28">
        <v>4000.0</v>
      </c>
      <c r="H827" s="27">
        <f t="shared" si="314"/>
        <v>1930</v>
      </c>
      <c r="I827" s="27">
        <f>H827*15</f>
        <v>28950</v>
      </c>
      <c r="J827" s="27">
        <f>G827*15</f>
        <v>60000</v>
      </c>
    </row>
    <row r="828" ht="12.75" customHeight="1">
      <c r="A828" s="36">
        <v>1112081.0</v>
      </c>
      <c r="B828" s="36" t="s">
        <v>2963</v>
      </c>
      <c r="C828" s="26">
        <v>20.0</v>
      </c>
      <c r="D828" s="27">
        <v>1260.0</v>
      </c>
      <c r="E828" s="27">
        <f t="shared" si="313"/>
        <v>25200</v>
      </c>
      <c r="F828" s="27">
        <v>1260.0</v>
      </c>
      <c r="G828" s="28">
        <v>2500.0</v>
      </c>
      <c r="H828" s="27">
        <f t="shared" si="314"/>
        <v>1240</v>
      </c>
      <c r="I828" s="27">
        <f t="shared" ref="I828:I831" si="315">H828*20</f>
        <v>24800</v>
      </c>
      <c r="J828" s="27">
        <f t="shared" ref="J828:J831" si="316">G828*20</f>
        <v>50000</v>
      </c>
    </row>
    <row r="829" ht="12.75" customHeight="1">
      <c r="A829" s="36">
        <v>5980183.0</v>
      </c>
      <c r="B829" s="36" t="s">
        <v>3034</v>
      </c>
      <c r="C829" s="26">
        <v>20.0</v>
      </c>
      <c r="D829" s="27">
        <v>1630.0</v>
      </c>
      <c r="E829" s="27">
        <f t="shared" si="313"/>
        <v>32600</v>
      </c>
      <c r="F829" s="27">
        <v>1630.0</v>
      </c>
      <c r="G829" s="28">
        <v>2700.0</v>
      </c>
      <c r="H829" s="27">
        <f t="shared" si="314"/>
        <v>1070</v>
      </c>
      <c r="I829" s="27">
        <f t="shared" si="315"/>
        <v>21400</v>
      </c>
      <c r="J829" s="27">
        <f t="shared" si="316"/>
        <v>54000</v>
      </c>
    </row>
    <row r="830" ht="12.75" customHeight="1">
      <c r="A830" s="43" t="s">
        <v>3035</v>
      </c>
      <c r="B830" s="36" t="s">
        <v>3036</v>
      </c>
      <c r="C830" s="26">
        <v>2.0</v>
      </c>
      <c r="D830" s="27">
        <v>11900.0</v>
      </c>
      <c r="E830" s="27">
        <f t="shared" si="313"/>
        <v>23800</v>
      </c>
      <c r="F830" s="27">
        <v>1190.0</v>
      </c>
      <c r="G830" s="28">
        <v>1800.0</v>
      </c>
      <c r="H830" s="27">
        <f t="shared" si="314"/>
        <v>610</v>
      </c>
      <c r="I830" s="27">
        <f t="shared" si="315"/>
        <v>12200</v>
      </c>
      <c r="J830" s="27">
        <f t="shared" si="316"/>
        <v>36000</v>
      </c>
    </row>
    <row r="831" ht="12.75" customHeight="1">
      <c r="A831" s="43" t="s">
        <v>2936</v>
      </c>
      <c r="B831" s="36" t="s">
        <v>2937</v>
      </c>
      <c r="C831" s="26">
        <v>2.0</v>
      </c>
      <c r="D831" s="27">
        <v>11900.0</v>
      </c>
      <c r="E831" s="27">
        <f t="shared" si="313"/>
        <v>23800</v>
      </c>
      <c r="F831" s="27">
        <v>1190.0</v>
      </c>
      <c r="G831" s="28">
        <v>1800.0</v>
      </c>
      <c r="H831" s="27">
        <f t="shared" si="314"/>
        <v>610</v>
      </c>
      <c r="I831" s="27">
        <f t="shared" si="315"/>
        <v>12200</v>
      </c>
      <c r="J831" s="27">
        <f t="shared" si="316"/>
        <v>36000</v>
      </c>
    </row>
    <row r="832" ht="12.75" customHeight="1">
      <c r="A832" s="36">
        <v>5034480.0</v>
      </c>
      <c r="B832" s="36" t="s">
        <v>2591</v>
      </c>
      <c r="C832" s="26">
        <v>3.0</v>
      </c>
      <c r="D832" s="27">
        <v>5430.0</v>
      </c>
      <c r="E832" s="27">
        <f t="shared" si="313"/>
        <v>16290</v>
      </c>
      <c r="F832" s="27">
        <v>543.0</v>
      </c>
      <c r="G832" s="28">
        <v>900.0</v>
      </c>
      <c r="H832" s="27">
        <f t="shared" si="314"/>
        <v>357</v>
      </c>
      <c r="I832" s="27">
        <f>H832*30</f>
        <v>10710</v>
      </c>
      <c r="J832" s="27">
        <f>G832*30</f>
        <v>27000</v>
      </c>
    </row>
    <row r="833" ht="12.75" customHeight="1">
      <c r="A833" s="36">
        <v>5702004.0</v>
      </c>
      <c r="B833" s="36" t="s">
        <v>3037</v>
      </c>
      <c r="C833" s="26">
        <v>1.0</v>
      </c>
      <c r="D833" s="27">
        <v>1400.0</v>
      </c>
      <c r="E833" s="27">
        <f t="shared" si="313"/>
        <v>1400</v>
      </c>
      <c r="F833" s="27">
        <v>1400.0</v>
      </c>
      <c r="G833" s="28">
        <v>0.0</v>
      </c>
      <c r="H833" s="27">
        <f t="shared" si="314"/>
        <v>-1400</v>
      </c>
      <c r="I833" s="27">
        <f>H833*0</f>
        <v>0</v>
      </c>
      <c r="J833" s="27">
        <f>G833*0</f>
        <v>0</v>
      </c>
    </row>
    <row r="834" ht="12.75" customHeight="1">
      <c r="A834" s="36">
        <v>5101001.0</v>
      </c>
      <c r="B834" s="36" t="s">
        <v>3038</v>
      </c>
      <c r="C834" s="26">
        <v>20.0</v>
      </c>
      <c r="D834" s="27">
        <v>770.0</v>
      </c>
      <c r="E834" s="27">
        <f t="shared" si="313"/>
        <v>15400</v>
      </c>
      <c r="F834" s="27">
        <v>770.0</v>
      </c>
      <c r="G834" s="28">
        <v>1400.0</v>
      </c>
      <c r="H834" s="27">
        <f t="shared" si="314"/>
        <v>630</v>
      </c>
      <c r="I834" s="27">
        <f>H834*20</f>
        <v>12600</v>
      </c>
      <c r="J834" s="27">
        <f>G834*20</f>
        <v>28000</v>
      </c>
    </row>
    <row r="835" ht="12.75" customHeight="1">
      <c r="A835" s="36">
        <v>5102008.0</v>
      </c>
      <c r="B835" s="36" t="s">
        <v>3039</v>
      </c>
      <c r="C835" s="26">
        <v>1.0</v>
      </c>
      <c r="D835" s="27">
        <v>2180.0</v>
      </c>
      <c r="E835" s="27">
        <f t="shared" si="313"/>
        <v>2180</v>
      </c>
      <c r="F835" s="27">
        <v>218.0</v>
      </c>
      <c r="G835" s="28">
        <v>500.0</v>
      </c>
      <c r="H835" s="27">
        <f t="shared" si="314"/>
        <v>282</v>
      </c>
      <c r="I835" s="27">
        <f t="shared" ref="I835:I836" si="317">H835*10</f>
        <v>2820</v>
      </c>
      <c r="J835" s="27">
        <f t="shared" ref="J835:J836" si="318">G835*10</f>
        <v>5000</v>
      </c>
    </row>
    <row r="836" ht="12.75" customHeight="1">
      <c r="A836" s="36">
        <v>3704312.0</v>
      </c>
      <c r="B836" s="36" t="s">
        <v>2708</v>
      </c>
      <c r="C836" s="26">
        <v>1.0</v>
      </c>
      <c r="D836" s="27">
        <v>4220.0</v>
      </c>
      <c r="E836" s="27">
        <f t="shared" si="313"/>
        <v>4220</v>
      </c>
      <c r="F836" s="27">
        <v>422.0</v>
      </c>
      <c r="G836" s="28">
        <v>750.0</v>
      </c>
      <c r="H836" s="27">
        <f t="shared" si="314"/>
        <v>328</v>
      </c>
      <c r="I836" s="27">
        <f t="shared" si="317"/>
        <v>3280</v>
      </c>
      <c r="J836" s="27">
        <f t="shared" si="318"/>
        <v>7500</v>
      </c>
    </row>
    <row r="837" ht="12.75" customHeight="1">
      <c r="A837" s="43" t="s">
        <v>3040</v>
      </c>
      <c r="B837" s="36" t="s">
        <v>3041</v>
      </c>
      <c r="C837" s="26">
        <v>3.0</v>
      </c>
      <c r="D837" s="27">
        <v>960.0</v>
      </c>
      <c r="E837" s="27">
        <f t="shared" si="313"/>
        <v>2880</v>
      </c>
      <c r="F837" s="27">
        <v>80.0</v>
      </c>
      <c r="G837" s="28">
        <v>200.0</v>
      </c>
      <c r="H837" s="27">
        <f t="shared" si="314"/>
        <v>120</v>
      </c>
      <c r="I837" s="27">
        <f t="shared" ref="I837:I839" si="319">H837*36</f>
        <v>4320</v>
      </c>
      <c r="J837" s="27">
        <f t="shared" ref="J837:J839" si="320">G837*36</f>
        <v>7200</v>
      </c>
    </row>
    <row r="838" ht="12.75" customHeight="1">
      <c r="A838" s="43" t="s">
        <v>2984</v>
      </c>
      <c r="B838" s="36" t="s">
        <v>2985</v>
      </c>
      <c r="C838" s="26">
        <v>3.0</v>
      </c>
      <c r="D838" s="27">
        <v>960.0</v>
      </c>
      <c r="E838" s="27">
        <f t="shared" si="313"/>
        <v>2880</v>
      </c>
      <c r="F838" s="27">
        <v>80.0</v>
      </c>
      <c r="G838" s="28">
        <v>200.0</v>
      </c>
      <c r="H838" s="27">
        <f t="shared" si="314"/>
        <v>120</v>
      </c>
      <c r="I838" s="27">
        <f t="shared" si="319"/>
        <v>4320</v>
      </c>
      <c r="J838" s="27">
        <f t="shared" si="320"/>
        <v>7200</v>
      </c>
    </row>
    <row r="839" ht="12.75" customHeight="1">
      <c r="A839" s="43" t="s">
        <v>3042</v>
      </c>
      <c r="B839" s="36" t="s">
        <v>3043</v>
      </c>
      <c r="C839" s="26">
        <v>3.0</v>
      </c>
      <c r="D839" s="27">
        <v>960.0</v>
      </c>
      <c r="E839" s="27">
        <f t="shared" si="313"/>
        <v>2880</v>
      </c>
      <c r="F839" s="27">
        <v>80.0</v>
      </c>
      <c r="G839" s="28">
        <v>200.0</v>
      </c>
      <c r="H839" s="27">
        <f t="shared" si="314"/>
        <v>120</v>
      </c>
      <c r="I839" s="27">
        <f t="shared" si="319"/>
        <v>4320</v>
      </c>
      <c r="J839" s="27">
        <f t="shared" si="320"/>
        <v>7200</v>
      </c>
    </row>
    <row r="840" ht="12.75" customHeight="1">
      <c r="A840" s="36">
        <v>3010316.0</v>
      </c>
      <c r="B840" s="36" t="s">
        <v>3044</v>
      </c>
      <c r="C840" s="26">
        <v>1.0</v>
      </c>
      <c r="D840" s="27">
        <v>6230.0</v>
      </c>
      <c r="E840" s="27">
        <f t="shared" si="313"/>
        <v>6230</v>
      </c>
      <c r="F840" s="27">
        <v>124.6</v>
      </c>
      <c r="G840" s="28">
        <v>350.0</v>
      </c>
      <c r="H840" s="27">
        <f t="shared" si="314"/>
        <v>225.4</v>
      </c>
      <c r="I840" s="27">
        <f>H840*50</f>
        <v>11270</v>
      </c>
      <c r="J840" s="27">
        <f>G840*50</f>
        <v>17500</v>
      </c>
    </row>
    <row r="841" ht="12.75" customHeight="1">
      <c r="A841" s="36">
        <v>4167260.0</v>
      </c>
      <c r="B841" s="36" t="s">
        <v>2614</v>
      </c>
      <c r="C841" s="26">
        <v>2.0</v>
      </c>
      <c r="D841" s="27">
        <v>6890.0</v>
      </c>
      <c r="E841" s="27">
        <f t="shared" si="313"/>
        <v>13780</v>
      </c>
      <c r="F841" s="27">
        <v>1722.5</v>
      </c>
      <c r="G841" s="28">
        <v>3500.0</v>
      </c>
      <c r="H841" s="27">
        <f t="shared" si="314"/>
        <v>1777.5</v>
      </c>
      <c r="I841" s="27">
        <f>H841*7</f>
        <v>12442.5</v>
      </c>
      <c r="J841" s="27">
        <f>G841*7</f>
        <v>24500</v>
      </c>
    </row>
    <row r="842" ht="12.75" customHeight="1">
      <c r="A842" s="36">
        <v>700426.0</v>
      </c>
      <c r="B842" s="36" t="s">
        <v>3031</v>
      </c>
      <c r="C842" s="26">
        <v>1.0</v>
      </c>
      <c r="D842" s="27">
        <v>4110.0</v>
      </c>
      <c r="E842" s="27">
        <f t="shared" si="313"/>
        <v>4110</v>
      </c>
      <c r="F842" s="27">
        <v>342.5</v>
      </c>
      <c r="G842" s="28">
        <v>700.0</v>
      </c>
      <c r="H842" s="27">
        <f t="shared" si="314"/>
        <v>357.5</v>
      </c>
      <c r="I842" s="27">
        <f>H842*12</f>
        <v>4290</v>
      </c>
      <c r="J842" s="27">
        <f>G842*12</f>
        <v>8400</v>
      </c>
    </row>
    <row r="843" ht="12.75" customHeight="1">
      <c r="A843" s="25"/>
      <c r="C843" s="26"/>
      <c r="D843" s="27"/>
      <c r="E843" s="27"/>
      <c r="F843" s="27"/>
      <c r="G843" s="28"/>
      <c r="H843" s="27"/>
      <c r="I843" s="27"/>
      <c r="J843" s="27"/>
    </row>
    <row r="844" ht="12.75" customHeight="1">
      <c r="A844" s="25"/>
      <c r="C844" s="26"/>
      <c r="D844" s="27"/>
      <c r="E844" s="32">
        <f>SUM(E825:E842)</f>
        <v>266320</v>
      </c>
      <c r="F844" s="32"/>
      <c r="G844" s="42"/>
      <c r="H844" s="32"/>
      <c r="I844" s="33">
        <f t="shared" ref="I844:J844" si="321">SUM(I825:I842)</f>
        <v>227502.62</v>
      </c>
      <c r="J844" s="33">
        <f t="shared" si="321"/>
        <v>490700</v>
      </c>
    </row>
    <row r="845" ht="12.75" customHeight="1">
      <c r="A845" s="25"/>
      <c r="C845" s="26"/>
      <c r="D845" s="27"/>
      <c r="E845" s="27"/>
      <c r="F845" s="27"/>
      <c r="G845" s="28"/>
      <c r="H845" s="27"/>
      <c r="I845" s="27"/>
      <c r="J845" s="27"/>
    </row>
    <row r="846" ht="12.75" customHeight="1">
      <c r="A846" s="25"/>
      <c r="C846" s="26"/>
      <c r="D846" s="27"/>
      <c r="E846" s="27"/>
      <c r="F846" s="27"/>
      <c r="G846" s="28"/>
      <c r="H846" s="27"/>
      <c r="I846" s="27"/>
      <c r="J846" s="27"/>
    </row>
    <row r="847" ht="12.75" customHeight="1">
      <c r="A847" s="34">
        <v>45761.0</v>
      </c>
      <c r="C847" s="26"/>
      <c r="D847" s="27"/>
      <c r="E847" s="27"/>
      <c r="F847" s="27"/>
      <c r="G847" s="28"/>
      <c r="H847" s="27"/>
      <c r="I847" s="27"/>
      <c r="J847" s="27"/>
    </row>
    <row r="848" ht="12.75" customHeight="1">
      <c r="A848" s="25"/>
      <c r="C848" s="26"/>
      <c r="D848" s="27"/>
      <c r="E848" s="27"/>
      <c r="F848" s="27"/>
      <c r="G848" s="28"/>
      <c r="H848" s="27"/>
      <c r="I848" s="27"/>
      <c r="J848" s="27"/>
    </row>
    <row r="849" ht="12.75" customHeight="1">
      <c r="A849" s="36">
        <v>4167352.0</v>
      </c>
      <c r="B849" s="36" t="s">
        <v>2823</v>
      </c>
      <c r="C849" s="26">
        <v>2.0</v>
      </c>
      <c r="D849" s="27">
        <v>5640.0</v>
      </c>
      <c r="E849" s="27">
        <f t="shared" ref="E849:E866" si="322">D849*C849</f>
        <v>11280</v>
      </c>
      <c r="F849" s="27">
        <v>564.0</v>
      </c>
      <c r="G849" s="28">
        <v>1300.0</v>
      </c>
      <c r="H849" s="27">
        <f t="shared" ref="H849:H866" si="323">G849-F849</f>
        <v>736</v>
      </c>
      <c r="I849" s="27">
        <f>H849*20</f>
        <v>14720</v>
      </c>
      <c r="J849" s="27">
        <f>G849*20</f>
        <v>26000</v>
      </c>
    </row>
    <row r="850" ht="12.75" customHeight="1">
      <c r="A850" s="36">
        <v>3668157.0</v>
      </c>
      <c r="B850" s="36" t="s">
        <v>3045</v>
      </c>
      <c r="C850" s="26">
        <v>10.0</v>
      </c>
      <c r="D850" s="27">
        <v>1650.0</v>
      </c>
      <c r="E850" s="27">
        <f t="shared" si="322"/>
        <v>16500</v>
      </c>
      <c r="F850" s="27">
        <v>1650.0</v>
      </c>
      <c r="G850" s="28">
        <v>2400.0</v>
      </c>
      <c r="H850" s="27">
        <f t="shared" si="323"/>
        <v>750</v>
      </c>
      <c r="I850" s="27">
        <f>H850*10</f>
        <v>7500</v>
      </c>
      <c r="J850" s="27">
        <f>G850*10</f>
        <v>24000</v>
      </c>
    </row>
    <row r="851" ht="12.75" customHeight="1">
      <c r="A851" s="36">
        <v>5500019.0</v>
      </c>
      <c r="B851" s="36" t="s">
        <v>2736</v>
      </c>
      <c r="C851" s="26">
        <v>2.0</v>
      </c>
      <c r="D851" s="27">
        <v>3000.0</v>
      </c>
      <c r="E851" s="27">
        <f t="shared" si="322"/>
        <v>6000</v>
      </c>
      <c r="F851" s="27">
        <v>250.0</v>
      </c>
      <c r="G851" s="28">
        <v>500.0</v>
      </c>
      <c r="H851" s="27">
        <f t="shared" si="323"/>
        <v>250</v>
      </c>
      <c r="I851" s="27">
        <f>H851*24</f>
        <v>6000</v>
      </c>
      <c r="J851" s="27">
        <f>G851*24</f>
        <v>12000</v>
      </c>
    </row>
    <row r="852" ht="12.75" customHeight="1">
      <c r="A852" s="36">
        <v>4412360.0</v>
      </c>
      <c r="B852" s="36" t="s">
        <v>2581</v>
      </c>
      <c r="C852" s="26">
        <v>1.0</v>
      </c>
      <c r="D852" s="27">
        <v>9410.0</v>
      </c>
      <c r="E852" s="27">
        <f t="shared" si="322"/>
        <v>9410</v>
      </c>
      <c r="F852" s="27">
        <v>784.166</v>
      </c>
      <c r="G852" s="28">
        <v>1500.0</v>
      </c>
      <c r="H852" s="27">
        <f t="shared" si="323"/>
        <v>715.834</v>
      </c>
      <c r="I852" s="27">
        <f t="shared" ref="I852:I855" si="324">H852*12</f>
        <v>8590.008</v>
      </c>
      <c r="J852" s="27">
        <f t="shared" ref="J852:J855" si="325">G852*12</f>
        <v>18000</v>
      </c>
    </row>
    <row r="853" ht="12.75" customHeight="1">
      <c r="A853" s="36">
        <v>9222110.0</v>
      </c>
      <c r="B853" s="36" t="s">
        <v>3046</v>
      </c>
      <c r="C853" s="26">
        <v>1.0</v>
      </c>
      <c r="D853" s="27">
        <v>9780.0</v>
      </c>
      <c r="E853" s="27">
        <f t="shared" si="322"/>
        <v>9780</v>
      </c>
      <c r="F853" s="27">
        <v>815.0</v>
      </c>
      <c r="G853" s="28">
        <v>1500.0</v>
      </c>
      <c r="H853" s="27">
        <f t="shared" si="323"/>
        <v>685</v>
      </c>
      <c r="I853" s="27">
        <f t="shared" si="324"/>
        <v>8220</v>
      </c>
      <c r="J853" s="27">
        <f t="shared" si="325"/>
        <v>18000</v>
      </c>
    </row>
    <row r="854" ht="12.75" customHeight="1">
      <c r="A854" s="36">
        <v>5548505.0</v>
      </c>
      <c r="B854" s="36" t="s">
        <v>3047</v>
      </c>
      <c r="C854" s="26">
        <v>1.0</v>
      </c>
      <c r="D854" s="27">
        <v>6580.0</v>
      </c>
      <c r="E854" s="27">
        <f t="shared" si="322"/>
        <v>6580</v>
      </c>
      <c r="F854" s="27">
        <v>548.33</v>
      </c>
      <c r="G854" s="28">
        <v>1200.0</v>
      </c>
      <c r="H854" s="27">
        <f t="shared" si="323"/>
        <v>651.67</v>
      </c>
      <c r="I854" s="27">
        <f t="shared" si="324"/>
        <v>7820.04</v>
      </c>
      <c r="J854" s="27">
        <f t="shared" si="325"/>
        <v>14400</v>
      </c>
    </row>
    <row r="855" ht="12.75" customHeight="1">
      <c r="A855" s="36">
        <v>3668645.0</v>
      </c>
      <c r="B855" s="36" t="s">
        <v>2867</v>
      </c>
      <c r="C855" s="26">
        <v>12.0</v>
      </c>
      <c r="D855" s="27">
        <v>1240.0</v>
      </c>
      <c r="E855" s="27">
        <f t="shared" si="322"/>
        <v>14880</v>
      </c>
      <c r="F855" s="27">
        <v>1240.0</v>
      </c>
      <c r="G855" s="28">
        <v>1900.0</v>
      </c>
      <c r="H855" s="27">
        <f t="shared" si="323"/>
        <v>660</v>
      </c>
      <c r="I855" s="27">
        <f t="shared" si="324"/>
        <v>7920</v>
      </c>
      <c r="J855" s="27">
        <f t="shared" si="325"/>
        <v>22800</v>
      </c>
    </row>
    <row r="856" ht="12.75" customHeight="1">
      <c r="A856" s="36">
        <v>198911.0</v>
      </c>
      <c r="B856" s="36" t="s">
        <v>3048</v>
      </c>
      <c r="C856" s="26">
        <v>6.0</v>
      </c>
      <c r="D856" s="27">
        <v>1050.0</v>
      </c>
      <c r="E856" s="27">
        <f t="shared" si="322"/>
        <v>6300</v>
      </c>
      <c r="F856" s="27">
        <v>1050.0</v>
      </c>
      <c r="G856" s="28">
        <v>2000.0</v>
      </c>
      <c r="H856" s="27">
        <f t="shared" si="323"/>
        <v>950</v>
      </c>
      <c r="I856" s="27">
        <f>H856*6</f>
        <v>5700</v>
      </c>
      <c r="J856" s="27">
        <f>G856*6</f>
        <v>12000</v>
      </c>
    </row>
    <row r="857" ht="12.75" customHeight="1">
      <c r="A857" s="36">
        <v>3875029.0</v>
      </c>
      <c r="B857" s="36" t="s">
        <v>2913</v>
      </c>
      <c r="C857" s="26">
        <v>3.0</v>
      </c>
      <c r="D857" s="27">
        <v>3940.0</v>
      </c>
      <c r="E857" s="27">
        <f t="shared" si="322"/>
        <v>11820</v>
      </c>
      <c r="F857" s="27">
        <v>328.33</v>
      </c>
      <c r="G857" s="28">
        <v>800.0</v>
      </c>
      <c r="H857" s="27">
        <f t="shared" si="323"/>
        <v>471.67</v>
      </c>
      <c r="I857" s="27">
        <f>H857*36</f>
        <v>16980.12</v>
      </c>
      <c r="J857" s="27">
        <f>G857*36</f>
        <v>28800</v>
      </c>
    </row>
    <row r="858" ht="12.75" customHeight="1">
      <c r="A858" s="36">
        <v>8123353.0</v>
      </c>
      <c r="B858" s="36" t="s">
        <v>3049</v>
      </c>
      <c r="C858" s="26">
        <v>10.0</v>
      </c>
      <c r="D858" s="27">
        <v>1180.0</v>
      </c>
      <c r="E858" s="27">
        <f t="shared" si="322"/>
        <v>11800</v>
      </c>
      <c r="F858" s="27">
        <v>1180.0</v>
      </c>
      <c r="G858" s="28">
        <v>2000.0</v>
      </c>
      <c r="H858" s="27">
        <f t="shared" si="323"/>
        <v>820</v>
      </c>
      <c r="I858" s="27">
        <f>H858*10</f>
        <v>8200</v>
      </c>
      <c r="J858" s="27">
        <f>G858*10</f>
        <v>20000</v>
      </c>
    </row>
    <row r="859" ht="12.75" customHeight="1">
      <c r="A859" s="36">
        <v>1103713.0</v>
      </c>
      <c r="B859" s="36" t="s">
        <v>3050</v>
      </c>
      <c r="C859" s="26">
        <v>5.0</v>
      </c>
      <c r="D859" s="27">
        <v>1190.0</v>
      </c>
      <c r="E859" s="27">
        <f t="shared" si="322"/>
        <v>5950</v>
      </c>
      <c r="F859" s="27">
        <v>1190.0</v>
      </c>
      <c r="G859" s="28">
        <v>3000.0</v>
      </c>
      <c r="H859" s="27">
        <f t="shared" si="323"/>
        <v>1810</v>
      </c>
      <c r="I859" s="27">
        <f t="shared" ref="I859:I860" si="326">H859*5</f>
        <v>9050</v>
      </c>
      <c r="J859" s="27">
        <f t="shared" ref="J859:J860" si="327">G859*5</f>
        <v>15000</v>
      </c>
    </row>
    <row r="860" ht="12.75" customHeight="1">
      <c r="A860" s="36">
        <v>1103744.0</v>
      </c>
      <c r="B860" s="36" t="s">
        <v>3051</v>
      </c>
      <c r="C860" s="26">
        <v>5.0</v>
      </c>
      <c r="D860" s="27">
        <v>1980.0</v>
      </c>
      <c r="E860" s="27">
        <f t="shared" si="322"/>
        <v>9900</v>
      </c>
      <c r="F860" s="27">
        <v>1980.0</v>
      </c>
      <c r="G860" s="28">
        <v>4000.0</v>
      </c>
      <c r="H860" s="27">
        <f t="shared" si="323"/>
        <v>2020</v>
      </c>
      <c r="I860" s="27">
        <f t="shared" si="326"/>
        <v>10100</v>
      </c>
      <c r="J860" s="27">
        <f t="shared" si="327"/>
        <v>20000</v>
      </c>
    </row>
    <row r="861" ht="12.75" customHeight="1">
      <c r="A861" s="36">
        <v>3761940.0</v>
      </c>
      <c r="B861" s="36" t="s">
        <v>3052</v>
      </c>
      <c r="C861" s="26">
        <v>6.0</v>
      </c>
      <c r="D861" s="27">
        <v>1080.0</v>
      </c>
      <c r="E861" s="27">
        <f t="shared" si="322"/>
        <v>6480</v>
      </c>
      <c r="F861" s="27">
        <v>1080.0</v>
      </c>
      <c r="G861" s="28">
        <v>1600.0</v>
      </c>
      <c r="H861" s="27">
        <f t="shared" si="323"/>
        <v>520</v>
      </c>
      <c r="I861" s="27">
        <f>H861*6</f>
        <v>3120</v>
      </c>
      <c r="J861" s="27">
        <f>G861*6</f>
        <v>9600</v>
      </c>
    </row>
    <row r="862" ht="12.75" customHeight="1">
      <c r="A862" s="36">
        <v>180350.0</v>
      </c>
      <c r="B862" s="36" t="s">
        <v>3053</v>
      </c>
      <c r="C862" s="26">
        <v>20.0</v>
      </c>
      <c r="D862" s="27">
        <v>340.0</v>
      </c>
      <c r="E862" s="27">
        <f t="shared" si="322"/>
        <v>6800</v>
      </c>
      <c r="F862" s="27">
        <v>340.0</v>
      </c>
      <c r="G862" s="28">
        <v>650.0</v>
      </c>
      <c r="H862" s="27">
        <f t="shared" si="323"/>
        <v>310</v>
      </c>
      <c r="I862" s="27">
        <f>H862*20</f>
        <v>6200</v>
      </c>
      <c r="J862" s="27">
        <f>G862*20</f>
        <v>13000</v>
      </c>
    </row>
    <row r="863" ht="12.75" customHeight="1">
      <c r="A863" s="36">
        <v>5034459.0</v>
      </c>
      <c r="B863" s="36" t="s">
        <v>2854</v>
      </c>
      <c r="C863" s="26">
        <v>2.0</v>
      </c>
      <c r="D863" s="27">
        <v>9380.0</v>
      </c>
      <c r="E863" s="27">
        <f t="shared" si="322"/>
        <v>18760</v>
      </c>
      <c r="F863" s="27">
        <v>781.66</v>
      </c>
      <c r="G863" s="28">
        <v>1500.0</v>
      </c>
      <c r="H863" s="27">
        <f t="shared" si="323"/>
        <v>718.34</v>
      </c>
      <c r="I863" s="27">
        <f t="shared" ref="I863:I864" si="328">H863*24</f>
        <v>17240.16</v>
      </c>
      <c r="J863" s="27">
        <f t="shared" ref="J863:J864" si="329">G863*24</f>
        <v>36000</v>
      </c>
    </row>
    <row r="864" ht="12.75" customHeight="1">
      <c r="A864" s="36">
        <v>3105210.0</v>
      </c>
      <c r="B864" s="36" t="s">
        <v>3054</v>
      </c>
      <c r="C864" s="26">
        <v>2.0</v>
      </c>
      <c r="D864" s="27">
        <v>1430.0</v>
      </c>
      <c r="E864" s="27">
        <f t="shared" si="322"/>
        <v>2860</v>
      </c>
      <c r="F864" s="27">
        <v>119.16</v>
      </c>
      <c r="G864" s="28">
        <v>250.0</v>
      </c>
      <c r="H864" s="27">
        <f t="shared" si="323"/>
        <v>130.84</v>
      </c>
      <c r="I864" s="27">
        <f t="shared" si="328"/>
        <v>3140.16</v>
      </c>
      <c r="J864" s="27">
        <f t="shared" si="329"/>
        <v>6000</v>
      </c>
    </row>
    <row r="865" ht="12.75" customHeight="1">
      <c r="A865" s="36">
        <v>1103829.0</v>
      </c>
      <c r="B865" s="36" t="s">
        <v>2604</v>
      </c>
      <c r="C865" s="26">
        <v>5.0</v>
      </c>
      <c r="D865" s="27">
        <v>2790.0</v>
      </c>
      <c r="E865" s="27">
        <f t="shared" si="322"/>
        <v>13950</v>
      </c>
      <c r="F865" s="27">
        <v>2790.0</v>
      </c>
      <c r="G865" s="28">
        <v>4500.0</v>
      </c>
      <c r="H865" s="27">
        <f t="shared" si="323"/>
        <v>1710</v>
      </c>
      <c r="I865" s="27">
        <f>H865*5</f>
        <v>8550</v>
      </c>
      <c r="J865" s="27">
        <f>G865*5</f>
        <v>22500</v>
      </c>
    </row>
    <row r="866" ht="12.75" customHeight="1">
      <c r="A866" s="36">
        <v>6898.0</v>
      </c>
      <c r="B866" s="36" t="s">
        <v>2658</v>
      </c>
      <c r="C866" s="26">
        <v>10.0</v>
      </c>
      <c r="D866" s="27">
        <v>700.0</v>
      </c>
      <c r="E866" s="27">
        <f t="shared" si="322"/>
        <v>7000</v>
      </c>
      <c r="F866" s="27">
        <v>700.0</v>
      </c>
      <c r="G866" s="28">
        <v>2000.0</v>
      </c>
      <c r="H866" s="27">
        <f t="shared" si="323"/>
        <v>1300</v>
      </c>
      <c r="I866" s="27">
        <f>H866*10</f>
        <v>13000</v>
      </c>
      <c r="J866" s="27">
        <f>G866*10</f>
        <v>20000</v>
      </c>
    </row>
    <row r="867" ht="12.75" customHeight="1">
      <c r="A867" s="25"/>
      <c r="C867" s="26"/>
      <c r="D867" s="27"/>
      <c r="E867" s="27"/>
      <c r="F867" s="27"/>
      <c r="G867" s="28"/>
      <c r="H867" s="27"/>
      <c r="I867" s="27"/>
      <c r="J867" s="27"/>
    </row>
    <row r="868" ht="12.75" customHeight="1">
      <c r="A868" s="25"/>
      <c r="C868" s="26"/>
      <c r="D868" s="27"/>
      <c r="E868" s="32">
        <f>SUM(E849:E866)</f>
        <v>176050</v>
      </c>
      <c r="F868" s="27"/>
      <c r="G868" s="28"/>
      <c r="H868" s="27"/>
      <c r="I868" s="33">
        <f t="shared" ref="I868:J868" si="330">SUM(I849:I866)</f>
        <v>162050.488</v>
      </c>
      <c r="J868" s="33">
        <f t="shared" si="330"/>
        <v>338100</v>
      </c>
    </row>
    <row r="869" ht="12.75" customHeight="1">
      <c r="A869" s="25"/>
      <c r="C869" s="26"/>
      <c r="D869" s="27"/>
      <c r="E869" s="27"/>
      <c r="F869" s="27"/>
      <c r="G869" s="28"/>
      <c r="H869" s="27"/>
      <c r="I869" s="27"/>
      <c r="J869" s="27"/>
    </row>
    <row r="870" ht="12.75" customHeight="1">
      <c r="A870" s="25"/>
      <c r="C870" s="26"/>
      <c r="D870" s="27"/>
      <c r="E870" s="27"/>
      <c r="F870" s="27"/>
      <c r="G870" s="28"/>
      <c r="H870" s="27"/>
      <c r="I870" s="27"/>
      <c r="J870" s="27"/>
    </row>
    <row r="871" ht="12.75" customHeight="1">
      <c r="A871" s="34">
        <v>45796.0</v>
      </c>
      <c r="C871" s="26"/>
      <c r="D871" s="27"/>
      <c r="E871" s="27"/>
      <c r="F871" s="27"/>
      <c r="G871" s="28"/>
      <c r="H871" s="27"/>
      <c r="I871" s="27"/>
      <c r="J871" s="27"/>
    </row>
    <row r="872" ht="12.75" customHeight="1">
      <c r="A872" s="25"/>
      <c r="C872" s="26"/>
      <c r="D872" s="27"/>
      <c r="E872" s="27"/>
      <c r="F872" s="27"/>
      <c r="G872" s="28"/>
      <c r="H872" s="27"/>
      <c r="I872" s="27"/>
      <c r="J872" s="27"/>
    </row>
    <row r="873" ht="12.75" customHeight="1">
      <c r="A873" s="36">
        <v>4630948.0</v>
      </c>
      <c r="B873" s="36" t="s">
        <v>2608</v>
      </c>
      <c r="C873" s="26">
        <v>2.0</v>
      </c>
      <c r="D873" s="27">
        <v>5030.0</v>
      </c>
      <c r="E873" s="27">
        <f t="shared" ref="E873:E889" si="331">D873*C873</f>
        <v>10060</v>
      </c>
      <c r="F873" s="27">
        <v>100.6</v>
      </c>
      <c r="G873" s="28">
        <v>200.0</v>
      </c>
      <c r="H873" s="27">
        <f t="shared" ref="H873:H889" si="332">G873-F873</f>
        <v>99.4</v>
      </c>
      <c r="I873" s="27">
        <f>H873*100</f>
        <v>9940</v>
      </c>
      <c r="J873" s="27">
        <f>G873*100</f>
        <v>20000</v>
      </c>
    </row>
    <row r="874" ht="12.75" customHeight="1">
      <c r="A874" s="36">
        <v>5501016.0</v>
      </c>
      <c r="B874" s="36" t="s">
        <v>2575</v>
      </c>
      <c r="C874" s="26">
        <v>2.0</v>
      </c>
      <c r="D874" s="27">
        <v>3000.0</v>
      </c>
      <c r="E874" s="27">
        <f t="shared" si="331"/>
        <v>6000</v>
      </c>
      <c r="F874" s="27">
        <v>250.0</v>
      </c>
      <c r="G874" s="28">
        <v>500.0</v>
      </c>
      <c r="H874" s="27">
        <f t="shared" si="332"/>
        <v>250</v>
      </c>
      <c r="I874" s="27">
        <f>H874*24</f>
        <v>6000</v>
      </c>
      <c r="J874" s="27">
        <f>G874*24</f>
        <v>12000</v>
      </c>
    </row>
    <row r="875" ht="12.75" customHeight="1">
      <c r="A875" s="36">
        <v>5500019.0</v>
      </c>
      <c r="B875" s="36" t="s">
        <v>2736</v>
      </c>
      <c r="C875" s="26">
        <v>6.0</v>
      </c>
      <c r="D875" s="27">
        <v>3000.0</v>
      </c>
      <c r="E875" s="27">
        <f t="shared" si="331"/>
        <v>18000</v>
      </c>
      <c r="F875" s="27">
        <v>250.0</v>
      </c>
      <c r="G875" s="28">
        <v>500.0</v>
      </c>
      <c r="H875" s="27">
        <f t="shared" si="332"/>
        <v>250</v>
      </c>
      <c r="I875" s="27">
        <f>H875*72</f>
        <v>18000</v>
      </c>
      <c r="J875" s="27">
        <f>G875*72</f>
        <v>36000</v>
      </c>
    </row>
    <row r="876" ht="12.75" customHeight="1">
      <c r="A876" s="36">
        <v>7284007.0</v>
      </c>
      <c r="B876" s="36" t="s">
        <v>2953</v>
      </c>
      <c r="C876" s="26">
        <v>5.0</v>
      </c>
      <c r="D876" s="27">
        <v>4700.0</v>
      </c>
      <c r="E876" s="27">
        <f t="shared" si="331"/>
        <v>23500</v>
      </c>
      <c r="F876" s="27">
        <v>783.33</v>
      </c>
      <c r="G876" s="28">
        <v>1500.0</v>
      </c>
      <c r="H876" s="27">
        <f t="shared" si="332"/>
        <v>716.67</v>
      </c>
      <c r="I876" s="27">
        <f t="shared" ref="I876:I877" si="333">H876*30</f>
        <v>21500.1</v>
      </c>
      <c r="J876" s="27">
        <f t="shared" ref="J876:J877" si="334">G876*30</f>
        <v>45000</v>
      </c>
    </row>
    <row r="877" ht="12.75" customHeight="1">
      <c r="A877" s="36">
        <v>2001048.0</v>
      </c>
      <c r="B877" s="36" t="s">
        <v>3055</v>
      </c>
      <c r="C877" s="26">
        <v>30.0</v>
      </c>
      <c r="D877" s="27">
        <v>510.0</v>
      </c>
      <c r="E877" s="27">
        <f t="shared" si="331"/>
        <v>15300</v>
      </c>
      <c r="F877" s="27">
        <v>510.0</v>
      </c>
      <c r="G877" s="28">
        <v>1000.0</v>
      </c>
      <c r="H877" s="27">
        <f t="shared" si="332"/>
        <v>490</v>
      </c>
      <c r="I877" s="27">
        <f t="shared" si="333"/>
        <v>14700</v>
      </c>
      <c r="J877" s="27">
        <f t="shared" si="334"/>
        <v>30000</v>
      </c>
    </row>
    <row r="878" ht="12.75" customHeight="1">
      <c r="A878" s="36">
        <v>522232.0</v>
      </c>
      <c r="B878" s="36" t="s">
        <v>2989</v>
      </c>
      <c r="C878" s="26">
        <v>1.0</v>
      </c>
      <c r="D878" s="27">
        <v>4500.0</v>
      </c>
      <c r="E878" s="27">
        <f t="shared" si="331"/>
        <v>4500</v>
      </c>
      <c r="F878" s="27">
        <v>180.0</v>
      </c>
      <c r="G878" s="28">
        <v>500.0</v>
      </c>
      <c r="H878" s="27">
        <f t="shared" si="332"/>
        <v>320</v>
      </c>
      <c r="I878" s="27">
        <f t="shared" ref="I878:I880" si="335">H878*25</f>
        <v>8000</v>
      </c>
      <c r="J878" s="27">
        <f t="shared" ref="J878:J880" si="336">G878*25</f>
        <v>12500</v>
      </c>
    </row>
    <row r="879" ht="12.75" customHeight="1">
      <c r="A879" s="36">
        <v>522133.0</v>
      </c>
      <c r="B879" s="36" t="s">
        <v>2631</v>
      </c>
      <c r="C879" s="26">
        <v>1.0</v>
      </c>
      <c r="D879" s="27">
        <v>4500.0</v>
      </c>
      <c r="E879" s="27">
        <f t="shared" si="331"/>
        <v>4500</v>
      </c>
      <c r="F879" s="27">
        <v>180.0</v>
      </c>
      <c r="G879" s="28">
        <v>500.0</v>
      </c>
      <c r="H879" s="27">
        <f t="shared" si="332"/>
        <v>320</v>
      </c>
      <c r="I879" s="27">
        <f t="shared" si="335"/>
        <v>8000</v>
      </c>
      <c r="J879" s="27">
        <f t="shared" si="336"/>
        <v>12500</v>
      </c>
    </row>
    <row r="880" ht="12.75" customHeight="1">
      <c r="A880" s="36">
        <v>522249.0</v>
      </c>
      <c r="B880" s="36" t="s">
        <v>2628</v>
      </c>
      <c r="C880" s="26">
        <v>1.0</v>
      </c>
      <c r="D880" s="27">
        <v>4500.0</v>
      </c>
      <c r="E880" s="27">
        <f t="shared" si="331"/>
        <v>4500</v>
      </c>
      <c r="F880" s="27">
        <v>180.0</v>
      </c>
      <c r="G880" s="28">
        <v>500.0</v>
      </c>
      <c r="H880" s="27">
        <f t="shared" si="332"/>
        <v>320</v>
      </c>
      <c r="I880" s="27">
        <f t="shared" si="335"/>
        <v>8000</v>
      </c>
      <c r="J880" s="27">
        <f t="shared" si="336"/>
        <v>12500</v>
      </c>
    </row>
    <row r="881" ht="12.75" customHeight="1">
      <c r="A881" s="36">
        <v>4322805.0</v>
      </c>
      <c r="B881" s="36" t="s">
        <v>2826</v>
      </c>
      <c r="C881" s="26">
        <v>1.0</v>
      </c>
      <c r="D881" s="27">
        <v>5640.0</v>
      </c>
      <c r="E881" s="27">
        <f t="shared" si="331"/>
        <v>5640</v>
      </c>
      <c r="F881" s="27">
        <v>564.0</v>
      </c>
      <c r="G881" s="28">
        <v>1300.0</v>
      </c>
      <c r="H881" s="27">
        <f t="shared" si="332"/>
        <v>736</v>
      </c>
      <c r="I881" s="27">
        <f t="shared" ref="I881:I884" si="337">H881*10</f>
        <v>7360</v>
      </c>
      <c r="J881" s="27">
        <f t="shared" ref="J881:J884" si="338">G881*10</f>
        <v>13000</v>
      </c>
    </row>
    <row r="882" ht="12.75" customHeight="1">
      <c r="A882" s="36">
        <v>4470285.0</v>
      </c>
      <c r="B882" s="36" t="s">
        <v>2825</v>
      </c>
      <c r="C882" s="26">
        <v>1.0</v>
      </c>
      <c r="D882" s="27">
        <v>5640.0</v>
      </c>
      <c r="E882" s="27">
        <f t="shared" si="331"/>
        <v>5640</v>
      </c>
      <c r="F882" s="27">
        <v>564.0</v>
      </c>
      <c r="G882" s="28">
        <v>1300.0</v>
      </c>
      <c r="H882" s="27">
        <f t="shared" si="332"/>
        <v>736</v>
      </c>
      <c r="I882" s="27">
        <f t="shared" si="337"/>
        <v>7360</v>
      </c>
      <c r="J882" s="27">
        <f t="shared" si="338"/>
        <v>13000</v>
      </c>
    </row>
    <row r="883" ht="12.75" customHeight="1">
      <c r="A883" s="36">
        <v>3871977.0</v>
      </c>
      <c r="B883" s="36" t="s">
        <v>2811</v>
      </c>
      <c r="C883" s="26">
        <v>1.0</v>
      </c>
      <c r="D883" s="27">
        <v>3900.0</v>
      </c>
      <c r="E883" s="27">
        <f t="shared" si="331"/>
        <v>3900</v>
      </c>
      <c r="F883" s="27">
        <v>390.0</v>
      </c>
      <c r="G883" s="28">
        <v>1000.0</v>
      </c>
      <c r="H883" s="27">
        <f t="shared" si="332"/>
        <v>610</v>
      </c>
      <c r="I883" s="27">
        <f t="shared" si="337"/>
        <v>6100</v>
      </c>
      <c r="J883" s="27">
        <f t="shared" si="338"/>
        <v>10000</v>
      </c>
    </row>
    <row r="884" ht="12.75" customHeight="1">
      <c r="A884" s="36">
        <v>3871984.0</v>
      </c>
      <c r="B884" s="36" t="s">
        <v>3056</v>
      </c>
      <c r="C884" s="26">
        <v>1.0</v>
      </c>
      <c r="D884" s="27">
        <v>3900.0</v>
      </c>
      <c r="E884" s="27">
        <f t="shared" si="331"/>
        <v>3900</v>
      </c>
      <c r="F884" s="27">
        <v>390.0</v>
      </c>
      <c r="G884" s="28">
        <v>1000.0</v>
      </c>
      <c r="H884" s="27">
        <f t="shared" si="332"/>
        <v>610</v>
      </c>
      <c r="I884" s="27">
        <f t="shared" si="337"/>
        <v>6100</v>
      </c>
      <c r="J884" s="27">
        <f t="shared" si="338"/>
        <v>10000</v>
      </c>
    </row>
    <row r="885" ht="12.75" customHeight="1">
      <c r="A885" s="36">
        <v>3871953.0</v>
      </c>
      <c r="B885" s="36" t="s">
        <v>2809</v>
      </c>
      <c r="C885" s="26">
        <v>2.0</v>
      </c>
      <c r="D885" s="27">
        <v>3900.0</v>
      </c>
      <c r="E885" s="27">
        <f t="shared" si="331"/>
        <v>7800</v>
      </c>
      <c r="F885" s="27">
        <v>390.0</v>
      </c>
      <c r="G885" s="28">
        <v>1000.0</v>
      </c>
      <c r="H885" s="27">
        <f t="shared" si="332"/>
        <v>610</v>
      </c>
      <c r="I885" s="27">
        <f t="shared" ref="I885:I886" si="339">H885*20</f>
        <v>12200</v>
      </c>
      <c r="J885" s="27">
        <f t="shared" ref="J885:J886" si="340">G885*20</f>
        <v>20000</v>
      </c>
    </row>
    <row r="886" ht="12.75" customHeight="1">
      <c r="A886" s="36">
        <v>1260621.0</v>
      </c>
      <c r="B886" s="36" t="s">
        <v>3057</v>
      </c>
      <c r="C886" s="26">
        <v>20.0</v>
      </c>
      <c r="D886" s="27">
        <v>840.0</v>
      </c>
      <c r="E886" s="27">
        <f t="shared" si="331"/>
        <v>16800</v>
      </c>
      <c r="F886" s="27">
        <v>840.0</v>
      </c>
      <c r="G886" s="28">
        <v>1600.0</v>
      </c>
      <c r="H886" s="27">
        <f t="shared" si="332"/>
        <v>760</v>
      </c>
      <c r="I886" s="27">
        <f t="shared" si="339"/>
        <v>15200</v>
      </c>
      <c r="J886" s="27">
        <f t="shared" si="340"/>
        <v>32000</v>
      </c>
    </row>
    <row r="887" ht="12.75" customHeight="1">
      <c r="A887" s="36">
        <v>4164023.0</v>
      </c>
      <c r="B887" s="36" t="s">
        <v>2573</v>
      </c>
      <c r="C887" s="26">
        <v>12.0</v>
      </c>
      <c r="D887" s="27">
        <v>1390.0</v>
      </c>
      <c r="E887" s="27">
        <f t="shared" si="331"/>
        <v>16680</v>
      </c>
      <c r="F887" s="27">
        <v>1390.0</v>
      </c>
      <c r="G887" s="28">
        <v>1900.0</v>
      </c>
      <c r="H887" s="27">
        <f t="shared" si="332"/>
        <v>510</v>
      </c>
      <c r="I887" s="27">
        <f>H887*12</f>
        <v>6120</v>
      </c>
      <c r="J887" s="27">
        <f>G887*12</f>
        <v>22800</v>
      </c>
    </row>
    <row r="888" ht="12.75" customHeight="1">
      <c r="A888" s="36">
        <v>5982538.0</v>
      </c>
      <c r="B888" s="36" t="s">
        <v>2703</v>
      </c>
      <c r="C888" s="26">
        <v>1.0</v>
      </c>
      <c r="D888" s="27">
        <v>6890.0</v>
      </c>
      <c r="E888" s="27">
        <f t="shared" si="331"/>
        <v>6890</v>
      </c>
      <c r="F888" s="27">
        <v>287.083</v>
      </c>
      <c r="G888" s="28">
        <v>500.0</v>
      </c>
      <c r="H888" s="27">
        <f t="shared" si="332"/>
        <v>212.917</v>
      </c>
      <c r="I888" s="27">
        <f>H888*24</f>
        <v>5110.008</v>
      </c>
      <c r="J888" s="27">
        <f>G888*24</f>
        <v>12000</v>
      </c>
    </row>
    <row r="889" ht="12.75" customHeight="1">
      <c r="A889" s="43" t="s">
        <v>3058</v>
      </c>
      <c r="B889" s="36" t="s">
        <v>3059</v>
      </c>
      <c r="C889" s="26">
        <v>1.0</v>
      </c>
      <c r="D889" s="27">
        <v>13550.0</v>
      </c>
      <c r="E889" s="27">
        <f t="shared" si="331"/>
        <v>13550</v>
      </c>
      <c r="F889" s="27">
        <v>542.0</v>
      </c>
      <c r="G889" s="28">
        <v>1600.0</v>
      </c>
      <c r="H889" s="27">
        <f t="shared" si="332"/>
        <v>1058</v>
      </c>
      <c r="I889" s="27">
        <f>H889*25</f>
        <v>26450</v>
      </c>
      <c r="J889" s="27">
        <f>G889*25</f>
        <v>40000</v>
      </c>
    </row>
    <row r="890" ht="12.75" customHeight="1">
      <c r="A890" s="25"/>
      <c r="C890" s="26"/>
      <c r="D890" s="27"/>
      <c r="E890" s="27"/>
      <c r="F890" s="27"/>
      <c r="G890" s="28"/>
      <c r="H890" s="27"/>
      <c r="I890" s="27"/>
      <c r="J890" s="27"/>
    </row>
    <row r="891" ht="12.75" customHeight="1">
      <c r="A891" s="25"/>
      <c r="C891" s="26"/>
      <c r="D891" s="27"/>
      <c r="E891" s="32">
        <f>SUM(E873:E889)</f>
        <v>167160</v>
      </c>
      <c r="F891" s="27"/>
      <c r="G891" s="28"/>
      <c r="H891" s="27"/>
      <c r="I891" s="33">
        <f t="shared" ref="I891:J891" si="341">SUM(I873:I889)</f>
        <v>186140.108</v>
      </c>
      <c r="J891" s="33">
        <f t="shared" si="341"/>
        <v>353300</v>
      </c>
    </row>
    <row r="892" ht="12.75" customHeight="1">
      <c r="A892" s="25"/>
      <c r="C892" s="26"/>
      <c r="D892" s="27"/>
      <c r="E892" s="27"/>
      <c r="F892" s="27"/>
      <c r="G892" s="28"/>
      <c r="H892" s="27"/>
      <c r="I892" s="27"/>
      <c r="J892" s="27"/>
    </row>
    <row r="893" ht="12.75" customHeight="1">
      <c r="A893" s="25"/>
      <c r="C893" s="26"/>
      <c r="D893" s="27"/>
      <c r="E893" s="27"/>
      <c r="F893" s="27"/>
      <c r="G893" s="28"/>
      <c r="H893" s="27"/>
      <c r="I893" s="27"/>
      <c r="J893" s="27"/>
    </row>
    <row r="894" ht="12.75" customHeight="1">
      <c r="A894" s="34">
        <v>45802.0</v>
      </c>
      <c r="C894" s="26"/>
      <c r="D894" s="27"/>
      <c r="E894" s="27"/>
      <c r="F894" s="27"/>
      <c r="G894" s="28"/>
      <c r="H894" s="27"/>
      <c r="I894" s="27"/>
      <c r="J894" s="27"/>
    </row>
    <row r="895" ht="12.75" customHeight="1">
      <c r="A895" s="25"/>
      <c r="C895" s="26"/>
      <c r="D895" s="27"/>
      <c r="E895" s="27"/>
      <c r="F895" s="27"/>
      <c r="G895" s="28"/>
      <c r="H895" s="27"/>
      <c r="I895" s="27"/>
      <c r="J895" s="27"/>
    </row>
    <row r="896" ht="12.75" customHeight="1">
      <c r="A896" s="36">
        <v>1104420.0</v>
      </c>
      <c r="B896" s="36" t="s">
        <v>3060</v>
      </c>
      <c r="C896" s="26">
        <v>1.0</v>
      </c>
      <c r="D896" s="27">
        <v>3020.0</v>
      </c>
      <c r="E896" s="27">
        <f t="shared" ref="E896:E920" si="342">D896*C896</f>
        <v>3020</v>
      </c>
      <c r="F896" s="27">
        <v>3020.0</v>
      </c>
      <c r="G896" s="28">
        <v>3020.0</v>
      </c>
      <c r="H896" s="27">
        <f t="shared" ref="H896:H920" si="343">G896-F896</f>
        <v>0</v>
      </c>
      <c r="I896" s="27">
        <f>H896*0</f>
        <v>0</v>
      </c>
      <c r="J896" s="27">
        <f>G896*0</f>
        <v>0</v>
      </c>
    </row>
    <row r="897" ht="12.75" customHeight="1">
      <c r="A897" s="36">
        <v>3952607.0</v>
      </c>
      <c r="B897" s="36" t="s">
        <v>3061</v>
      </c>
      <c r="C897" s="26">
        <v>1.0</v>
      </c>
      <c r="D897" s="27">
        <v>11120.0</v>
      </c>
      <c r="E897" s="27">
        <f t="shared" si="342"/>
        <v>11120</v>
      </c>
      <c r="F897" s="27">
        <v>926.66</v>
      </c>
      <c r="G897" s="28">
        <v>1800.0</v>
      </c>
      <c r="H897" s="27">
        <f t="shared" si="343"/>
        <v>873.34</v>
      </c>
      <c r="I897" s="27">
        <f>H897*12</f>
        <v>10480.08</v>
      </c>
      <c r="J897" s="27">
        <f>G897*12</f>
        <v>21600</v>
      </c>
    </row>
    <row r="898" ht="12.75" customHeight="1">
      <c r="A898" s="36">
        <v>5100529.0</v>
      </c>
      <c r="B898" s="36" t="s">
        <v>2601</v>
      </c>
      <c r="C898" s="26">
        <v>24.0</v>
      </c>
      <c r="D898" s="27">
        <v>1690.0</v>
      </c>
      <c r="E898" s="27">
        <f t="shared" si="342"/>
        <v>40560</v>
      </c>
      <c r="F898" s="27">
        <v>1690.0</v>
      </c>
      <c r="G898" s="28">
        <v>2400.0</v>
      </c>
      <c r="H898" s="27">
        <f t="shared" si="343"/>
        <v>710</v>
      </c>
      <c r="I898" s="27">
        <f>H898*24</f>
        <v>17040</v>
      </c>
      <c r="J898" s="27">
        <f>G898*24</f>
        <v>57600</v>
      </c>
    </row>
    <row r="899" ht="12.75" customHeight="1">
      <c r="A899" s="36">
        <v>1103829.0</v>
      </c>
      <c r="B899" s="36" t="s">
        <v>2604</v>
      </c>
      <c r="C899" s="26">
        <v>15.0</v>
      </c>
      <c r="D899" s="27">
        <v>2790.0</v>
      </c>
      <c r="E899" s="27">
        <f t="shared" si="342"/>
        <v>41850</v>
      </c>
      <c r="F899" s="27">
        <v>2790.0</v>
      </c>
      <c r="G899" s="28">
        <v>4500.0</v>
      </c>
      <c r="H899" s="27">
        <f t="shared" si="343"/>
        <v>1710</v>
      </c>
      <c r="I899" s="27">
        <f>H899*15</f>
        <v>25650</v>
      </c>
      <c r="J899" s="27">
        <f>G899*15</f>
        <v>67500</v>
      </c>
    </row>
    <row r="900" ht="12.75" customHeight="1">
      <c r="A900" s="36">
        <v>1103744.0</v>
      </c>
      <c r="B900" s="36" t="s">
        <v>3051</v>
      </c>
      <c r="C900" s="26">
        <v>10.0</v>
      </c>
      <c r="D900" s="27">
        <v>1980.0</v>
      </c>
      <c r="E900" s="27">
        <f t="shared" si="342"/>
        <v>19800</v>
      </c>
      <c r="F900" s="27">
        <v>1980.0</v>
      </c>
      <c r="G900" s="28">
        <v>4000.0</v>
      </c>
      <c r="H900" s="27">
        <f t="shared" si="343"/>
        <v>2020</v>
      </c>
      <c r="I900" s="27">
        <f>H900*10</f>
        <v>20200</v>
      </c>
      <c r="J900" s="27">
        <f>G900*10</f>
        <v>40000</v>
      </c>
    </row>
    <row r="901" ht="12.75" customHeight="1">
      <c r="A901" s="43" t="s">
        <v>2984</v>
      </c>
      <c r="B901" s="36" t="s">
        <v>2985</v>
      </c>
      <c r="C901" s="26">
        <v>10.0</v>
      </c>
      <c r="D901" s="27">
        <v>960.0</v>
      </c>
      <c r="E901" s="27">
        <f t="shared" si="342"/>
        <v>9600</v>
      </c>
      <c r="F901" s="27">
        <v>80.0</v>
      </c>
      <c r="G901" s="28">
        <v>200.0</v>
      </c>
      <c r="H901" s="27">
        <f t="shared" si="343"/>
        <v>120</v>
      </c>
      <c r="I901" s="27">
        <f>H901*120</f>
        <v>14400</v>
      </c>
      <c r="J901" s="27">
        <f>G901*120</f>
        <v>24000</v>
      </c>
    </row>
    <row r="902" ht="12.75" customHeight="1">
      <c r="A902" s="43" t="s">
        <v>3040</v>
      </c>
      <c r="B902" s="36" t="s">
        <v>3041</v>
      </c>
      <c r="C902" s="26">
        <v>6.0</v>
      </c>
      <c r="D902" s="27">
        <v>960.0</v>
      </c>
      <c r="E902" s="27">
        <f t="shared" si="342"/>
        <v>5760</v>
      </c>
      <c r="F902" s="27">
        <v>80.0</v>
      </c>
      <c r="G902" s="28">
        <v>200.0</v>
      </c>
      <c r="H902" s="27">
        <f t="shared" si="343"/>
        <v>120</v>
      </c>
      <c r="I902" s="27">
        <f>H902*72</f>
        <v>8640</v>
      </c>
      <c r="J902" s="27">
        <f>G902*72</f>
        <v>14400</v>
      </c>
    </row>
    <row r="903" ht="12.75" customHeight="1">
      <c r="A903" s="43" t="s">
        <v>3042</v>
      </c>
      <c r="B903" s="36" t="s">
        <v>3043</v>
      </c>
      <c r="C903" s="26">
        <v>3.0</v>
      </c>
      <c r="D903" s="27">
        <v>960.0</v>
      </c>
      <c r="E903" s="27">
        <f t="shared" si="342"/>
        <v>2880</v>
      </c>
      <c r="F903" s="27">
        <v>80.0</v>
      </c>
      <c r="G903" s="28">
        <v>200.0</v>
      </c>
      <c r="H903" s="27">
        <f t="shared" si="343"/>
        <v>120</v>
      </c>
      <c r="I903" s="27">
        <f>H903*36</f>
        <v>4320</v>
      </c>
      <c r="J903" s="27">
        <f>G903*36</f>
        <v>7200</v>
      </c>
    </row>
    <row r="904" ht="12.75" customHeight="1">
      <c r="A904" s="36">
        <v>527251.0</v>
      </c>
      <c r="B904" s="36" t="s">
        <v>2775</v>
      </c>
      <c r="C904" s="26">
        <v>10.0</v>
      </c>
      <c r="D904" s="27">
        <v>705.0</v>
      </c>
      <c r="E904" s="27">
        <f t="shared" si="342"/>
        <v>7050</v>
      </c>
      <c r="F904" s="27">
        <v>705.0</v>
      </c>
      <c r="G904" s="28">
        <v>1200.0</v>
      </c>
      <c r="H904" s="27">
        <f t="shared" si="343"/>
        <v>495</v>
      </c>
      <c r="I904" s="27">
        <f>H904*10</f>
        <v>4950</v>
      </c>
      <c r="J904" s="27">
        <f>G904*10</f>
        <v>12000</v>
      </c>
    </row>
    <row r="905" ht="12.75" customHeight="1">
      <c r="A905" s="36">
        <v>1185566.0</v>
      </c>
      <c r="B905" s="36" t="s">
        <v>3062</v>
      </c>
      <c r="C905" s="26">
        <v>6.0</v>
      </c>
      <c r="D905" s="27">
        <v>1180.0</v>
      </c>
      <c r="E905" s="27">
        <f t="shared" si="342"/>
        <v>7080</v>
      </c>
      <c r="F905" s="27">
        <v>1180.0</v>
      </c>
      <c r="G905" s="28">
        <v>1900.0</v>
      </c>
      <c r="H905" s="27">
        <f t="shared" si="343"/>
        <v>720</v>
      </c>
      <c r="I905" s="27">
        <f t="shared" ref="I905:I906" si="344">H905*6</f>
        <v>4320</v>
      </c>
      <c r="J905" s="27">
        <f t="shared" ref="J905:J906" si="345">G905*6</f>
        <v>11400</v>
      </c>
    </row>
    <row r="906" ht="12.75" customHeight="1">
      <c r="A906" s="36">
        <v>1114399.0</v>
      </c>
      <c r="B906" s="36" t="s">
        <v>3063</v>
      </c>
      <c r="C906" s="26">
        <v>6.0</v>
      </c>
      <c r="D906" s="27">
        <v>1500.0</v>
      </c>
      <c r="E906" s="27">
        <f t="shared" si="342"/>
        <v>9000</v>
      </c>
      <c r="F906" s="27">
        <v>1500.0</v>
      </c>
      <c r="G906" s="28">
        <v>2200.0</v>
      </c>
      <c r="H906" s="27">
        <f t="shared" si="343"/>
        <v>700</v>
      </c>
      <c r="I906" s="27">
        <f t="shared" si="344"/>
        <v>4200</v>
      </c>
      <c r="J906" s="27">
        <f t="shared" si="345"/>
        <v>13200</v>
      </c>
    </row>
    <row r="907" ht="12.75" customHeight="1">
      <c r="A907" s="43" t="s">
        <v>3064</v>
      </c>
      <c r="B907" s="36" t="s">
        <v>3065</v>
      </c>
      <c r="C907" s="26">
        <v>5.0</v>
      </c>
      <c r="D907" s="27">
        <v>600.0</v>
      </c>
      <c r="E907" s="27">
        <f t="shared" si="342"/>
        <v>3000</v>
      </c>
      <c r="F907" s="27">
        <v>30.0</v>
      </c>
      <c r="G907" s="28">
        <v>150.0</v>
      </c>
      <c r="H907" s="27">
        <f t="shared" si="343"/>
        <v>120</v>
      </c>
      <c r="I907" s="27">
        <f t="shared" ref="I907:I908" si="346">H907*100</f>
        <v>12000</v>
      </c>
      <c r="J907" s="27">
        <f t="shared" ref="J907:J908" si="347">G907*100</f>
        <v>15000</v>
      </c>
    </row>
    <row r="908" ht="12.75" customHeight="1">
      <c r="A908" s="36" t="s">
        <v>3066</v>
      </c>
      <c r="B908" s="36" t="s">
        <v>3067</v>
      </c>
      <c r="C908" s="26">
        <v>5.0</v>
      </c>
      <c r="D908" s="27">
        <v>600.0</v>
      </c>
      <c r="E908" s="27">
        <f t="shared" si="342"/>
        <v>3000</v>
      </c>
      <c r="F908" s="27">
        <v>30.0</v>
      </c>
      <c r="G908" s="28">
        <v>150.0</v>
      </c>
      <c r="H908" s="27">
        <f t="shared" si="343"/>
        <v>120</v>
      </c>
      <c r="I908" s="27">
        <f t="shared" si="346"/>
        <v>12000</v>
      </c>
      <c r="J908" s="27">
        <f t="shared" si="347"/>
        <v>15000</v>
      </c>
    </row>
    <row r="909" ht="12.75" customHeight="1">
      <c r="A909" s="36">
        <v>4409216.0</v>
      </c>
      <c r="B909" s="36" t="s">
        <v>2970</v>
      </c>
      <c r="C909" s="26">
        <v>3.0</v>
      </c>
      <c r="D909" s="27">
        <v>1560.0</v>
      </c>
      <c r="E909" s="27">
        <f t="shared" si="342"/>
        <v>4680</v>
      </c>
      <c r="F909" s="27">
        <v>78.0</v>
      </c>
      <c r="G909" s="28">
        <v>150.0</v>
      </c>
      <c r="H909" s="27">
        <f t="shared" si="343"/>
        <v>72</v>
      </c>
      <c r="I909" s="27">
        <f t="shared" ref="I909:I911" si="348">H909*60</f>
        <v>4320</v>
      </c>
      <c r="J909" s="27">
        <f t="shared" ref="J909:J910" si="349">G909*60</f>
        <v>9000</v>
      </c>
    </row>
    <row r="910" ht="12.75" customHeight="1">
      <c r="A910" s="36">
        <v>4134101.0</v>
      </c>
      <c r="B910" s="36" t="s">
        <v>2967</v>
      </c>
      <c r="C910" s="26">
        <v>3.0</v>
      </c>
      <c r="D910" s="27">
        <v>1560.0</v>
      </c>
      <c r="E910" s="27">
        <f t="shared" si="342"/>
        <v>4680</v>
      </c>
      <c r="F910" s="27">
        <v>78.0</v>
      </c>
      <c r="G910" s="28">
        <v>150.0</v>
      </c>
      <c r="H910" s="27">
        <f t="shared" si="343"/>
        <v>72</v>
      </c>
      <c r="I910" s="27">
        <f t="shared" si="348"/>
        <v>4320</v>
      </c>
      <c r="J910" s="27">
        <f t="shared" si="349"/>
        <v>9000</v>
      </c>
    </row>
    <row r="911" ht="12.75" customHeight="1">
      <c r="A911" s="43" t="s">
        <v>3068</v>
      </c>
      <c r="B911" s="36" t="s">
        <v>3069</v>
      </c>
      <c r="C911" s="26">
        <v>3.0</v>
      </c>
      <c r="D911" s="27">
        <v>600.0</v>
      </c>
      <c r="E911" s="27">
        <f t="shared" si="342"/>
        <v>1800</v>
      </c>
      <c r="F911" s="27">
        <v>30.0</v>
      </c>
      <c r="G911" s="28">
        <v>150.0</v>
      </c>
      <c r="H911" s="27">
        <f t="shared" si="343"/>
        <v>120</v>
      </c>
      <c r="I911" s="27">
        <f t="shared" si="348"/>
        <v>7200</v>
      </c>
      <c r="J911" s="27">
        <f>G911*20</f>
        <v>3000</v>
      </c>
    </row>
    <row r="912" ht="12.75" customHeight="1">
      <c r="A912" s="36">
        <v>279747.0</v>
      </c>
      <c r="B912" s="36" t="s">
        <v>3070</v>
      </c>
      <c r="C912" s="26">
        <v>6.0</v>
      </c>
      <c r="D912" s="27">
        <v>360.0</v>
      </c>
      <c r="E912" s="27">
        <f t="shared" si="342"/>
        <v>2160</v>
      </c>
      <c r="F912" s="27">
        <v>360.0</v>
      </c>
      <c r="G912" s="28">
        <v>650.0</v>
      </c>
      <c r="H912" s="27">
        <f t="shared" si="343"/>
        <v>290</v>
      </c>
      <c r="I912" s="27">
        <f t="shared" ref="I912:I913" si="350">H912*6</f>
        <v>1740</v>
      </c>
      <c r="J912" s="27">
        <f t="shared" ref="J912:J913" si="351">G912*6</f>
        <v>3900</v>
      </c>
    </row>
    <row r="913" ht="12.75" customHeight="1">
      <c r="A913" s="36">
        <v>272755.0</v>
      </c>
      <c r="B913" s="36" t="s">
        <v>3071</v>
      </c>
      <c r="C913" s="26">
        <v>6.0</v>
      </c>
      <c r="D913" s="27">
        <v>400.0</v>
      </c>
      <c r="E913" s="27">
        <f t="shared" si="342"/>
        <v>2400</v>
      </c>
      <c r="F913" s="27">
        <v>400.0</v>
      </c>
      <c r="G913" s="28">
        <v>700.0</v>
      </c>
      <c r="H913" s="27">
        <f t="shared" si="343"/>
        <v>300</v>
      </c>
      <c r="I913" s="27">
        <f t="shared" si="350"/>
        <v>1800</v>
      </c>
      <c r="J913" s="27">
        <f t="shared" si="351"/>
        <v>4200</v>
      </c>
    </row>
    <row r="914" ht="12.75" customHeight="1">
      <c r="A914" s="36">
        <v>4326049.0</v>
      </c>
      <c r="B914" s="36" t="s">
        <v>2760</v>
      </c>
      <c r="C914" s="26">
        <v>1.0</v>
      </c>
      <c r="D914" s="27">
        <v>2130.0</v>
      </c>
      <c r="E914" s="27">
        <f t="shared" si="342"/>
        <v>2130</v>
      </c>
      <c r="F914" s="27">
        <v>177.5</v>
      </c>
      <c r="G914" s="28">
        <v>450.0</v>
      </c>
      <c r="H914" s="27">
        <f t="shared" si="343"/>
        <v>272.5</v>
      </c>
      <c r="I914" s="27">
        <f t="shared" ref="I914:I915" si="352">H914*12</f>
        <v>3270</v>
      </c>
      <c r="J914" s="27">
        <f t="shared" ref="J914:J915" si="353">G914*12</f>
        <v>5400</v>
      </c>
    </row>
    <row r="915" ht="12.75" customHeight="1">
      <c r="A915" s="36">
        <v>4630306.0</v>
      </c>
      <c r="B915" s="36" t="s">
        <v>2759</v>
      </c>
      <c r="C915" s="26">
        <v>1.0</v>
      </c>
      <c r="D915" s="27">
        <v>2130.0</v>
      </c>
      <c r="E915" s="27">
        <f t="shared" si="342"/>
        <v>2130</v>
      </c>
      <c r="F915" s="27">
        <v>177.5</v>
      </c>
      <c r="G915" s="28">
        <v>450.0</v>
      </c>
      <c r="H915" s="27">
        <f t="shared" si="343"/>
        <v>272.5</v>
      </c>
      <c r="I915" s="27">
        <f t="shared" si="352"/>
        <v>3270</v>
      </c>
      <c r="J915" s="27">
        <f t="shared" si="353"/>
        <v>5400</v>
      </c>
    </row>
    <row r="916" ht="12.75" customHeight="1">
      <c r="A916" s="36">
        <v>6453097.0</v>
      </c>
      <c r="B916" s="36" t="s">
        <v>2659</v>
      </c>
      <c r="C916" s="26">
        <v>3.0</v>
      </c>
      <c r="D916" s="27">
        <v>1320.0</v>
      </c>
      <c r="E916" s="27">
        <f t="shared" si="342"/>
        <v>3960</v>
      </c>
      <c r="F916" s="27">
        <v>165.0</v>
      </c>
      <c r="G916" s="28">
        <v>350.0</v>
      </c>
      <c r="H916" s="27">
        <f t="shared" si="343"/>
        <v>185</v>
      </c>
      <c r="I916" s="27">
        <f>H916*24</f>
        <v>4440</v>
      </c>
      <c r="J916" s="27">
        <f>G916*24</f>
        <v>8400</v>
      </c>
    </row>
    <row r="917" ht="12.75" customHeight="1">
      <c r="A917" s="36">
        <v>5703020.0</v>
      </c>
      <c r="B917" s="36" t="s">
        <v>3072</v>
      </c>
      <c r="C917" s="26">
        <v>1.0</v>
      </c>
      <c r="D917" s="27">
        <v>2810.0</v>
      </c>
      <c r="E917" s="27">
        <f t="shared" si="342"/>
        <v>2810</v>
      </c>
      <c r="F917" s="27">
        <v>2810.0</v>
      </c>
      <c r="G917" s="28">
        <v>2810.0</v>
      </c>
      <c r="H917" s="27">
        <f t="shared" si="343"/>
        <v>0</v>
      </c>
      <c r="I917" s="27">
        <f>H917*0</f>
        <v>0</v>
      </c>
      <c r="J917" s="27">
        <f>G917*0</f>
        <v>0</v>
      </c>
    </row>
    <row r="918" ht="12.75" customHeight="1">
      <c r="A918" s="36">
        <v>4324984.0</v>
      </c>
      <c r="B918" s="36" t="s">
        <v>3073</v>
      </c>
      <c r="C918" s="26">
        <v>6.0</v>
      </c>
      <c r="D918" s="27">
        <v>710.0</v>
      </c>
      <c r="E918" s="27">
        <f t="shared" si="342"/>
        <v>4260</v>
      </c>
      <c r="F918" s="27">
        <v>710.0</v>
      </c>
      <c r="G918" s="28">
        <v>1200.0</v>
      </c>
      <c r="H918" s="27">
        <f t="shared" si="343"/>
        <v>490</v>
      </c>
      <c r="I918" s="27">
        <f t="shared" ref="I918:I919" si="354">H918*6</f>
        <v>2940</v>
      </c>
      <c r="J918" s="27">
        <f t="shared" ref="J918:J919" si="355">G918*6</f>
        <v>7200</v>
      </c>
    </row>
    <row r="919" ht="12.75" customHeight="1">
      <c r="A919" s="36">
        <v>4183871.0</v>
      </c>
      <c r="B919" s="36" t="s">
        <v>3074</v>
      </c>
      <c r="C919" s="26">
        <v>6.0</v>
      </c>
      <c r="D919" s="27">
        <v>750.0</v>
      </c>
      <c r="E919" s="27">
        <f t="shared" si="342"/>
        <v>4500</v>
      </c>
      <c r="F919" s="27">
        <v>750.0</v>
      </c>
      <c r="G919" s="28">
        <v>1200.0</v>
      </c>
      <c r="H919" s="27">
        <f t="shared" si="343"/>
        <v>450</v>
      </c>
      <c r="I919" s="27">
        <f t="shared" si="354"/>
        <v>2700</v>
      </c>
      <c r="J919" s="27">
        <f t="shared" si="355"/>
        <v>7200</v>
      </c>
    </row>
    <row r="920" ht="12.75" customHeight="1">
      <c r="A920" s="36">
        <v>700426.0</v>
      </c>
      <c r="B920" s="36" t="s">
        <v>3031</v>
      </c>
      <c r="C920" s="26">
        <v>1.0</v>
      </c>
      <c r="D920" s="27">
        <v>4110.0</v>
      </c>
      <c r="E920" s="27">
        <f t="shared" si="342"/>
        <v>4110</v>
      </c>
      <c r="F920" s="27">
        <v>342.5</v>
      </c>
      <c r="G920" s="28">
        <v>800.0</v>
      </c>
      <c r="H920" s="27">
        <f t="shared" si="343"/>
        <v>457.5</v>
      </c>
      <c r="I920" s="27">
        <f>H920*12</f>
        <v>5490</v>
      </c>
      <c r="J920" s="27">
        <f>G920*12</f>
        <v>9600</v>
      </c>
    </row>
    <row r="921" ht="12.75" customHeight="1">
      <c r="A921" s="25"/>
      <c r="C921" s="26"/>
      <c r="D921" s="27"/>
      <c r="E921" s="27"/>
      <c r="F921" s="27"/>
      <c r="G921" s="28"/>
      <c r="H921" s="27"/>
      <c r="I921" s="27"/>
      <c r="J921" s="27"/>
    </row>
    <row r="922" ht="12.75" customHeight="1">
      <c r="A922" s="25"/>
      <c r="C922" s="26"/>
      <c r="D922" s="27"/>
      <c r="E922" s="32">
        <f>SUM(E896:E920)</f>
        <v>203340</v>
      </c>
      <c r="F922" s="27"/>
      <c r="G922" s="28"/>
      <c r="H922" s="27"/>
      <c r="I922" s="33">
        <f t="shared" ref="I922:J922" si="356">SUM(I896:I920)</f>
        <v>179690.08</v>
      </c>
      <c r="J922" s="33">
        <f t="shared" si="356"/>
        <v>371200</v>
      </c>
    </row>
    <row r="923" ht="12.75" customHeight="1">
      <c r="A923" s="25"/>
      <c r="C923" s="26"/>
      <c r="D923" s="27"/>
      <c r="E923" s="27"/>
      <c r="F923" s="27"/>
      <c r="G923" s="28"/>
      <c r="H923" s="27"/>
      <c r="I923" s="27"/>
      <c r="J923" s="27"/>
    </row>
    <row r="924" ht="12.75" customHeight="1">
      <c r="A924" s="25"/>
      <c r="C924" s="26"/>
      <c r="D924" s="27"/>
      <c r="E924" s="27"/>
      <c r="F924" s="27"/>
      <c r="G924" s="28"/>
      <c r="H924" s="27"/>
      <c r="I924" s="27"/>
      <c r="J924" s="27"/>
    </row>
    <row r="925" ht="12.75" customHeight="1">
      <c r="A925" s="34">
        <v>45816.0</v>
      </c>
      <c r="C925" s="26"/>
      <c r="D925" s="27"/>
      <c r="E925" s="27"/>
      <c r="F925" s="27"/>
      <c r="G925" s="28"/>
      <c r="H925" s="27"/>
      <c r="I925" s="27"/>
      <c r="J925" s="27"/>
    </row>
    <row r="926" ht="12.75" customHeight="1">
      <c r="A926" s="25"/>
      <c r="C926" s="26"/>
      <c r="D926" s="27"/>
      <c r="E926" s="27"/>
      <c r="F926" s="27"/>
      <c r="G926" s="28"/>
      <c r="H926" s="27"/>
      <c r="I926" s="27"/>
      <c r="J926" s="27"/>
    </row>
    <row r="927" ht="12.75" customHeight="1">
      <c r="A927" s="36">
        <v>1110162.0</v>
      </c>
      <c r="B927" s="36" t="s">
        <v>3075</v>
      </c>
      <c r="C927" s="26">
        <v>10.0</v>
      </c>
      <c r="D927" s="27">
        <v>1340.0</v>
      </c>
      <c r="E927" s="27">
        <f t="shared" ref="E927:E940" si="357">D927*C927</f>
        <v>13400</v>
      </c>
      <c r="F927" s="27">
        <v>1340.0</v>
      </c>
      <c r="G927" s="28">
        <v>2000.0</v>
      </c>
      <c r="H927" s="27">
        <f t="shared" ref="H927:H940" si="358">G927-F927</f>
        <v>660</v>
      </c>
      <c r="I927" s="27">
        <f t="shared" ref="I927:I928" si="359">H927*10</f>
        <v>6600</v>
      </c>
      <c r="J927" s="27">
        <f t="shared" ref="J927:J928" si="360">G927*10</f>
        <v>20000</v>
      </c>
    </row>
    <row r="928" ht="12.75" customHeight="1">
      <c r="A928" s="36">
        <v>299578.0</v>
      </c>
      <c r="B928" s="36" t="s">
        <v>2587</v>
      </c>
      <c r="C928" s="26">
        <v>10.0</v>
      </c>
      <c r="D928" s="27">
        <v>1570.0</v>
      </c>
      <c r="E928" s="27">
        <f t="shared" si="357"/>
        <v>15700</v>
      </c>
      <c r="F928" s="27">
        <v>1570.0</v>
      </c>
      <c r="G928" s="28">
        <v>2400.0</v>
      </c>
      <c r="H928" s="27">
        <f t="shared" si="358"/>
        <v>830</v>
      </c>
      <c r="I928" s="27">
        <f t="shared" si="359"/>
        <v>8300</v>
      </c>
      <c r="J928" s="27">
        <f t="shared" si="360"/>
        <v>24000</v>
      </c>
    </row>
    <row r="929" ht="12.75" customHeight="1">
      <c r="A929" s="36">
        <v>1111845.0</v>
      </c>
      <c r="B929" s="36" t="s">
        <v>3076</v>
      </c>
      <c r="C929" s="26">
        <v>1.0</v>
      </c>
      <c r="D929" s="27">
        <v>16360.0</v>
      </c>
      <c r="E929" s="27">
        <f t="shared" si="357"/>
        <v>16360</v>
      </c>
      <c r="F929" s="27">
        <v>163.6</v>
      </c>
      <c r="G929" s="28">
        <v>300.0</v>
      </c>
      <c r="H929" s="27">
        <f t="shared" si="358"/>
        <v>136.4</v>
      </c>
      <c r="I929" s="27">
        <f t="shared" ref="I929:I931" si="361">H929*100</f>
        <v>13640</v>
      </c>
      <c r="J929" s="27">
        <f t="shared" ref="J929:J931" si="362">G929*100</f>
        <v>30000</v>
      </c>
    </row>
    <row r="930" ht="12.75" customHeight="1">
      <c r="A930" s="36">
        <v>1111852.0</v>
      </c>
      <c r="B930" s="36" t="s">
        <v>3077</v>
      </c>
      <c r="C930" s="26">
        <v>1.0</v>
      </c>
      <c r="D930" s="27">
        <v>16360.0</v>
      </c>
      <c r="E930" s="27">
        <f t="shared" si="357"/>
        <v>16360</v>
      </c>
      <c r="F930" s="27">
        <v>163.6</v>
      </c>
      <c r="G930" s="28">
        <v>300.0</v>
      </c>
      <c r="H930" s="27">
        <f t="shared" si="358"/>
        <v>136.4</v>
      </c>
      <c r="I930" s="27">
        <f t="shared" si="361"/>
        <v>13640</v>
      </c>
      <c r="J930" s="27">
        <f t="shared" si="362"/>
        <v>30000</v>
      </c>
    </row>
    <row r="931" ht="12.75" customHeight="1">
      <c r="A931" s="36">
        <v>1111814.0</v>
      </c>
      <c r="B931" s="36" t="s">
        <v>3078</v>
      </c>
      <c r="C931" s="26">
        <v>1.0</v>
      </c>
      <c r="D931" s="27">
        <v>16360.0</v>
      </c>
      <c r="E931" s="27">
        <f t="shared" si="357"/>
        <v>16360</v>
      </c>
      <c r="F931" s="27">
        <v>163.6</v>
      </c>
      <c r="G931" s="28">
        <v>300.0</v>
      </c>
      <c r="H931" s="27">
        <f t="shared" si="358"/>
        <v>136.4</v>
      </c>
      <c r="I931" s="27">
        <f t="shared" si="361"/>
        <v>13640</v>
      </c>
      <c r="J931" s="27">
        <f t="shared" si="362"/>
        <v>30000</v>
      </c>
    </row>
    <row r="932" ht="12.75" customHeight="1">
      <c r="A932" s="36">
        <v>5062193.0</v>
      </c>
      <c r="B932" s="36" t="s">
        <v>3079</v>
      </c>
      <c r="C932" s="26">
        <v>20.0</v>
      </c>
      <c r="D932" s="27">
        <v>120.0</v>
      </c>
      <c r="E932" s="27">
        <f t="shared" si="357"/>
        <v>2400</v>
      </c>
      <c r="F932" s="27">
        <v>120.0</v>
      </c>
      <c r="G932" s="28">
        <v>300.0</v>
      </c>
      <c r="H932" s="27">
        <f t="shared" si="358"/>
        <v>180</v>
      </c>
      <c r="I932" s="27">
        <f>H932*20</f>
        <v>3600</v>
      </c>
      <c r="J932" s="27">
        <f>G932*20</f>
        <v>6000</v>
      </c>
    </row>
    <row r="933" ht="12.75" customHeight="1">
      <c r="A933" s="36">
        <v>4837867.0</v>
      </c>
      <c r="B933" s="36" t="s">
        <v>3025</v>
      </c>
      <c r="C933" s="26">
        <v>1.0</v>
      </c>
      <c r="D933" s="27">
        <v>2340.0</v>
      </c>
      <c r="E933" s="27">
        <f t="shared" si="357"/>
        <v>2340</v>
      </c>
      <c r="F933" s="27">
        <v>2340.0</v>
      </c>
      <c r="G933" s="28">
        <v>4000.0</v>
      </c>
      <c r="H933" s="27">
        <f t="shared" si="358"/>
        <v>1660</v>
      </c>
      <c r="I933" s="27">
        <f>H933*1</f>
        <v>1660</v>
      </c>
      <c r="J933" s="27">
        <f>G933*1</f>
        <v>4000</v>
      </c>
    </row>
    <row r="934" ht="12.75" customHeight="1">
      <c r="A934" s="36">
        <v>2001048.0</v>
      </c>
      <c r="B934" s="36" t="s">
        <v>3055</v>
      </c>
      <c r="C934" s="26">
        <v>20.0</v>
      </c>
      <c r="D934" s="27">
        <v>510.0</v>
      </c>
      <c r="E934" s="27">
        <f t="shared" si="357"/>
        <v>10200</v>
      </c>
      <c r="F934" s="27">
        <v>510.0</v>
      </c>
      <c r="G934" s="28">
        <v>1000.0</v>
      </c>
      <c r="H934" s="27">
        <f t="shared" si="358"/>
        <v>490</v>
      </c>
      <c r="I934" s="27">
        <f t="shared" ref="I934:I935" si="363">H934*20</f>
        <v>9800</v>
      </c>
      <c r="J934" s="27">
        <f t="shared" ref="J934:J935" si="364">G934*20</f>
        <v>20000</v>
      </c>
    </row>
    <row r="935" ht="12.75" customHeight="1">
      <c r="A935" s="36">
        <v>6898.0</v>
      </c>
      <c r="B935" s="36" t="s">
        <v>2658</v>
      </c>
      <c r="C935" s="26">
        <v>20.0</v>
      </c>
      <c r="D935" s="27">
        <v>700.0</v>
      </c>
      <c r="E935" s="27">
        <f t="shared" si="357"/>
        <v>14000</v>
      </c>
      <c r="F935" s="27">
        <v>700.0</v>
      </c>
      <c r="G935" s="28">
        <v>2000.0</v>
      </c>
      <c r="H935" s="27">
        <f t="shared" si="358"/>
        <v>1300</v>
      </c>
      <c r="I935" s="27">
        <f t="shared" si="363"/>
        <v>26000</v>
      </c>
      <c r="J935" s="27">
        <f t="shared" si="364"/>
        <v>40000</v>
      </c>
    </row>
    <row r="936" ht="12.75" customHeight="1">
      <c r="A936" s="36">
        <v>522201.0</v>
      </c>
      <c r="B936" s="36" t="s">
        <v>2991</v>
      </c>
      <c r="C936" s="26">
        <v>1.0</v>
      </c>
      <c r="D936" s="27">
        <v>4500.0</v>
      </c>
      <c r="E936" s="27">
        <f t="shared" si="357"/>
        <v>4500</v>
      </c>
      <c r="F936" s="27">
        <v>180.0</v>
      </c>
      <c r="G936" s="28">
        <v>500.0</v>
      </c>
      <c r="H936" s="27">
        <f t="shared" si="358"/>
        <v>320</v>
      </c>
      <c r="I936" s="27">
        <f t="shared" ref="I936:I939" si="365">H936*25</f>
        <v>8000</v>
      </c>
      <c r="J936" s="27">
        <f t="shared" ref="J936:J939" si="366">G936*25</f>
        <v>12500</v>
      </c>
    </row>
    <row r="937" ht="12.75" customHeight="1">
      <c r="A937" s="36">
        <v>522140.0</v>
      </c>
      <c r="B937" s="36" t="s">
        <v>2994</v>
      </c>
      <c r="C937" s="26">
        <v>1.0</v>
      </c>
      <c r="D937" s="27">
        <v>4500.0</v>
      </c>
      <c r="E937" s="27">
        <f t="shared" si="357"/>
        <v>4500</v>
      </c>
      <c r="F937" s="27">
        <v>180.0</v>
      </c>
      <c r="G937" s="28">
        <v>500.0</v>
      </c>
      <c r="H937" s="27">
        <f t="shared" si="358"/>
        <v>320</v>
      </c>
      <c r="I937" s="27">
        <f t="shared" si="365"/>
        <v>8000</v>
      </c>
      <c r="J937" s="27">
        <f t="shared" si="366"/>
        <v>12500</v>
      </c>
    </row>
    <row r="938" ht="12.75" customHeight="1">
      <c r="A938" s="36">
        <v>522256.0</v>
      </c>
      <c r="B938" s="36" t="s">
        <v>2965</v>
      </c>
      <c r="C938" s="26">
        <v>1.0</v>
      </c>
      <c r="D938" s="27">
        <v>4500.0</v>
      </c>
      <c r="E938" s="27">
        <f t="shared" si="357"/>
        <v>4500</v>
      </c>
      <c r="F938" s="27">
        <v>180.0</v>
      </c>
      <c r="G938" s="28">
        <v>500.0</v>
      </c>
      <c r="H938" s="27">
        <f t="shared" si="358"/>
        <v>320</v>
      </c>
      <c r="I938" s="27">
        <f t="shared" si="365"/>
        <v>8000</v>
      </c>
      <c r="J938" s="27">
        <f t="shared" si="366"/>
        <v>12500</v>
      </c>
    </row>
    <row r="939" ht="12.75" customHeight="1">
      <c r="A939" s="36">
        <v>522102.0</v>
      </c>
      <c r="B939" s="36" t="s">
        <v>2993</v>
      </c>
      <c r="C939" s="26">
        <v>1.0</v>
      </c>
      <c r="D939" s="27">
        <v>4500.0</v>
      </c>
      <c r="E939" s="27">
        <f t="shared" si="357"/>
        <v>4500</v>
      </c>
      <c r="F939" s="27">
        <v>180.0</v>
      </c>
      <c r="G939" s="28">
        <v>500.0</v>
      </c>
      <c r="H939" s="27">
        <f t="shared" si="358"/>
        <v>320</v>
      </c>
      <c r="I939" s="27">
        <f t="shared" si="365"/>
        <v>8000</v>
      </c>
      <c r="J939" s="27">
        <f t="shared" si="366"/>
        <v>12500</v>
      </c>
    </row>
    <row r="940" ht="12.75" customHeight="1">
      <c r="A940" s="36">
        <v>3010316.0</v>
      </c>
      <c r="B940" s="36" t="s">
        <v>3044</v>
      </c>
      <c r="C940" s="26">
        <v>1.0</v>
      </c>
      <c r="D940" s="27">
        <v>6230.0</v>
      </c>
      <c r="E940" s="27">
        <f t="shared" si="357"/>
        <v>6230</v>
      </c>
      <c r="F940" s="27">
        <v>124.6</v>
      </c>
      <c r="G940" s="28">
        <v>350.0</v>
      </c>
      <c r="H940" s="27">
        <f t="shared" si="358"/>
        <v>225.4</v>
      </c>
      <c r="I940" s="27">
        <f>H940*50</f>
        <v>11270</v>
      </c>
      <c r="J940" s="27">
        <f>G940*50</f>
        <v>17500</v>
      </c>
    </row>
    <row r="941" ht="12.75" customHeight="1">
      <c r="A941" s="25"/>
      <c r="C941" s="26"/>
      <c r="D941" s="27"/>
      <c r="E941" s="27"/>
      <c r="F941" s="27"/>
      <c r="G941" s="28"/>
      <c r="H941" s="27"/>
      <c r="I941" s="27"/>
      <c r="J941" s="27"/>
    </row>
    <row r="942" ht="12.75" customHeight="1">
      <c r="A942" s="25"/>
      <c r="C942" s="26"/>
      <c r="D942" s="27"/>
      <c r="E942" s="32">
        <f>SUM(E927:E940)</f>
        <v>131350</v>
      </c>
      <c r="F942" s="27"/>
      <c r="G942" s="28"/>
      <c r="H942" s="27"/>
      <c r="I942" s="33">
        <f t="shared" ref="I942:J942" si="367">SUM(I927:I940)</f>
        <v>140150</v>
      </c>
      <c r="J942" s="33">
        <f t="shared" si="367"/>
        <v>271500</v>
      </c>
    </row>
    <row r="943" ht="12.75" customHeight="1">
      <c r="A943" s="25"/>
      <c r="C943" s="26"/>
      <c r="D943" s="27"/>
      <c r="E943" s="27"/>
      <c r="F943" s="27"/>
      <c r="G943" s="28"/>
      <c r="H943" s="27"/>
      <c r="I943" s="27"/>
      <c r="J943" s="27"/>
    </row>
    <row r="944" ht="12.75" customHeight="1">
      <c r="A944" s="25"/>
      <c r="C944" s="26"/>
      <c r="D944" s="27"/>
      <c r="E944" s="27"/>
      <c r="F944" s="27"/>
      <c r="G944" s="28"/>
      <c r="H944" s="27"/>
      <c r="I944" s="27"/>
      <c r="J944" s="27"/>
    </row>
    <row r="945" ht="12.75" customHeight="1">
      <c r="A945" s="34">
        <v>45838.0</v>
      </c>
      <c r="C945" s="26"/>
      <c r="D945" s="27"/>
      <c r="E945" s="27"/>
      <c r="F945" s="27"/>
      <c r="G945" s="28"/>
      <c r="H945" s="27"/>
      <c r="I945" s="27"/>
      <c r="J945" s="27"/>
    </row>
    <row r="946" ht="12.75" customHeight="1">
      <c r="A946" s="25"/>
      <c r="C946" s="26"/>
      <c r="D946" s="27"/>
      <c r="E946" s="27"/>
      <c r="F946" s="27"/>
      <c r="G946" s="28"/>
      <c r="H946" s="27"/>
      <c r="I946" s="27"/>
      <c r="J946" s="27"/>
    </row>
    <row r="947" ht="12.75" customHeight="1">
      <c r="A947" s="36">
        <v>5490568.0</v>
      </c>
      <c r="B947" s="36" t="s">
        <v>3080</v>
      </c>
      <c r="C947" s="26">
        <v>5.0</v>
      </c>
      <c r="D947" s="27">
        <v>1680.0</v>
      </c>
      <c r="E947" s="27">
        <f t="shared" ref="E947:E955" si="368">D947*C947</f>
        <v>8400</v>
      </c>
      <c r="F947" s="27">
        <v>1680.0</v>
      </c>
      <c r="G947" s="28">
        <v>2700.0</v>
      </c>
      <c r="H947" s="27">
        <f t="shared" ref="H947:H955" si="369">G947-F947</f>
        <v>1020</v>
      </c>
      <c r="I947" s="27">
        <f>H947*5</f>
        <v>5100</v>
      </c>
      <c r="J947" s="27">
        <f>G947*5</f>
        <v>13500</v>
      </c>
    </row>
    <row r="948" ht="12.75" customHeight="1">
      <c r="A948" s="36">
        <v>5398005.0</v>
      </c>
      <c r="B948" s="36" t="s">
        <v>2663</v>
      </c>
      <c r="C948" s="26">
        <v>2.0</v>
      </c>
      <c r="D948" s="27">
        <v>2100.0</v>
      </c>
      <c r="E948" s="27">
        <f t="shared" si="368"/>
        <v>4200</v>
      </c>
      <c r="F948" s="27">
        <v>420.0</v>
      </c>
      <c r="G948" s="28">
        <v>800.0</v>
      </c>
      <c r="H948" s="27">
        <f t="shared" si="369"/>
        <v>380</v>
      </c>
      <c r="I948" s="27">
        <f>H948*10</f>
        <v>3800</v>
      </c>
      <c r="J948" s="27">
        <f>G948*10</f>
        <v>8000</v>
      </c>
    </row>
    <row r="949" ht="12.75" customHeight="1">
      <c r="A949" s="36">
        <v>5308005.0</v>
      </c>
      <c r="B949" s="36" t="s">
        <v>2667</v>
      </c>
      <c r="C949" s="26">
        <v>4.0</v>
      </c>
      <c r="D949" s="27">
        <v>5430.0</v>
      </c>
      <c r="E949" s="27">
        <f t="shared" si="368"/>
        <v>21720</v>
      </c>
      <c r="F949" s="27">
        <v>1086.0</v>
      </c>
      <c r="G949" s="28">
        <v>1800.0</v>
      </c>
      <c r="H949" s="27">
        <f t="shared" si="369"/>
        <v>714</v>
      </c>
      <c r="I949" s="27">
        <f>H949*20</f>
        <v>14280</v>
      </c>
      <c r="J949" s="27">
        <f>G949*20</f>
        <v>36000</v>
      </c>
    </row>
    <row r="950" ht="12.75" customHeight="1">
      <c r="A950" s="36">
        <v>5305004.0</v>
      </c>
      <c r="B950" s="36" t="s">
        <v>2669</v>
      </c>
      <c r="C950" s="26">
        <v>15.0</v>
      </c>
      <c r="D950" s="27">
        <v>2240.0</v>
      </c>
      <c r="E950" s="27">
        <f t="shared" si="368"/>
        <v>33600</v>
      </c>
      <c r="F950" s="27">
        <v>2240.0</v>
      </c>
      <c r="G950" s="28">
        <v>3800.0</v>
      </c>
      <c r="H950" s="27">
        <f t="shared" si="369"/>
        <v>1560</v>
      </c>
      <c r="I950" s="27">
        <f>H950*15</f>
        <v>23400</v>
      </c>
      <c r="J950" s="27">
        <f>G950*15</f>
        <v>57000</v>
      </c>
    </row>
    <row r="951" ht="12.75" customHeight="1">
      <c r="A951" s="36">
        <v>100008.0</v>
      </c>
      <c r="B951" s="36" t="s">
        <v>2689</v>
      </c>
      <c r="C951" s="26">
        <v>6.0</v>
      </c>
      <c r="D951" s="27">
        <v>480.0</v>
      </c>
      <c r="E951" s="27">
        <f t="shared" si="368"/>
        <v>2880</v>
      </c>
      <c r="F951" s="27">
        <v>480.0</v>
      </c>
      <c r="G951" s="28">
        <v>1000.0</v>
      </c>
      <c r="H951" s="27">
        <f t="shared" si="369"/>
        <v>520</v>
      </c>
      <c r="I951" s="27">
        <f>H951*6</f>
        <v>3120</v>
      </c>
      <c r="J951" s="27">
        <f>G951*6</f>
        <v>6000</v>
      </c>
    </row>
    <row r="952" ht="12.75" customHeight="1">
      <c r="A952" s="36">
        <v>5656002.0</v>
      </c>
      <c r="B952" s="36" t="s">
        <v>3081</v>
      </c>
      <c r="C952" s="26">
        <v>3.0</v>
      </c>
      <c r="D952" s="27">
        <v>525.0</v>
      </c>
      <c r="E952" s="27">
        <f t="shared" si="368"/>
        <v>1575</v>
      </c>
      <c r="F952" s="27">
        <v>525.0</v>
      </c>
      <c r="G952" s="28">
        <v>1200.0</v>
      </c>
      <c r="H952" s="27">
        <f t="shared" si="369"/>
        <v>675</v>
      </c>
      <c r="I952" s="27">
        <f>H952*3</f>
        <v>2025</v>
      </c>
      <c r="J952" s="27">
        <f>G952*3</f>
        <v>3600</v>
      </c>
    </row>
    <row r="953" ht="12.75" customHeight="1">
      <c r="A953" s="36">
        <v>679189.0</v>
      </c>
      <c r="B953" s="36" t="s">
        <v>3082</v>
      </c>
      <c r="C953" s="26">
        <v>20.0</v>
      </c>
      <c r="D953" s="27">
        <v>1450.0</v>
      </c>
      <c r="E953" s="27">
        <f t="shared" si="368"/>
        <v>29000</v>
      </c>
      <c r="F953" s="27">
        <v>1450.0</v>
      </c>
      <c r="G953" s="28">
        <v>2300.0</v>
      </c>
      <c r="H953" s="27">
        <f t="shared" si="369"/>
        <v>850</v>
      </c>
      <c r="I953" s="27">
        <f>H953*20</f>
        <v>17000</v>
      </c>
      <c r="J953" s="27">
        <f>G953*20</f>
        <v>46000</v>
      </c>
    </row>
    <row r="954" ht="12.75" customHeight="1">
      <c r="A954" s="36">
        <v>129665.0</v>
      </c>
      <c r="B954" s="36" t="s">
        <v>2975</v>
      </c>
      <c r="C954" s="26">
        <v>1.0</v>
      </c>
      <c r="D954" s="27">
        <v>7980.0</v>
      </c>
      <c r="E954" s="27">
        <f t="shared" si="368"/>
        <v>7980</v>
      </c>
      <c r="F954" s="27">
        <v>159.6</v>
      </c>
      <c r="G954" s="28">
        <v>400.0</v>
      </c>
      <c r="H954" s="27">
        <f t="shared" si="369"/>
        <v>240.4</v>
      </c>
      <c r="I954" s="27">
        <f t="shared" ref="I954:I955" si="370">H954*50</f>
        <v>12020</v>
      </c>
      <c r="J954" s="27">
        <f t="shared" ref="J954:J955" si="371">G954*50</f>
        <v>20000</v>
      </c>
    </row>
    <row r="955" ht="12.75" customHeight="1">
      <c r="A955" s="36">
        <v>129627.0</v>
      </c>
      <c r="B955" s="36" t="s">
        <v>2977</v>
      </c>
      <c r="C955" s="26">
        <v>1.0</v>
      </c>
      <c r="D955" s="27">
        <v>7980.0</v>
      </c>
      <c r="E955" s="27">
        <f t="shared" si="368"/>
        <v>7980</v>
      </c>
      <c r="F955" s="27">
        <v>159.6</v>
      </c>
      <c r="G955" s="28">
        <v>400.0</v>
      </c>
      <c r="H955" s="27">
        <f t="shared" si="369"/>
        <v>240.4</v>
      </c>
      <c r="I955" s="27">
        <f t="shared" si="370"/>
        <v>12020</v>
      </c>
      <c r="J955" s="27">
        <f t="shared" si="371"/>
        <v>20000</v>
      </c>
    </row>
    <row r="956" ht="12.75" customHeight="1">
      <c r="A956" s="25"/>
      <c r="C956" s="26"/>
      <c r="D956" s="27"/>
      <c r="E956" s="27"/>
      <c r="F956" s="27"/>
      <c r="G956" s="28"/>
      <c r="H956" s="27"/>
      <c r="I956" s="27"/>
      <c r="J956" s="27"/>
    </row>
    <row r="957" ht="12.75" customHeight="1">
      <c r="A957" s="25"/>
      <c r="C957" s="26"/>
      <c r="D957" s="27"/>
      <c r="E957" s="32">
        <f>SUM(E947:E955)</f>
        <v>117335</v>
      </c>
      <c r="F957" s="32"/>
      <c r="G957" s="42"/>
      <c r="H957" s="32"/>
      <c r="I957" s="45">
        <f t="shared" ref="I957:J957" si="372">SUM(I947:I955)</f>
        <v>92765</v>
      </c>
      <c r="J957" s="45">
        <f t="shared" si="372"/>
        <v>210100</v>
      </c>
    </row>
    <row r="958" ht="12.75" customHeight="1">
      <c r="A958" s="25"/>
      <c r="C958" s="26"/>
      <c r="D958" s="27"/>
      <c r="E958" s="27"/>
      <c r="F958" s="27"/>
      <c r="G958" s="28"/>
      <c r="H958" s="27"/>
      <c r="I958" s="27"/>
      <c r="J958" s="27"/>
    </row>
    <row r="959" ht="12.75" customHeight="1">
      <c r="A959" s="25"/>
      <c r="C959" s="26"/>
      <c r="D959" s="27"/>
      <c r="E959" s="27"/>
      <c r="F959" s="27"/>
      <c r="G959" s="28"/>
      <c r="H959" s="27"/>
      <c r="I959" s="27"/>
      <c r="J959" s="27"/>
    </row>
    <row r="960" ht="12.75" customHeight="1">
      <c r="A960" s="34">
        <v>45844.0</v>
      </c>
      <c r="C960" s="26"/>
      <c r="D960" s="27"/>
      <c r="E960" s="27"/>
      <c r="F960" s="27"/>
      <c r="G960" s="28"/>
      <c r="H960" s="27"/>
      <c r="I960" s="27"/>
      <c r="J960" s="27"/>
    </row>
    <row r="961" ht="12.75" customHeight="1">
      <c r="A961" s="25"/>
      <c r="C961" s="26"/>
      <c r="D961" s="27"/>
      <c r="E961" s="27"/>
      <c r="F961" s="27"/>
      <c r="G961" s="28"/>
      <c r="H961" s="27"/>
      <c r="I961" s="27"/>
      <c r="J961" s="27"/>
    </row>
    <row r="962" ht="12.75" customHeight="1">
      <c r="A962" s="36">
        <v>5060854.0</v>
      </c>
      <c r="B962" s="36" t="s">
        <v>2906</v>
      </c>
      <c r="C962" s="26">
        <v>30.0</v>
      </c>
      <c r="D962" s="27">
        <v>139.0</v>
      </c>
      <c r="E962" s="27">
        <f t="shared" ref="E962:E977" si="373">D962*C962</f>
        <v>4170</v>
      </c>
      <c r="F962" s="27">
        <v>139.0</v>
      </c>
      <c r="G962" s="28">
        <v>300.0</v>
      </c>
      <c r="H962" s="27">
        <f t="shared" ref="H962:H977" si="374">G962-F962</f>
        <v>161</v>
      </c>
      <c r="I962" s="27">
        <f t="shared" ref="I962:I966" si="375">H962*30</f>
        <v>4830</v>
      </c>
      <c r="J962" s="27">
        <f t="shared" ref="J962:J966" si="376">G962*30</f>
        <v>9000</v>
      </c>
    </row>
    <row r="963" ht="12.75" customHeight="1">
      <c r="A963" s="36">
        <v>5060663.0</v>
      </c>
      <c r="B963" s="36" t="s">
        <v>2905</v>
      </c>
      <c r="C963" s="26">
        <v>30.0</v>
      </c>
      <c r="D963" s="27">
        <v>139.0</v>
      </c>
      <c r="E963" s="27">
        <f t="shared" si="373"/>
        <v>4170</v>
      </c>
      <c r="F963" s="27">
        <v>139.0</v>
      </c>
      <c r="G963" s="28">
        <v>300.0</v>
      </c>
      <c r="H963" s="27">
        <f t="shared" si="374"/>
        <v>161</v>
      </c>
      <c r="I963" s="27">
        <f t="shared" si="375"/>
        <v>4830</v>
      </c>
      <c r="J963" s="27">
        <f t="shared" si="376"/>
        <v>9000</v>
      </c>
    </row>
    <row r="964" ht="12.75" customHeight="1">
      <c r="A964" s="36">
        <v>5060595.0</v>
      </c>
      <c r="B964" s="36" t="s">
        <v>2906</v>
      </c>
      <c r="C964" s="26">
        <v>30.0</v>
      </c>
      <c r="D964" s="27">
        <v>139.0</v>
      </c>
      <c r="E964" s="27">
        <f t="shared" si="373"/>
        <v>4170</v>
      </c>
      <c r="F964" s="27">
        <v>139.0</v>
      </c>
      <c r="G964" s="28">
        <v>300.0</v>
      </c>
      <c r="H964" s="27">
        <f t="shared" si="374"/>
        <v>161</v>
      </c>
      <c r="I964" s="27">
        <f t="shared" si="375"/>
        <v>4830</v>
      </c>
      <c r="J964" s="27">
        <f t="shared" si="376"/>
        <v>9000</v>
      </c>
    </row>
    <row r="965" ht="12.75" customHeight="1">
      <c r="A965" s="36">
        <v>5060564.0</v>
      </c>
      <c r="B965" s="36" t="s">
        <v>2907</v>
      </c>
      <c r="C965" s="26">
        <v>30.0</v>
      </c>
      <c r="D965" s="27">
        <v>139.0</v>
      </c>
      <c r="E965" s="27">
        <f t="shared" si="373"/>
        <v>4170</v>
      </c>
      <c r="F965" s="27">
        <v>139.0</v>
      </c>
      <c r="G965" s="28">
        <v>300.0</v>
      </c>
      <c r="H965" s="27">
        <f t="shared" si="374"/>
        <v>161</v>
      </c>
      <c r="I965" s="27">
        <f t="shared" si="375"/>
        <v>4830</v>
      </c>
      <c r="J965" s="27">
        <f t="shared" si="376"/>
        <v>9000</v>
      </c>
    </row>
    <row r="966" ht="12.75" customHeight="1">
      <c r="A966" s="36">
        <v>5108501.0</v>
      </c>
      <c r="B966" s="36" t="s">
        <v>2906</v>
      </c>
      <c r="C966" s="26">
        <v>30.0</v>
      </c>
      <c r="D966" s="27">
        <v>139.0</v>
      </c>
      <c r="E966" s="27">
        <f t="shared" si="373"/>
        <v>4170</v>
      </c>
      <c r="F966" s="27">
        <v>139.0</v>
      </c>
      <c r="G966" s="28">
        <v>200.0</v>
      </c>
      <c r="H966" s="27">
        <f t="shared" si="374"/>
        <v>61</v>
      </c>
      <c r="I966" s="27">
        <f t="shared" si="375"/>
        <v>1830</v>
      </c>
      <c r="J966" s="27">
        <f t="shared" si="376"/>
        <v>6000</v>
      </c>
    </row>
    <row r="967" ht="12.75" customHeight="1">
      <c r="A967" s="36">
        <v>3771408.0</v>
      </c>
      <c r="B967" s="36" t="s">
        <v>3083</v>
      </c>
      <c r="C967" s="26">
        <v>15.0</v>
      </c>
      <c r="D967" s="27">
        <v>340.0</v>
      </c>
      <c r="E967" s="27">
        <f t="shared" si="373"/>
        <v>5100</v>
      </c>
      <c r="F967" s="27">
        <v>340.0</v>
      </c>
      <c r="G967" s="28">
        <v>1000.0</v>
      </c>
      <c r="H967" s="27">
        <f t="shared" si="374"/>
        <v>660</v>
      </c>
      <c r="I967" s="27">
        <f>H967*15</f>
        <v>9900</v>
      </c>
      <c r="J967" s="27">
        <f>G967*15</f>
        <v>15000</v>
      </c>
    </row>
    <row r="968" ht="12.75" customHeight="1">
      <c r="A968" s="36">
        <v>617297.0</v>
      </c>
      <c r="B968" s="36" t="s">
        <v>3084</v>
      </c>
      <c r="C968" s="26">
        <v>10.0</v>
      </c>
      <c r="D968" s="27">
        <v>1580.0</v>
      </c>
      <c r="E968" s="27">
        <f t="shared" si="373"/>
        <v>15800</v>
      </c>
      <c r="F968" s="27">
        <v>131.66</v>
      </c>
      <c r="G968" s="28">
        <v>300.0</v>
      </c>
      <c r="H968" s="27">
        <f t="shared" si="374"/>
        <v>168.34</v>
      </c>
      <c r="I968" s="27">
        <f t="shared" ref="I968:I969" si="377">H968*120</f>
        <v>20200.8</v>
      </c>
      <c r="J968" s="27">
        <f t="shared" ref="J968:J969" si="378">G968*120</f>
        <v>36000</v>
      </c>
    </row>
    <row r="969" ht="12.75" customHeight="1">
      <c r="A969" s="36">
        <v>617457.0</v>
      </c>
      <c r="B969" s="36" t="s">
        <v>3085</v>
      </c>
      <c r="C969" s="26">
        <v>10.0</v>
      </c>
      <c r="D969" s="27">
        <v>1580.0</v>
      </c>
      <c r="E969" s="27">
        <f t="shared" si="373"/>
        <v>15800</v>
      </c>
      <c r="F969" s="27">
        <v>131.66</v>
      </c>
      <c r="G969" s="28">
        <v>300.0</v>
      </c>
      <c r="H969" s="27">
        <f t="shared" si="374"/>
        <v>168.34</v>
      </c>
      <c r="I969" s="27">
        <f t="shared" si="377"/>
        <v>20200.8</v>
      </c>
      <c r="J969" s="27">
        <f t="shared" si="378"/>
        <v>36000</v>
      </c>
    </row>
    <row r="970" ht="12.75" customHeight="1">
      <c r="A970" s="36">
        <v>3787447.0</v>
      </c>
      <c r="B970" s="36" t="s">
        <v>3086</v>
      </c>
      <c r="C970" s="26">
        <v>6.0</v>
      </c>
      <c r="D970" s="27">
        <v>1400.0</v>
      </c>
      <c r="E970" s="27">
        <f t="shared" si="373"/>
        <v>8400</v>
      </c>
      <c r="F970" s="27">
        <v>116.66</v>
      </c>
      <c r="G970" s="28">
        <v>300.0</v>
      </c>
      <c r="H970" s="27">
        <f t="shared" si="374"/>
        <v>183.34</v>
      </c>
      <c r="I970" s="27">
        <f t="shared" ref="I970:I971" si="379">H970*72</f>
        <v>13200.48</v>
      </c>
      <c r="J970" s="27">
        <f t="shared" ref="J970:J971" si="380">G970*72</f>
        <v>21600</v>
      </c>
    </row>
    <row r="971" ht="12.75" customHeight="1">
      <c r="A971" s="36">
        <v>410578.0</v>
      </c>
      <c r="B971" s="36" t="s">
        <v>3087</v>
      </c>
      <c r="C971" s="26">
        <v>6.0</v>
      </c>
      <c r="D971" s="27">
        <v>2210.0</v>
      </c>
      <c r="E971" s="27">
        <f t="shared" si="373"/>
        <v>13260</v>
      </c>
      <c r="F971" s="27">
        <v>184.16</v>
      </c>
      <c r="G971" s="28">
        <v>300.0</v>
      </c>
      <c r="H971" s="27">
        <f t="shared" si="374"/>
        <v>115.84</v>
      </c>
      <c r="I971" s="27">
        <f t="shared" si="379"/>
        <v>8340.48</v>
      </c>
      <c r="J971" s="27">
        <f t="shared" si="380"/>
        <v>21600</v>
      </c>
    </row>
    <row r="972" ht="12.75" customHeight="1">
      <c r="A972" s="36">
        <v>4450256.0</v>
      </c>
      <c r="B972" s="36" t="s">
        <v>2901</v>
      </c>
      <c r="C972" s="26">
        <v>1.0</v>
      </c>
      <c r="D972" s="27">
        <v>4560.0</v>
      </c>
      <c r="E972" s="27">
        <f t="shared" si="373"/>
        <v>4560</v>
      </c>
      <c r="F972" s="27">
        <v>456.0</v>
      </c>
      <c r="G972" s="28">
        <v>1000.0</v>
      </c>
      <c r="H972" s="27">
        <f t="shared" si="374"/>
        <v>544</v>
      </c>
      <c r="I972" s="27">
        <f>H972*10</f>
        <v>5440</v>
      </c>
      <c r="J972" s="27">
        <f>G972*10</f>
        <v>10000</v>
      </c>
    </row>
    <row r="973" ht="12.75" customHeight="1">
      <c r="A973" s="36">
        <v>4450225.0</v>
      </c>
      <c r="B973" s="36" t="s">
        <v>2900</v>
      </c>
      <c r="C973" s="26">
        <v>2.0</v>
      </c>
      <c r="D973" s="27">
        <v>4560.0</v>
      </c>
      <c r="E973" s="27">
        <f t="shared" si="373"/>
        <v>9120</v>
      </c>
      <c r="F973" s="27">
        <v>456.0</v>
      </c>
      <c r="G973" s="28">
        <v>1000.0</v>
      </c>
      <c r="H973" s="27">
        <f t="shared" si="374"/>
        <v>544</v>
      </c>
      <c r="I973" s="27">
        <f>H973*20</f>
        <v>10880</v>
      </c>
      <c r="J973" s="27">
        <f>G973*20</f>
        <v>20000</v>
      </c>
    </row>
    <row r="974" ht="12.75" customHeight="1">
      <c r="A974" s="36">
        <v>4450041.0</v>
      </c>
      <c r="B974" s="36" t="s">
        <v>3088</v>
      </c>
      <c r="C974" s="26">
        <v>1.0</v>
      </c>
      <c r="D974" s="27">
        <v>4850.0</v>
      </c>
      <c r="E974" s="27">
        <f t="shared" si="373"/>
        <v>4850</v>
      </c>
      <c r="F974" s="27">
        <v>485.0</v>
      </c>
      <c r="G974" s="28">
        <v>1000.0</v>
      </c>
      <c r="H974" s="27">
        <f t="shared" si="374"/>
        <v>515</v>
      </c>
      <c r="I974" s="27">
        <f t="shared" ref="I974:I977" si="381">H974*10</f>
        <v>5150</v>
      </c>
      <c r="J974" s="27">
        <f t="shared" ref="J974:J977" si="382">G974*10</f>
        <v>10000</v>
      </c>
    </row>
    <row r="975" ht="12.75" customHeight="1">
      <c r="A975" s="36">
        <v>4450126.0</v>
      </c>
      <c r="B975" s="36" t="s">
        <v>3089</v>
      </c>
      <c r="C975" s="26">
        <v>1.0</v>
      </c>
      <c r="D975" s="27">
        <v>4850.0</v>
      </c>
      <c r="E975" s="27">
        <f t="shared" si="373"/>
        <v>4850</v>
      </c>
      <c r="F975" s="27">
        <v>485.0</v>
      </c>
      <c r="G975" s="28">
        <v>1000.0</v>
      </c>
      <c r="H975" s="27">
        <f t="shared" si="374"/>
        <v>515</v>
      </c>
      <c r="I975" s="27">
        <f t="shared" si="381"/>
        <v>5150</v>
      </c>
      <c r="J975" s="27">
        <f t="shared" si="382"/>
        <v>10000</v>
      </c>
    </row>
    <row r="976" ht="12.75" customHeight="1">
      <c r="A976" s="36">
        <v>5333640.0</v>
      </c>
      <c r="B976" s="36" t="s">
        <v>3090</v>
      </c>
      <c r="C976" s="26">
        <v>1.0</v>
      </c>
      <c r="D976" s="27">
        <v>5000.0</v>
      </c>
      <c r="E976" s="27">
        <f t="shared" si="373"/>
        <v>5000</v>
      </c>
      <c r="F976" s="27">
        <v>500.0</v>
      </c>
      <c r="G976" s="28">
        <v>1000.0</v>
      </c>
      <c r="H976" s="27">
        <f t="shared" si="374"/>
        <v>500</v>
      </c>
      <c r="I976" s="27">
        <f t="shared" si="381"/>
        <v>5000</v>
      </c>
      <c r="J976" s="27">
        <f t="shared" si="382"/>
        <v>10000</v>
      </c>
    </row>
    <row r="977" ht="12.75" customHeight="1">
      <c r="A977" s="36">
        <v>4450096.0</v>
      </c>
      <c r="B977" s="36" t="s">
        <v>2912</v>
      </c>
      <c r="C977" s="26">
        <v>1.0</v>
      </c>
      <c r="D977" s="27">
        <v>6100.0</v>
      </c>
      <c r="E977" s="27">
        <f t="shared" si="373"/>
        <v>6100</v>
      </c>
      <c r="F977" s="27">
        <v>610.0</v>
      </c>
      <c r="G977" s="28">
        <v>1000.0</v>
      </c>
      <c r="H977" s="27">
        <f t="shared" si="374"/>
        <v>390</v>
      </c>
      <c r="I977" s="27">
        <f t="shared" si="381"/>
        <v>3900</v>
      </c>
      <c r="J977" s="27">
        <f t="shared" si="382"/>
        <v>10000</v>
      </c>
    </row>
    <row r="978" ht="12.75" customHeight="1">
      <c r="A978" s="25"/>
      <c r="C978" s="26"/>
      <c r="D978" s="27"/>
      <c r="E978" s="27"/>
      <c r="F978" s="27"/>
      <c r="G978" s="28"/>
      <c r="H978" s="27"/>
      <c r="I978" s="27"/>
      <c r="J978" s="27"/>
    </row>
    <row r="979" ht="12.75" customHeight="1">
      <c r="A979" s="25"/>
      <c r="C979" s="26"/>
      <c r="D979" s="27"/>
      <c r="E979" s="32">
        <f>SUM(E962:E977)</f>
        <v>113690</v>
      </c>
      <c r="F979" s="32"/>
      <c r="G979" s="42"/>
      <c r="H979" s="32"/>
      <c r="I979" s="45">
        <f t="shared" ref="I979:J979" si="383">SUM(I962:I977)</f>
        <v>128512.56</v>
      </c>
      <c r="J979" s="45">
        <f t="shared" si="383"/>
        <v>242200</v>
      </c>
    </row>
    <row r="980" ht="12.75" customHeight="1">
      <c r="A980" s="25"/>
      <c r="C980" s="26"/>
      <c r="D980" s="27"/>
      <c r="E980" s="27"/>
      <c r="F980" s="27"/>
      <c r="G980" s="28"/>
      <c r="H980" s="27"/>
      <c r="I980" s="27"/>
      <c r="J980" s="27"/>
    </row>
    <row r="981" ht="12.75" customHeight="1">
      <c r="A981" s="25"/>
      <c r="C981" s="26"/>
      <c r="D981" s="27"/>
      <c r="E981" s="27"/>
      <c r="F981" s="27"/>
      <c r="G981" s="28"/>
      <c r="H981" s="27"/>
      <c r="I981" s="27"/>
      <c r="J981" s="27"/>
    </row>
    <row r="982" ht="12.75" customHeight="1">
      <c r="A982" s="34">
        <v>45856.0</v>
      </c>
      <c r="C982" s="26"/>
      <c r="D982" s="27"/>
      <c r="E982" s="27"/>
      <c r="F982" s="27"/>
      <c r="G982" s="28"/>
      <c r="H982" s="27"/>
      <c r="I982" s="27"/>
      <c r="J982" s="27"/>
    </row>
    <row r="983" ht="12.75" customHeight="1">
      <c r="A983" s="25"/>
      <c r="C983" s="26"/>
      <c r="D983" s="27"/>
      <c r="E983" s="27"/>
      <c r="F983" s="27"/>
      <c r="G983" s="28"/>
      <c r="H983" s="27"/>
      <c r="I983" s="27"/>
      <c r="J983" s="27"/>
    </row>
    <row r="984" ht="12.75" customHeight="1">
      <c r="A984" s="36" t="s">
        <v>3091</v>
      </c>
      <c r="B984" s="36" t="s">
        <v>3092</v>
      </c>
      <c r="C984" s="26">
        <v>20.0</v>
      </c>
      <c r="D984" s="27">
        <v>850.0</v>
      </c>
      <c r="E984" s="27">
        <f t="shared" ref="E984:E996" si="384">D984*C984</f>
        <v>17000</v>
      </c>
      <c r="F984" s="27">
        <v>850.0</v>
      </c>
      <c r="G984" s="28">
        <v>1500.0</v>
      </c>
      <c r="H984" s="27">
        <f t="shared" ref="H984:H996" si="385">G984-F984</f>
        <v>650</v>
      </c>
      <c r="I984" s="27">
        <f>H984*20</f>
        <v>13000</v>
      </c>
      <c r="J984" s="27">
        <f>G984*20</f>
        <v>30000</v>
      </c>
    </row>
    <row r="985" ht="12.75" customHeight="1">
      <c r="A985" s="36">
        <v>2747594.0</v>
      </c>
      <c r="B985" s="36" t="s">
        <v>2899</v>
      </c>
      <c r="C985" s="26">
        <v>40.0</v>
      </c>
      <c r="D985" s="27">
        <v>520.0</v>
      </c>
      <c r="E985" s="27">
        <f t="shared" si="384"/>
        <v>20800</v>
      </c>
      <c r="F985" s="27">
        <v>520.0</v>
      </c>
      <c r="G985" s="28">
        <v>1000.0</v>
      </c>
      <c r="H985" s="27">
        <f t="shared" si="385"/>
        <v>480</v>
      </c>
      <c r="I985" s="27">
        <f>H985*40</f>
        <v>19200</v>
      </c>
      <c r="J985" s="27">
        <f>G985*40</f>
        <v>40000</v>
      </c>
    </row>
    <row r="986" ht="12.75" customHeight="1">
      <c r="A986" s="36">
        <v>5060588.0</v>
      </c>
      <c r="B986" s="36" t="s">
        <v>3093</v>
      </c>
      <c r="C986" s="26">
        <v>20.0</v>
      </c>
      <c r="D986" s="27">
        <v>139.0</v>
      </c>
      <c r="E986" s="27">
        <f t="shared" si="384"/>
        <v>2780</v>
      </c>
      <c r="F986" s="27">
        <v>139.0</v>
      </c>
      <c r="G986" s="28">
        <v>300.0</v>
      </c>
      <c r="H986" s="27">
        <f t="shared" si="385"/>
        <v>161</v>
      </c>
      <c r="I986" s="27">
        <f>H986*20</f>
        <v>3220</v>
      </c>
      <c r="J986" s="27">
        <f>G986*20</f>
        <v>6000</v>
      </c>
    </row>
    <row r="987" ht="12.75" customHeight="1">
      <c r="A987" s="36">
        <v>522102.0</v>
      </c>
      <c r="B987" s="36" t="s">
        <v>2993</v>
      </c>
      <c r="C987" s="26">
        <v>2.0</v>
      </c>
      <c r="D987" s="27">
        <v>4500.0</v>
      </c>
      <c r="E987" s="27">
        <f t="shared" si="384"/>
        <v>9000</v>
      </c>
      <c r="F987" s="27">
        <v>180.0</v>
      </c>
      <c r="G987" s="28">
        <v>400.0</v>
      </c>
      <c r="H987" s="27">
        <f t="shared" si="385"/>
        <v>220</v>
      </c>
      <c r="I987" s="27">
        <f>H987*50</f>
        <v>11000</v>
      </c>
      <c r="J987" s="27">
        <f>G987*50</f>
        <v>20000</v>
      </c>
    </row>
    <row r="988" ht="12.75" customHeight="1">
      <c r="A988" s="36">
        <v>522232.0</v>
      </c>
      <c r="B988" s="36" t="s">
        <v>2989</v>
      </c>
      <c r="C988" s="26">
        <v>1.0</v>
      </c>
      <c r="D988" s="27">
        <v>4500.0</v>
      </c>
      <c r="E988" s="27">
        <f t="shared" si="384"/>
        <v>4500</v>
      </c>
      <c r="F988" s="27">
        <v>180.0</v>
      </c>
      <c r="G988" s="28">
        <v>400.0</v>
      </c>
      <c r="H988" s="27">
        <f t="shared" si="385"/>
        <v>220</v>
      </c>
      <c r="I988" s="27">
        <f t="shared" ref="I988:I989" si="386">H988*25</f>
        <v>5500</v>
      </c>
      <c r="J988" s="27">
        <f t="shared" ref="J988:J989" si="387">G988*25</f>
        <v>10000</v>
      </c>
    </row>
    <row r="989" ht="12.75" customHeight="1">
      <c r="A989" s="36">
        <v>522188.0</v>
      </c>
      <c r="B989" s="36" t="s">
        <v>2988</v>
      </c>
      <c r="C989" s="26">
        <v>1.0</v>
      </c>
      <c r="D989" s="27">
        <v>4500.0</v>
      </c>
      <c r="E989" s="27">
        <f t="shared" si="384"/>
        <v>4500</v>
      </c>
      <c r="F989" s="27">
        <v>180.0</v>
      </c>
      <c r="G989" s="28">
        <v>400.0</v>
      </c>
      <c r="H989" s="27">
        <f t="shared" si="385"/>
        <v>220</v>
      </c>
      <c r="I989" s="27">
        <f t="shared" si="386"/>
        <v>5500</v>
      </c>
      <c r="J989" s="27">
        <f t="shared" si="387"/>
        <v>10000</v>
      </c>
    </row>
    <row r="990" ht="12.75" customHeight="1">
      <c r="A990" s="36">
        <v>180350.0</v>
      </c>
      <c r="B990" s="36" t="s">
        <v>3053</v>
      </c>
      <c r="C990" s="26">
        <v>20.0</v>
      </c>
      <c r="D990" s="27">
        <v>340.0</v>
      </c>
      <c r="E990" s="27">
        <f t="shared" si="384"/>
        <v>6800</v>
      </c>
      <c r="F990" s="27">
        <v>340.0</v>
      </c>
      <c r="G990" s="28">
        <v>650.0</v>
      </c>
      <c r="H990" s="27">
        <f t="shared" si="385"/>
        <v>310</v>
      </c>
      <c r="I990" s="27">
        <f>H990*20</f>
        <v>6200</v>
      </c>
      <c r="J990" s="27">
        <f>G990*20</f>
        <v>13000</v>
      </c>
    </row>
    <row r="991" ht="12.75" customHeight="1">
      <c r="A991" s="36">
        <v>1114290.0</v>
      </c>
      <c r="B991" s="36" t="s">
        <v>3094</v>
      </c>
      <c r="C991" s="26">
        <v>10.0</v>
      </c>
      <c r="D991" s="27">
        <v>1100.0</v>
      </c>
      <c r="E991" s="27">
        <f t="shared" si="384"/>
        <v>11000</v>
      </c>
      <c r="F991" s="27">
        <v>1100.0</v>
      </c>
      <c r="G991" s="28">
        <v>2000.0</v>
      </c>
      <c r="H991" s="27">
        <f t="shared" si="385"/>
        <v>900</v>
      </c>
      <c r="I991" s="27">
        <f t="shared" ref="I991:I993" si="388">H991*10</f>
        <v>9000</v>
      </c>
      <c r="J991" s="27">
        <f t="shared" ref="J991:J993" si="389">G991*10</f>
        <v>20000</v>
      </c>
    </row>
    <row r="992" ht="12.75" customHeight="1">
      <c r="A992" s="36">
        <v>5050916.0</v>
      </c>
      <c r="B992" s="36" t="s">
        <v>2752</v>
      </c>
      <c r="C992" s="26">
        <v>10.0</v>
      </c>
      <c r="D992" s="27">
        <v>1290.0</v>
      </c>
      <c r="E992" s="27">
        <f t="shared" si="384"/>
        <v>12900</v>
      </c>
      <c r="F992" s="27">
        <v>1290.0</v>
      </c>
      <c r="G992" s="28">
        <v>1900.0</v>
      </c>
      <c r="H992" s="27">
        <f t="shared" si="385"/>
        <v>610</v>
      </c>
      <c r="I992" s="27">
        <f t="shared" si="388"/>
        <v>6100</v>
      </c>
      <c r="J992" s="27">
        <f t="shared" si="389"/>
        <v>19000</v>
      </c>
    </row>
    <row r="993" ht="12.75" customHeight="1">
      <c r="A993" s="36">
        <v>3941106.0</v>
      </c>
      <c r="B993" s="36" t="s">
        <v>2683</v>
      </c>
      <c r="C993" s="26">
        <v>10.0</v>
      </c>
      <c r="D993" s="27">
        <v>1250.0</v>
      </c>
      <c r="E993" s="27">
        <f t="shared" si="384"/>
        <v>12500</v>
      </c>
      <c r="F993" s="27">
        <v>1250.0</v>
      </c>
      <c r="G993" s="28">
        <v>2000.0</v>
      </c>
      <c r="H993" s="27">
        <f t="shared" si="385"/>
        <v>750</v>
      </c>
      <c r="I993" s="27">
        <f t="shared" si="388"/>
        <v>7500</v>
      </c>
      <c r="J993" s="27">
        <f t="shared" si="389"/>
        <v>20000</v>
      </c>
    </row>
    <row r="994" ht="12.75" customHeight="1">
      <c r="A994" s="36">
        <v>1113897.0</v>
      </c>
      <c r="B994" s="36" t="s">
        <v>3095</v>
      </c>
      <c r="C994" s="26">
        <v>6.0</v>
      </c>
      <c r="D994" s="27">
        <v>1110.0</v>
      </c>
      <c r="E994" s="27">
        <f t="shared" si="384"/>
        <v>6660</v>
      </c>
      <c r="F994" s="27">
        <v>1110.0</v>
      </c>
      <c r="G994" s="28">
        <v>2000.0</v>
      </c>
      <c r="H994" s="27">
        <f t="shared" si="385"/>
        <v>890</v>
      </c>
      <c r="I994" s="27">
        <f>H994*6</f>
        <v>5340</v>
      </c>
      <c r="J994" s="27">
        <f>G994*6</f>
        <v>12000</v>
      </c>
    </row>
    <row r="995" ht="12.75" customHeight="1">
      <c r="A995" s="36">
        <v>210212.0</v>
      </c>
      <c r="B995" s="36" t="s">
        <v>3096</v>
      </c>
      <c r="C995" s="26">
        <v>1.0</v>
      </c>
      <c r="D995" s="27">
        <v>2170.0</v>
      </c>
      <c r="E995" s="27">
        <f t="shared" si="384"/>
        <v>2170</v>
      </c>
      <c r="F995" s="27">
        <v>86.8</v>
      </c>
      <c r="G995" s="28">
        <v>250.0</v>
      </c>
      <c r="H995" s="27">
        <f t="shared" si="385"/>
        <v>163.2</v>
      </c>
      <c r="I995" s="27">
        <f>H995*25</f>
        <v>4080</v>
      </c>
      <c r="J995" s="27">
        <f>G995*25</f>
        <v>6250</v>
      </c>
    </row>
    <row r="996" ht="12.75" customHeight="1">
      <c r="A996" s="36">
        <v>6898.0</v>
      </c>
      <c r="B996" s="36" t="s">
        <v>2658</v>
      </c>
      <c r="C996" s="26">
        <v>20.0</v>
      </c>
      <c r="D996" s="27">
        <v>700.0</v>
      </c>
      <c r="E996" s="27">
        <f t="shared" si="384"/>
        <v>14000</v>
      </c>
      <c r="F996" s="27">
        <v>700.0</v>
      </c>
      <c r="G996" s="28">
        <v>2000.0</v>
      </c>
      <c r="H996" s="27">
        <f t="shared" si="385"/>
        <v>1300</v>
      </c>
      <c r="I996" s="27">
        <f>H996*20</f>
        <v>26000</v>
      </c>
      <c r="J996" s="27">
        <f>G996*20</f>
        <v>40000</v>
      </c>
    </row>
    <row r="997" ht="12.75" customHeight="1">
      <c r="A997" s="25"/>
      <c r="C997" s="26"/>
      <c r="D997" s="27"/>
      <c r="E997" s="27"/>
      <c r="F997" s="27"/>
      <c r="G997" s="28"/>
      <c r="H997" s="27"/>
      <c r="I997" s="27"/>
      <c r="J997" s="27"/>
    </row>
    <row r="998" ht="12.75" customHeight="1">
      <c r="A998" s="25"/>
      <c r="C998" s="26"/>
      <c r="D998" s="27"/>
      <c r="E998" s="32">
        <f>SUM(E984:E996)</f>
        <v>124610</v>
      </c>
      <c r="F998" s="32"/>
      <c r="G998" s="42"/>
      <c r="H998" s="32"/>
      <c r="I998" s="33">
        <f t="shared" ref="I998:J998" si="390">SUM(I984:I996)</f>
        <v>121640</v>
      </c>
      <c r="J998" s="33">
        <f t="shared" si="390"/>
        <v>246250</v>
      </c>
    </row>
    <row r="999" ht="12.75" customHeight="1">
      <c r="A999" s="25"/>
      <c r="C999" s="26"/>
      <c r="D999" s="27"/>
      <c r="E999" s="27"/>
      <c r="F999" s="27"/>
      <c r="G999" s="28"/>
      <c r="H999" s="27"/>
      <c r="I999" s="27"/>
      <c r="J999" s="27"/>
    </row>
    <row r="1000" ht="12.75" customHeight="1">
      <c r="A1000" s="25"/>
      <c r="C1000" s="26"/>
      <c r="D1000" s="27"/>
      <c r="E1000" s="27"/>
      <c r="F1000" s="27"/>
      <c r="G1000" s="28"/>
      <c r="H1000" s="27"/>
      <c r="I1000" s="27"/>
      <c r="J1000" s="27"/>
    </row>
    <row r="1001" ht="12.75" customHeight="1">
      <c r="A1001" s="34">
        <v>45895.0</v>
      </c>
      <c r="C1001" s="26"/>
      <c r="D1001" s="27"/>
      <c r="E1001" s="27"/>
      <c r="F1001" s="27"/>
      <c r="G1001" s="28"/>
      <c r="H1001" s="27"/>
      <c r="I1001" s="27"/>
      <c r="J1001" s="27"/>
    </row>
    <row r="1002" ht="12.75" customHeight="1">
      <c r="A1002" s="25"/>
      <c r="C1002" s="26"/>
      <c r="D1002" s="27"/>
      <c r="E1002" s="27"/>
      <c r="F1002" s="27"/>
      <c r="G1002" s="28"/>
      <c r="H1002" s="27"/>
      <c r="I1002" s="27"/>
      <c r="J1002" s="27"/>
    </row>
    <row r="1003" ht="12.75" customHeight="1">
      <c r="A1003" s="36">
        <v>4224086.0</v>
      </c>
      <c r="B1003" s="36" t="s">
        <v>2964</v>
      </c>
      <c r="C1003" s="26">
        <v>2.0</v>
      </c>
      <c r="D1003" s="27">
        <v>5640.0</v>
      </c>
      <c r="E1003" s="27">
        <f t="shared" ref="E1003:E1023" si="391">D1003*C1003</f>
        <v>11280</v>
      </c>
      <c r="F1003" s="27">
        <v>564.0</v>
      </c>
      <c r="G1003" s="28">
        <v>1000.0</v>
      </c>
      <c r="H1003" s="27">
        <f t="shared" ref="H1003:H1023" si="392">G1003-F1003</f>
        <v>436</v>
      </c>
      <c r="I1003" s="27">
        <f>H1003*20</f>
        <v>8720</v>
      </c>
      <c r="J1003" s="27">
        <f>G1003*20</f>
        <v>20000</v>
      </c>
    </row>
    <row r="1004" ht="12.75" customHeight="1">
      <c r="A1004" s="36">
        <v>1103928.0</v>
      </c>
      <c r="B1004" s="36" t="s">
        <v>3097</v>
      </c>
      <c r="C1004" s="26">
        <v>6.0</v>
      </c>
      <c r="D1004" s="27">
        <v>1100.0</v>
      </c>
      <c r="E1004" s="27">
        <f t="shared" si="391"/>
        <v>6600</v>
      </c>
      <c r="F1004" s="27">
        <v>1100.0</v>
      </c>
      <c r="G1004" s="28">
        <v>2000.0</v>
      </c>
      <c r="H1004" s="27">
        <f t="shared" si="392"/>
        <v>900</v>
      </c>
      <c r="I1004" s="27">
        <f>H1004*6</f>
        <v>5400</v>
      </c>
      <c r="J1004" s="27">
        <f>G1004*6</f>
        <v>12000</v>
      </c>
    </row>
    <row r="1005" ht="12.75" customHeight="1">
      <c r="A1005" s="36">
        <v>279747.0</v>
      </c>
      <c r="B1005" s="36" t="s">
        <v>3070</v>
      </c>
      <c r="C1005" s="26">
        <v>5.0</v>
      </c>
      <c r="D1005" s="27">
        <v>360.0</v>
      </c>
      <c r="E1005" s="27">
        <f t="shared" si="391"/>
        <v>1800</v>
      </c>
      <c r="F1005" s="27">
        <v>360.0</v>
      </c>
      <c r="G1005" s="28">
        <v>650.0</v>
      </c>
      <c r="H1005" s="27">
        <f t="shared" si="392"/>
        <v>290</v>
      </c>
      <c r="I1005" s="27">
        <f>H1005*5</f>
        <v>1450</v>
      </c>
      <c r="J1005" s="27">
        <f>G1005*5</f>
        <v>3250</v>
      </c>
    </row>
    <row r="1006" ht="12.75" customHeight="1">
      <c r="A1006" s="43" t="s">
        <v>3098</v>
      </c>
      <c r="B1006" s="36" t="s">
        <v>3099</v>
      </c>
      <c r="C1006" s="26">
        <v>1.0</v>
      </c>
      <c r="D1006" s="27">
        <v>11900.0</v>
      </c>
      <c r="E1006" s="27">
        <f t="shared" si="391"/>
        <v>11900</v>
      </c>
      <c r="F1006" s="27">
        <v>1190.0</v>
      </c>
      <c r="G1006" s="28">
        <v>1600.0</v>
      </c>
      <c r="H1006" s="27">
        <f t="shared" si="392"/>
        <v>410</v>
      </c>
      <c r="I1006" s="27">
        <f>H1006*10</f>
        <v>4100</v>
      </c>
      <c r="J1006" s="27">
        <f>G1006*10</f>
        <v>16000</v>
      </c>
    </row>
    <row r="1007" ht="12.75" customHeight="1">
      <c r="A1007" s="43" t="s">
        <v>2936</v>
      </c>
      <c r="B1007" s="36" t="s">
        <v>2937</v>
      </c>
      <c r="C1007" s="26">
        <v>2.0</v>
      </c>
      <c r="D1007" s="27">
        <v>11900.0</v>
      </c>
      <c r="E1007" s="27">
        <f t="shared" si="391"/>
        <v>23800</v>
      </c>
      <c r="F1007" s="27">
        <v>1190.0</v>
      </c>
      <c r="G1007" s="28">
        <v>1600.0</v>
      </c>
      <c r="H1007" s="27">
        <f t="shared" si="392"/>
        <v>410</v>
      </c>
      <c r="I1007" s="27">
        <f>H1007*20</f>
        <v>8200</v>
      </c>
      <c r="J1007" s="27">
        <f>G1007*20</f>
        <v>32000</v>
      </c>
    </row>
    <row r="1008" ht="12.75" customHeight="1">
      <c r="A1008" s="43" t="s">
        <v>3100</v>
      </c>
      <c r="B1008" s="36" t="s">
        <v>3101</v>
      </c>
      <c r="C1008" s="26">
        <v>1.0</v>
      </c>
      <c r="D1008" s="27">
        <v>11900.0</v>
      </c>
      <c r="E1008" s="27">
        <f t="shared" si="391"/>
        <v>11900</v>
      </c>
      <c r="F1008" s="27">
        <v>1190.0</v>
      </c>
      <c r="G1008" s="28">
        <v>1600.0</v>
      </c>
      <c r="H1008" s="27">
        <f t="shared" si="392"/>
        <v>410</v>
      </c>
      <c r="I1008" s="27">
        <f t="shared" ref="I1008:I1009" si="393">H1008*10</f>
        <v>4100</v>
      </c>
      <c r="J1008" s="27">
        <f t="shared" ref="J1008:J1009" si="394">G1008*10</f>
        <v>16000</v>
      </c>
    </row>
    <row r="1009" ht="12.75" customHeight="1">
      <c r="A1009" s="43" t="s">
        <v>3102</v>
      </c>
      <c r="B1009" s="36" t="s">
        <v>2755</v>
      </c>
      <c r="C1009" s="26">
        <v>1.0</v>
      </c>
      <c r="D1009" s="27">
        <v>11900.0</v>
      </c>
      <c r="E1009" s="27">
        <f t="shared" si="391"/>
        <v>11900</v>
      </c>
      <c r="F1009" s="27">
        <v>1190.0</v>
      </c>
      <c r="G1009" s="28">
        <v>1600.0</v>
      </c>
      <c r="H1009" s="27">
        <f t="shared" si="392"/>
        <v>410</v>
      </c>
      <c r="I1009" s="27">
        <f t="shared" si="393"/>
        <v>4100</v>
      </c>
      <c r="J1009" s="27">
        <f t="shared" si="394"/>
        <v>16000</v>
      </c>
    </row>
    <row r="1010" ht="12.75" customHeight="1">
      <c r="A1010" s="36">
        <v>4560139.0</v>
      </c>
      <c r="B1010" s="36" t="s">
        <v>3103</v>
      </c>
      <c r="C1010" s="26">
        <v>3.0</v>
      </c>
      <c r="D1010" s="27">
        <v>670.0</v>
      </c>
      <c r="E1010" s="27">
        <f t="shared" si="391"/>
        <v>2010</v>
      </c>
      <c r="F1010" s="27">
        <v>670.0</v>
      </c>
      <c r="G1010" s="28">
        <v>670.0</v>
      </c>
      <c r="H1010" s="27">
        <f t="shared" si="392"/>
        <v>0</v>
      </c>
      <c r="I1010" s="27">
        <f>H1010*3</f>
        <v>0</v>
      </c>
      <c r="J1010" s="27">
        <f>G1010*0</f>
        <v>0</v>
      </c>
    </row>
    <row r="1011" ht="12.75" customHeight="1">
      <c r="A1011" s="36">
        <v>4173636.0</v>
      </c>
      <c r="B1011" s="36" t="s">
        <v>3104</v>
      </c>
      <c r="C1011" s="26">
        <v>7.0</v>
      </c>
      <c r="D1011" s="27">
        <v>280.0</v>
      </c>
      <c r="E1011" s="27">
        <f t="shared" si="391"/>
        <v>1960</v>
      </c>
      <c r="F1011" s="27">
        <v>280.0</v>
      </c>
      <c r="G1011" s="28">
        <v>500.0</v>
      </c>
      <c r="H1011" s="27">
        <f t="shared" si="392"/>
        <v>220</v>
      </c>
      <c r="I1011" s="27">
        <f>H1011*7</f>
        <v>1540</v>
      </c>
      <c r="J1011" s="27">
        <f>G1011*7</f>
        <v>3500</v>
      </c>
    </row>
    <row r="1012" ht="12.75" customHeight="1">
      <c r="A1012" s="36">
        <v>2041.0</v>
      </c>
      <c r="B1012" s="36" t="s">
        <v>2694</v>
      </c>
      <c r="C1012" s="26">
        <v>1.0</v>
      </c>
      <c r="D1012" s="27">
        <v>8120.0</v>
      </c>
      <c r="E1012" s="27">
        <f t="shared" si="391"/>
        <v>8120</v>
      </c>
      <c r="F1012" s="27">
        <v>81.2</v>
      </c>
      <c r="G1012" s="28">
        <v>200.0</v>
      </c>
      <c r="H1012" s="27">
        <f t="shared" si="392"/>
        <v>118.8</v>
      </c>
      <c r="I1012" s="27">
        <f>H1012*100</f>
        <v>11880</v>
      </c>
      <c r="J1012" s="27">
        <f>G1012*100</f>
        <v>20000</v>
      </c>
    </row>
    <row r="1013" ht="12.75" customHeight="1">
      <c r="A1013" s="36">
        <v>4162001.0</v>
      </c>
      <c r="B1013" s="36" t="s">
        <v>2733</v>
      </c>
      <c r="C1013" s="26">
        <v>20.0</v>
      </c>
      <c r="D1013" s="27">
        <v>780.0</v>
      </c>
      <c r="E1013" s="27">
        <f t="shared" si="391"/>
        <v>15600</v>
      </c>
      <c r="F1013" s="27">
        <v>780.0</v>
      </c>
      <c r="G1013" s="28">
        <v>1500.0</v>
      </c>
      <c r="H1013" s="27">
        <f t="shared" si="392"/>
        <v>720</v>
      </c>
      <c r="I1013" s="27">
        <f>H1013*20</f>
        <v>14400</v>
      </c>
      <c r="J1013" s="27">
        <f>G1013*20</f>
        <v>30000</v>
      </c>
    </row>
    <row r="1014" ht="12.75" customHeight="1">
      <c r="A1014" s="36">
        <v>1108695.0</v>
      </c>
      <c r="B1014" s="36" t="s">
        <v>3027</v>
      </c>
      <c r="C1014" s="26">
        <v>12.0</v>
      </c>
      <c r="D1014" s="27">
        <v>860.0</v>
      </c>
      <c r="E1014" s="27">
        <f t="shared" si="391"/>
        <v>10320</v>
      </c>
      <c r="F1014" s="27">
        <v>860.0</v>
      </c>
      <c r="G1014" s="28">
        <v>1500.0</v>
      </c>
      <c r="H1014" s="27">
        <f t="shared" si="392"/>
        <v>640</v>
      </c>
      <c r="I1014" s="27">
        <f>H1014*12</f>
        <v>7680</v>
      </c>
      <c r="J1014" s="27">
        <f>G1014*12</f>
        <v>18000</v>
      </c>
    </row>
    <row r="1015" ht="12.75" customHeight="1">
      <c r="A1015" s="36">
        <v>272373.0</v>
      </c>
      <c r="B1015" s="36" t="s">
        <v>3105</v>
      </c>
      <c r="C1015" s="26">
        <v>10.0</v>
      </c>
      <c r="D1015" s="27">
        <v>1580.0</v>
      </c>
      <c r="E1015" s="27">
        <f t="shared" si="391"/>
        <v>15800</v>
      </c>
      <c r="F1015" s="27">
        <v>1580.0</v>
      </c>
      <c r="G1015" s="28">
        <v>2300.0</v>
      </c>
      <c r="H1015" s="27">
        <f t="shared" si="392"/>
        <v>720</v>
      </c>
      <c r="I1015" s="27">
        <f>H1015*10</f>
        <v>7200</v>
      </c>
      <c r="J1015" s="27">
        <f>G1015*10</f>
        <v>23000</v>
      </c>
    </row>
    <row r="1016" ht="12.75" customHeight="1">
      <c r="A1016" s="36">
        <v>7014233.0</v>
      </c>
      <c r="B1016" s="36" t="s">
        <v>3106</v>
      </c>
      <c r="C1016" s="26">
        <v>20.0</v>
      </c>
      <c r="D1016" s="27">
        <v>265.0</v>
      </c>
      <c r="E1016" s="27">
        <f t="shared" si="391"/>
        <v>5300</v>
      </c>
      <c r="F1016" s="27">
        <v>265.0</v>
      </c>
      <c r="G1016" s="28">
        <v>600.0</v>
      </c>
      <c r="H1016" s="27">
        <f t="shared" si="392"/>
        <v>335</v>
      </c>
      <c r="I1016" s="27">
        <f t="shared" ref="I1016:I1018" si="395">H1016*20</f>
        <v>6700</v>
      </c>
      <c r="J1016" s="27">
        <f t="shared" ref="J1016:J1018" si="396">G1016*20</f>
        <v>12000</v>
      </c>
    </row>
    <row r="1017" ht="12.75" customHeight="1">
      <c r="A1017" s="36">
        <v>9659573.0</v>
      </c>
      <c r="B1017" s="36" t="s">
        <v>3107</v>
      </c>
      <c r="C1017" s="26">
        <v>20.0</v>
      </c>
      <c r="D1017" s="27">
        <v>315.0</v>
      </c>
      <c r="E1017" s="27">
        <f t="shared" si="391"/>
        <v>6300</v>
      </c>
      <c r="F1017" s="27">
        <v>315.0</v>
      </c>
      <c r="G1017" s="28">
        <v>700.0</v>
      </c>
      <c r="H1017" s="27">
        <f t="shared" si="392"/>
        <v>385</v>
      </c>
      <c r="I1017" s="27">
        <f t="shared" si="395"/>
        <v>7700</v>
      </c>
      <c r="J1017" s="27">
        <f t="shared" si="396"/>
        <v>14000</v>
      </c>
    </row>
    <row r="1018" ht="12.75" customHeight="1">
      <c r="A1018" s="36">
        <v>1114334.0</v>
      </c>
      <c r="B1018" s="36" t="s">
        <v>3108</v>
      </c>
      <c r="C1018" s="26">
        <v>2.0</v>
      </c>
      <c r="D1018" s="27">
        <v>3880.0</v>
      </c>
      <c r="E1018" s="27">
        <f t="shared" si="391"/>
        <v>7760</v>
      </c>
      <c r="F1018" s="27">
        <v>388.0</v>
      </c>
      <c r="G1018" s="28">
        <v>800.0</v>
      </c>
      <c r="H1018" s="27">
        <f t="shared" si="392"/>
        <v>412</v>
      </c>
      <c r="I1018" s="27">
        <f t="shared" si="395"/>
        <v>8240</v>
      </c>
      <c r="J1018" s="27">
        <f t="shared" si="396"/>
        <v>16000</v>
      </c>
    </row>
    <row r="1019" ht="12.75" customHeight="1">
      <c r="A1019" s="36">
        <v>1185566.0</v>
      </c>
      <c r="B1019" s="36" t="s">
        <v>3062</v>
      </c>
      <c r="C1019" s="26">
        <v>10.0</v>
      </c>
      <c r="D1019" s="27">
        <v>1180.0</v>
      </c>
      <c r="E1019" s="27">
        <f t="shared" si="391"/>
        <v>11800</v>
      </c>
      <c r="F1019" s="27">
        <v>1180.0</v>
      </c>
      <c r="G1019" s="28">
        <v>1900.0</v>
      </c>
      <c r="H1019" s="27">
        <f t="shared" si="392"/>
        <v>720</v>
      </c>
      <c r="I1019" s="27">
        <f t="shared" ref="I1019:I1020" si="397">H1019*10</f>
        <v>7200</v>
      </c>
      <c r="J1019" s="27">
        <f t="shared" ref="J1019:J1020" si="398">G1019*10</f>
        <v>19000</v>
      </c>
    </row>
    <row r="1020" ht="12.75" customHeight="1">
      <c r="A1020" s="36">
        <v>1114399.0</v>
      </c>
      <c r="B1020" s="36" t="s">
        <v>3063</v>
      </c>
      <c r="C1020" s="26">
        <v>10.0</v>
      </c>
      <c r="D1020" s="27">
        <v>1500.0</v>
      </c>
      <c r="E1020" s="27">
        <f t="shared" si="391"/>
        <v>15000</v>
      </c>
      <c r="F1020" s="27">
        <v>1500.0</v>
      </c>
      <c r="G1020" s="28">
        <v>2200.0</v>
      </c>
      <c r="H1020" s="27">
        <f t="shared" si="392"/>
        <v>700</v>
      </c>
      <c r="I1020" s="27">
        <f t="shared" si="397"/>
        <v>7000</v>
      </c>
      <c r="J1020" s="27">
        <f t="shared" si="398"/>
        <v>22000</v>
      </c>
    </row>
    <row r="1021" ht="12.75" customHeight="1">
      <c r="A1021" s="36">
        <v>7552007.0</v>
      </c>
      <c r="B1021" s="36" t="s">
        <v>2700</v>
      </c>
      <c r="C1021" s="26">
        <v>20.0</v>
      </c>
      <c r="D1021" s="27">
        <v>380.0</v>
      </c>
      <c r="E1021" s="27">
        <f t="shared" si="391"/>
        <v>7600</v>
      </c>
      <c r="F1021" s="27">
        <v>380.0</v>
      </c>
      <c r="G1021" s="28">
        <v>800.0</v>
      </c>
      <c r="H1021" s="27">
        <f t="shared" si="392"/>
        <v>420</v>
      </c>
      <c r="I1021" s="27">
        <f>H1021*20</f>
        <v>8400</v>
      </c>
      <c r="J1021" s="27">
        <f>G1021*20</f>
        <v>16000</v>
      </c>
    </row>
    <row r="1022" ht="12.75" customHeight="1">
      <c r="A1022" s="36">
        <v>5015717.0</v>
      </c>
      <c r="B1022" s="36" t="s">
        <v>2915</v>
      </c>
      <c r="C1022" s="26">
        <v>1.0</v>
      </c>
      <c r="D1022" s="27">
        <v>15500.0</v>
      </c>
      <c r="E1022" s="27">
        <f t="shared" si="391"/>
        <v>15500</v>
      </c>
      <c r="F1022" s="27">
        <v>1550.0</v>
      </c>
      <c r="G1022" s="28">
        <v>3000.0</v>
      </c>
      <c r="H1022" s="27">
        <f t="shared" si="392"/>
        <v>1450</v>
      </c>
      <c r="I1022" s="27">
        <f>H1022*10</f>
        <v>14500</v>
      </c>
      <c r="J1022" s="27">
        <f>G1022*10</f>
        <v>30000</v>
      </c>
    </row>
    <row r="1023" ht="12.75" customHeight="1">
      <c r="A1023" s="36">
        <v>1110315.0</v>
      </c>
      <c r="B1023" s="36" t="s">
        <v>3109</v>
      </c>
      <c r="C1023" s="26">
        <v>2.0</v>
      </c>
      <c r="D1023" s="27">
        <v>1100.0</v>
      </c>
      <c r="E1023" s="27">
        <f t="shared" si="391"/>
        <v>2200</v>
      </c>
      <c r="F1023" s="27">
        <v>1100.0</v>
      </c>
      <c r="G1023" s="28">
        <v>1100.0</v>
      </c>
      <c r="H1023" s="27">
        <f t="shared" si="392"/>
        <v>0</v>
      </c>
      <c r="I1023" s="27">
        <f>H1023*2</f>
        <v>0</v>
      </c>
      <c r="J1023" s="27">
        <f>G1023*0</f>
        <v>0</v>
      </c>
    </row>
    <row r="1024" ht="12.75" customHeight="1">
      <c r="A1024" s="25"/>
      <c r="C1024" s="26"/>
      <c r="D1024" s="27"/>
      <c r="E1024" s="27"/>
      <c r="F1024" s="27"/>
      <c r="G1024" s="28"/>
      <c r="H1024" s="27"/>
      <c r="I1024" s="27"/>
      <c r="J1024" s="27"/>
    </row>
    <row r="1025" ht="12.75" customHeight="1">
      <c r="A1025" s="25"/>
      <c r="C1025" s="26"/>
      <c r="D1025" s="27"/>
      <c r="E1025" s="32">
        <f>SUM(E1003:E1023)</f>
        <v>204450</v>
      </c>
      <c r="F1025" s="27"/>
      <c r="G1025" s="28"/>
      <c r="H1025" s="27"/>
      <c r="I1025" s="33">
        <f t="shared" ref="I1025:J1025" si="399">SUM(I1003:I1023)</f>
        <v>138510</v>
      </c>
      <c r="J1025" s="33">
        <f t="shared" si="399"/>
        <v>338750</v>
      </c>
    </row>
    <row r="1026" ht="12.75" customHeight="1">
      <c r="A1026" s="25"/>
      <c r="C1026" s="26"/>
      <c r="D1026" s="27"/>
      <c r="E1026" s="27"/>
      <c r="F1026" s="27"/>
      <c r="G1026" s="28"/>
      <c r="H1026" s="27"/>
      <c r="I1026" s="27"/>
      <c r="J1026" s="27"/>
    </row>
    <row r="1027" ht="12.75" customHeight="1">
      <c r="A1027" s="25"/>
      <c r="C1027" s="26"/>
      <c r="D1027" s="27"/>
      <c r="E1027" s="27"/>
      <c r="F1027" s="27"/>
      <c r="G1027" s="28"/>
      <c r="H1027" s="27"/>
      <c r="I1027" s="27"/>
      <c r="J1027" s="27"/>
    </row>
    <row r="1028" ht="12.75" customHeight="1">
      <c r="A1028" s="34">
        <v>45963.0</v>
      </c>
      <c r="C1028" s="26"/>
      <c r="D1028" s="27"/>
      <c r="E1028" s="27"/>
      <c r="F1028" s="27"/>
      <c r="G1028" s="28"/>
      <c r="H1028" s="27"/>
      <c r="I1028" s="27"/>
      <c r="J1028" s="27"/>
    </row>
    <row r="1029" ht="12.75" customHeight="1">
      <c r="A1029" s="25"/>
      <c r="C1029" s="26"/>
      <c r="D1029" s="27"/>
      <c r="E1029" s="27"/>
      <c r="F1029" s="27"/>
      <c r="G1029" s="28"/>
      <c r="H1029" s="27"/>
      <c r="I1029" s="27"/>
      <c r="J1029" s="27"/>
    </row>
    <row r="1030" ht="12.75" customHeight="1">
      <c r="A1030" s="36">
        <v>5980435.0</v>
      </c>
      <c r="B1030" s="36" t="s">
        <v>2777</v>
      </c>
      <c r="C1030" s="26">
        <v>15.0</v>
      </c>
      <c r="D1030" s="27">
        <v>395.0</v>
      </c>
      <c r="E1030" s="27">
        <f t="shared" ref="E1030:E1057" si="400">D1030*C1030</f>
        <v>5925</v>
      </c>
      <c r="F1030" s="27">
        <v>395.0</v>
      </c>
      <c r="G1030" s="28">
        <v>650.0</v>
      </c>
      <c r="H1030" s="27">
        <f t="shared" ref="H1030:H1057" si="401">G1030-F1030</f>
        <v>255</v>
      </c>
      <c r="I1030" s="27">
        <f t="shared" ref="I1030:I1032" si="402">H1030*15</f>
        <v>3825</v>
      </c>
      <c r="J1030" s="27">
        <f t="shared" ref="J1030:J1032" si="403">G1030*15</f>
        <v>9750</v>
      </c>
    </row>
    <row r="1031" ht="12.75" customHeight="1">
      <c r="A1031" s="36">
        <v>180374.0</v>
      </c>
      <c r="B1031" s="36" t="s">
        <v>3110</v>
      </c>
      <c r="C1031" s="26">
        <v>15.0</v>
      </c>
      <c r="D1031" s="27">
        <v>450.0</v>
      </c>
      <c r="E1031" s="27">
        <f t="shared" si="400"/>
        <v>6750</v>
      </c>
      <c r="F1031" s="27">
        <v>450.0</v>
      </c>
      <c r="G1031" s="28">
        <v>750.0</v>
      </c>
      <c r="H1031" s="27">
        <f t="shared" si="401"/>
        <v>300</v>
      </c>
      <c r="I1031" s="27">
        <f t="shared" si="402"/>
        <v>4500</v>
      </c>
      <c r="J1031" s="27">
        <f t="shared" si="403"/>
        <v>11250</v>
      </c>
    </row>
    <row r="1032" ht="12.75" customHeight="1">
      <c r="A1032" s="36">
        <v>250091.0</v>
      </c>
      <c r="B1032" s="36" t="s">
        <v>3008</v>
      </c>
      <c r="C1032" s="26">
        <v>15.0</v>
      </c>
      <c r="D1032" s="27">
        <v>620.0</v>
      </c>
      <c r="E1032" s="27">
        <f t="shared" si="400"/>
        <v>9300</v>
      </c>
      <c r="F1032" s="27">
        <v>620.0</v>
      </c>
      <c r="G1032" s="28">
        <v>1450.0</v>
      </c>
      <c r="H1032" s="27">
        <f t="shared" si="401"/>
        <v>830</v>
      </c>
      <c r="I1032" s="27">
        <f t="shared" si="402"/>
        <v>12450</v>
      </c>
      <c r="J1032" s="27">
        <f t="shared" si="403"/>
        <v>21750</v>
      </c>
    </row>
    <row r="1033" ht="12.75" customHeight="1">
      <c r="A1033" s="36">
        <v>7283000.0</v>
      </c>
      <c r="B1033" s="36" t="s">
        <v>2795</v>
      </c>
      <c r="C1033" s="26">
        <v>1.0</v>
      </c>
      <c r="D1033" s="27">
        <v>4880.0</v>
      </c>
      <c r="E1033" s="27">
        <f t="shared" si="400"/>
        <v>4880</v>
      </c>
      <c r="F1033" s="27">
        <v>406.66</v>
      </c>
      <c r="G1033" s="28">
        <v>900.0</v>
      </c>
      <c r="H1033" s="27">
        <f t="shared" si="401"/>
        <v>493.34</v>
      </c>
      <c r="I1033" s="27">
        <f>H1033*12</f>
        <v>5920.08</v>
      </c>
      <c r="J1033" s="27">
        <f>G1033*12</f>
        <v>10800</v>
      </c>
    </row>
    <row r="1034" ht="12.75" customHeight="1">
      <c r="A1034" s="36">
        <v>8229859.0</v>
      </c>
      <c r="B1034" s="36" t="s">
        <v>2569</v>
      </c>
      <c r="C1034" s="26">
        <v>1.0</v>
      </c>
      <c r="D1034" s="27">
        <v>10520.0</v>
      </c>
      <c r="E1034" s="27">
        <f t="shared" si="400"/>
        <v>10520</v>
      </c>
      <c r="F1034" s="27">
        <v>438.33</v>
      </c>
      <c r="G1034" s="28">
        <v>800.0</v>
      </c>
      <c r="H1034" s="27">
        <f t="shared" si="401"/>
        <v>361.67</v>
      </c>
      <c r="I1034" s="27">
        <f>H1034*24</f>
        <v>8680.08</v>
      </c>
      <c r="J1034" s="27">
        <f>G1034*24</f>
        <v>19200</v>
      </c>
    </row>
    <row r="1035" ht="12.75" customHeight="1">
      <c r="A1035" s="36">
        <v>5694221.0</v>
      </c>
      <c r="B1035" s="36" t="s">
        <v>2570</v>
      </c>
      <c r="C1035" s="26">
        <v>1.0</v>
      </c>
      <c r="D1035" s="27">
        <v>7710.0</v>
      </c>
      <c r="E1035" s="27">
        <f t="shared" si="400"/>
        <v>7710</v>
      </c>
      <c r="F1035" s="27">
        <v>642.5</v>
      </c>
      <c r="G1035" s="28">
        <v>1100.0</v>
      </c>
      <c r="H1035" s="27">
        <f t="shared" si="401"/>
        <v>457.5</v>
      </c>
      <c r="I1035" s="27">
        <f>H1035*12</f>
        <v>5490</v>
      </c>
      <c r="J1035" s="27">
        <f>G1035*12</f>
        <v>13200</v>
      </c>
    </row>
    <row r="1036" ht="12.75" customHeight="1">
      <c r="A1036" s="36">
        <v>8123353.0</v>
      </c>
      <c r="B1036" s="36" t="s">
        <v>3049</v>
      </c>
      <c r="C1036" s="26">
        <v>10.0</v>
      </c>
      <c r="D1036" s="27">
        <v>1180.0</v>
      </c>
      <c r="E1036" s="27">
        <f t="shared" si="400"/>
        <v>11800</v>
      </c>
      <c r="F1036" s="27">
        <v>1180.0</v>
      </c>
      <c r="G1036" s="28">
        <v>2000.0</v>
      </c>
      <c r="H1036" s="27">
        <f t="shared" si="401"/>
        <v>820</v>
      </c>
      <c r="I1036" s="27">
        <f>H1036*10</f>
        <v>8200</v>
      </c>
      <c r="J1036" s="27">
        <f>G1036*10</f>
        <v>20000</v>
      </c>
    </row>
    <row r="1037" ht="12.75" customHeight="1">
      <c r="A1037" s="36">
        <v>4408486.0</v>
      </c>
      <c r="B1037" s="36" t="s">
        <v>3111</v>
      </c>
      <c r="C1037" s="26">
        <v>5.0</v>
      </c>
      <c r="D1037" s="27">
        <v>870.0</v>
      </c>
      <c r="E1037" s="27">
        <f t="shared" si="400"/>
        <v>4350</v>
      </c>
      <c r="F1037" s="27">
        <v>870.0</v>
      </c>
      <c r="G1037" s="28">
        <v>1600.0</v>
      </c>
      <c r="H1037" s="27">
        <f t="shared" si="401"/>
        <v>730</v>
      </c>
      <c r="I1037" s="27">
        <f t="shared" ref="I1037:I1038" si="404">H1037*5</f>
        <v>3650</v>
      </c>
      <c r="J1037" s="27">
        <f t="shared" ref="J1037:J1038" si="405">G1037*5</f>
        <v>8000</v>
      </c>
    </row>
    <row r="1038" ht="12.75" customHeight="1">
      <c r="A1038" s="36">
        <v>4700191.0</v>
      </c>
      <c r="B1038" s="36" t="s">
        <v>3112</v>
      </c>
      <c r="C1038" s="26">
        <v>5.0</v>
      </c>
      <c r="D1038" s="27">
        <v>930.0</v>
      </c>
      <c r="E1038" s="27">
        <f t="shared" si="400"/>
        <v>4650</v>
      </c>
      <c r="F1038" s="27">
        <v>930.0</v>
      </c>
      <c r="G1038" s="28">
        <v>1700.0</v>
      </c>
      <c r="H1038" s="27">
        <f t="shared" si="401"/>
        <v>770</v>
      </c>
      <c r="I1038" s="27">
        <f t="shared" si="404"/>
        <v>3850</v>
      </c>
      <c r="J1038" s="27">
        <f t="shared" si="405"/>
        <v>8500</v>
      </c>
    </row>
    <row r="1039" ht="12.75" customHeight="1">
      <c r="A1039" s="36">
        <v>4469538.0</v>
      </c>
      <c r="B1039" s="36" t="s">
        <v>2983</v>
      </c>
      <c r="C1039" s="26">
        <v>1.0</v>
      </c>
      <c r="D1039" s="27">
        <v>1970.0</v>
      </c>
      <c r="E1039" s="27">
        <f t="shared" si="400"/>
        <v>1970</v>
      </c>
      <c r="F1039" s="27">
        <v>328.33</v>
      </c>
      <c r="G1039" s="28">
        <v>1000.0</v>
      </c>
      <c r="H1039" s="27">
        <f t="shared" si="401"/>
        <v>671.67</v>
      </c>
      <c r="I1039" s="27">
        <f>H1039*6</f>
        <v>4030.02</v>
      </c>
      <c r="J1039" s="27">
        <f>G1039*6</f>
        <v>6000</v>
      </c>
    </row>
    <row r="1040" ht="12.75" customHeight="1">
      <c r="A1040" s="36">
        <v>5100901.0</v>
      </c>
      <c r="B1040" s="36" t="s">
        <v>3113</v>
      </c>
      <c r="C1040" s="26">
        <v>3.0</v>
      </c>
      <c r="D1040" s="27">
        <v>6900.0</v>
      </c>
      <c r="E1040" s="27">
        <f t="shared" si="400"/>
        <v>20700</v>
      </c>
      <c r="F1040" s="27">
        <v>690.0</v>
      </c>
      <c r="G1040" s="28">
        <v>1200.0</v>
      </c>
      <c r="H1040" s="27">
        <f t="shared" si="401"/>
        <v>510</v>
      </c>
      <c r="I1040" s="27">
        <f>H1040*30</f>
        <v>15300</v>
      </c>
      <c r="J1040" s="27">
        <f>G1040*30</f>
        <v>36000</v>
      </c>
    </row>
    <row r="1041" ht="12.75" customHeight="1">
      <c r="A1041" s="43" t="s">
        <v>3114</v>
      </c>
      <c r="B1041" s="36" t="s">
        <v>3115</v>
      </c>
      <c r="C1041" s="26">
        <v>1.0</v>
      </c>
      <c r="D1041" s="27">
        <v>9990.0</v>
      </c>
      <c r="E1041" s="27">
        <f t="shared" si="400"/>
        <v>9990</v>
      </c>
      <c r="F1041" s="27">
        <v>999.0</v>
      </c>
      <c r="G1041" s="28">
        <v>1600.0</v>
      </c>
      <c r="H1041" s="27">
        <f t="shared" si="401"/>
        <v>601</v>
      </c>
      <c r="I1041" s="27">
        <f>H1041*10</f>
        <v>6010</v>
      </c>
      <c r="J1041" s="27">
        <f>G1041*10</f>
        <v>16000</v>
      </c>
    </row>
    <row r="1042" ht="12.75" customHeight="1">
      <c r="A1042" s="43" t="s">
        <v>2938</v>
      </c>
      <c r="B1042" s="36" t="s">
        <v>2595</v>
      </c>
      <c r="C1042" s="26">
        <v>2.0</v>
      </c>
      <c r="D1042" s="27">
        <v>9990.0</v>
      </c>
      <c r="E1042" s="27">
        <f t="shared" si="400"/>
        <v>19980</v>
      </c>
      <c r="F1042" s="27">
        <v>999.0</v>
      </c>
      <c r="G1042" s="28">
        <v>1600.0</v>
      </c>
      <c r="H1042" s="27">
        <f t="shared" si="401"/>
        <v>601</v>
      </c>
      <c r="I1042" s="27">
        <f>H1042*20</f>
        <v>12020</v>
      </c>
      <c r="J1042" s="27">
        <f>G1042*20</f>
        <v>32000</v>
      </c>
    </row>
    <row r="1043" ht="12.75" customHeight="1">
      <c r="A1043" s="36">
        <v>5656012.0</v>
      </c>
      <c r="B1043" s="36" t="s">
        <v>3116</v>
      </c>
      <c r="C1043" s="26">
        <v>5.0</v>
      </c>
      <c r="D1043" s="27">
        <v>525.0</v>
      </c>
      <c r="E1043" s="27">
        <f t="shared" si="400"/>
        <v>2625</v>
      </c>
      <c r="F1043" s="27">
        <v>525.0</v>
      </c>
      <c r="G1043" s="28">
        <v>1200.0</v>
      </c>
      <c r="H1043" s="27">
        <f t="shared" si="401"/>
        <v>675</v>
      </c>
      <c r="I1043" s="27">
        <f t="shared" ref="I1043:I1046" si="406">H1043*5</f>
        <v>3375</v>
      </c>
      <c r="J1043" s="27">
        <f t="shared" ref="J1043:J1046" si="407">G1043*5</f>
        <v>6000</v>
      </c>
    </row>
    <row r="1044" ht="12.75" customHeight="1">
      <c r="A1044" s="36">
        <v>5656003.0</v>
      </c>
      <c r="B1044" s="36" t="s">
        <v>3010</v>
      </c>
      <c r="C1044" s="26">
        <v>5.0</v>
      </c>
      <c r="D1044" s="27">
        <v>525.0</v>
      </c>
      <c r="E1044" s="27">
        <f t="shared" si="400"/>
        <v>2625</v>
      </c>
      <c r="F1044" s="27">
        <v>525.0</v>
      </c>
      <c r="G1044" s="28">
        <v>1200.0</v>
      </c>
      <c r="H1044" s="27">
        <f t="shared" si="401"/>
        <v>675</v>
      </c>
      <c r="I1044" s="27">
        <f t="shared" si="406"/>
        <v>3375</v>
      </c>
      <c r="J1044" s="27">
        <f t="shared" si="407"/>
        <v>6000</v>
      </c>
    </row>
    <row r="1045" ht="12.75" customHeight="1">
      <c r="A1045" s="36">
        <v>5656013.0</v>
      </c>
      <c r="B1045" s="36" t="s">
        <v>3117</v>
      </c>
      <c r="C1045" s="26">
        <v>5.0</v>
      </c>
      <c r="D1045" s="27">
        <v>525.0</v>
      </c>
      <c r="E1045" s="27">
        <f t="shared" si="400"/>
        <v>2625</v>
      </c>
      <c r="F1045" s="27">
        <v>525.0</v>
      </c>
      <c r="G1045" s="28">
        <v>1200.0</v>
      </c>
      <c r="H1045" s="27">
        <f t="shared" si="401"/>
        <v>675</v>
      </c>
      <c r="I1045" s="27">
        <f t="shared" si="406"/>
        <v>3375</v>
      </c>
      <c r="J1045" s="27">
        <f t="shared" si="407"/>
        <v>6000</v>
      </c>
    </row>
    <row r="1046" ht="12.75" customHeight="1">
      <c r="A1046" s="36">
        <v>5656002.0</v>
      </c>
      <c r="B1046" s="36" t="s">
        <v>3081</v>
      </c>
      <c r="C1046" s="26">
        <v>5.0</v>
      </c>
      <c r="D1046" s="27">
        <v>525.0</v>
      </c>
      <c r="E1046" s="27">
        <f t="shared" si="400"/>
        <v>2625</v>
      </c>
      <c r="F1046" s="27">
        <v>525.0</v>
      </c>
      <c r="G1046" s="28">
        <v>1200.0</v>
      </c>
      <c r="H1046" s="27">
        <f t="shared" si="401"/>
        <v>675</v>
      </c>
      <c r="I1046" s="27">
        <f t="shared" si="406"/>
        <v>3375</v>
      </c>
      <c r="J1046" s="27">
        <f t="shared" si="407"/>
        <v>6000</v>
      </c>
    </row>
    <row r="1047" ht="12.75" customHeight="1">
      <c r="A1047" s="36">
        <v>102019.0</v>
      </c>
      <c r="B1047" s="36" t="s">
        <v>3118</v>
      </c>
      <c r="C1047" s="26">
        <v>10.0</v>
      </c>
      <c r="D1047" s="27">
        <v>1090.0</v>
      </c>
      <c r="E1047" s="27">
        <f t="shared" si="400"/>
        <v>10900</v>
      </c>
      <c r="F1047" s="27">
        <v>136.25</v>
      </c>
      <c r="G1047" s="28">
        <v>350.0</v>
      </c>
      <c r="H1047" s="27">
        <f t="shared" si="401"/>
        <v>213.75</v>
      </c>
      <c r="I1047" s="27">
        <f>H1047*80</f>
        <v>17100</v>
      </c>
      <c r="J1047" s="27">
        <f>G1047*80</f>
        <v>28000</v>
      </c>
    </row>
    <row r="1048" ht="12.75" customHeight="1">
      <c r="A1048" s="43" t="s">
        <v>3119</v>
      </c>
      <c r="B1048" s="36" t="s">
        <v>3120</v>
      </c>
      <c r="C1048" s="26">
        <v>1.0</v>
      </c>
      <c r="D1048" s="27">
        <v>3140.0</v>
      </c>
      <c r="E1048" s="27">
        <f t="shared" si="400"/>
        <v>3140</v>
      </c>
      <c r="F1048" s="27">
        <v>125.6</v>
      </c>
      <c r="G1048" s="28">
        <v>400.0</v>
      </c>
      <c r="H1048" s="27">
        <f t="shared" si="401"/>
        <v>274.4</v>
      </c>
      <c r="I1048" s="27">
        <f t="shared" ref="I1048:I1049" si="408">H1048*25</f>
        <v>6860</v>
      </c>
      <c r="J1048" s="27">
        <f t="shared" ref="J1048:J1049" si="409">G1048*25</f>
        <v>10000</v>
      </c>
    </row>
    <row r="1049" ht="12.75" customHeight="1">
      <c r="A1049" s="43" t="s">
        <v>3058</v>
      </c>
      <c r="B1049" s="36" t="s">
        <v>3059</v>
      </c>
      <c r="C1049" s="26">
        <v>1.0</v>
      </c>
      <c r="D1049" s="27">
        <v>12760.0</v>
      </c>
      <c r="E1049" s="27">
        <f t="shared" si="400"/>
        <v>12760</v>
      </c>
      <c r="F1049" s="27">
        <v>510.4</v>
      </c>
      <c r="G1049" s="28">
        <v>1500.0</v>
      </c>
      <c r="H1049" s="27">
        <f t="shared" si="401"/>
        <v>989.6</v>
      </c>
      <c r="I1049" s="27">
        <f t="shared" si="408"/>
        <v>24740</v>
      </c>
      <c r="J1049" s="27">
        <f t="shared" si="409"/>
        <v>37500</v>
      </c>
    </row>
    <row r="1050" ht="12.75" customHeight="1">
      <c r="A1050" s="36">
        <v>2017023.0</v>
      </c>
      <c r="B1050" s="36" t="s">
        <v>3121</v>
      </c>
      <c r="C1050" s="26">
        <v>10.0</v>
      </c>
      <c r="D1050" s="27">
        <v>495.0</v>
      </c>
      <c r="E1050" s="27">
        <f t="shared" si="400"/>
        <v>4950</v>
      </c>
      <c r="F1050" s="27">
        <v>495.0</v>
      </c>
      <c r="G1050" s="28">
        <v>1500.0</v>
      </c>
      <c r="H1050" s="27">
        <f t="shared" si="401"/>
        <v>1005</v>
      </c>
      <c r="I1050" s="27">
        <f t="shared" ref="I1050:I1052" si="410">H1050*10</f>
        <v>10050</v>
      </c>
      <c r="J1050" s="27">
        <f t="shared" ref="J1050:J1052" si="411">G1050*10</f>
        <v>15000</v>
      </c>
    </row>
    <row r="1051" ht="12.75" customHeight="1">
      <c r="A1051" s="43" t="s">
        <v>3091</v>
      </c>
      <c r="B1051" s="36" t="s">
        <v>3092</v>
      </c>
      <c r="C1051" s="26">
        <v>10.0</v>
      </c>
      <c r="D1051" s="27">
        <v>850.0</v>
      </c>
      <c r="E1051" s="27">
        <f t="shared" si="400"/>
        <v>8500</v>
      </c>
      <c r="F1051" s="27">
        <v>850.0</v>
      </c>
      <c r="G1051" s="28">
        <v>1500.0</v>
      </c>
      <c r="H1051" s="27">
        <f t="shared" si="401"/>
        <v>650</v>
      </c>
      <c r="I1051" s="27">
        <f t="shared" si="410"/>
        <v>6500</v>
      </c>
      <c r="J1051" s="27">
        <f t="shared" si="411"/>
        <v>15000</v>
      </c>
    </row>
    <row r="1052" ht="12.75" customHeight="1">
      <c r="A1052" s="36">
        <v>5000034.0</v>
      </c>
      <c r="B1052" s="36" t="s">
        <v>3122</v>
      </c>
      <c r="C1052" s="26">
        <v>10.0</v>
      </c>
      <c r="D1052" s="27">
        <v>710.0</v>
      </c>
      <c r="E1052" s="27">
        <f t="shared" si="400"/>
        <v>7100</v>
      </c>
      <c r="F1052" s="27">
        <v>710.0</v>
      </c>
      <c r="G1052" s="28">
        <v>1300.0</v>
      </c>
      <c r="H1052" s="27">
        <f t="shared" si="401"/>
        <v>590</v>
      </c>
      <c r="I1052" s="27">
        <f t="shared" si="410"/>
        <v>5900</v>
      </c>
      <c r="J1052" s="27">
        <f t="shared" si="411"/>
        <v>13000</v>
      </c>
    </row>
    <row r="1053" ht="12.75" customHeight="1">
      <c r="A1053" s="36">
        <v>4167369.0</v>
      </c>
      <c r="B1053" s="36" t="s">
        <v>2836</v>
      </c>
      <c r="C1053" s="26">
        <v>2.0</v>
      </c>
      <c r="D1053" s="27">
        <v>5640.0</v>
      </c>
      <c r="E1053" s="27">
        <f t="shared" si="400"/>
        <v>11280</v>
      </c>
      <c r="F1053" s="27">
        <v>564.0</v>
      </c>
      <c r="G1053" s="28">
        <v>1000.0</v>
      </c>
      <c r="H1053" s="27">
        <f t="shared" si="401"/>
        <v>436</v>
      </c>
      <c r="I1053" s="27">
        <f>H1053*20</f>
        <v>8720</v>
      </c>
      <c r="J1053" s="27">
        <f>G1053*20</f>
        <v>20000</v>
      </c>
    </row>
    <row r="1054" ht="12.75" customHeight="1">
      <c r="A1054" s="36">
        <v>4167321.0</v>
      </c>
      <c r="B1054" s="36" t="s">
        <v>2827</v>
      </c>
      <c r="C1054" s="26">
        <v>1.0</v>
      </c>
      <c r="D1054" s="27">
        <v>5640.0</v>
      </c>
      <c r="E1054" s="27">
        <f t="shared" si="400"/>
        <v>5640</v>
      </c>
      <c r="F1054" s="27">
        <v>564.0</v>
      </c>
      <c r="G1054" s="28">
        <v>1000.0</v>
      </c>
      <c r="H1054" s="27">
        <f t="shared" si="401"/>
        <v>436</v>
      </c>
      <c r="I1054" s="27">
        <f t="shared" ref="I1054:I1055" si="412">H1054*10</f>
        <v>4360</v>
      </c>
      <c r="J1054" s="27">
        <f t="shared" ref="J1054:J1055" si="413">G1054*10</f>
        <v>10000</v>
      </c>
    </row>
    <row r="1055" ht="12.75" customHeight="1">
      <c r="A1055" s="36">
        <v>4167345.0</v>
      </c>
      <c r="B1055" s="36" t="s">
        <v>2833</v>
      </c>
      <c r="C1055" s="26">
        <v>1.0</v>
      </c>
      <c r="D1055" s="27">
        <v>5640.0</v>
      </c>
      <c r="E1055" s="27">
        <f t="shared" si="400"/>
        <v>5640</v>
      </c>
      <c r="F1055" s="27">
        <v>564.0</v>
      </c>
      <c r="G1055" s="28">
        <v>1000.0</v>
      </c>
      <c r="H1055" s="27">
        <f t="shared" si="401"/>
        <v>436</v>
      </c>
      <c r="I1055" s="27">
        <f t="shared" si="412"/>
        <v>4360</v>
      </c>
      <c r="J1055" s="27">
        <f t="shared" si="413"/>
        <v>10000</v>
      </c>
    </row>
    <row r="1056" ht="12.75" customHeight="1">
      <c r="A1056" s="36">
        <v>4224093.0</v>
      </c>
      <c r="B1056" s="36" t="s">
        <v>2824</v>
      </c>
      <c r="C1056" s="26">
        <v>2.0</v>
      </c>
      <c r="D1056" s="27">
        <v>5640.0</v>
      </c>
      <c r="E1056" s="27">
        <f t="shared" si="400"/>
        <v>11280</v>
      </c>
      <c r="F1056" s="27">
        <v>564.0</v>
      </c>
      <c r="G1056" s="28">
        <v>1000.0</v>
      </c>
      <c r="H1056" s="27">
        <f t="shared" si="401"/>
        <v>436</v>
      </c>
      <c r="I1056" s="27">
        <f>H1056*20</f>
        <v>8720</v>
      </c>
      <c r="J1056" s="27">
        <f>G1056*20</f>
        <v>20000</v>
      </c>
    </row>
    <row r="1057" ht="12.75" customHeight="1">
      <c r="A1057" s="36">
        <v>70683.0</v>
      </c>
      <c r="B1057" s="36" t="s">
        <v>3123</v>
      </c>
      <c r="C1057" s="26">
        <v>10.0</v>
      </c>
      <c r="D1057" s="27">
        <v>2980.0</v>
      </c>
      <c r="E1057" s="27">
        <f t="shared" si="400"/>
        <v>29800</v>
      </c>
      <c r="F1057" s="27">
        <v>2980.0</v>
      </c>
      <c r="G1057" s="28">
        <v>4500.0</v>
      </c>
      <c r="H1057" s="27">
        <f t="shared" si="401"/>
        <v>1520</v>
      </c>
      <c r="I1057" s="27">
        <f>H1057*10</f>
        <v>15200</v>
      </c>
      <c r="J1057" s="27">
        <f>G1057*10</f>
        <v>45000</v>
      </c>
    </row>
    <row r="1058" ht="12.75" customHeight="1">
      <c r="A1058" s="25"/>
      <c r="C1058" s="26"/>
      <c r="D1058" s="27"/>
      <c r="E1058" s="27"/>
      <c r="F1058" s="27"/>
      <c r="G1058" s="28"/>
      <c r="H1058" s="27"/>
      <c r="I1058" s="27"/>
      <c r="J1058" s="27"/>
    </row>
    <row r="1059" ht="12.75" customHeight="1">
      <c r="A1059" s="25"/>
      <c r="C1059" s="26"/>
      <c r="D1059" s="27"/>
      <c r="E1059" s="32">
        <f>SUM(E1030:E1057)</f>
        <v>240015</v>
      </c>
      <c r="F1059" s="27"/>
      <c r="G1059" s="28"/>
      <c r="H1059" s="27"/>
      <c r="I1059" s="33">
        <f t="shared" ref="I1059:J1059" si="414">SUM(I1030:I1057)</f>
        <v>219935.18</v>
      </c>
      <c r="J1059" s="33">
        <f t="shared" si="414"/>
        <v>459950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79.88"/>
    <col customWidth="1" min="3" max="3" width="11.38"/>
    <col customWidth="1" min="4" max="4" width="15.38"/>
    <col customWidth="1" min="5" max="5" width="11.75"/>
    <col customWidth="1" min="6" max="7" width="11.38"/>
    <col customWidth="1" min="8" max="8" width="14.88"/>
    <col customWidth="1" min="9" max="9" width="11.38"/>
    <col customWidth="1" min="10" max="26" width="10.63"/>
  </cols>
  <sheetData>
    <row r="1" ht="12.75" customHeight="1">
      <c r="A1" s="20" t="s">
        <v>2559</v>
      </c>
      <c r="B1" s="20" t="s">
        <v>2560</v>
      </c>
      <c r="C1" s="19" t="s">
        <v>2561</v>
      </c>
      <c r="D1" s="22" t="s">
        <v>2562</v>
      </c>
      <c r="E1" s="22" t="s">
        <v>2563</v>
      </c>
      <c r="F1" s="23" t="s">
        <v>2565</v>
      </c>
      <c r="G1" s="22" t="s">
        <v>2566</v>
      </c>
      <c r="H1" s="20" t="s">
        <v>2567</v>
      </c>
      <c r="I1" s="20" t="s">
        <v>2568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46"/>
      <c r="C2" s="25"/>
      <c r="D2" s="27"/>
      <c r="E2" s="27"/>
      <c r="F2" s="28"/>
      <c r="G2" s="27"/>
      <c r="H2" s="46"/>
      <c r="I2" s="46"/>
    </row>
    <row r="3" ht="14.25" customHeight="1">
      <c r="A3" s="46">
        <v>139919.0</v>
      </c>
      <c r="B3" s="47" t="s">
        <v>3124</v>
      </c>
      <c r="C3" s="25">
        <v>5.0</v>
      </c>
      <c r="D3" s="27">
        <v>14900.0</v>
      </c>
      <c r="E3" s="27">
        <f>D3*C3</f>
        <v>74500</v>
      </c>
      <c r="F3" s="28">
        <v>25000.0</v>
      </c>
      <c r="G3" s="27">
        <f>F3-D3</f>
        <v>10100</v>
      </c>
      <c r="H3" s="27">
        <f>G3*C3</f>
        <v>50500</v>
      </c>
      <c r="I3" s="27">
        <f>F3*C3</f>
        <v>125000</v>
      </c>
    </row>
    <row r="4" ht="12.75" customHeight="1">
      <c r="A4" s="46"/>
      <c r="B4" s="47"/>
      <c r="C4" s="25"/>
      <c r="D4" s="27"/>
      <c r="E4" s="27"/>
      <c r="F4" s="28"/>
      <c r="G4" s="27"/>
      <c r="H4" s="46"/>
      <c r="I4" s="27"/>
    </row>
    <row r="5" ht="14.25" customHeight="1">
      <c r="A5" s="46">
        <v>118854.0</v>
      </c>
      <c r="B5" s="47" t="s">
        <v>3125</v>
      </c>
      <c r="C5" s="25">
        <v>10.0</v>
      </c>
      <c r="D5" s="27">
        <v>1550.0</v>
      </c>
      <c r="E5" s="27">
        <f>D5*C5</f>
        <v>15500</v>
      </c>
      <c r="F5" s="28">
        <v>4000.0</v>
      </c>
      <c r="G5" s="27">
        <f>F5-D5</f>
        <v>2450</v>
      </c>
      <c r="H5" s="27">
        <f>G5*C5</f>
        <v>24500</v>
      </c>
      <c r="I5" s="27">
        <f>F5*C5</f>
        <v>40000</v>
      </c>
    </row>
    <row r="6" ht="12.75" customHeight="1">
      <c r="A6" s="46"/>
      <c r="B6" s="47"/>
      <c r="C6" s="25"/>
      <c r="D6" s="27"/>
      <c r="E6" s="27"/>
      <c r="F6" s="28"/>
      <c r="G6" s="27"/>
      <c r="H6" s="46"/>
      <c r="I6" s="27"/>
    </row>
    <row r="7" ht="14.25" customHeight="1">
      <c r="A7" s="46">
        <v>147971.0</v>
      </c>
      <c r="B7" s="47" t="s">
        <v>3126</v>
      </c>
      <c r="C7" s="25">
        <v>20.0</v>
      </c>
      <c r="D7" s="27">
        <v>1350.0</v>
      </c>
      <c r="E7" s="27">
        <f>D7*C7</f>
        <v>27000</v>
      </c>
      <c r="F7" s="28">
        <v>2500.0</v>
      </c>
      <c r="G7" s="27">
        <f>F7-D7</f>
        <v>1150</v>
      </c>
      <c r="H7" s="27">
        <f>G7*C7</f>
        <v>23000</v>
      </c>
      <c r="I7" s="27">
        <f>F7*C7</f>
        <v>50000</v>
      </c>
    </row>
    <row r="8" ht="12.75" customHeight="1">
      <c r="A8" s="46"/>
      <c r="B8" s="47"/>
      <c r="C8" s="25"/>
      <c r="D8" s="27"/>
      <c r="E8" s="27"/>
      <c r="F8" s="28"/>
      <c r="G8" s="27"/>
      <c r="H8" s="46"/>
      <c r="I8" s="27"/>
    </row>
    <row r="9" ht="12.75" customHeight="1">
      <c r="A9" s="46">
        <v>142680.0</v>
      </c>
      <c r="B9" s="47" t="s">
        <v>3127</v>
      </c>
      <c r="C9" s="25">
        <v>20.0</v>
      </c>
      <c r="D9" s="27">
        <v>590.0</v>
      </c>
      <c r="E9" s="27">
        <f>D9*C9</f>
        <v>11800</v>
      </c>
      <c r="F9" s="28">
        <v>1000.0</v>
      </c>
      <c r="G9" s="27">
        <f>F9-D9</f>
        <v>410</v>
      </c>
      <c r="H9" s="27">
        <f>G9*C9</f>
        <v>8200</v>
      </c>
      <c r="I9" s="27">
        <f>F9*C9</f>
        <v>20000</v>
      </c>
    </row>
    <row r="10" ht="12.75" customHeight="1">
      <c r="A10" s="46"/>
      <c r="B10" s="47"/>
      <c r="C10" s="25"/>
      <c r="D10" s="27"/>
      <c r="E10" s="27"/>
      <c r="F10" s="28"/>
      <c r="G10" s="27"/>
      <c r="H10" s="46"/>
      <c r="I10" s="27"/>
    </row>
    <row r="11" ht="14.25" customHeight="1">
      <c r="A11" s="46">
        <v>139501.0</v>
      </c>
      <c r="B11" s="47" t="s">
        <v>3128</v>
      </c>
      <c r="C11" s="25">
        <v>5.0</v>
      </c>
      <c r="D11" s="27">
        <v>3450.0</v>
      </c>
      <c r="E11" s="27">
        <f>D11*C11</f>
        <v>17250</v>
      </c>
      <c r="F11" s="28">
        <v>8500.0</v>
      </c>
      <c r="G11" s="27">
        <f>F11-D11</f>
        <v>5050</v>
      </c>
      <c r="H11" s="27">
        <f>G11*C11</f>
        <v>25250</v>
      </c>
      <c r="I11" s="27">
        <f>F11*C11</f>
        <v>42500</v>
      </c>
    </row>
    <row r="12" ht="12.75" customHeight="1">
      <c r="A12" s="46"/>
      <c r="B12" s="47"/>
      <c r="C12" s="25"/>
      <c r="D12" s="27"/>
      <c r="E12" s="27"/>
      <c r="F12" s="28"/>
      <c r="G12" s="27"/>
      <c r="H12" s="46"/>
      <c r="I12" s="27"/>
    </row>
    <row r="13" ht="12.75" customHeight="1">
      <c r="A13" s="48">
        <v>147520.0</v>
      </c>
      <c r="B13" s="47" t="s">
        <v>3129</v>
      </c>
      <c r="C13" s="25">
        <v>15.0</v>
      </c>
      <c r="D13" s="27">
        <v>1250.0</v>
      </c>
      <c r="E13" s="27">
        <f>D13*C13</f>
        <v>18750</v>
      </c>
      <c r="F13" s="28">
        <v>3000.0</v>
      </c>
      <c r="G13" s="27">
        <f>F13-D13</f>
        <v>1750</v>
      </c>
      <c r="H13" s="27">
        <f>G13*C13</f>
        <v>26250</v>
      </c>
      <c r="I13" s="27">
        <f>F13*C13</f>
        <v>45000</v>
      </c>
    </row>
    <row r="14" ht="12.75" customHeight="1">
      <c r="A14" s="46"/>
      <c r="B14" s="47"/>
      <c r="C14" s="25"/>
      <c r="D14" s="27"/>
      <c r="E14" s="27"/>
      <c r="F14" s="28"/>
      <c r="G14" s="27"/>
      <c r="H14" s="46"/>
      <c r="I14" s="27"/>
    </row>
    <row r="15" ht="14.25" customHeight="1">
      <c r="A15" s="46">
        <v>11713.0</v>
      </c>
      <c r="B15" s="47" t="s">
        <v>3130</v>
      </c>
      <c r="C15" s="25">
        <v>50.0</v>
      </c>
      <c r="D15" s="27">
        <v>470.0</v>
      </c>
      <c r="E15" s="27">
        <f>D15*C15</f>
        <v>23500</v>
      </c>
      <c r="F15" s="28">
        <v>1500.0</v>
      </c>
      <c r="G15" s="27">
        <f>F15-D15</f>
        <v>1030</v>
      </c>
      <c r="H15" s="27">
        <f>G15*C15</f>
        <v>51500</v>
      </c>
      <c r="I15" s="27">
        <f>F15*C15</f>
        <v>75000</v>
      </c>
    </row>
    <row r="16" ht="12.75" customHeight="1">
      <c r="A16" s="46"/>
      <c r="B16" s="47"/>
      <c r="C16" s="25"/>
      <c r="D16" s="27"/>
      <c r="E16" s="27"/>
      <c r="F16" s="28"/>
      <c r="G16" s="27"/>
      <c r="H16" s="46"/>
      <c r="I16" s="27"/>
    </row>
    <row r="17" ht="12.75" customHeight="1">
      <c r="A17" s="46">
        <v>142.0</v>
      </c>
      <c r="B17" s="47" t="s">
        <v>3131</v>
      </c>
      <c r="C17" s="25">
        <v>50.0</v>
      </c>
      <c r="D17" s="27">
        <v>290.0</v>
      </c>
      <c r="E17" s="27">
        <f>D17*C17</f>
        <v>14500</v>
      </c>
      <c r="F17" s="28">
        <v>2000.0</v>
      </c>
      <c r="G17" s="27">
        <f>F17-D17</f>
        <v>1710</v>
      </c>
      <c r="H17" s="27">
        <f>G17*C17</f>
        <v>85500</v>
      </c>
      <c r="I17" s="27">
        <f>F17*C17</f>
        <v>100000</v>
      </c>
    </row>
    <row r="18" ht="12.75" customHeight="1">
      <c r="A18" s="46"/>
      <c r="B18" s="47"/>
      <c r="C18" s="25"/>
      <c r="D18" s="27"/>
      <c r="E18" s="27"/>
      <c r="F18" s="28"/>
      <c r="G18" s="27"/>
      <c r="H18" s="46"/>
      <c r="I18" s="46"/>
    </row>
    <row r="19" ht="14.25" customHeight="1">
      <c r="A19" s="49">
        <v>2157.0</v>
      </c>
      <c r="B19" s="50" t="s">
        <v>3132</v>
      </c>
      <c r="C19" s="51">
        <v>0.0</v>
      </c>
      <c r="D19" s="52">
        <v>650.0</v>
      </c>
      <c r="E19" s="52">
        <f>D19*C19</f>
        <v>0</v>
      </c>
      <c r="F19" s="28"/>
      <c r="G19" s="27"/>
      <c r="H19" s="39">
        <f t="shared" ref="H19:I19" si="1">SUM(H3:H17)</f>
        <v>294700</v>
      </c>
      <c r="I19" s="53">
        <f t="shared" si="1"/>
        <v>497500</v>
      </c>
    </row>
    <row r="20" ht="12.75" customHeight="1">
      <c r="A20" s="46"/>
      <c r="B20" s="37"/>
      <c r="C20" s="25"/>
      <c r="D20" s="27"/>
      <c r="E20" s="27"/>
      <c r="F20" s="28"/>
      <c r="G20" s="27"/>
      <c r="H20" s="46"/>
      <c r="I20" s="46"/>
    </row>
    <row r="21" ht="12.75" customHeight="1">
      <c r="A21" s="46"/>
      <c r="C21" s="25"/>
      <c r="D21" s="27"/>
      <c r="E21" s="54">
        <f>SUM(E3:E19)</f>
        <v>202800</v>
      </c>
      <c r="F21" s="28"/>
      <c r="G21" s="27"/>
      <c r="H21" s="46"/>
      <c r="I21" s="46"/>
    </row>
    <row r="22" ht="12.75" customHeight="1">
      <c r="A22" s="46"/>
      <c r="C22" s="25"/>
      <c r="D22" s="27"/>
      <c r="E22" s="54"/>
      <c r="F22" s="28"/>
      <c r="G22" s="27"/>
      <c r="H22" s="46"/>
      <c r="I22" s="46"/>
    </row>
    <row r="23" ht="12.75" customHeight="1">
      <c r="A23" s="46"/>
      <c r="B23" s="55">
        <v>45290.0</v>
      </c>
      <c r="C23" s="25"/>
      <c r="D23" s="27"/>
      <c r="E23" s="27"/>
      <c r="F23" s="28"/>
      <c r="G23" s="27"/>
      <c r="H23" s="46"/>
      <c r="I23" s="46"/>
    </row>
    <row r="24" ht="12.75" customHeight="1">
      <c r="A24" s="46"/>
      <c r="C24" s="25"/>
      <c r="D24" s="27"/>
      <c r="E24" s="27"/>
      <c r="F24" s="28"/>
      <c r="G24" s="27"/>
      <c r="H24" s="46"/>
      <c r="I24" s="46"/>
    </row>
    <row r="25" ht="12.75" customHeight="1">
      <c r="A25" s="46">
        <v>132703.0</v>
      </c>
      <c r="B25" s="47" t="s">
        <v>3133</v>
      </c>
      <c r="C25" s="25">
        <v>6.0</v>
      </c>
      <c r="D25" s="27">
        <v>4850.0</v>
      </c>
      <c r="E25" s="27">
        <f t="shared" ref="E25:E28" si="2">D25*C25</f>
        <v>29100</v>
      </c>
      <c r="F25" s="28">
        <v>8000.0</v>
      </c>
      <c r="G25" s="27">
        <f t="shared" ref="G25:G28" si="3">F25-D25</f>
        <v>3150</v>
      </c>
      <c r="H25" s="27">
        <f t="shared" ref="H25:H28" si="4">G25*C25</f>
        <v>18900</v>
      </c>
      <c r="I25" s="27">
        <f t="shared" ref="I25:I28" si="5">F25*C25</f>
        <v>48000</v>
      </c>
    </row>
    <row r="26" ht="12.75" customHeight="1">
      <c r="A26" s="46">
        <v>145958.0</v>
      </c>
      <c r="B26" s="47" t="s">
        <v>3134</v>
      </c>
      <c r="C26" s="25">
        <v>4.0</v>
      </c>
      <c r="D26" s="27">
        <v>7550.0</v>
      </c>
      <c r="E26" s="27">
        <f t="shared" si="2"/>
        <v>30200</v>
      </c>
      <c r="F26" s="28">
        <v>15000.0</v>
      </c>
      <c r="G26" s="27">
        <f t="shared" si="3"/>
        <v>7450</v>
      </c>
      <c r="H26" s="27">
        <f t="shared" si="4"/>
        <v>29800</v>
      </c>
      <c r="I26" s="27">
        <f t="shared" si="5"/>
        <v>60000</v>
      </c>
    </row>
    <row r="27" ht="12.75" customHeight="1">
      <c r="A27" s="46">
        <v>137576.0</v>
      </c>
      <c r="B27" s="47" t="s">
        <v>3135</v>
      </c>
      <c r="C27" s="25">
        <v>6.0</v>
      </c>
      <c r="D27" s="27">
        <v>14900.0</v>
      </c>
      <c r="E27" s="27">
        <f t="shared" si="2"/>
        <v>89400</v>
      </c>
      <c r="F27" s="28">
        <v>22000.0</v>
      </c>
      <c r="G27" s="27">
        <f t="shared" si="3"/>
        <v>7100</v>
      </c>
      <c r="H27" s="27">
        <f t="shared" si="4"/>
        <v>42600</v>
      </c>
      <c r="I27" s="27">
        <f t="shared" si="5"/>
        <v>132000</v>
      </c>
    </row>
    <row r="28" ht="14.25" customHeight="1">
      <c r="A28" s="46">
        <v>139941.0</v>
      </c>
      <c r="B28" s="47" t="s">
        <v>3136</v>
      </c>
      <c r="C28" s="25">
        <v>3.0</v>
      </c>
      <c r="D28" s="27">
        <v>15800.0</v>
      </c>
      <c r="E28" s="27">
        <f t="shared" si="2"/>
        <v>47400</v>
      </c>
      <c r="F28" s="28">
        <v>25000.0</v>
      </c>
      <c r="G28" s="27">
        <f t="shared" si="3"/>
        <v>9200</v>
      </c>
      <c r="H28" s="27">
        <f t="shared" si="4"/>
        <v>27600</v>
      </c>
      <c r="I28" s="27">
        <f t="shared" si="5"/>
        <v>75000</v>
      </c>
    </row>
    <row r="29" ht="12.75" customHeight="1">
      <c r="A29" s="46"/>
      <c r="C29" s="25"/>
      <c r="D29" s="27"/>
      <c r="E29" s="27"/>
      <c r="F29" s="28"/>
      <c r="G29" s="27"/>
      <c r="H29" s="46"/>
      <c r="I29" s="46"/>
    </row>
    <row r="30" ht="12.75" customHeight="1">
      <c r="A30" s="46"/>
      <c r="C30" s="25"/>
      <c r="D30" s="27"/>
      <c r="E30" s="32">
        <f>SUM(E25:E28)</f>
        <v>196100</v>
      </c>
      <c r="F30" s="28"/>
      <c r="G30" s="27"/>
      <c r="H30" s="39">
        <f t="shared" ref="H30:I30" si="6">SUM(H25:H28)</f>
        <v>118900</v>
      </c>
      <c r="I30" s="53">
        <f t="shared" si="6"/>
        <v>315000</v>
      </c>
    </row>
    <row r="31" ht="12.75" customHeight="1">
      <c r="A31" s="46"/>
      <c r="C31" s="25"/>
      <c r="D31" s="27"/>
      <c r="E31" s="27"/>
      <c r="F31" s="28"/>
      <c r="G31" s="27"/>
      <c r="H31" s="46"/>
      <c r="I31" s="46"/>
    </row>
    <row r="32" ht="12.75" customHeight="1">
      <c r="A32" s="46"/>
      <c r="B32" s="37" t="s">
        <v>3137</v>
      </c>
      <c r="C32" s="25"/>
      <c r="D32" s="27"/>
      <c r="E32" s="27"/>
      <c r="F32" s="28"/>
      <c r="G32" s="27"/>
      <c r="H32" s="46"/>
      <c r="I32" s="46"/>
    </row>
    <row r="33" ht="12.75" customHeight="1">
      <c r="A33" s="46"/>
      <c r="C33" s="25"/>
      <c r="D33" s="27"/>
      <c r="E33" s="27"/>
      <c r="F33" s="28"/>
      <c r="G33" s="27"/>
      <c r="H33" s="46"/>
      <c r="I33" s="46"/>
    </row>
    <row r="34" ht="12.75" customHeight="1">
      <c r="A34" s="46">
        <v>133220.0</v>
      </c>
      <c r="B34" s="56" t="s">
        <v>3138</v>
      </c>
      <c r="C34" s="25">
        <v>3.0</v>
      </c>
      <c r="D34" s="27">
        <v>10950.0</v>
      </c>
      <c r="E34" s="27">
        <f t="shared" ref="E34:E39" si="7">D34*C34</f>
        <v>32850</v>
      </c>
      <c r="F34" s="28">
        <v>20000.0</v>
      </c>
      <c r="G34" s="27">
        <f t="shared" ref="G34:G39" si="8">F34-D34</f>
        <v>9050</v>
      </c>
      <c r="H34" s="27">
        <f t="shared" ref="H34:H39" si="9">G34*C34</f>
        <v>27150</v>
      </c>
      <c r="I34" s="27">
        <f t="shared" ref="I34:I39" si="10">F34*C34</f>
        <v>60000</v>
      </c>
    </row>
    <row r="35" ht="12.75" customHeight="1">
      <c r="A35" s="46">
        <v>133231.0</v>
      </c>
      <c r="B35" s="56" t="s">
        <v>3139</v>
      </c>
      <c r="C35" s="25">
        <v>3.0</v>
      </c>
      <c r="D35" s="27">
        <v>13800.0</v>
      </c>
      <c r="E35" s="27">
        <f t="shared" si="7"/>
        <v>41400</v>
      </c>
      <c r="F35" s="28">
        <v>23000.0</v>
      </c>
      <c r="G35" s="27">
        <f t="shared" si="8"/>
        <v>9200</v>
      </c>
      <c r="H35" s="27">
        <f t="shared" si="9"/>
        <v>27600</v>
      </c>
      <c r="I35" s="27">
        <f t="shared" si="10"/>
        <v>69000</v>
      </c>
    </row>
    <row r="36" ht="12.75" customHeight="1">
      <c r="A36" s="46">
        <v>138907.0</v>
      </c>
      <c r="B36" s="56" t="s">
        <v>3140</v>
      </c>
      <c r="C36" s="25">
        <v>3.0</v>
      </c>
      <c r="D36" s="27">
        <v>16350.0</v>
      </c>
      <c r="E36" s="27">
        <f t="shared" si="7"/>
        <v>49050</v>
      </c>
      <c r="F36" s="28">
        <v>26000.0</v>
      </c>
      <c r="G36" s="27">
        <f t="shared" si="8"/>
        <v>9650</v>
      </c>
      <c r="H36" s="27">
        <f t="shared" si="9"/>
        <v>28950</v>
      </c>
      <c r="I36" s="27">
        <f t="shared" si="10"/>
        <v>78000</v>
      </c>
    </row>
    <row r="37" ht="12.75" customHeight="1">
      <c r="A37" s="46">
        <v>139820.0</v>
      </c>
      <c r="B37" s="56" t="s">
        <v>3141</v>
      </c>
      <c r="C37" s="25">
        <v>3.0</v>
      </c>
      <c r="D37" s="27">
        <v>9850.0</v>
      </c>
      <c r="E37" s="27">
        <f t="shared" si="7"/>
        <v>29550</v>
      </c>
      <c r="F37" s="28">
        <v>15000.0</v>
      </c>
      <c r="G37" s="27">
        <f t="shared" si="8"/>
        <v>5150</v>
      </c>
      <c r="H37" s="27">
        <f t="shared" si="9"/>
        <v>15450</v>
      </c>
      <c r="I37" s="27">
        <f t="shared" si="10"/>
        <v>45000</v>
      </c>
    </row>
    <row r="38" ht="12.75" customHeight="1">
      <c r="A38" s="46">
        <v>142438.0</v>
      </c>
      <c r="B38" s="56" t="s">
        <v>3142</v>
      </c>
      <c r="C38" s="25">
        <v>3.0</v>
      </c>
      <c r="D38" s="27">
        <v>13500.0</v>
      </c>
      <c r="E38" s="27">
        <f t="shared" si="7"/>
        <v>40500</v>
      </c>
      <c r="F38" s="28">
        <v>20000.0</v>
      </c>
      <c r="G38" s="27">
        <f t="shared" si="8"/>
        <v>6500</v>
      </c>
      <c r="H38" s="27">
        <f t="shared" si="9"/>
        <v>19500</v>
      </c>
      <c r="I38" s="27">
        <f t="shared" si="10"/>
        <v>60000</v>
      </c>
    </row>
    <row r="39" ht="12.75" customHeight="1">
      <c r="A39" s="46">
        <v>142449.0</v>
      </c>
      <c r="B39" s="56" t="s">
        <v>3143</v>
      </c>
      <c r="C39" s="25">
        <v>3.0</v>
      </c>
      <c r="D39" s="27">
        <v>16500.0</v>
      </c>
      <c r="E39" s="27">
        <f t="shared" si="7"/>
        <v>49500</v>
      </c>
      <c r="F39" s="28">
        <v>23000.0</v>
      </c>
      <c r="G39" s="27">
        <f t="shared" si="8"/>
        <v>6500</v>
      </c>
      <c r="H39" s="27">
        <f t="shared" si="9"/>
        <v>19500</v>
      </c>
      <c r="I39" s="27">
        <f t="shared" si="10"/>
        <v>69000</v>
      </c>
    </row>
    <row r="40" ht="12.75" customHeight="1">
      <c r="A40" s="46"/>
      <c r="C40" s="25"/>
      <c r="D40" s="27"/>
      <c r="E40" s="27"/>
      <c r="F40" s="28"/>
      <c r="G40" s="27"/>
      <c r="H40" s="46"/>
      <c r="I40" s="46"/>
    </row>
    <row r="41" ht="12.75" customHeight="1">
      <c r="A41" s="46"/>
      <c r="C41" s="25"/>
      <c r="D41" s="27"/>
      <c r="E41" s="32">
        <f>SUM(E34:E39)</f>
        <v>242850</v>
      </c>
      <c r="F41" s="28"/>
      <c r="G41" s="27"/>
      <c r="H41" s="39">
        <f t="shared" ref="H41:I41" si="11">SUM(H34:H39)</f>
        <v>138150</v>
      </c>
      <c r="I41" s="53">
        <f t="shared" si="11"/>
        <v>381000</v>
      </c>
    </row>
    <row r="42" ht="12.75" customHeight="1">
      <c r="A42" s="46"/>
      <c r="B42" s="37" t="s">
        <v>3144</v>
      </c>
      <c r="C42" s="25"/>
      <c r="D42" s="27"/>
      <c r="E42" s="27"/>
      <c r="F42" s="28"/>
      <c r="G42" s="27"/>
      <c r="H42" s="46"/>
      <c r="I42" s="46"/>
    </row>
    <row r="43" ht="12.75" customHeight="1">
      <c r="A43" s="46"/>
      <c r="C43" s="25"/>
      <c r="D43" s="27"/>
      <c r="E43" s="27"/>
      <c r="F43" s="28"/>
      <c r="G43" s="27"/>
      <c r="H43" s="46"/>
      <c r="I43" s="46"/>
    </row>
    <row r="44" ht="12.75" customHeight="1">
      <c r="A44" s="46">
        <v>8699.0</v>
      </c>
      <c r="B44" s="56" t="s">
        <v>3145</v>
      </c>
      <c r="C44" s="25">
        <v>3.0</v>
      </c>
      <c r="D44" s="27">
        <v>7350.0</v>
      </c>
      <c r="E44" s="27">
        <f t="shared" ref="E44:E49" si="12">D44*C44</f>
        <v>22050</v>
      </c>
      <c r="F44" s="28">
        <v>12000.0</v>
      </c>
      <c r="G44" s="27">
        <f t="shared" ref="G44:G49" si="13">F44-D44</f>
        <v>4650</v>
      </c>
      <c r="H44" s="27">
        <f t="shared" ref="H44:H49" si="14">G44*C44</f>
        <v>13950</v>
      </c>
      <c r="I44" s="27">
        <f t="shared" ref="I44:I49" si="15">F44*C44</f>
        <v>36000</v>
      </c>
    </row>
    <row r="45" ht="12.75" customHeight="1">
      <c r="A45" s="46">
        <v>14848.0</v>
      </c>
      <c r="B45" s="56" t="s">
        <v>3146</v>
      </c>
      <c r="C45" s="25">
        <v>6.0</v>
      </c>
      <c r="D45" s="27">
        <v>12800.0</v>
      </c>
      <c r="E45" s="27">
        <f t="shared" si="12"/>
        <v>76800</v>
      </c>
      <c r="F45" s="28">
        <v>22000.0</v>
      </c>
      <c r="G45" s="27">
        <f t="shared" si="13"/>
        <v>9200</v>
      </c>
      <c r="H45" s="27">
        <f t="shared" si="14"/>
        <v>55200</v>
      </c>
      <c r="I45" s="27">
        <f t="shared" si="15"/>
        <v>132000</v>
      </c>
    </row>
    <row r="46" ht="12.75" customHeight="1">
      <c r="A46" s="46">
        <v>137708.0</v>
      </c>
      <c r="B46" s="56" t="s">
        <v>3147</v>
      </c>
      <c r="C46" s="25">
        <v>10.0</v>
      </c>
      <c r="D46" s="27">
        <v>1950.0</v>
      </c>
      <c r="E46" s="27">
        <f t="shared" si="12"/>
        <v>19500</v>
      </c>
      <c r="F46" s="28">
        <v>3800.0</v>
      </c>
      <c r="G46" s="27">
        <f t="shared" si="13"/>
        <v>1850</v>
      </c>
      <c r="H46" s="27">
        <f t="shared" si="14"/>
        <v>18500</v>
      </c>
      <c r="I46" s="27">
        <f t="shared" si="15"/>
        <v>38000</v>
      </c>
    </row>
    <row r="47" ht="12.75" customHeight="1">
      <c r="A47" s="46">
        <v>142680.0</v>
      </c>
      <c r="B47" s="56" t="s">
        <v>3148</v>
      </c>
      <c r="C47" s="25">
        <v>20.0</v>
      </c>
      <c r="D47" s="27">
        <v>590.0</v>
      </c>
      <c r="E47" s="27">
        <f t="shared" si="12"/>
        <v>11800</v>
      </c>
      <c r="F47" s="28">
        <v>1000.0</v>
      </c>
      <c r="G47" s="27">
        <f t="shared" si="13"/>
        <v>410</v>
      </c>
      <c r="H47" s="27">
        <f t="shared" si="14"/>
        <v>8200</v>
      </c>
      <c r="I47" s="27">
        <f t="shared" si="15"/>
        <v>20000</v>
      </c>
    </row>
    <row r="48" ht="12.75" customHeight="1">
      <c r="A48" s="46">
        <v>143241.0</v>
      </c>
      <c r="B48" s="56" t="s">
        <v>3149</v>
      </c>
      <c r="C48" s="25">
        <v>3.0</v>
      </c>
      <c r="D48" s="27">
        <v>17800.0</v>
      </c>
      <c r="E48" s="27">
        <f t="shared" si="12"/>
        <v>53400</v>
      </c>
      <c r="F48" s="28">
        <v>26000.0</v>
      </c>
      <c r="G48" s="27">
        <f t="shared" si="13"/>
        <v>8200</v>
      </c>
      <c r="H48" s="27">
        <f t="shared" si="14"/>
        <v>24600</v>
      </c>
      <c r="I48" s="27">
        <f t="shared" si="15"/>
        <v>78000</v>
      </c>
    </row>
    <row r="49" ht="12.75" customHeight="1">
      <c r="A49" s="46">
        <v>145958.0</v>
      </c>
      <c r="B49" s="56" t="s">
        <v>3134</v>
      </c>
      <c r="C49" s="25">
        <v>3.0</v>
      </c>
      <c r="D49" s="27">
        <v>7550.0</v>
      </c>
      <c r="E49" s="27">
        <f t="shared" si="12"/>
        <v>22650</v>
      </c>
      <c r="F49" s="28">
        <v>13500.0</v>
      </c>
      <c r="G49" s="27">
        <f t="shared" si="13"/>
        <v>5950</v>
      </c>
      <c r="H49" s="27">
        <f t="shared" si="14"/>
        <v>17850</v>
      </c>
      <c r="I49" s="27">
        <f t="shared" si="15"/>
        <v>40500</v>
      </c>
    </row>
    <row r="50" ht="12.75" customHeight="1">
      <c r="A50" s="46"/>
      <c r="C50" s="25"/>
      <c r="D50" s="27"/>
      <c r="E50" s="27"/>
      <c r="F50" s="28"/>
      <c r="G50" s="27"/>
      <c r="H50" s="46"/>
      <c r="I50" s="46"/>
    </row>
    <row r="51" ht="12.75" customHeight="1">
      <c r="A51" s="46"/>
      <c r="C51" s="25"/>
      <c r="D51" s="27"/>
      <c r="E51" s="32">
        <f>SUM(E44:E49)</f>
        <v>206200</v>
      </c>
      <c r="F51" s="28"/>
      <c r="G51" s="27"/>
      <c r="H51" s="39">
        <f t="shared" ref="H51:I51" si="16">SUM(H44:H49)</f>
        <v>138300</v>
      </c>
      <c r="I51" s="53">
        <f t="shared" si="16"/>
        <v>344500</v>
      </c>
    </row>
    <row r="52" ht="12.75" customHeight="1">
      <c r="A52" s="46"/>
      <c r="C52" s="25"/>
      <c r="D52" s="27"/>
      <c r="E52" s="27"/>
      <c r="F52" s="28"/>
      <c r="G52" s="27"/>
      <c r="H52" s="46"/>
      <c r="I52" s="46"/>
    </row>
    <row r="53" ht="12.75" customHeight="1">
      <c r="A53" s="46"/>
      <c r="B53" s="37" t="s">
        <v>3150</v>
      </c>
      <c r="C53" s="25"/>
      <c r="D53" s="27"/>
      <c r="E53" s="27"/>
      <c r="F53" s="28"/>
      <c r="G53" s="27"/>
      <c r="H53" s="46"/>
      <c r="I53" s="46"/>
    </row>
    <row r="54" ht="12.75" customHeight="1">
      <c r="A54" s="46"/>
      <c r="C54" s="25"/>
      <c r="D54" s="27"/>
      <c r="E54" s="27"/>
      <c r="F54" s="28"/>
      <c r="G54" s="27"/>
      <c r="H54" s="46"/>
      <c r="I54" s="46"/>
    </row>
    <row r="55" ht="12.75" customHeight="1">
      <c r="A55" s="46">
        <v>2545.0</v>
      </c>
      <c r="B55" s="56" t="s">
        <v>3151</v>
      </c>
      <c r="C55" s="25">
        <v>10.0</v>
      </c>
      <c r="D55" s="27">
        <v>890.0</v>
      </c>
      <c r="E55" s="27">
        <f t="shared" ref="E55:E60" si="17">D55*C55</f>
        <v>8900</v>
      </c>
      <c r="F55" s="28">
        <v>2500.0</v>
      </c>
      <c r="G55" s="27">
        <f t="shared" ref="G55:G60" si="18">F55-D55</f>
        <v>1610</v>
      </c>
      <c r="H55" s="27">
        <f t="shared" ref="H55:H60" si="19">G55*C55</f>
        <v>16100</v>
      </c>
      <c r="I55" s="27">
        <f t="shared" ref="I55:I60" si="20">F55*C55</f>
        <v>25000</v>
      </c>
    </row>
    <row r="56" ht="12.75" customHeight="1">
      <c r="A56" s="46">
        <v>114124.0</v>
      </c>
      <c r="B56" s="56" t="s">
        <v>3152</v>
      </c>
      <c r="C56" s="25">
        <v>10.0</v>
      </c>
      <c r="D56" s="27">
        <v>950.0</v>
      </c>
      <c r="E56" s="27">
        <f t="shared" si="17"/>
        <v>9500</v>
      </c>
      <c r="F56" s="28">
        <v>3500.0</v>
      </c>
      <c r="G56" s="27">
        <f t="shared" si="18"/>
        <v>2550</v>
      </c>
      <c r="H56" s="27">
        <f t="shared" si="19"/>
        <v>25500</v>
      </c>
      <c r="I56" s="27">
        <f t="shared" si="20"/>
        <v>35000</v>
      </c>
    </row>
    <row r="57" ht="12.75" customHeight="1">
      <c r="A57" s="46">
        <v>121472.0</v>
      </c>
      <c r="B57" s="56" t="s">
        <v>3153</v>
      </c>
      <c r="C57" s="25">
        <v>20.0</v>
      </c>
      <c r="D57" s="27">
        <v>850.0</v>
      </c>
      <c r="E57" s="27">
        <f t="shared" si="17"/>
        <v>17000</v>
      </c>
      <c r="F57" s="28">
        <v>2000.0</v>
      </c>
      <c r="G57" s="27">
        <f t="shared" si="18"/>
        <v>1150</v>
      </c>
      <c r="H57" s="27">
        <f t="shared" si="19"/>
        <v>23000</v>
      </c>
      <c r="I57" s="27">
        <f t="shared" si="20"/>
        <v>40000</v>
      </c>
    </row>
    <row r="58" ht="12.75" customHeight="1">
      <c r="A58" s="46">
        <v>147971.0</v>
      </c>
      <c r="B58" s="56" t="s">
        <v>3126</v>
      </c>
      <c r="C58" s="25">
        <v>30.0</v>
      </c>
      <c r="D58" s="27">
        <v>1350.0</v>
      </c>
      <c r="E58" s="27">
        <f t="shared" si="17"/>
        <v>40500</v>
      </c>
      <c r="F58" s="28">
        <v>2500.0</v>
      </c>
      <c r="G58" s="27">
        <f t="shared" si="18"/>
        <v>1150</v>
      </c>
      <c r="H58" s="27">
        <f t="shared" si="19"/>
        <v>34500</v>
      </c>
      <c r="I58" s="27">
        <f t="shared" si="20"/>
        <v>75000</v>
      </c>
    </row>
    <row r="59" ht="12.75" customHeight="1">
      <c r="A59" s="46">
        <v>148070.0</v>
      </c>
      <c r="B59" s="56" t="s">
        <v>3154</v>
      </c>
      <c r="C59" s="25">
        <v>10.0</v>
      </c>
      <c r="D59" s="27">
        <v>690.0</v>
      </c>
      <c r="E59" s="27">
        <f t="shared" si="17"/>
        <v>6900</v>
      </c>
      <c r="F59" s="28">
        <v>1350.0</v>
      </c>
      <c r="G59" s="27">
        <f t="shared" si="18"/>
        <v>660</v>
      </c>
      <c r="H59" s="27">
        <f t="shared" si="19"/>
        <v>6600</v>
      </c>
      <c r="I59" s="27">
        <f t="shared" si="20"/>
        <v>13500</v>
      </c>
    </row>
    <row r="60" ht="12.75" customHeight="1">
      <c r="A60" s="46">
        <v>152437.0</v>
      </c>
      <c r="B60" s="56" t="s">
        <v>3155</v>
      </c>
      <c r="C60" s="25">
        <v>10.0</v>
      </c>
      <c r="D60" s="27">
        <v>2950.0</v>
      </c>
      <c r="E60" s="27">
        <f t="shared" si="17"/>
        <v>29500</v>
      </c>
      <c r="F60" s="28">
        <v>6000.0</v>
      </c>
      <c r="G60" s="27">
        <f t="shared" si="18"/>
        <v>3050</v>
      </c>
      <c r="H60" s="27">
        <f t="shared" si="19"/>
        <v>30500</v>
      </c>
      <c r="I60" s="27">
        <f t="shared" si="20"/>
        <v>60000</v>
      </c>
    </row>
    <row r="61" ht="12.75" customHeight="1">
      <c r="A61" s="46"/>
      <c r="C61" s="25"/>
      <c r="D61" s="27"/>
      <c r="E61" s="27"/>
      <c r="F61" s="28"/>
      <c r="G61" s="27"/>
      <c r="H61" s="46"/>
      <c r="I61" s="46"/>
    </row>
    <row r="62" ht="12.75" customHeight="1">
      <c r="A62" s="46"/>
      <c r="C62" s="25"/>
      <c r="D62" s="27"/>
      <c r="E62" s="32">
        <f>SUM(E55:E60)</f>
        <v>112300</v>
      </c>
      <c r="F62" s="28"/>
      <c r="G62" s="27"/>
      <c r="H62" s="39">
        <f t="shared" ref="H62:I62" si="21">SUM(H55:H60)</f>
        <v>136200</v>
      </c>
      <c r="I62" s="53">
        <f t="shared" si="21"/>
        <v>248500</v>
      </c>
    </row>
    <row r="63" ht="12.75" customHeight="1">
      <c r="A63" s="46"/>
      <c r="C63" s="25"/>
      <c r="D63" s="27"/>
      <c r="E63" s="27"/>
      <c r="F63" s="28"/>
      <c r="G63" s="27"/>
      <c r="H63" s="46"/>
      <c r="I63" s="46"/>
    </row>
    <row r="64" ht="12.75" customHeight="1">
      <c r="A64" s="46"/>
      <c r="B64" s="41" t="s">
        <v>3156</v>
      </c>
      <c r="C64" s="25"/>
      <c r="D64" s="27"/>
      <c r="E64" s="27"/>
      <c r="F64" s="28"/>
      <c r="G64" s="27"/>
      <c r="H64" s="46"/>
      <c r="I64" s="46"/>
    </row>
    <row r="65" ht="12.75" customHeight="1">
      <c r="A65" s="46"/>
      <c r="C65" s="25"/>
      <c r="D65" s="27"/>
      <c r="E65" s="27"/>
      <c r="F65" s="28"/>
      <c r="G65" s="27"/>
      <c r="H65" s="46"/>
      <c r="I65" s="46"/>
    </row>
    <row r="66" ht="12.75" customHeight="1">
      <c r="A66" s="46">
        <v>688.0</v>
      </c>
      <c r="B66" s="56" t="s">
        <v>3157</v>
      </c>
      <c r="C66" s="25">
        <v>10.0</v>
      </c>
      <c r="D66" s="27">
        <v>1390.0</v>
      </c>
      <c r="E66" s="27">
        <f t="shared" ref="E66:E71" si="22">D66*C66</f>
        <v>13900</v>
      </c>
      <c r="F66" s="28">
        <v>1000.0</v>
      </c>
      <c r="G66" s="27">
        <f>F66-278</f>
        <v>722</v>
      </c>
      <c r="H66" s="27">
        <f>G66*50</f>
        <v>36100</v>
      </c>
      <c r="I66" s="27">
        <f>F66*50</f>
        <v>50000</v>
      </c>
    </row>
    <row r="67" ht="12.75" customHeight="1">
      <c r="A67" s="46">
        <v>115719.0</v>
      </c>
      <c r="B67" s="56" t="s">
        <v>3158</v>
      </c>
      <c r="C67" s="25">
        <v>6.0</v>
      </c>
      <c r="D67" s="27">
        <v>6450.0</v>
      </c>
      <c r="E67" s="27">
        <f t="shared" si="22"/>
        <v>38700</v>
      </c>
      <c r="F67" s="28">
        <v>10000.0</v>
      </c>
      <c r="G67" s="27">
        <f t="shared" ref="G67:G71" si="23">F67-D67</f>
        <v>3550</v>
      </c>
      <c r="H67" s="27">
        <f t="shared" ref="H67:H71" si="24">G67*C67</f>
        <v>21300</v>
      </c>
      <c r="I67" s="27">
        <f t="shared" ref="I67:I71" si="25">F67*C67</f>
        <v>60000</v>
      </c>
    </row>
    <row r="68" ht="12.75" customHeight="1">
      <c r="A68" s="46">
        <v>125168.0</v>
      </c>
      <c r="B68" s="56" t="s">
        <v>3159</v>
      </c>
      <c r="C68" s="25">
        <v>5.0</v>
      </c>
      <c r="D68" s="27">
        <v>5750.0</v>
      </c>
      <c r="E68" s="27">
        <f t="shared" si="22"/>
        <v>28750</v>
      </c>
      <c r="F68" s="28">
        <v>10500.0</v>
      </c>
      <c r="G68" s="27">
        <f t="shared" si="23"/>
        <v>4750</v>
      </c>
      <c r="H68" s="27">
        <f t="shared" si="24"/>
        <v>23750</v>
      </c>
      <c r="I68" s="27">
        <f t="shared" si="25"/>
        <v>52500</v>
      </c>
    </row>
    <row r="69" ht="12.75" customHeight="1">
      <c r="A69" s="46">
        <v>135420.0</v>
      </c>
      <c r="B69" s="56" t="s">
        <v>3160</v>
      </c>
      <c r="C69" s="25">
        <v>10.0</v>
      </c>
      <c r="D69" s="27">
        <v>11900.0</v>
      </c>
      <c r="E69" s="27">
        <f t="shared" si="22"/>
        <v>119000</v>
      </c>
      <c r="F69" s="28">
        <v>20000.0</v>
      </c>
      <c r="G69" s="27">
        <f t="shared" si="23"/>
        <v>8100</v>
      </c>
      <c r="H69" s="27">
        <f t="shared" si="24"/>
        <v>81000</v>
      </c>
      <c r="I69" s="27">
        <f t="shared" si="25"/>
        <v>200000</v>
      </c>
    </row>
    <row r="70" ht="12.75" customHeight="1">
      <c r="A70" s="46">
        <v>137576.0</v>
      </c>
      <c r="B70" s="56" t="s">
        <v>3135</v>
      </c>
      <c r="C70" s="25">
        <v>6.0</v>
      </c>
      <c r="D70" s="27">
        <v>13900.0</v>
      </c>
      <c r="E70" s="27">
        <f t="shared" si="22"/>
        <v>83400</v>
      </c>
      <c r="F70" s="28">
        <v>25000.0</v>
      </c>
      <c r="G70" s="27">
        <f t="shared" si="23"/>
        <v>11100</v>
      </c>
      <c r="H70" s="27">
        <f t="shared" si="24"/>
        <v>66600</v>
      </c>
      <c r="I70" s="27">
        <f t="shared" si="25"/>
        <v>150000</v>
      </c>
    </row>
    <row r="71" ht="12.75" customHeight="1">
      <c r="A71" s="46">
        <v>138709.0</v>
      </c>
      <c r="B71" s="56" t="s">
        <v>3161</v>
      </c>
      <c r="C71" s="25">
        <v>3.0</v>
      </c>
      <c r="D71" s="27">
        <v>22900.0</v>
      </c>
      <c r="E71" s="27">
        <f t="shared" si="22"/>
        <v>68700</v>
      </c>
      <c r="F71" s="28">
        <v>33000.0</v>
      </c>
      <c r="G71" s="27">
        <f t="shared" si="23"/>
        <v>10100</v>
      </c>
      <c r="H71" s="27">
        <f t="shared" si="24"/>
        <v>30300</v>
      </c>
      <c r="I71" s="27">
        <f t="shared" si="25"/>
        <v>99000</v>
      </c>
    </row>
    <row r="72" ht="12.75" customHeight="1">
      <c r="A72" s="46"/>
      <c r="C72" s="25"/>
      <c r="D72" s="27"/>
      <c r="E72" s="27"/>
      <c r="F72" s="28"/>
      <c r="G72" s="27"/>
      <c r="H72" s="46"/>
      <c r="I72" s="46"/>
    </row>
    <row r="73" ht="12.75" customHeight="1">
      <c r="A73" s="46"/>
      <c r="C73" s="25"/>
      <c r="D73" s="27"/>
      <c r="E73" s="57">
        <f>SUM(E66:E71)</f>
        <v>352450</v>
      </c>
      <c r="F73" s="58"/>
      <c r="G73" s="57"/>
      <c r="H73" s="38">
        <f t="shared" ref="H73:I73" si="26">SUM(H66:H71)</f>
        <v>259050</v>
      </c>
      <c r="I73" s="57">
        <f t="shared" si="26"/>
        <v>611500</v>
      </c>
    </row>
    <row r="74" ht="12.75" customHeight="1">
      <c r="A74" s="46"/>
      <c r="C74" s="25"/>
      <c r="D74" s="27"/>
      <c r="E74" s="27"/>
      <c r="F74" s="28"/>
      <c r="G74" s="27"/>
      <c r="H74" s="46"/>
      <c r="I74" s="46"/>
    </row>
    <row r="75" ht="12.75" customHeight="1">
      <c r="A75" s="46"/>
      <c r="C75" s="25"/>
      <c r="D75" s="27"/>
      <c r="E75" s="27"/>
      <c r="F75" s="28"/>
      <c r="G75" s="27"/>
      <c r="H75" s="46"/>
      <c r="I75" s="46"/>
    </row>
    <row r="76" ht="12.75" customHeight="1">
      <c r="A76" s="46"/>
      <c r="C76" s="25"/>
      <c r="D76" s="27"/>
      <c r="E76" s="27"/>
      <c r="F76" s="28"/>
      <c r="G76" s="27"/>
      <c r="H76" s="46"/>
      <c r="I76" s="46"/>
    </row>
    <row r="77" ht="12.75" customHeight="1">
      <c r="A77" s="46"/>
      <c r="C77" s="25"/>
      <c r="D77" s="27"/>
      <c r="E77" s="27"/>
      <c r="F77" s="28"/>
      <c r="G77" s="27"/>
      <c r="H77" s="46"/>
      <c r="I77" s="46"/>
    </row>
    <row r="78" ht="12.75" customHeight="1">
      <c r="A78" s="46"/>
      <c r="C78" s="25"/>
      <c r="D78" s="27"/>
      <c r="E78" s="27"/>
      <c r="F78" s="28"/>
      <c r="G78" s="27"/>
      <c r="H78" s="46"/>
      <c r="I78" s="46"/>
    </row>
    <row r="79" ht="12.75" customHeight="1">
      <c r="A79" s="46"/>
      <c r="C79" s="25"/>
      <c r="D79" s="27"/>
      <c r="E79" s="27"/>
      <c r="F79" s="28"/>
      <c r="G79" s="27"/>
      <c r="H79" s="46"/>
      <c r="I79" s="46"/>
    </row>
    <row r="80" ht="12.75" customHeight="1">
      <c r="A80" s="46"/>
      <c r="C80" s="25"/>
      <c r="D80" s="27"/>
      <c r="E80" s="27"/>
      <c r="F80" s="28"/>
      <c r="G80" s="27"/>
      <c r="H80" s="46"/>
      <c r="I80" s="46"/>
    </row>
    <row r="81" ht="12.75" customHeight="1">
      <c r="A81" s="46"/>
      <c r="C81" s="25"/>
      <c r="D81" s="27"/>
      <c r="E81" s="27"/>
      <c r="F81" s="28"/>
      <c r="G81" s="27"/>
      <c r="H81" s="46"/>
      <c r="I81" s="46"/>
    </row>
    <row r="82" ht="12.75" customHeight="1">
      <c r="A82" s="46"/>
      <c r="C82" s="25"/>
      <c r="D82" s="27"/>
      <c r="E82" s="27"/>
      <c r="F82" s="28"/>
      <c r="G82" s="27"/>
      <c r="H82" s="46"/>
      <c r="I82" s="46"/>
    </row>
    <row r="83" ht="12.75" customHeight="1">
      <c r="A83" s="46"/>
      <c r="C83" s="25"/>
      <c r="D83" s="27"/>
      <c r="E83" s="27"/>
      <c r="F83" s="28"/>
      <c r="G83" s="27"/>
      <c r="H83" s="46"/>
      <c r="I83" s="46"/>
    </row>
    <row r="84" ht="12.75" customHeight="1">
      <c r="A84" s="46"/>
      <c r="C84" s="25"/>
      <c r="D84" s="27"/>
      <c r="E84" s="27"/>
      <c r="F84" s="28"/>
      <c r="G84" s="27"/>
      <c r="H84" s="46"/>
      <c r="I84" s="46"/>
    </row>
    <row r="85" ht="12.75" customHeight="1">
      <c r="A85" s="46"/>
      <c r="C85" s="25"/>
      <c r="D85" s="27"/>
      <c r="E85" s="27"/>
      <c r="F85" s="28"/>
      <c r="G85" s="27"/>
      <c r="H85" s="46"/>
      <c r="I85" s="46"/>
    </row>
    <row r="86" ht="12.75" customHeight="1">
      <c r="A86" s="46"/>
      <c r="C86" s="25"/>
      <c r="D86" s="27"/>
      <c r="E86" s="27"/>
      <c r="F86" s="28"/>
      <c r="G86" s="27"/>
      <c r="H86" s="46"/>
      <c r="I86" s="46"/>
    </row>
    <row r="87" ht="12.75" customHeight="1">
      <c r="A87" s="46"/>
      <c r="C87" s="25"/>
      <c r="D87" s="27"/>
      <c r="E87" s="27"/>
      <c r="F87" s="28"/>
      <c r="G87" s="27"/>
      <c r="H87" s="46"/>
      <c r="I87" s="46"/>
    </row>
    <row r="88" ht="12.75" customHeight="1">
      <c r="A88" s="46"/>
      <c r="C88" s="25"/>
      <c r="D88" s="27"/>
      <c r="E88" s="27"/>
      <c r="F88" s="28"/>
      <c r="G88" s="27"/>
      <c r="H88" s="46"/>
      <c r="I88" s="46"/>
    </row>
    <row r="89" ht="12.75" customHeight="1">
      <c r="A89" s="46"/>
      <c r="C89" s="25"/>
      <c r="D89" s="27"/>
      <c r="E89" s="27"/>
      <c r="F89" s="28"/>
      <c r="G89" s="27"/>
      <c r="H89" s="46"/>
      <c r="I89" s="46"/>
    </row>
    <row r="90" ht="12.75" customHeight="1">
      <c r="A90" s="46"/>
      <c r="C90" s="25"/>
      <c r="D90" s="27"/>
      <c r="E90" s="27"/>
      <c r="F90" s="28"/>
      <c r="G90" s="27"/>
      <c r="H90" s="46"/>
      <c r="I90" s="46"/>
    </row>
    <row r="91" ht="12.75" customHeight="1">
      <c r="A91" s="46"/>
      <c r="C91" s="25"/>
      <c r="D91" s="27"/>
      <c r="E91" s="27"/>
      <c r="F91" s="28"/>
      <c r="G91" s="27"/>
      <c r="H91" s="46"/>
      <c r="I91" s="46"/>
    </row>
    <row r="92" ht="12.75" customHeight="1">
      <c r="A92" s="46"/>
      <c r="C92" s="25"/>
      <c r="D92" s="27"/>
      <c r="E92" s="27"/>
      <c r="F92" s="28"/>
      <c r="G92" s="27"/>
      <c r="H92" s="46"/>
      <c r="I92" s="46"/>
    </row>
    <row r="93" ht="12.75" customHeight="1">
      <c r="A93" s="46"/>
      <c r="C93" s="25"/>
      <c r="D93" s="27"/>
      <c r="E93" s="27"/>
      <c r="F93" s="28"/>
      <c r="G93" s="27"/>
      <c r="H93" s="46"/>
      <c r="I93" s="46"/>
    </row>
    <row r="94" ht="12.75" customHeight="1">
      <c r="A94" s="46"/>
      <c r="C94" s="25"/>
      <c r="D94" s="27"/>
      <c r="E94" s="27"/>
      <c r="F94" s="28"/>
      <c r="G94" s="27"/>
      <c r="H94" s="46"/>
      <c r="I94" s="46"/>
    </row>
    <row r="95" ht="12.75" customHeight="1">
      <c r="A95" s="46"/>
      <c r="C95" s="25"/>
      <c r="D95" s="27"/>
      <c r="E95" s="27"/>
      <c r="F95" s="28"/>
      <c r="G95" s="27"/>
      <c r="H95" s="46"/>
      <c r="I95" s="46"/>
    </row>
    <row r="96" ht="12.75" customHeight="1">
      <c r="A96" s="46"/>
      <c r="C96" s="25"/>
      <c r="D96" s="27"/>
      <c r="E96" s="27"/>
      <c r="F96" s="28"/>
      <c r="G96" s="27"/>
      <c r="H96" s="46"/>
      <c r="I96" s="46"/>
    </row>
    <row r="97" ht="12.75" customHeight="1">
      <c r="A97" s="46"/>
      <c r="C97" s="25"/>
      <c r="D97" s="27"/>
      <c r="E97" s="27"/>
      <c r="F97" s="28"/>
      <c r="G97" s="27"/>
      <c r="H97" s="46"/>
      <c r="I97" s="46"/>
    </row>
    <row r="98" ht="12.75" customHeight="1">
      <c r="A98" s="46"/>
      <c r="C98" s="25"/>
      <c r="D98" s="27"/>
      <c r="E98" s="27"/>
      <c r="F98" s="28"/>
      <c r="G98" s="27"/>
      <c r="H98" s="46"/>
      <c r="I98" s="46"/>
    </row>
    <row r="99" ht="12.75" customHeight="1">
      <c r="A99" s="46"/>
      <c r="C99" s="25"/>
      <c r="D99" s="27"/>
      <c r="E99" s="27"/>
      <c r="F99" s="28"/>
      <c r="G99" s="27"/>
      <c r="H99" s="46"/>
      <c r="I99" s="46"/>
    </row>
    <row r="100" ht="12.75" customHeight="1">
      <c r="A100" s="46"/>
      <c r="C100" s="25"/>
      <c r="D100" s="27"/>
      <c r="E100" s="27"/>
      <c r="F100" s="28"/>
      <c r="G100" s="27"/>
      <c r="H100" s="46"/>
      <c r="I100" s="46"/>
    </row>
    <row r="101" ht="12.75" customHeight="1">
      <c r="A101" s="46"/>
      <c r="C101" s="25"/>
      <c r="D101" s="27"/>
      <c r="E101" s="27"/>
      <c r="F101" s="28"/>
      <c r="G101" s="27"/>
      <c r="H101" s="46"/>
      <c r="I101" s="46"/>
    </row>
    <row r="102" ht="12.75" customHeight="1">
      <c r="A102" s="46"/>
      <c r="C102" s="25"/>
      <c r="D102" s="27"/>
      <c r="E102" s="27"/>
      <c r="F102" s="28"/>
      <c r="G102" s="27"/>
      <c r="H102" s="46"/>
      <c r="I102" s="46"/>
    </row>
    <row r="103" ht="12.75" customHeight="1">
      <c r="A103" s="46"/>
      <c r="C103" s="25"/>
      <c r="D103" s="27"/>
      <c r="E103" s="27"/>
      <c r="F103" s="28"/>
      <c r="G103" s="27"/>
      <c r="H103" s="46"/>
      <c r="I103" s="46"/>
    </row>
    <row r="104" ht="12.75" customHeight="1">
      <c r="A104" s="46"/>
      <c r="C104" s="25"/>
      <c r="D104" s="27"/>
      <c r="E104" s="27"/>
      <c r="F104" s="28"/>
      <c r="G104" s="27"/>
      <c r="H104" s="46"/>
      <c r="I104" s="46"/>
    </row>
    <row r="105" ht="12.75" customHeight="1">
      <c r="A105" s="46"/>
      <c r="C105" s="25"/>
      <c r="D105" s="27"/>
      <c r="E105" s="27"/>
      <c r="F105" s="28"/>
      <c r="G105" s="27"/>
      <c r="H105" s="46"/>
      <c r="I105" s="46"/>
    </row>
    <row r="106" ht="12.75" customHeight="1">
      <c r="A106" s="46"/>
      <c r="C106" s="25"/>
      <c r="D106" s="27"/>
      <c r="E106" s="27"/>
      <c r="F106" s="28"/>
      <c r="G106" s="27"/>
      <c r="H106" s="46"/>
      <c r="I106" s="46"/>
    </row>
    <row r="107" ht="12.75" customHeight="1">
      <c r="A107" s="46"/>
      <c r="C107" s="25"/>
      <c r="D107" s="27"/>
      <c r="E107" s="27"/>
      <c r="F107" s="28"/>
      <c r="G107" s="27"/>
      <c r="H107" s="46"/>
      <c r="I107" s="46"/>
    </row>
    <row r="108" ht="12.75" customHeight="1">
      <c r="A108" s="46"/>
      <c r="C108" s="25"/>
      <c r="D108" s="27"/>
      <c r="E108" s="27"/>
      <c r="F108" s="28"/>
      <c r="G108" s="27"/>
      <c r="H108" s="46"/>
      <c r="I108" s="46"/>
    </row>
    <row r="109" ht="12.75" customHeight="1">
      <c r="A109" s="46"/>
      <c r="C109" s="25"/>
      <c r="D109" s="27"/>
      <c r="E109" s="27"/>
      <c r="F109" s="28"/>
      <c r="G109" s="27"/>
      <c r="H109" s="46"/>
      <c r="I109" s="46"/>
    </row>
    <row r="110" ht="12.75" customHeight="1">
      <c r="A110" s="46"/>
      <c r="C110" s="25"/>
      <c r="D110" s="27"/>
      <c r="E110" s="27"/>
      <c r="F110" s="28"/>
      <c r="G110" s="27"/>
      <c r="H110" s="46"/>
      <c r="I110" s="46"/>
    </row>
    <row r="111" ht="12.75" customHeight="1">
      <c r="A111" s="46"/>
      <c r="C111" s="25"/>
      <c r="D111" s="27"/>
      <c r="E111" s="27"/>
      <c r="F111" s="28"/>
      <c r="G111" s="27"/>
      <c r="H111" s="46"/>
      <c r="I111" s="46"/>
    </row>
    <row r="112" ht="12.75" customHeight="1">
      <c r="A112" s="46"/>
      <c r="C112" s="25"/>
      <c r="D112" s="27"/>
      <c r="E112" s="27"/>
      <c r="F112" s="28"/>
      <c r="G112" s="27"/>
      <c r="H112" s="46"/>
      <c r="I112" s="46"/>
    </row>
    <row r="113" ht="12.75" customHeight="1">
      <c r="A113" s="46"/>
      <c r="C113" s="25"/>
      <c r="D113" s="27"/>
      <c r="E113" s="27"/>
      <c r="F113" s="28"/>
      <c r="G113" s="27"/>
      <c r="H113" s="46"/>
      <c r="I113" s="46"/>
    </row>
    <row r="114" ht="12.75" customHeight="1">
      <c r="A114" s="46"/>
      <c r="C114" s="25"/>
      <c r="D114" s="27"/>
      <c r="E114" s="27"/>
      <c r="F114" s="28"/>
      <c r="G114" s="27"/>
      <c r="H114" s="46"/>
      <c r="I114" s="46"/>
    </row>
    <row r="115" ht="12.75" customHeight="1">
      <c r="A115" s="46"/>
      <c r="C115" s="25"/>
      <c r="D115" s="27"/>
      <c r="E115" s="27"/>
      <c r="F115" s="28"/>
      <c r="G115" s="27"/>
      <c r="H115" s="46"/>
      <c r="I115" s="46"/>
    </row>
    <row r="116" ht="12.75" customHeight="1">
      <c r="A116" s="46"/>
      <c r="C116" s="25"/>
      <c r="D116" s="27"/>
      <c r="E116" s="27"/>
      <c r="F116" s="28"/>
      <c r="G116" s="27"/>
      <c r="H116" s="46"/>
      <c r="I116" s="46"/>
    </row>
    <row r="117" ht="12.75" customHeight="1">
      <c r="A117" s="46"/>
      <c r="C117" s="25"/>
      <c r="D117" s="27"/>
      <c r="E117" s="27"/>
      <c r="F117" s="28"/>
      <c r="G117" s="27"/>
      <c r="H117" s="46"/>
      <c r="I117" s="46"/>
    </row>
    <row r="118" ht="12.75" customHeight="1">
      <c r="A118" s="46"/>
      <c r="C118" s="25"/>
      <c r="D118" s="27"/>
      <c r="E118" s="27"/>
      <c r="F118" s="28"/>
      <c r="G118" s="27"/>
      <c r="H118" s="46"/>
      <c r="I118" s="46"/>
    </row>
    <row r="119" ht="12.75" customHeight="1">
      <c r="A119" s="46"/>
      <c r="C119" s="25"/>
      <c r="D119" s="27"/>
      <c r="E119" s="27"/>
      <c r="F119" s="28"/>
      <c r="G119" s="27"/>
      <c r="H119" s="46"/>
      <c r="I119" s="46"/>
    </row>
    <row r="120" ht="12.75" customHeight="1">
      <c r="A120" s="46"/>
      <c r="C120" s="25"/>
      <c r="D120" s="27"/>
      <c r="E120" s="27"/>
      <c r="F120" s="28"/>
      <c r="G120" s="27"/>
      <c r="H120" s="46"/>
      <c r="I120" s="46"/>
    </row>
    <row r="121" ht="12.75" customHeight="1">
      <c r="A121" s="46"/>
      <c r="C121" s="25"/>
      <c r="D121" s="27"/>
      <c r="E121" s="27"/>
      <c r="F121" s="28"/>
      <c r="G121" s="27"/>
      <c r="H121" s="46"/>
      <c r="I121" s="46"/>
    </row>
    <row r="122" ht="12.75" customHeight="1">
      <c r="A122" s="46"/>
      <c r="C122" s="25"/>
      <c r="D122" s="27"/>
      <c r="E122" s="27"/>
      <c r="F122" s="28"/>
      <c r="G122" s="27"/>
      <c r="H122" s="46"/>
      <c r="I122" s="46"/>
    </row>
    <row r="123" ht="12.75" customHeight="1">
      <c r="A123" s="46"/>
      <c r="C123" s="25"/>
      <c r="D123" s="27"/>
      <c r="E123" s="27"/>
      <c r="F123" s="28"/>
      <c r="G123" s="27"/>
      <c r="H123" s="46"/>
      <c r="I123" s="46"/>
    </row>
    <row r="124" ht="12.75" customHeight="1">
      <c r="A124" s="46"/>
      <c r="C124" s="25"/>
      <c r="D124" s="27"/>
      <c r="E124" s="27"/>
      <c r="F124" s="28"/>
      <c r="G124" s="27"/>
      <c r="H124" s="46"/>
      <c r="I124" s="46"/>
    </row>
    <row r="125" ht="12.75" customHeight="1">
      <c r="A125" s="46"/>
      <c r="C125" s="25"/>
      <c r="D125" s="27"/>
      <c r="E125" s="27"/>
      <c r="F125" s="28"/>
      <c r="G125" s="27"/>
      <c r="H125" s="46"/>
      <c r="I125" s="46"/>
    </row>
    <row r="126" ht="12.75" customHeight="1">
      <c r="A126" s="46"/>
      <c r="C126" s="25"/>
      <c r="D126" s="27"/>
      <c r="E126" s="27"/>
      <c r="F126" s="28"/>
      <c r="G126" s="27"/>
      <c r="H126" s="46"/>
      <c r="I126" s="46"/>
    </row>
    <row r="127" ht="12.75" customHeight="1">
      <c r="A127" s="46"/>
      <c r="C127" s="25"/>
      <c r="D127" s="27"/>
      <c r="E127" s="27"/>
      <c r="F127" s="28"/>
      <c r="G127" s="27"/>
      <c r="H127" s="46"/>
      <c r="I127" s="46"/>
    </row>
    <row r="128" ht="12.75" customHeight="1">
      <c r="A128" s="46"/>
      <c r="C128" s="25"/>
      <c r="D128" s="27"/>
      <c r="E128" s="27"/>
      <c r="F128" s="28"/>
      <c r="G128" s="27"/>
      <c r="H128" s="46"/>
      <c r="I128" s="46"/>
    </row>
    <row r="129" ht="12.75" customHeight="1">
      <c r="A129" s="46"/>
      <c r="C129" s="25"/>
      <c r="D129" s="27"/>
      <c r="E129" s="27"/>
      <c r="F129" s="28"/>
      <c r="G129" s="27"/>
      <c r="H129" s="46"/>
      <c r="I129" s="46"/>
    </row>
    <row r="130" ht="12.75" customHeight="1">
      <c r="A130" s="46"/>
      <c r="C130" s="25"/>
      <c r="D130" s="27"/>
      <c r="E130" s="27"/>
      <c r="F130" s="28"/>
      <c r="G130" s="27"/>
      <c r="H130" s="46"/>
      <c r="I130" s="46"/>
    </row>
    <row r="131" ht="12.75" customHeight="1">
      <c r="A131" s="46"/>
      <c r="C131" s="25"/>
      <c r="D131" s="27"/>
      <c r="E131" s="27"/>
      <c r="F131" s="28"/>
      <c r="G131" s="27"/>
      <c r="H131" s="46"/>
      <c r="I131" s="46"/>
    </row>
    <row r="132" ht="12.75" customHeight="1">
      <c r="A132" s="46"/>
      <c r="C132" s="25"/>
      <c r="D132" s="27"/>
      <c r="E132" s="27"/>
      <c r="F132" s="28"/>
      <c r="G132" s="27"/>
      <c r="H132" s="46"/>
      <c r="I132" s="46"/>
    </row>
    <row r="133" ht="12.75" customHeight="1">
      <c r="A133" s="46"/>
      <c r="C133" s="25"/>
      <c r="D133" s="27"/>
      <c r="E133" s="27"/>
      <c r="F133" s="28"/>
      <c r="G133" s="27"/>
      <c r="H133" s="46"/>
      <c r="I133" s="46"/>
    </row>
    <row r="134" ht="12.75" customHeight="1">
      <c r="A134" s="46"/>
      <c r="C134" s="25"/>
      <c r="D134" s="27"/>
      <c r="E134" s="27"/>
      <c r="F134" s="28"/>
      <c r="G134" s="27"/>
      <c r="H134" s="46"/>
      <c r="I134" s="46"/>
    </row>
    <row r="135" ht="12.75" customHeight="1">
      <c r="A135" s="46"/>
      <c r="C135" s="25"/>
      <c r="D135" s="27"/>
      <c r="E135" s="27"/>
      <c r="F135" s="28"/>
      <c r="G135" s="27"/>
      <c r="H135" s="46"/>
      <c r="I135" s="46"/>
    </row>
    <row r="136" ht="12.75" customHeight="1">
      <c r="A136" s="46"/>
      <c r="C136" s="25"/>
      <c r="D136" s="27"/>
      <c r="E136" s="27"/>
      <c r="F136" s="28"/>
      <c r="G136" s="27"/>
      <c r="H136" s="46"/>
      <c r="I136" s="46"/>
    </row>
    <row r="137" ht="12.75" customHeight="1">
      <c r="A137" s="46"/>
      <c r="C137" s="25"/>
      <c r="D137" s="27"/>
      <c r="E137" s="27"/>
      <c r="F137" s="28"/>
      <c r="G137" s="27"/>
      <c r="H137" s="46"/>
      <c r="I137" s="46"/>
    </row>
    <row r="138" ht="12.75" customHeight="1">
      <c r="A138" s="46"/>
      <c r="C138" s="25"/>
      <c r="D138" s="27"/>
      <c r="E138" s="27"/>
      <c r="F138" s="28"/>
      <c r="G138" s="27"/>
      <c r="H138" s="46"/>
      <c r="I138" s="46"/>
    </row>
    <row r="139" ht="12.75" customHeight="1">
      <c r="A139" s="46"/>
      <c r="C139" s="25"/>
      <c r="D139" s="27"/>
      <c r="E139" s="27"/>
      <c r="F139" s="28"/>
      <c r="G139" s="27"/>
      <c r="H139" s="46"/>
      <c r="I139" s="46"/>
    </row>
    <row r="140" ht="12.75" customHeight="1">
      <c r="A140" s="46"/>
      <c r="C140" s="25"/>
      <c r="D140" s="27"/>
      <c r="E140" s="27"/>
      <c r="F140" s="28"/>
      <c r="G140" s="27"/>
      <c r="H140" s="46"/>
      <c r="I140" s="46"/>
    </row>
    <row r="141" ht="12.75" customHeight="1">
      <c r="A141" s="46"/>
      <c r="C141" s="25"/>
      <c r="D141" s="27"/>
      <c r="E141" s="27"/>
      <c r="F141" s="28"/>
      <c r="G141" s="27"/>
      <c r="H141" s="46"/>
      <c r="I141" s="46"/>
    </row>
    <row r="142" ht="12.75" customHeight="1">
      <c r="A142" s="46"/>
      <c r="C142" s="25"/>
      <c r="D142" s="27"/>
      <c r="E142" s="27"/>
      <c r="F142" s="28"/>
      <c r="G142" s="27"/>
      <c r="H142" s="46"/>
      <c r="I142" s="46"/>
    </row>
    <row r="143" ht="12.75" customHeight="1">
      <c r="A143" s="46"/>
      <c r="C143" s="25"/>
      <c r="D143" s="27"/>
      <c r="E143" s="27"/>
      <c r="F143" s="28"/>
      <c r="G143" s="27"/>
      <c r="H143" s="46"/>
      <c r="I143" s="46"/>
    </row>
    <row r="144" ht="12.75" customHeight="1">
      <c r="A144" s="46"/>
      <c r="C144" s="25"/>
      <c r="D144" s="27"/>
      <c r="E144" s="27"/>
      <c r="F144" s="28"/>
      <c r="G144" s="27"/>
      <c r="H144" s="46"/>
      <c r="I144" s="46"/>
    </row>
    <row r="145" ht="12.75" customHeight="1">
      <c r="A145" s="46"/>
      <c r="C145" s="25"/>
      <c r="D145" s="27"/>
      <c r="E145" s="27"/>
      <c r="F145" s="28"/>
      <c r="G145" s="27"/>
      <c r="H145" s="46"/>
      <c r="I145" s="46"/>
    </row>
    <row r="146" ht="12.75" customHeight="1">
      <c r="A146" s="46"/>
      <c r="C146" s="25"/>
      <c r="D146" s="27"/>
      <c r="E146" s="27"/>
      <c r="F146" s="28"/>
      <c r="G146" s="27"/>
      <c r="H146" s="46"/>
      <c r="I146" s="46"/>
    </row>
    <row r="147" ht="12.75" customHeight="1">
      <c r="A147" s="46"/>
      <c r="C147" s="25"/>
      <c r="D147" s="27"/>
      <c r="E147" s="27"/>
      <c r="F147" s="28"/>
      <c r="G147" s="27"/>
      <c r="H147" s="46"/>
      <c r="I147" s="46"/>
    </row>
    <row r="148" ht="12.75" customHeight="1">
      <c r="A148" s="46"/>
      <c r="C148" s="25"/>
      <c r="D148" s="27"/>
      <c r="E148" s="27"/>
      <c r="F148" s="28"/>
      <c r="G148" s="27"/>
      <c r="H148" s="46"/>
      <c r="I148" s="46"/>
    </row>
    <row r="149" ht="12.75" customHeight="1">
      <c r="A149" s="46"/>
      <c r="C149" s="25"/>
      <c r="D149" s="27"/>
      <c r="E149" s="27"/>
      <c r="F149" s="28"/>
      <c r="G149" s="27"/>
      <c r="H149" s="46"/>
      <c r="I149" s="46"/>
    </row>
    <row r="150" ht="12.75" customHeight="1">
      <c r="A150" s="46"/>
      <c r="C150" s="25"/>
      <c r="D150" s="27"/>
      <c r="E150" s="27"/>
      <c r="F150" s="28"/>
      <c r="G150" s="27"/>
      <c r="H150" s="46"/>
      <c r="I150" s="46"/>
    </row>
    <row r="151" ht="12.75" customHeight="1">
      <c r="A151" s="46"/>
      <c r="C151" s="25"/>
      <c r="D151" s="27"/>
      <c r="E151" s="27"/>
      <c r="F151" s="28"/>
      <c r="G151" s="27"/>
      <c r="H151" s="46"/>
      <c r="I151" s="46"/>
    </row>
    <row r="152" ht="12.75" customHeight="1">
      <c r="A152" s="46"/>
      <c r="C152" s="25"/>
      <c r="D152" s="27"/>
      <c r="E152" s="27"/>
      <c r="F152" s="28"/>
      <c r="G152" s="27"/>
      <c r="H152" s="46"/>
      <c r="I152" s="46"/>
    </row>
    <row r="153" ht="12.75" customHeight="1">
      <c r="A153" s="46"/>
      <c r="C153" s="25"/>
      <c r="D153" s="27"/>
      <c r="E153" s="27"/>
      <c r="F153" s="28"/>
      <c r="G153" s="27"/>
      <c r="H153" s="46"/>
      <c r="I153" s="46"/>
    </row>
    <row r="154" ht="12.75" customHeight="1">
      <c r="A154" s="46"/>
      <c r="C154" s="25"/>
      <c r="D154" s="27"/>
      <c r="E154" s="27"/>
      <c r="F154" s="28"/>
      <c r="G154" s="27"/>
      <c r="H154" s="46"/>
      <c r="I154" s="46"/>
    </row>
    <row r="155" ht="12.75" customHeight="1">
      <c r="A155" s="46"/>
      <c r="C155" s="25"/>
      <c r="D155" s="27"/>
      <c r="E155" s="27"/>
      <c r="F155" s="28"/>
      <c r="G155" s="27"/>
      <c r="H155" s="46"/>
      <c r="I155" s="46"/>
    </row>
    <row r="156" ht="12.75" customHeight="1">
      <c r="A156" s="46"/>
      <c r="C156" s="25"/>
      <c r="D156" s="27"/>
      <c r="E156" s="27"/>
      <c r="F156" s="28"/>
      <c r="G156" s="27"/>
      <c r="H156" s="46"/>
      <c r="I156" s="46"/>
    </row>
    <row r="157" ht="12.75" customHeight="1">
      <c r="A157" s="46"/>
      <c r="C157" s="25"/>
      <c r="D157" s="27"/>
      <c r="E157" s="27"/>
      <c r="F157" s="28"/>
      <c r="G157" s="27"/>
      <c r="H157" s="46"/>
      <c r="I157" s="46"/>
    </row>
    <row r="158" ht="12.75" customHeight="1">
      <c r="A158" s="46"/>
      <c r="C158" s="25"/>
      <c r="D158" s="27"/>
      <c r="E158" s="27"/>
      <c r="F158" s="28"/>
      <c r="G158" s="27"/>
      <c r="H158" s="46"/>
      <c r="I158" s="46"/>
    </row>
    <row r="159" ht="12.75" customHeight="1">
      <c r="A159" s="46"/>
      <c r="C159" s="25"/>
      <c r="D159" s="27"/>
      <c r="E159" s="27"/>
      <c r="F159" s="28"/>
      <c r="G159" s="27"/>
      <c r="H159" s="46"/>
      <c r="I159" s="46"/>
    </row>
    <row r="160" ht="12.75" customHeight="1">
      <c r="A160" s="46"/>
      <c r="C160" s="25"/>
      <c r="D160" s="27"/>
      <c r="E160" s="27"/>
      <c r="F160" s="28"/>
      <c r="G160" s="27"/>
      <c r="H160" s="46"/>
      <c r="I160" s="46"/>
    </row>
    <row r="161" ht="12.75" customHeight="1">
      <c r="A161" s="46"/>
      <c r="C161" s="25"/>
      <c r="D161" s="27"/>
      <c r="E161" s="27"/>
      <c r="F161" s="28"/>
      <c r="G161" s="27"/>
      <c r="H161" s="46"/>
      <c r="I161" s="46"/>
    </row>
    <row r="162" ht="12.75" customHeight="1">
      <c r="A162" s="46"/>
      <c r="C162" s="25"/>
      <c r="D162" s="27"/>
      <c r="E162" s="27"/>
      <c r="F162" s="28"/>
      <c r="G162" s="27"/>
      <c r="H162" s="46"/>
      <c r="I162" s="46"/>
    </row>
    <row r="163" ht="12.75" customHeight="1">
      <c r="A163" s="46"/>
      <c r="C163" s="25"/>
      <c r="D163" s="27"/>
      <c r="E163" s="27"/>
      <c r="F163" s="28"/>
      <c r="G163" s="27"/>
      <c r="H163" s="46"/>
      <c r="I163" s="46"/>
    </row>
    <row r="164" ht="12.75" customHeight="1">
      <c r="A164" s="46"/>
      <c r="C164" s="25"/>
      <c r="D164" s="27"/>
      <c r="E164" s="27"/>
      <c r="F164" s="28"/>
      <c r="G164" s="27"/>
      <c r="H164" s="46"/>
      <c r="I164" s="46"/>
    </row>
    <row r="165" ht="12.75" customHeight="1">
      <c r="A165" s="46"/>
      <c r="C165" s="25"/>
      <c r="D165" s="27"/>
      <c r="E165" s="27"/>
      <c r="F165" s="28"/>
      <c r="G165" s="27"/>
      <c r="H165" s="46"/>
      <c r="I165" s="46"/>
    </row>
    <row r="166" ht="12.75" customHeight="1">
      <c r="A166" s="46"/>
      <c r="C166" s="25"/>
      <c r="D166" s="27"/>
      <c r="E166" s="27"/>
      <c r="F166" s="28"/>
      <c r="G166" s="27"/>
      <c r="H166" s="46"/>
      <c r="I166" s="46"/>
    </row>
    <row r="167" ht="12.75" customHeight="1">
      <c r="A167" s="46"/>
      <c r="C167" s="25"/>
      <c r="D167" s="27"/>
      <c r="E167" s="27"/>
      <c r="F167" s="28"/>
      <c r="G167" s="27"/>
      <c r="H167" s="46"/>
      <c r="I167" s="46"/>
    </row>
    <row r="168" ht="12.75" customHeight="1">
      <c r="A168" s="46"/>
      <c r="C168" s="25"/>
      <c r="D168" s="27"/>
      <c r="E168" s="27"/>
      <c r="F168" s="28"/>
      <c r="G168" s="27"/>
      <c r="H168" s="46"/>
      <c r="I168" s="46"/>
    </row>
    <row r="169" ht="12.75" customHeight="1">
      <c r="A169" s="46"/>
      <c r="C169" s="25"/>
      <c r="D169" s="27"/>
      <c r="E169" s="27"/>
      <c r="F169" s="28"/>
      <c r="G169" s="27"/>
      <c r="H169" s="46"/>
      <c r="I169" s="46"/>
    </row>
    <row r="170" ht="12.75" customHeight="1">
      <c r="A170" s="46"/>
      <c r="C170" s="25"/>
      <c r="D170" s="27"/>
      <c r="E170" s="27"/>
      <c r="F170" s="28"/>
      <c r="G170" s="27"/>
      <c r="H170" s="46"/>
      <c r="I170" s="46"/>
    </row>
    <row r="171" ht="12.75" customHeight="1">
      <c r="A171" s="46"/>
      <c r="C171" s="25"/>
      <c r="D171" s="27"/>
      <c r="E171" s="27"/>
      <c r="F171" s="28"/>
      <c r="G171" s="27"/>
      <c r="H171" s="46"/>
      <c r="I171" s="46"/>
    </row>
    <row r="172" ht="12.75" customHeight="1">
      <c r="A172" s="46"/>
      <c r="C172" s="25"/>
      <c r="D172" s="27"/>
      <c r="E172" s="27"/>
      <c r="F172" s="28"/>
      <c r="G172" s="27"/>
      <c r="H172" s="46"/>
      <c r="I172" s="46"/>
    </row>
    <row r="173" ht="12.75" customHeight="1">
      <c r="A173" s="46"/>
      <c r="C173" s="25"/>
      <c r="D173" s="27"/>
      <c r="E173" s="27"/>
      <c r="F173" s="28"/>
      <c r="G173" s="27"/>
      <c r="H173" s="46"/>
      <c r="I173" s="46"/>
    </row>
    <row r="174" ht="12.75" customHeight="1">
      <c r="A174" s="46"/>
      <c r="C174" s="25"/>
      <c r="D174" s="27"/>
      <c r="E174" s="27"/>
      <c r="F174" s="28"/>
      <c r="G174" s="27"/>
      <c r="H174" s="46"/>
      <c r="I174" s="46"/>
    </row>
    <row r="175" ht="12.75" customHeight="1">
      <c r="A175" s="46"/>
      <c r="C175" s="25"/>
      <c r="D175" s="27"/>
      <c r="E175" s="27"/>
      <c r="F175" s="28"/>
      <c r="G175" s="27"/>
      <c r="H175" s="46"/>
      <c r="I175" s="46"/>
    </row>
    <row r="176" ht="12.75" customHeight="1">
      <c r="A176" s="46"/>
      <c r="C176" s="25"/>
      <c r="D176" s="27"/>
      <c r="E176" s="27"/>
      <c r="F176" s="28"/>
      <c r="G176" s="27"/>
      <c r="H176" s="46"/>
      <c r="I176" s="46"/>
    </row>
    <row r="177" ht="12.75" customHeight="1">
      <c r="A177" s="46"/>
      <c r="C177" s="25"/>
      <c r="D177" s="27"/>
      <c r="E177" s="27"/>
      <c r="F177" s="28"/>
      <c r="G177" s="27"/>
      <c r="H177" s="46"/>
      <c r="I177" s="46"/>
    </row>
    <row r="178" ht="12.75" customHeight="1">
      <c r="A178" s="46"/>
      <c r="C178" s="25"/>
      <c r="D178" s="27"/>
      <c r="E178" s="27"/>
      <c r="F178" s="28"/>
      <c r="G178" s="27"/>
      <c r="H178" s="46"/>
      <c r="I178" s="46"/>
    </row>
    <row r="179" ht="12.75" customHeight="1">
      <c r="A179" s="46"/>
      <c r="C179" s="25"/>
      <c r="D179" s="27"/>
      <c r="E179" s="27"/>
      <c r="F179" s="28"/>
      <c r="G179" s="27"/>
      <c r="H179" s="46"/>
      <c r="I179" s="46"/>
    </row>
    <row r="180" ht="12.75" customHeight="1">
      <c r="A180" s="46"/>
      <c r="C180" s="25"/>
      <c r="D180" s="27"/>
      <c r="E180" s="27"/>
      <c r="F180" s="28"/>
      <c r="G180" s="27"/>
      <c r="H180" s="46"/>
      <c r="I180" s="46"/>
    </row>
    <row r="181" ht="12.75" customHeight="1">
      <c r="A181" s="46"/>
      <c r="C181" s="25"/>
      <c r="D181" s="27"/>
      <c r="E181" s="27"/>
      <c r="F181" s="28"/>
      <c r="G181" s="27"/>
      <c r="H181" s="46"/>
      <c r="I181" s="46"/>
    </row>
    <row r="182" ht="12.75" customHeight="1">
      <c r="A182" s="46"/>
      <c r="C182" s="25"/>
      <c r="D182" s="27"/>
      <c r="E182" s="27"/>
      <c r="F182" s="28"/>
      <c r="G182" s="27"/>
      <c r="H182" s="46"/>
      <c r="I182" s="46"/>
    </row>
    <row r="183" ht="12.75" customHeight="1">
      <c r="A183" s="46"/>
      <c r="C183" s="25"/>
      <c r="D183" s="27"/>
      <c r="E183" s="27"/>
      <c r="F183" s="28"/>
      <c r="G183" s="27"/>
      <c r="H183" s="46"/>
      <c r="I183" s="46"/>
    </row>
    <row r="184" ht="12.75" customHeight="1">
      <c r="A184" s="46"/>
      <c r="C184" s="25"/>
      <c r="D184" s="27"/>
      <c r="E184" s="27"/>
      <c r="F184" s="28"/>
      <c r="G184" s="27"/>
      <c r="H184" s="46"/>
      <c r="I184" s="46"/>
    </row>
    <row r="185" ht="12.75" customHeight="1">
      <c r="A185" s="46"/>
      <c r="C185" s="25"/>
      <c r="D185" s="27"/>
      <c r="E185" s="27"/>
      <c r="F185" s="28"/>
      <c r="G185" s="27"/>
      <c r="H185" s="46"/>
      <c r="I185" s="46"/>
    </row>
    <row r="186" ht="12.75" customHeight="1">
      <c r="A186" s="46"/>
      <c r="C186" s="25"/>
      <c r="D186" s="27"/>
      <c r="E186" s="27"/>
      <c r="F186" s="28"/>
      <c r="G186" s="27"/>
      <c r="H186" s="46"/>
      <c r="I186" s="46"/>
    </row>
    <row r="187" ht="12.75" customHeight="1">
      <c r="A187" s="46"/>
      <c r="C187" s="25"/>
      <c r="D187" s="27"/>
      <c r="E187" s="27"/>
      <c r="F187" s="28"/>
      <c r="G187" s="27"/>
      <c r="H187" s="46"/>
      <c r="I187" s="46"/>
    </row>
    <row r="188" ht="12.75" customHeight="1">
      <c r="A188" s="46"/>
      <c r="C188" s="25"/>
      <c r="D188" s="27"/>
      <c r="E188" s="27"/>
      <c r="F188" s="28"/>
      <c r="G188" s="27"/>
      <c r="H188" s="46"/>
      <c r="I188" s="46"/>
    </row>
    <row r="189" ht="12.75" customHeight="1">
      <c r="A189" s="46"/>
      <c r="C189" s="25"/>
      <c r="D189" s="27"/>
      <c r="E189" s="27"/>
      <c r="F189" s="28"/>
      <c r="G189" s="27"/>
      <c r="H189" s="46"/>
      <c r="I189" s="46"/>
    </row>
    <row r="190" ht="12.75" customHeight="1">
      <c r="A190" s="46"/>
      <c r="C190" s="25"/>
      <c r="D190" s="27"/>
      <c r="E190" s="27"/>
      <c r="F190" s="28"/>
      <c r="G190" s="27"/>
      <c r="H190" s="46"/>
      <c r="I190" s="46"/>
    </row>
    <row r="191" ht="12.75" customHeight="1">
      <c r="A191" s="46"/>
      <c r="C191" s="25"/>
      <c r="D191" s="27"/>
      <c r="E191" s="27"/>
      <c r="F191" s="28"/>
      <c r="G191" s="27"/>
      <c r="H191" s="46"/>
      <c r="I191" s="46"/>
    </row>
    <row r="192" ht="12.75" customHeight="1">
      <c r="A192" s="46"/>
      <c r="C192" s="25"/>
      <c r="D192" s="27"/>
      <c r="E192" s="27"/>
      <c r="F192" s="28"/>
      <c r="G192" s="27"/>
      <c r="H192" s="46"/>
      <c r="I192" s="46"/>
    </row>
    <row r="193" ht="12.75" customHeight="1">
      <c r="A193" s="46"/>
      <c r="C193" s="25"/>
      <c r="D193" s="27"/>
      <c r="E193" s="27"/>
      <c r="F193" s="28"/>
      <c r="G193" s="27"/>
      <c r="H193" s="46"/>
      <c r="I193" s="46"/>
    </row>
    <row r="194" ht="12.75" customHeight="1">
      <c r="A194" s="46"/>
      <c r="C194" s="25"/>
      <c r="D194" s="27"/>
      <c r="E194" s="27"/>
      <c r="F194" s="28"/>
      <c r="G194" s="27"/>
      <c r="H194" s="46"/>
      <c r="I194" s="46"/>
    </row>
    <row r="195" ht="12.75" customHeight="1">
      <c r="A195" s="46"/>
      <c r="C195" s="25"/>
      <c r="D195" s="27"/>
      <c r="E195" s="27"/>
      <c r="F195" s="28"/>
      <c r="G195" s="27"/>
      <c r="H195" s="46"/>
      <c r="I195" s="46"/>
    </row>
    <row r="196" ht="12.75" customHeight="1">
      <c r="A196" s="46"/>
      <c r="C196" s="25"/>
      <c r="D196" s="27"/>
      <c r="E196" s="27"/>
      <c r="F196" s="28"/>
      <c r="G196" s="27"/>
      <c r="H196" s="46"/>
      <c r="I196" s="46"/>
    </row>
    <row r="197" ht="12.75" customHeight="1">
      <c r="A197" s="46"/>
      <c r="C197" s="25"/>
      <c r="D197" s="27"/>
      <c r="E197" s="27"/>
      <c r="F197" s="28"/>
      <c r="G197" s="27"/>
      <c r="H197" s="46"/>
      <c r="I197" s="46"/>
    </row>
    <row r="198" ht="12.75" customHeight="1">
      <c r="A198" s="46"/>
      <c r="C198" s="25"/>
      <c r="D198" s="27"/>
      <c r="E198" s="27"/>
      <c r="F198" s="28"/>
      <c r="G198" s="27"/>
      <c r="H198" s="46"/>
      <c r="I198" s="46"/>
    </row>
    <row r="199" ht="12.75" customHeight="1">
      <c r="A199" s="46"/>
      <c r="C199" s="25"/>
      <c r="D199" s="27"/>
      <c r="E199" s="27"/>
      <c r="F199" s="28"/>
      <c r="G199" s="27"/>
      <c r="H199" s="46"/>
      <c r="I199" s="46"/>
    </row>
    <row r="200" ht="12.75" customHeight="1">
      <c r="A200" s="46"/>
      <c r="C200" s="25"/>
      <c r="D200" s="27"/>
      <c r="E200" s="27"/>
      <c r="F200" s="28"/>
      <c r="G200" s="27"/>
      <c r="H200" s="46"/>
      <c r="I200" s="46"/>
    </row>
    <row r="201" ht="12.75" customHeight="1">
      <c r="A201" s="46"/>
      <c r="C201" s="25"/>
      <c r="D201" s="27"/>
      <c r="E201" s="27"/>
      <c r="F201" s="28"/>
      <c r="G201" s="27"/>
      <c r="H201" s="46"/>
      <c r="I201" s="46"/>
    </row>
    <row r="202" ht="12.75" customHeight="1">
      <c r="A202" s="46"/>
      <c r="C202" s="25"/>
      <c r="D202" s="27"/>
      <c r="E202" s="27"/>
      <c r="F202" s="28"/>
      <c r="G202" s="27"/>
      <c r="H202" s="46"/>
      <c r="I202" s="46"/>
    </row>
    <row r="203" ht="12.75" customHeight="1">
      <c r="A203" s="46"/>
      <c r="C203" s="25"/>
      <c r="D203" s="27"/>
      <c r="E203" s="27"/>
      <c r="F203" s="28"/>
      <c r="G203" s="27"/>
      <c r="H203" s="46"/>
      <c r="I203" s="46"/>
    </row>
    <row r="204" ht="12.75" customHeight="1">
      <c r="A204" s="46"/>
      <c r="C204" s="25"/>
      <c r="D204" s="27"/>
      <c r="E204" s="27"/>
      <c r="F204" s="28"/>
      <c r="G204" s="27"/>
      <c r="H204" s="46"/>
      <c r="I204" s="46"/>
    </row>
    <row r="205" ht="12.75" customHeight="1">
      <c r="A205" s="46"/>
      <c r="C205" s="25"/>
      <c r="D205" s="27"/>
      <c r="E205" s="27"/>
      <c r="F205" s="28"/>
      <c r="G205" s="27"/>
      <c r="H205" s="46"/>
      <c r="I205" s="46"/>
    </row>
    <row r="206" ht="12.75" customHeight="1">
      <c r="A206" s="46"/>
      <c r="C206" s="25"/>
      <c r="D206" s="27"/>
      <c r="E206" s="27"/>
      <c r="F206" s="28"/>
      <c r="G206" s="27"/>
      <c r="H206" s="46"/>
      <c r="I206" s="46"/>
    </row>
    <row r="207" ht="12.75" customHeight="1">
      <c r="A207" s="46"/>
      <c r="C207" s="25"/>
      <c r="D207" s="27"/>
      <c r="E207" s="27"/>
      <c r="F207" s="28"/>
      <c r="G207" s="27"/>
      <c r="H207" s="46"/>
      <c r="I207" s="46"/>
    </row>
    <row r="208" ht="12.75" customHeight="1">
      <c r="A208" s="46"/>
      <c r="C208" s="25"/>
      <c r="D208" s="27"/>
      <c r="E208" s="27"/>
      <c r="F208" s="28"/>
      <c r="G208" s="27"/>
      <c r="H208" s="46"/>
      <c r="I208" s="46"/>
    </row>
    <row r="209" ht="12.75" customHeight="1">
      <c r="A209" s="46"/>
      <c r="C209" s="25"/>
      <c r="D209" s="27"/>
      <c r="E209" s="27"/>
      <c r="F209" s="28"/>
      <c r="G209" s="27"/>
      <c r="H209" s="46"/>
      <c r="I209" s="46"/>
    </row>
    <row r="210" ht="12.75" customHeight="1">
      <c r="A210" s="46"/>
      <c r="C210" s="25"/>
      <c r="D210" s="27"/>
      <c r="E210" s="27"/>
      <c r="F210" s="28"/>
      <c r="G210" s="27"/>
      <c r="H210" s="46"/>
      <c r="I210" s="46"/>
    </row>
    <row r="211" ht="12.75" customHeight="1">
      <c r="A211" s="46"/>
      <c r="C211" s="25"/>
      <c r="D211" s="27"/>
      <c r="E211" s="27"/>
      <c r="F211" s="28"/>
      <c r="G211" s="27"/>
      <c r="H211" s="46"/>
      <c r="I211" s="46"/>
    </row>
    <row r="212" ht="12.75" customHeight="1">
      <c r="A212" s="46"/>
      <c r="C212" s="25"/>
      <c r="D212" s="27"/>
      <c r="E212" s="27"/>
      <c r="F212" s="28"/>
      <c r="G212" s="27"/>
      <c r="H212" s="46"/>
      <c r="I212" s="46"/>
    </row>
    <row r="213" ht="12.75" customHeight="1">
      <c r="A213" s="46"/>
      <c r="C213" s="25"/>
      <c r="D213" s="27"/>
      <c r="E213" s="27"/>
      <c r="F213" s="28"/>
      <c r="G213" s="27"/>
      <c r="H213" s="46"/>
      <c r="I213" s="46"/>
    </row>
    <row r="214" ht="12.75" customHeight="1">
      <c r="A214" s="46"/>
      <c r="C214" s="25"/>
      <c r="D214" s="27"/>
      <c r="E214" s="27"/>
      <c r="F214" s="28"/>
      <c r="G214" s="27"/>
      <c r="H214" s="46"/>
      <c r="I214" s="46"/>
    </row>
    <row r="215" ht="12.75" customHeight="1">
      <c r="A215" s="46"/>
      <c r="C215" s="25"/>
      <c r="D215" s="27"/>
      <c r="E215" s="27"/>
      <c r="F215" s="28"/>
      <c r="G215" s="27"/>
      <c r="H215" s="46"/>
      <c r="I215" s="46"/>
    </row>
    <row r="216" ht="12.75" customHeight="1">
      <c r="A216" s="46"/>
      <c r="C216" s="25"/>
      <c r="D216" s="27"/>
      <c r="E216" s="27"/>
      <c r="F216" s="28"/>
      <c r="G216" s="27"/>
      <c r="H216" s="46"/>
      <c r="I216" s="46"/>
    </row>
    <row r="217" ht="12.75" customHeight="1">
      <c r="A217" s="46"/>
      <c r="C217" s="25"/>
      <c r="D217" s="27"/>
      <c r="E217" s="27"/>
      <c r="F217" s="28"/>
      <c r="G217" s="27"/>
      <c r="H217" s="46"/>
      <c r="I217" s="46"/>
    </row>
    <row r="218" ht="12.75" customHeight="1">
      <c r="A218" s="46"/>
      <c r="C218" s="25"/>
      <c r="D218" s="27"/>
      <c r="E218" s="27"/>
      <c r="F218" s="28"/>
      <c r="G218" s="27"/>
      <c r="H218" s="46"/>
      <c r="I218" s="46"/>
    </row>
    <row r="219" ht="12.75" customHeight="1">
      <c r="A219" s="46"/>
      <c r="C219" s="25"/>
      <c r="D219" s="27"/>
      <c r="E219" s="27"/>
      <c r="F219" s="28"/>
      <c r="G219" s="27"/>
      <c r="H219" s="46"/>
      <c r="I219" s="46"/>
    </row>
    <row r="220" ht="12.75" customHeight="1">
      <c r="A220" s="46"/>
      <c r="C220" s="25"/>
      <c r="D220" s="27"/>
      <c r="E220" s="27"/>
      <c r="F220" s="28"/>
      <c r="G220" s="27"/>
      <c r="H220" s="46"/>
      <c r="I220" s="46"/>
    </row>
    <row r="221" ht="12.75" customHeight="1">
      <c r="A221" s="46"/>
      <c r="C221" s="25"/>
      <c r="D221" s="27"/>
      <c r="E221" s="27"/>
      <c r="F221" s="28"/>
      <c r="G221" s="27"/>
      <c r="H221" s="46"/>
      <c r="I221" s="46"/>
    </row>
    <row r="222" ht="12.75" customHeight="1">
      <c r="A222" s="46"/>
      <c r="C222" s="25"/>
      <c r="D222" s="27"/>
      <c r="E222" s="27"/>
      <c r="F222" s="28"/>
      <c r="G222" s="27"/>
      <c r="H222" s="46"/>
      <c r="I222" s="46"/>
    </row>
    <row r="223" ht="12.75" customHeight="1">
      <c r="A223" s="46"/>
      <c r="C223" s="25"/>
      <c r="D223" s="27"/>
      <c r="E223" s="27"/>
      <c r="F223" s="28"/>
      <c r="G223" s="27"/>
      <c r="H223" s="46"/>
      <c r="I223" s="46"/>
    </row>
    <row r="224" ht="12.75" customHeight="1">
      <c r="A224" s="46"/>
      <c r="C224" s="25"/>
      <c r="D224" s="27"/>
      <c r="E224" s="27"/>
      <c r="F224" s="28"/>
      <c r="G224" s="27"/>
      <c r="H224" s="46"/>
      <c r="I224" s="46"/>
    </row>
    <row r="225" ht="12.75" customHeight="1">
      <c r="A225" s="46"/>
      <c r="C225" s="25"/>
      <c r="D225" s="27"/>
      <c r="E225" s="27"/>
      <c r="F225" s="28"/>
      <c r="G225" s="27"/>
      <c r="H225" s="46"/>
      <c r="I225" s="46"/>
    </row>
    <row r="226" ht="12.75" customHeight="1">
      <c r="A226" s="46"/>
      <c r="C226" s="25"/>
      <c r="D226" s="27"/>
      <c r="E226" s="27"/>
      <c r="F226" s="28"/>
      <c r="G226" s="27"/>
      <c r="H226" s="46"/>
      <c r="I226" s="46"/>
    </row>
    <row r="227" ht="12.75" customHeight="1">
      <c r="A227" s="46"/>
      <c r="C227" s="25"/>
      <c r="D227" s="27"/>
      <c r="E227" s="27"/>
      <c r="F227" s="28"/>
      <c r="G227" s="27"/>
      <c r="H227" s="46"/>
      <c r="I227" s="46"/>
    </row>
    <row r="228" ht="12.75" customHeight="1">
      <c r="A228" s="46"/>
      <c r="C228" s="25"/>
      <c r="D228" s="27"/>
      <c r="E228" s="27"/>
      <c r="F228" s="28"/>
      <c r="G228" s="27"/>
      <c r="H228" s="46"/>
      <c r="I228" s="46"/>
    </row>
    <row r="229" ht="12.75" customHeight="1">
      <c r="A229" s="46"/>
      <c r="C229" s="25"/>
      <c r="D229" s="27"/>
      <c r="E229" s="27"/>
      <c r="F229" s="28"/>
      <c r="G229" s="27"/>
      <c r="H229" s="46"/>
      <c r="I229" s="46"/>
    </row>
    <row r="230" ht="12.75" customHeight="1">
      <c r="A230" s="46"/>
      <c r="C230" s="25"/>
      <c r="D230" s="27"/>
      <c r="E230" s="27"/>
      <c r="F230" s="28"/>
      <c r="G230" s="27"/>
      <c r="H230" s="46"/>
      <c r="I230" s="46"/>
    </row>
    <row r="231" ht="12.75" customHeight="1">
      <c r="A231" s="46"/>
      <c r="C231" s="25"/>
      <c r="D231" s="27"/>
      <c r="E231" s="27"/>
      <c r="F231" s="28"/>
      <c r="G231" s="27"/>
      <c r="H231" s="46"/>
      <c r="I231" s="46"/>
    </row>
    <row r="232" ht="12.75" customHeight="1">
      <c r="A232" s="46"/>
      <c r="C232" s="25"/>
      <c r="D232" s="27"/>
      <c r="E232" s="27"/>
      <c r="F232" s="28"/>
      <c r="G232" s="27"/>
      <c r="H232" s="46"/>
      <c r="I232" s="46"/>
    </row>
    <row r="233" ht="12.75" customHeight="1">
      <c r="A233" s="46"/>
      <c r="C233" s="25"/>
      <c r="D233" s="27"/>
      <c r="E233" s="27"/>
      <c r="F233" s="28"/>
      <c r="G233" s="27"/>
      <c r="H233" s="46"/>
      <c r="I233" s="46"/>
    </row>
    <row r="234" ht="12.75" customHeight="1">
      <c r="A234" s="46"/>
      <c r="C234" s="25"/>
      <c r="D234" s="27"/>
      <c r="E234" s="27"/>
      <c r="F234" s="28"/>
      <c r="G234" s="27"/>
      <c r="H234" s="46"/>
      <c r="I234" s="46"/>
    </row>
    <row r="235" ht="12.75" customHeight="1">
      <c r="A235" s="46"/>
      <c r="C235" s="25"/>
      <c r="D235" s="27"/>
      <c r="E235" s="27"/>
      <c r="F235" s="28"/>
      <c r="G235" s="27"/>
      <c r="H235" s="46"/>
      <c r="I235" s="46"/>
    </row>
    <row r="236" ht="12.75" customHeight="1">
      <c r="A236" s="46"/>
      <c r="C236" s="25"/>
      <c r="D236" s="27"/>
      <c r="E236" s="27"/>
      <c r="F236" s="28"/>
      <c r="G236" s="27"/>
      <c r="H236" s="46"/>
      <c r="I236" s="46"/>
    </row>
    <row r="237" ht="12.75" customHeight="1">
      <c r="A237" s="46"/>
      <c r="C237" s="25"/>
      <c r="D237" s="27"/>
      <c r="E237" s="27"/>
      <c r="F237" s="28"/>
      <c r="G237" s="27"/>
      <c r="H237" s="46"/>
      <c r="I237" s="46"/>
    </row>
    <row r="238" ht="12.75" customHeight="1">
      <c r="A238" s="46"/>
      <c r="C238" s="25"/>
      <c r="D238" s="27"/>
      <c r="E238" s="27"/>
      <c r="F238" s="28"/>
      <c r="G238" s="27"/>
      <c r="H238" s="46"/>
      <c r="I238" s="46"/>
    </row>
    <row r="239" ht="12.75" customHeight="1">
      <c r="A239" s="46"/>
      <c r="C239" s="25"/>
      <c r="D239" s="27"/>
      <c r="E239" s="27"/>
      <c r="F239" s="28"/>
      <c r="G239" s="27"/>
      <c r="H239" s="46"/>
      <c r="I239" s="46"/>
    </row>
    <row r="240" ht="12.75" customHeight="1">
      <c r="A240" s="46"/>
      <c r="C240" s="25"/>
      <c r="D240" s="27"/>
      <c r="E240" s="27"/>
      <c r="F240" s="28"/>
      <c r="G240" s="27"/>
      <c r="H240" s="46"/>
      <c r="I240" s="46"/>
    </row>
    <row r="241" ht="12.75" customHeight="1">
      <c r="A241" s="46"/>
      <c r="C241" s="25"/>
      <c r="D241" s="27"/>
      <c r="E241" s="27"/>
      <c r="F241" s="28"/>
      <c r="G241" s="27"/>
      <c r="H241" s="46"/>
      <c r="I241" s="46"/>
    </row>
    <row r="242" ht="12.75" customHeight="1">
      <c r="A242" s="46"/>
      <c r="C242" s="25"/>
      <c r="D242" s="27"/>
      <c r="E242" s="27"/>
      <c r="F242" s="28"/>
      <c r="G242" s="27"/>
      <c r="H242" s="46"/>
      <c r="I242" s="46"/>
    </row>
    <row r="243" ht="12.75" customHeight="1">
      <c r="A243" s="46"/>
      <c r="C243" s="25"/>
      <c r="D243" s="27"/>
      <c r="E243" s="27"/>
      <c r="F243" s="28"/>
      <c r="G243" s="27"/>
      <c r="H243" s="46"/>
      <c r="I243" s="46"/>
    </row>
    <row r="244" ht="12.75" customHeight="1">
      <c r="A244" s="46"/>
      <c r="C244" s="25"/>
      <c r="D244" s="27"/>
      <c r="E244" s="27"/>
      <c r="F244" s="28"/>
      <c r="G244" s="27"/>
      <c r="H244" s="46"/>
      <c r="I244" s="46"/>
    </row>
    <row r="245" ht="12.75" customHeight="1">
      <c r="A245" s="46"/>
      <c r="C245" s="25"/>
      <c r="D245" s="27"/>
      <c r="E245" s="27"/>
      <c r="F245" s="28"/>
      <c r="G245" s="27"/>
      <c r="H245" s="46"/>
      <c r="I245" s="46"/>
    </row>
    <row r="246" ht="12.75" customHeight="1">
      <c r="A246" s="46"/>
      <c r="C246" s="25"/>
      <c r="D246" s="27"/>
      <c r="E246" s="27"/>
      <c r="F246" s="28"/>
      <c r="G246" s="27"/>
      <c r="H246" s="46"/>
      <c r="I246" s="46"/>
    </row>
    <row r="247" ht="12.75" customHeight="1">
      <c r="A247" s="46"/>
      <c r="C247" s="25"/>
      <c r="D247" s="27"/>
      <c r="E247" s="27"/>
      <c r="F247" s="28"/>
      <c r="G247" s="27"/>
      <c r="H247" s="46"/>
      <c r="I247" s="46"/>
    </row>
    <row r="248" ht="12.75" customHeight="1">
      <c r="A248" s="46"/>
      <c r="C248" s="25"/>
      <c r="D248" s="27"/>
      <c r="E248" s="27"/>
      <c r="F248" s="28"/>
      <c r="G248" s="27"/>
      <c r="H248" s="46"/>
      <c r="I248" s="46"/>
    </row>
    <row r="249" ht="12.75" customHeight="1">
      <c r="A249" s="46"/>
      <c r="C249" s="25"/>
      <c r="D249" s="27"/>
      <c r="E249" s="27"/>
      <c r="F249" s="28"/>
      <c r="G249" s="27"/>
      <c r="H249" s="46"/>
      <c r="I249" s="46"/>
    </row>
    <row r="250" ht="12.75" customHeight="1">
      <c r="A250" s="46"/>
      <c r="C250" s="25"/>
      <c r="D250" s="27"/>
      <c r="E250" s="27"/>
      <c r="F250" s="28"/>
      <c r="G250" s="27"/>
      <c r="H250" s="46"/>
      <c r="I250" s="46"/>
    </row>
    <row r="251" ht="12.75" customHeight="1">
      <c r="A251" s="46"/>
      <c r="C251" s="25"/>
      <c r="D251" s="27"/>
      <c r="E251" s="27"/>
      <c r="F251" s="28"/>
      <c r="G251" s="27"/>
      <c r="H251" s="46"/>
      <c r="I251" s="46"/>
    </row>
    <row r="252" ht="12.75" customHeight="1">
      <c r="A252" s="46"/>
      <c r="C252" s="25"/>
      <c r="D252" s="27"/>
      <c r="E252" s="27"/>
      <c r="F252" s="28"/>
      <c r="G252" s="27"/>
      <c r="H252" s="46"/>
      <c r="I252" s="46"/>
    </row>
    <row r="253" ht="12.75" customHeight="1">
      <c r="A253" s="46"/>
      <c r="C253" s="25"/>
      <c r="D253" s="27"/>
      <c r="E253" s="27"/>
      <c r="F253" s="28"/>
      <c r="G253" s="27"/>
      <c r="H253" s="46"/>
      <c r="I253" s="46"/>
    </row>
    <row r="254" ht="12.75" customHeight="1">
      <c r="A254" s="46"/>
      <c r="C254" s="25"/>
      <c r="D254" s="27"/>
      <c r="E254" s="27"/>
      <c r="F254" s="28"/>
      <c r="G254" s="27"/>
      <c r="H254" s="46"/>
      <c r="I254" s="46"/>
    </row>
    <row r="255" ht="12.75" customHeight="1">
      <c r="A255" s="46"/>
      <c r="C255" s="25"/>
      <c r="D255" s="27"/>
      <c r="E255" s="27"/>
      <c r="F255" s="28"/>
      <c r="G255" s="27"/>
      <c r="H255" s="46"/>
      <c r="I255" s="46"/>
    </row>
    <row r="256" ht="12.75" customHeight="1">
      <c r="A256" s="46"/>
      <c r="C256" s="25"/>
      <c r="D256" s="27"/>
      <c r="E256" s="27"/>
      <c r="F256" s="28"/>
      <c r="G256" s="27"/>
      <c r="H256" s="46"/>
      <c r="I256" s="46"/>
    </row>
    <row r="257" ht="12.75" customHeight="1">
      <c r="A257" s="46"/>
      <c r="C257" s="25"/>
      <c r="D257" s="27"/>
      <c r="E257" s="27"/>
      <c r="F257" s="28"/>
      <c r="G257" s="27"/>
      <c r="H257" s="46"/>
      <c r="I257" s="46"/>
    </row>
    <row r="258" ht="12.75" customHeight="1">
      <c r="A258" s="46"/>
      <c r="C258" s="25"/>
      <c r="D258" s="27"/>
      <c r="E258" s="27"/>
      <c r="F258" s="28"/>
      <c r="G258" s="27"/>
      <c r="H258" s="46"/>
      <c r="I258" s="46"/>
    </row>
    <row r="259" ht="12.75" customHeight="1">
      <c r="A259" s="46"/>
      <c r="C259" s="25"/>
      <c r="D259" s="27"/>
      <c r="E259" s="27"/>
      <c r="F259" s="28"/>
      <c r="G259" s="27"/>
      <c r="H259" s="46"/>
      <c r="I259" s="46"/>
    </row>
    <row r="260" ht="12.75" customHeight="1">
      <c r="A260" s="46"/>
      <c r="C260" s="25"/>
      <c r="D260" s="27"/>
      <c r="E260" s="27"/>
      <c r="F260" s="28"/>
      <c r="G260" s="27"/>
      <c r="H260" s="46"/>
      <c r="I260" s="46"/>
    </row>
    <row r="261" ht="12.75" customHeight="1">
      <c r="A261" s="46"/>
      <c r="C261" s="25"/>
      <c r="D261" s="27"/>
      <c r="E261" s="27"/>
      <c r="F261" s="28"/>
      <c r="G261" s="27"/>
      <c r="H261" s="46"/>
      <c r="I261" s="46"/>
    </row>
    <row r="262" ht="12.75" customHeight="1">
      <c r="A262" s="46"/>
      <c r="C262" s="25"/>
      <c r="D262" s="27"/>
      <c r="E262" s="27"/>
      <c r="F262" s="28"/>
      <c r="G262" s="27"/>
      <c r="H262" s="46"/>
      <c r="I262" s="46"/>
    </row>
    <row r="263" ht="12.75" customHeight="1">
      <c r="A263" s="46"/>
      <c r="C263" s="25"/>
      <c r="D263" s="27"/>
      <c r="E263" s="27"/>
      <c r="F263" s="28"/>
      <c r="G263" s="27"/>
      <c r="H263" s="46"/>
      <c r="I263" s="46"/>
    </row>
    <row r="264" ht="12.75" customHeight="1">
      <c r="A264" s="46"/>
      <c r="C264" s="25"/>
      <c r="D264" s="27"/>
      <c r="E264" s="27"/>
      <c r="F264" s="28"/>
      <c r="G264" s="27"/>
      <c r="H264" s="46"/>
      <c r="I264" s="46"/>
    </row>
    <row r="265" ht="12.75" customHeight="1">
      <c r="A265" s="46"/>
      <c r="C265" s="25"/>
      <c r="D265" s="27"/>
      <c r="E265" s="27"/>
      <c r="F265" s="28"/>
      <c r="G265" s="27"/>
      <c r="H265" s="46"/>
      <c r="I265" s="46"/>
    </row>
    <row r="266" ht="12.75" customHeight="1">
      <c r="A266" s="46"/>
      <c r="C266" s="25"/>
      <c r="D266" s="27"/>
      <c r="E266" s="27"/>
      <c r="F266" s="28"/>
      <c r="G266" s="27"/>
      <c r="H266" s="46"/>
      <c r="I266" s="46"/>
    </row>
    <row r="267" ht="12.75" customHeight="1">
      <c r="A267" s="46"/>
      <c r="C267" s="25"/>
      <c r="D267" s="27"/>
      <c r="E267" s="27"/>
      <c r="F267" s="28"/>
      <c r="G267" s="27"/>
      <c r="H267" s="46"/>
      <c r="I267" s="46"/>
    </row>
    <row r="268" ht="12.75" customHeight="1">
      <c r="A268" s="46"/>
      <c r="C268" s="25"/>
      <c r="D268" s="27"/>
      <c r="E268" s="27"/>
      <c r="F268" s="28"/>
      <c r="G268" s="27"/>
      <c r="H268" s="46"/>
      <c r="I268" s="46"/>
    </row>
    <row r="269" ht="12.75" customHeight="1">
      <c r="A269" s="46"/>
      <c r="C269" s="25"/>
      <c r="D269" s="27"/>
      <c r="E269" s="27"/>
      <c r="F269" s="28"/>
      <c r="G269" s="27"/>
      <c r="H269" s="46"/>
      <c r="I269" s="46"/>
    </row>
    <row r="270" ht="12.75" customHeight="1">
      <c r="A270" s="46"/>
      <c r="C270" s="25"/>
      <c r="D270" s="27"/>
      <c r="E270" s="27"/>
      <c r="F270" s="28"/>
      <c r="G270" s="27"/>
      <c r="H270" s="46"/>
      <c r="I270" s="46"/>
    </row>
    <row r="271" ht="12.75" customHeight="1">
      <c r="A271" s="46"/>
      <c r="C271" s="25"/>
      <c r="D271" s="27"/>
      <c r="E271" s="27"/>
      <c r="F271" s="28"/>
      <c r="G271" s="27"/>
      <c r="H271" s="46"/>
      <c r="I271" s="46"/>
    </row>
    <row r="272" ht="12.75" customHeight="1">
      <c r="A272" s="46"/>
      <c r="C272" s="25"/>
      <c r="D272" s="27"/>
      <c r="E272" s="27"/>
      <c r="F272" s="28"/>
      <c r="G272" s="27"/>
      <c r="H272" s="46"/>
      <c r="I272" s="46"/>
    </row>
    <row r="273" ht="12.75" customHeight="1">
      <c r="A273" s="46"/>
      <c r="C273" s="25"/>
      <c r="D273" s="27"/>
      <c r="E273" s="27"/>
      <c r="F273" s="28"/>
      <c r="G273" s="27"/>
      <c r="H273" s="46"/>
      <c r="I273" s="46"/>
    </row>
    <row r="274" ht="12.75" customHeight="1">
      <c r="A274" s="46"/>
      <c r="C274" s="25"/>
      <c r="D274" s="27"/>
      <c r="E274" s="27"/>
      <c r="F274" s="28"/>
      <c r="G274" s="27"/>
      <c r="H274" s="46"/>
      <c r="I274" s="46"/>
    </row>
    <row r="275" ht="12.75" customHeight="1">
      <c r="A275" s="46"/>
      <c r="C275" s="25"/>
      <c r="D275" s="27"/>
      <c r="E275" s="27"/>
      <c r="F275" s="28"/>
      <c r="G275" s="27"/>
      <c r="H275" s="46"/>
      <c r="I275" s="46"/>
    </row>
    <row r="276" ht="12.75" customHeight="1">
      <c r="A276" s="46"/>
      <c r="C276" s="25"/>
      <c r="D276" s="27"/>
      <c r="E276" s="27"/>
      <c r="F276" s="28"/>
      <c r="G276" s="27"/>
      <c r="H276" s="46"/>
      <c r="I276" s="46"/>
    </row>
    <row r="277" ht="12.75" customHeight="1">
      <c r="A277" s="46"/>
      <c r="C277" s="25"/>
      <c r="D277" s="27"/>
      <c r="E277" s="27"/>
      <c r="F277" s="28"/>
      <c r="G277" s="27"/>
      <c r="H277" s="46"/>
      <c r="I277" s="46"/>
    </row>
    <row r="278" ht="12.75" customHeight="1">
      <c r="A278" s="46"/>
      <c r="C278" s="25"/>
      <c r="D278" s="27"/>
      <c r="E278" s="27"/>
      <c r="F278" s="28"/>
      <c r="G278" s="27"/>
      <c r="H278" s="46"/>
      <c r="I278" s="46"/>
    </row>
    <row r="279" ht="12.75" customHeight="1">
      <c r="A279" s="46"/>
      <c r="C279" s="25"/>
      <c r="D279" s="27"/>
      <c r="E279" s="27"/>
      <c r="F279" s="28"/>
      <c r="G279" s="27"/>
      <c r="H279" s="46"/>
      <c r="I279" s="46"/>
    </row>
    <row r="280" ht="12.75" customHeight="1">
      <c r="A280" s="46"/>
      <c r="C280" s="25"/>
      <c r="D280" s="27"/>
      <c r="E280" s="27"/>
      <c r="F280" s="28"/>
      <c r="G280" s="27"/>
      <c r="H280" s="46"/>
      <c r="I280" s="46"/>
    </row>
    <row r="281" ht="12.75" customHeight="1">
      <c r="A281" s="46"/>
      <c r="C281" s="25"/>
      <c r="D281" s="27"/>
      <c r="E281" s="27"/>
      <c r="F281" s="28"/>
      <c r="G281" s="27"/>
      <c r="H281" s="46"/>
      <c r="I281" s="46"/>
    </row>
    <row r="282" ht="12.75" customHeight="1">
      <c r="A282" s="46"/>
      <c r="C282" s="25"/>
      <c r="D282" s="27"/>
      <c r="E282" s="27"/>
      <c r="F282" s="28"/>
      <c r="G282" s="27"/>
      <c r="H282" s="46"/>
      <c r="I282" s="46"/>
    </row>
    <row r="283" ht="12.75" customHeight="1">
      <c r="A283" s="46"/>
      <c r="C283" s="25"/>
      <c r="D283" s="27"/>
      <c r="E283" s="27"/>
      <c r="F283" s="28"/>
      <c r="G283" s="27"/>
      <c r="H283" s="46"/>
      <c r="I283" s="46"/>
    </row>
    <row r="284" ht="12.75" customHeight="1">
      <c r="A284" s="46"/>
      <c r="C284" s="25"/>
      <c r="D284" s="27"/>
      <c r="E284" s="27"/>
      <c r="F284" s="28"/>
      <c r="G284" s="27"/>
      <c r="H284" s="46"/>
      <c r="I284" s="46"/>
    </row>
    <row r="285" ht="12.75" customHeight="1">
      <c r="A285" s="46"/>
      <c r="C285" s="25"/>
      <c r="D285" s="27"/>
      <c r="E285" s="27"/>
      <c r="F285" s="28"/>
      <c r="G285" s="27"/>
      <c r="H285" s="46"/>
      <c r="I285" s="46"/>
    </row>
    <row r="286" ht="12.75" customHeight="1">
      <c r="A286" s="46"/>
      <c r="C286" s="25"/>
      <c r="D286" s="27"/>
      <c r="E286" s="27"/>
      <c r="F286" s="28"/>
      <c r="G286" s="27"/>
      <c r="H286" s="46"/>
      <c r="I286" s="46"/>
    </row>
    <row r="287" ht="12.75" customHeight="1">
      <c r="A287" s="46"/>
      <c r="C287" s="25"/>
      <c r="D287" s="27"/>
      <c r="E287" s="27"/>
      <c r="F287" s="28"/>
      <c r="G287" s="27"/>
      <c r="H287" s="46"/>
      <c r="I287" s="46"/>
    </row>
    <row r="288" ht="12.75" customHeight="1">
      <c r="A288" s="46"/>
      <c r="C288" s="25"/>
      <c r="D288" s="27"/>
      <c r="E288" s="27"/>
      <c r="F288" s="28"/>
      <c r="G288" s="27"/>
      <c r="H288" s="46"/>
      <c r="I288" s="46"/>
    </row>
    <row r="289" ht="12.75" customHeight="1">
      <c r="A289" s="46"/>
      <c r="C289" s="25"/>
      <c r="D289" s="27"/>
      <c r="E289" s="27"/>
      <c r="F289" s="28"/>
      <c r="G289" s="27"/>
      <c r="H289" s="46"/>
      <c r="I289" s="46"/>
    </row>
    <row r="290" ht="12.75" customHeight="1">
      <c r="A290" s="46"/>
      <c r="C290" s="25"/>
      <c r="D290" s="27"/>
      <c r="E290" s="27"/>
      <c r="F290" s="28"/>
      <c r="G290" s="27"/>
      <c r="H290" s="46"/>
      <c r="I290" s="46"/>
    </row>
    <row r="291" ht="12.75" customHeight="1">
      <c r="A291" s="46"/>
      <c r="C291" s="25"/>
      <c r="D291" s="27"/>
      <c r="E291" s="27"/>
      <c r="F291" s="28"/>
      <c r="G291" s="27"/>
      <c r="H291" s="46"/>
      <c r="I291" s="46"/>
    </row>
    <row r="292" ht="12.75" customHeight="1">
      <c r="A292" s="46"/>
      <c r="C292" s="25"/>
      <c r="D292" s="27"/>
      <c r="E292" s="27"/>
      <c r="F292" s="28"/>
      <c r="G292" s="27"/>
      <c r="H292" s="46"/>
      <c r="I292" s="46"/>
    </row>
    <row r="293" ht="12.75" customHeight="1">
      <c r="A293" s="46"/>
      <c r="C293" s="25"/>
      <c r="D293" s="27"/>
      <c r="E293" s="27"/>
      <c r="F293" s="28"/>
      <c r="G293" s="27"/>
      <c r="H293" s="46"/>
      <c r="I293" s="46"/>
    </row>
    <row r="294" ht="12.75" customHeight="1">
      <c r="A294" s="46"/>
      <c r="C294" s="25"/>
      <c r="D294" s="27"/>
      <c r="E294" s="27"/>
      <c r="F294" s="28"/>
      <c r="G294" s="27"/>
      <c r="H294" s="46"/>
      <c r="I294" s="46"/>
    </row>
    <row r="295" ht="12.75" customHeight="1">
      <c r="A295" s="46"/>
      <c r="C295" s="25"/>
      <c r="D295" s="27"/>
      <c r="E295" s="27"/>
      <c r="F295" s="28"/>
      <c r="G295" s="27"/>
      <c r="H295" s="46"/>
      <c r="I295" s="46"/>
    </row>
    <row r="296" ht="12.75" customHeight="1">
      <c r="A296" s="46"/>
      <c r="C296" s="25"/>
      <c r="D296" s="27"/>
      <c r="E296" s="27"/>
      <c r="F296" s="28"/>
      <c r="G296" s="27"/>
      <c r="H296" s="46"/>
      <c r="I296" s="46"/>
    </row>
    <row r="297" ht="12.75" customHeight="1">
      <c r="A297" s="46"/>
      <c r="C297" s="25"/>
      <c r="D297" s="27"/>
      <c r="E297" s="27"/>
      <c r="F297" s="28"/>
      <c r="G297" s="27"/>
      <c r="H297" s="46"/>
      <c r="I297" s="46"/>
    </row>
    <row r="298" ht="12.75" customHeight="1">
      <c r="A298" s="46"/>
      <c r="C298" s="25"/>
      <c r="D298" s="27"/>
      <c r="E298" s="27"/>
      <c r="F298" s="28"/>
      <c r="G298" s="27"/>
      <c r="H298" s="46"/>
      <c r="I298" s="46"/>
    </row>
    <row r="299" ht="12.75" customHeight="1">
      <c r="A299" s="46"/>
      <c r="C299" s="25"/>
      <c r="D299" s="27"/>
      <c r="E299" s="27"/>
      <c r="F299" s="28"/>
      <c r="G299" s="27"/>
      <c r="H299" s="46"/>
      <c r="I299" s="46"/>
    </row>
    <row r="300" ht="12.75" customHeight="1">
      <c r="A300" s="46"/>
      <c r="C300" s="25"/>
      <c r="D300" s="27"/>
      <c r="E300" s="27"/>
      <c r="F300" s="28"/>
      <c r="G300" s="27"/>
      <c r="H300" s="46"/>
      <c r="I300" s="46"/>
    </row>
    <row r="301" ht="12.75" customHeight="1">
      <c r="A301" s="46"/>
      <c r="C301" s="25"/>
      <c r="D301" s="27"/>
      <c r="E301" s="27"/>
      <c r="F301" s="28"/>
      <c r="G301" s="27"/>
      <c r="H301" s="46"/>
      <c r="I301" s="46"/>
    </row>
    <row r="302" ht="12.75" customHeight="1">
      <c r="A302" s="46"/>
      <c r="C302" s="25"/>
      <c r="D302" s="27"/>
      <c r="E302" s="27"/>
      <c r="F302" s="28"/>
      <c r="G302" s="27"/>
      <c r="H302" s="46"/>
      <c r="I302" s="46"/>
    </row>
    <row r="303" ht="12.75" customHeight="1">
      <c r="A303" s="46"/>
      <c r="C303" s="25"/>
      <c r="D303" s="27"/>
      <c r="E303" s="27"/>
      <c r="F303" s="28"/>
      <c r="G303" s="27"/>
      <c r="H303" s="46"/>
      <c r="I303" s="46"/>
    </row>
    <row r="304" ht="12.75" customHeight="1">
      <c r="A304" s="46"/>
      <c r="C304" s="25"/>
      <c r="D304" s="27"/>
      <c r="E304" s="27"/>
      <c r="F304" s="28"/>
      <c r="G304" s="27"/>
      <c r="H304" s="46"/>
      <c r="I304" s="46"/>
    </row>
    <row r="305" ht="12.75" customHeight="1">
      <c r="A305" s="46"/>
      <c r="C305" s="25"/>
      <c r="D305" s="27"/>
      <c r="E305" s="27"/>
      <c r="F305" s="28"/>
      <c r="G305" s="27"/>
      <c r="H305" s="46"/>
      <c r="I305" s="46"/>
    </row>
    <row r="306" ht="12.75" customHeight="1">
      <c r="A306" s="46"/>
      <c r="C306" s="25"/>
      <c r="D306" s="27"/>
      <c r="E306" s="27"/>
      <c r="F306" s="28"/>
      <c r="G306" s="27"/>
      <c r="H306" s="46"/>
      <c r="I306" s="46"/>
    </row>
    <row r="307" ht="12.75" customHeight="1">
      <c r="A307" s="46"/>
      <c r="C307" s="25"/>
      <c r="D307" s="27"/>
      <c r="E307" s="27"/>
      <c r="F307" s="28"/>
      <c r="G307" s="27"/>
      <c r="H307" s="46"/>
      <c r="I307" s="46"/>
    </row>
    <row r="308" ht="12.75" customHeight="1">
      <c r="A308" s="46"/>
      <c r="C308" s="25"/>
      <c r="D308" s="27"/>
      <c r="E308" s="27"/>
      <c r="F308" s="28"/>
      <c r="G308" s="27"/>
      <c r="H308" s="46"/>
      <c r="I308" s="46"/>
    </row>
    <row r="309" ht="12.75" customHeight="1">
      <c r="A309" s="46"/>
      <c r="C309" s="25"/>
      <c r="D309" s="27"/>
      <c r="E309" s="27"/>
      <c r="F309" s="28"/>
      <c r="G309" s="27"/>
      <c r="H309" s="46"/>
      <c r="I309" s="46"/>
    </row>
    <row r="310" ht="12.75" customHeight="1">
      <c r="A310" s="46"/>
      <c r="C310" s="25"/>
      <c r="D310" s="27"/>
      <c r="E310" s="27"/>
      <c r="F310" s="28"/>
      <c r="G310" s="27"/>
      <c r="H310" s="46"/>
      <c r="I310" s="46"/>
    </row>
    <row r="311" ht="12.75" customHeight="1">
      <c r="A311" s="46"/>
      <c r="C311" s="25"/>
      <c r="D311" s="27"/>
      <c r="E311" s="27"/>
      <c r="F311" s="28"/>
      <c r="G311" s="27"/>
      <c r="H311" s="46"/>
      <c r="I311" s="46"/>
    </row>
    <row r="312" ht="12.75" customHeight="1">
      <c r="A312" s="46"/>
      <c r="C312" s="25"/>
      <c r="D312" s="27"/>
      <c r="E312" s="27"/>
      <c r="F312" s="28"/>
      <c r="G312" s="27"/>
      <c r="H312" s="46"/>
      <c r="I312" s="46"/>
    </row>
    <row r="313" ht="12.75" customHeight="1">
      <c r="A313" s="46"/>
      <c r="C313" s="25"/>
      <c r="D313" s="27"/>
      <c r="E313" s="27"/>
      <c r="F313" s="28"/>
      <c r="G313" s="27"/>
      <c r="H313" s="46"/>
      <c r="I313" s="46"/>
    </row>
    <row r="314" ht="12.75" customHeight="1">
      <c r="A314" s="46"/>
      <c r="C314" s="25"/>
      <c r="D314" s="27"/>
      <c r="E314" s="27"/>
      <c r="F314" s="28"/>
      <c r="G314" s="27"/>
      <c r="H314" s="46"/>
      <c r="I314" s="46"/>
    </row>
    <row r="315" ht="12.75" customHeight="1">
      <c r="A315" s="46"/>
      <c r="C315" s="25"/>
      <c r="D315" s="27"/>
      <c r="E315" s="27"/>
      <c r="F315" s="28"/>
      <c r="G315" s="27"/>
      <c r="H315" s="46"/>
      <c r="I315" s="46"/>
    </row>
    <row r="316" ht="12.75" customHeight="1">
      <c r="A316" s="46"/>
      <c r="C316" s="25"/>
      <c r="D316" s="27"/>
      <c r="E316" s="27"/>
      <c r="F316" s="28"/>
      <c r="G316" s="27"/>
      <c r="H316" s="46"/>
      <c r="I316" s="46"/>
    </row>
    <row r="317" ht="12.75" customHeight="1">
      <c r="A317" s="46"/>
      <c r="C317" s="25"/>
      <c r="D317" s="27"/>
      <c r="E317" s="27"/>
      <c r="F317" s="28"/>
      <c r="G317" s="27"/>
      <c r="H317" s="46"/>
      <c r="I317" s="46"/>
    </row>
    <row r="318" ht="12.75" customHeight="1">
      <c r="A318" s="46"/>
      <c r="C318" s="25"/>
      <c r="D318" s="27"/>
      <c r="E318" s="27"/>
      <c r="F318" s="28"/>
      <c r="G318" s="27"/>
      <c r="H318" s="46"/>
      <c r="I318" s="46"/>
    </row>
    <row r="319" ht="12.75" customHeight="1">
      <c r="A319" s="46"/>
      <c r="C319" s="25"/>
      <c r="D319" s="27"/>
      <c r="E319" s="27"/>
      <c r="F319" s="28"/>
      <c r="G319" s="27"/>
      <c r="H319" s="46"/>
      <c r="I319" s="46"/>
    </row>
    <row r="320" ht="12.75" customHeight="1">
      <c r="A320" s="46"/>
      <c r="C320" s="25"/>
      <c r="D320" s="27"/>
      <c r="E320" s="27"/>
      <c r="F320" s="28"/>
      <c r="G320" s="27"/>
      <c r="H320" s="46"/>
      <c r="I320" s="46"/>
    </row>
    <row r="321" ht="12.75" customHeight="1">
      <c r="A321" s="46"/>
      <c r="C321" s="25"/>
      <c r="D321" s="27"/>
      <c r="E321" s="27"/>
      <c r="F321" s="28"/>
      <c r="G321" s="27"/>
      <c r="H321" s="46"/>
      <c r="I321" s="46"/>
    </row>
    <row r="322" ht="12.75" customHeight="1">
      <c r="A322" s="46"/>
      <c r="C322" s="25"/>
      <c r="D322" s="27"/>
      <c r="E322" s="27"/>
      <c r="F322" s="28"/>
      <c r="G322" s="27"/>
      <c r="H322" s="46"/>
      <c r="I322" s="46"/>
    </row>
    <row r="323" ht="12.75" customHeight="1">
      <c r="A323" s="46"/>
      <c r="C323" s="25"/>
      <c r="D323" s="27"/>
      <c r="E323" s="27"/>
      <c r="F323" s="28"/>
      <c r="G323" s="27"/>
      <c r="H323" s="46"/>
      <c r="I323" s="46"/>
    </row>
    <row r="324" ht="12.75" customHeight="1">
      <c r="A324" s="46"/>
      <c r="C324" s="25"/>
      <c r="D324" s="27"/>
      <c r="E324" s="27"/>
      <c r="F324" s="28"/>
      <c r="G324" s="27"/>
      <c r="H324" s="46"/>
      <c r="I324" s="46"/>
    </row>
    <row r="325" ht="12.75" customHeight="1">
      <c r="A325" s="46"/>
      <c r="C325" s="25"/>
      <c r="D325" s="27"/>
      <c r="E325" s="27"/>
      <c r="F325" s="28"/>
      <c r="G325" s="27"/>
      <c r="H325" s="46"/>
      <c r="I325" s="46"/>
    </row>
    <row r="326" ht="12.75" customHeight="1">
      <c r="A326" s="46"/>
      <c r="C326" s="25"/>
      <c r="D326" s="27"/>
      <c r="E326" s="27"/>
      <c r="F326" s="28"/>
      <c r="G326" s="27"/>
      <c r="H326" s="46"/>
      <c r="I326" s="46"/>
    </row>
    <row r="327" ht="12.75" customHeight="1">
      <c r="A327" s="46"/>
      <c r="C327" s="25"/>
      <c r="D327" s="27"/>
      <c r="E327" s="27"/>
      <c r="F327" s="28"/>
      <c r="G327" s="27"/>
      <c r="H327" s="46"/>
      <c r="I327" s="46"/>
    </row>
    <row r="328" ht="12.75" customHeight="1">
      <c r="A328" s="46"/>
      <c r="C328" s="25"/>
      <c r="D328" s="27"/>
      <c r="E328" s="27"/>
      <c r="F328" s="28"/>
      <c r="G328" s="27"/>
      <c r="H328" s="46"/>
      <c r="I328" s="46"/>
    </row>
    <row r="329" ht="12.75" customHeight="1">
      <c r="A329" s="46"/>
      <c r="C329" s="25"/>
      <c r="D329" s="27"/>
      <c r="E329" s="27"/>
      <c r="F329" s="28"/>
      <c r="G329" s="27"/>
      <c r="H329" s="46"/>
      <c r="I329" s="46"/>
    </row>
    <row r="330" ht="12.75" customHeight="1">
      <c r="A330" s="46"/>
      <c r="C330" s="25"/>
      <c r="D330" s="27"/>
      <c r="E330" s="27"/>
      <c r="F330" s="28"/>
      <c r="G330" s="27"/>
      <c r="H330" s="46"/>
      <c r="I330" s="46"/>
    </row>
    <row r="331" ht="12.75" customHeight="1">
      <c r="A331" s="46"/>
      <c r="C331" s="25"/>
      <c r="D331" s="27"/>
      <c r="E331" s="27"/>
      <c r="F331" s="28"/>
      <c r="G331" s="27"/>
      <c r="H331" s="46"/>
      <c r="I331" s="46"/>
    </row>
    <row r="332" ht="12.75" customHeight="1">
      <c r="A332" s="46"/>
      <c r="C332" s="25"/>
      <c r="D332" s="27"/>
      <c r="E332" s="27"/>
      <c r="F332" s="28"/>
      <c r="G332" s="27"/>
      <c r="H332" s="46"/>
      <c r="I332" s="46"/>
    </row>
    <row r="333" ht="12.75" customHeight="1">
      <c r="A333" s="46"/>
      <c r="C333" s="25"/>
      <c r="D333" s="27"/>
      <c r="E333" s="27"/>
      <c r="F333" s="28"/>
      <c r="G333" s="27"/>
      <c r="H333" s="46"/>
      <c r="I333" s="46"/>
    </row>
    <row r="334" ht="12.75" customHeight="1">
      <c r="A334" s="46"/>
      <c r="C334" s="25"/>
      <c r="D334" s="27"/>
      <c r="E334" s="27"/>
      <c r="F334" s="28"/>
      <c r="G334" s="27"/>
      <c r="H334" s="46"/>
      <c r="I334" s="46"/>
    </row>
    <row r="335" ht="12.75" customHeight="1">
      <c r="A335" s="46"/>
      <c r="C335" s="25"/>
      <c r="D335" s="27"/>
      <c r="E335" s="27"/>
      <c r="F335" s="28"/>
      <c r="G335" s="27"/>
      <c r="H335" s="46"/>
      <c r="I335" s="46"/>
    </row>
    <row r="336" ht="12.75" customHeight="1">
      <c r="A336" s="46"/>
      <c r="C336" s="25"/>
      <c r="D336" s="27"/>
      <c r="E336" s="27"/>
      <c r="F336" s="28"/>
      <c r="G336" s="27"/>
      <c r="H336" s="46"/>
      <c r="I336" s="46"/>
    </row>
    <row r="337" ht="12.75" customHeight="1">
      <c r="A337" s="46"/>
      <c r="C337" s="25"/>
      <c r="D337" s="27"/>
      <c r="E337" s="27"/>
      <c r="F337" s="28"/>
      <c r="G337" s="27"/>
      <c r="H337" s="46"/>
      <c r="I337" s="46"/>
    </row>
    <row r="338" ht="12.75" customHeight="1">
      <c r="A338" s="46"/>
      <c r="C338" s="25"/>
      <c r="D338" s="27"/>
      <c r="E338" s="27"/>
      <c r="F338" s="28"/>
      <c r="G338" s="27"/>
      <c r="H338" s="46"/>
      <c r="I338" s="46"/>
    </row>
    <row r="339" ht="12.75" customHeight="1">
      <c r="A339" s="46"/>
      <c r="C339" s="25"/>
      <c r="D339" s="27"/>
      <c r="E339" s="27"/>
      <c r="F339" s="28"/>
      <c r="G339" s="27"/>
      <c r="H339" s="46"/>
      <c r="I339" s="46"/>
    </row>
    <row r="340" ht="12.75" customHeight="1">
      <c r="A340" s="46"/>
      <c r="C340" s="25"/>
      <c r="D340" s="27"/>
      <c r="E340" s="27"/>
      <c r="F340" s="28"/>
      <c r="G340" s="27"/>
      <c r="H340" s="46"/>
      <c r="I340" s="46"/>
    </row>
    <row r="341" ht="12.75" customHeight="1">
      <c r="A341" s="46"/>
      <c r="C341" s="25"/>
      <c r="D341" s="27"/>
      <c r="E341" s="27"/>
      <c r="F341" s="28"/>
      <c r="G341" s="27"/>
      <c r="H341" s="46"/>
      <c r="I341" s="46"/>
    </row>
    <row r="342" ht="12.75" customHeight="1">
      <c r="A342" s="46"/>
      <c r="C342" s="25"/>
      <c r="D342" s="27"/>
      <c r="E342" s="27"/>
      <c r="F342" s="28"/>
      <c r="G342" s="27"/>
      <c r="H342" s="46"/>
      <c r="I342" s="46"/>
    </row>
    <row r="343" ht="12.75" customHeight="1">
      <c r="A343" s="46"/>
      <c r="C343" s="25"/>
      <c r="D343" s="27"/>
      <c r="E343" s="27"/>
      <c r="F343" s="28"/>
      <c r="G343" s="27"/>
      <c r="H343" s="46"/>
      <c r="I343" s="46"/>
    </row>
    <row r="344" ht="12.75" customHeight="1">
      <c r="A344" s="46"/>
      <c r="C344" s="25"/>
      <c r="D344" s="27"/>
      <c r="E344" s="27"/>
      <c r="F344" s="28"/>
      <c r="G344" s="27"/>
      <c r="H344" s="46"/>
      <c r="I344" s="46"/>
    </row>
    <row r="345" ht="12.75" customHeight="1">
      <c r="A345" s="46"/>
      <c r="C345" s="25"/>
      <c r="D345" s="27"/>
      <c r="E345" s="27"/>
      <c r="F345" s="28"/>
      <c r="G345" s="27"/>
      <c r="H345" s="46"/>
      <c r="I345" s="46"/>
    </row>
    <row r="346" ht="12.75" customHeight="1">
      <c r="A346" s="46"/>
      <c r="C346" s="25"/>
      <c r="D346" s="27"/>
      <c r="E346" s="27"/>
      <c r="F346" s="28"/>
      <c r="G346" s="27"/>
      <c r="H346" s="46"/>
      <c r="I346" s="46"/>
    </row>
    <row r="347" ht="12.75" customHeight="1">
      <c r="A347" s="46"/>
      <c r="C347" s="25"/>
      <c r="D347" s="27"/>
      <c r="E347" s="27"/>
      <c r="F347" s="28"/>
      <c r="G347" s="27"/>
      <c r="H347" s="46"/>
      <c r="I347" s="46"/>
    </row>
    <row r="348" ht="12.75" customHeight="1">
      <c r="A348" s="46"/>
      <c r="C348" s="25"/>
      <c r="D348" s="27"/>
      <c r="E348" s="27"/>
      <c r="F348" s="28"/>
      <c r="G348" s="27"/>
      <c r="H348" s="46"/>
      <c r="I348" s="46"/>
    </row>
    <row r="349" ht="12.75" customHeight="1">
      <c r="A349" s="46"/>
      <c r="C349" s="25"/>
      <c r="D349" s="27"/>
      <c r="E349" s="27"/>
      <c r="F349" s="28"/>
      <c r="G349" s="27"/>
      <c r="H349" s="46"/>
      <c r="I349" s="46"/>
    </row>
    <row r="350" ht="12.75" customHeight="1">
      <c r="A350" s="46"/>
      <c r="C350" s="25"/>
      <c r="D350" s="27"/>
      <c r="E350" s="27"/>
      <c r="F350" s="28"/>
      <c r="G350" s="27"/>
      <c r="H350" s="46"/>
      <c r="I350" s="46"/>
    </row>
    <row r="351" ht="12.75" customHeight="1">
      <c r="A351" s="46"/>
      <c r="C351" s="25"/>
      <c r="D351" s="27"/>
      <c r="E351" s="27"/>
      <c r="F351" s="28"/>
      <c r="G351" s="27"/>
      <c r="H351" s="46"/>
      <c r="I351" s="46"/>
    </row>
    <row r="352" ht="12.75" customHeight="1">
      <c r="A352" s="46"/>
      <c r="C352" s="25"/>
      <c r="D352" s="27"/>
      <c r="E352" s="27"/>
      <c r="F352" s="28"/>
      <c r="G352" s="27"/>
      <c r="H352" s="46"/>
      <c r="I352" s="46"/>
    </row>
    <row r="353" ht="12.75" customHeight="1">
      <c r="A353" s="46"/>
      <c r="C353" s="25"/>
      <c r="D353" s="27"/>
      <c r="E353" s="27"/>
      <c r="F353" s="28"/>
      <c r="G353" s="27"/>
      <c r="H353" s="46"/>
      <c r="I353" s="46"/>
    </row>
    <row r="354" ht="12.75" customHeight="1">
      <c r="A354" s="46"/>
      <c r="C354" s="25"/>
      <c r="D354" s="27"/>
      <c r="E354" s="27"/>
      <c r="F354" s="28"/>
      <c r="G354" s="27"/>
      <c r="H354" s="46"/>
      <c r="I354" s="46"/>
    </row>
    <row r="355" ht="12.75" customHeight="1">
      <c r="A355" s="46"/>
      <c r="C355" s="25"/>
      <c r="D355" s="27"/>
      <c r="E355" s="27"/>
      <c r="F355" s="28"/>
      <c r="G355" s="27"/>
      <c r="H355" s="46"/>
      <c r="I355" s="46"/>
    </row>
    <row r="356" ht="12.75" customHeight="1">
      <c r="A356" s="46"/>
      <c r="C356" s="25"/>
      <c r="D356" s="27"/>
      <c r="E356" s="27"/>
      <c r="F356" s="28"/>
      <c r="G356" s="27"/>
      <c r="H356" s="46"/>
      <c r="I356" s="46"/>
    </row>
    <row r="357" ht="12.75" customHeight="1">
      <c r="A357" s="46"/>
      <c r="C357" s="25"/>
      <c r="D357" s="27"/>
      <c r="E357" s="27"/>
      <c r="F357" s="28"/>
      <c r="G357" s="27"/>
      <c r="H357" s="46"/>
      <c r="I357" s="46"/>
    </row>
    <row r="358" ht="12.75" customHeight="1">
      <c r="A358" s="46"/>
      <c r="C358" s="25"/>
      <c r="D358" s="27"/>
      <c r="E358" s="27"/>
      <c r="F358" s="28"/>
      <c r="G358" s="27"/>
      <c r="H358" s="46"/>
      <c r="I358" s="46"/>
    </row>
    <row r="359" ht="12.75" customHeight="1">
      <c r="A359" s="46"/>
      <c r="C359" s="25"/>
      <c r="D359" s="27"/>
      <c r="E359" s="27"/>
      <c r="F359" s="28"/>
      <c r="G359" s="27"/>
      <c r="H359" s="46"/>
      <c r="I359" s="46"/>
    </row>
    <row r="360" ht="12.75" customHeight="1">
      <c r="A360" s="46"/>
      <c r="C360" s="25"/>
      <c r="D360" s="27"/>
      <c r="E360" s="27"/>
      <c r="F360" s="28"/>
      <c r="G360" s="27"/>
      <c r="H360" s="46"/>
      <c r="I360" s="46"/>
    </row>
    <row r="361" ht="12.75" customHeight="1">
      <c r="A361" s="46"/>
      <c r="C361" s="25"/>
      <c r="D361" s="27"/>
      <c r="E361" s="27"/>
      <c r="F361" s="28"/>
      <c r="G361" s="27"/>
      <c r="H361" s="46"/>
      <c r="I361" s="46"/>
    </row>
    <row r="362" ht="12.75" customHeight="1">
      <c r="A362" s="46"/>
      <c r="C362" s="25"/>
      <c r="D362" s="27"/>
      <c r="E362" s="27"/>
      <c r="F362" s="28"/>
      <c r="G362" s="27"/>
      <c r="H362" s="46"/>
      <c r="I362" s="46"/>
    </row>
    <row r="363" ht="12.75" customHeight="1">
      <c r="A363" s="46"/>
      <c r="C363" s="25"/>
      <c r="D363" s="27"/>
      <c r="E363" s="27"/>
      <c r="F363" s="28"/>
      <c r="G363" s="27"/>
      <c r="H363" s="46"/>
      <c r="I363" s="46"/>
    </row>
    <row r="364" ht="12.75" customHeight="1">
      <c r="A364" s="46"/>
      <c r="C364" s="25"/>
      <c r="D364" s="27"/>
      <c r="E364" s="27"/>
      <c r="F364" s="28"/>
      <c r="G364" s="27"/>
      <c r="H364" s="46"/>
      <c r="I364" s="46"/>
    </row>
    <row r="365" ht="12.75" customHeight="1">
      <c r="A365" s="46"/>
      <c r="C365" s="25"/>
      <c r="D365" s="27"/>
      <c r="E365" s="27"/>
      <c r="F365" s="28"/>
      <c r="G365" s="27"/>
      <c r="H365" s="46"/>
      <c r="I365" s="46"/>
    </row>
    <row r="366" ht="12.75" customHeight="1">
      <c r="A366" s="46"/>
      <c r="C366" s="25"/>
      <c r="D366" s="27"/>
      <c r="E366" s="27"/>
      <c r="F366" s="28"/>
      <c r="G366" s="27"/>
      <c r="H366" s="46"/>
      <c r="I366" s="46"/>
    </row>
    <row r="367" ht="12.75" customHeight="1">
      <c r="A367" s="46"/>
      <c r="C367" s="25"/>
      <c r="D367" s="27"/>
      <c r="E367" s="27"/>
      <c r="F367" s="28"/>
      <c r="G367" s="27"/>
      <c r="H367" s="46"/>
      <c r="I367" s="46"/>
    </row>
    <row r="368" ht="12.75" customHeight="1">
      <c r="A368" s="46"/>
      <c r="C368" s="25"/>
      <c r="D368" s="27"/>
      <c r="E368" s="27"/>
      <c r="F368" s="28"/>
      <c r="G368" s="27"/>
      <c r="H368" s="46"/>
      <c r="I368" s="46"/>
    </row>
    <row r="369" ht="12.75" customHeight="1">
      <c r="A369" s="46"/>
      <c r="C369" s="25"/>
      <c r="D369" s="27"/>
      <c r="E369" s="27"/>
      <c r="F369" s="28"/>
      <c r="G369" s="27"/>
      <c r="H369" s="46"/>
      <c r="I369" s="46"/>
    </row>
    <row r="370" ht="12.75" customHeight="1">
      <c r="A370" s="46"/>
      <c r="C370" s="25"/>
      <c r="D370" s="27"/>
      <c r="E370" s="27"/>
      <c r="F370" s="28"/>
      <c r="G370" s="27"/>
      <c r="H370" s="46"/>
      <c r="I370" s="46"/>
    </row>
    <row r="371" ht="12.75" customHeight="1">
      <c r="A371" s="46"/>
      <c r="C371" s="25"/>
      <c r="D371" s="27"/>
      <c r="E371" s="27"/>
      <c r="F371" s="28"/>
      <c r="G371" s="27"/>
      <c r="H371" s="46"/>
      <c r="I371" s="46"/>
    </row>
    <row r="372" ht="12.75" customHeight="1">
      <c r="A372" s="46"/>
      <c r="C372" s="25"/>
      <c r="D372" s="27"/>
      <c r="E372" s="27"/>
      <c r="F372" s="28"/>
      <c r="G372" s="27"/>
      <c r="H372" s="46"/>
      <c r="I372" s="46"/>
    </row>
    <row r="373" ht="12.75" customHeight="1">
      <c r="A373" s="46"/>
      <c r="C373" s="25"/>
      <c r="D373" s="27"/>
      <c r="E373" s="27"/>
      <c r="F373" s="28"/>
      <c r="G373" s="27"/>
      <c r="H373" s="46"/>
      <c r="I373" s="46"/>
    </row>
    <row r="374" ht="12.75" customHeight="1">
      <c r="A374" s="46"/>
      <c r="C374" s="25"/>
      <c r="D374" s="27"/>
      <c r="E374" s="27"/>
      <c r="F374" s="28"/>
      <c r="G374" s="27"/>
      <c r="H374" s="46"/>
      <c r="I374" s="46"/>
    </row>
    <row r="375" ht="12.75" customHeight="1">
      <c r="A375" s="46"/>
      <c r="C375" s="25"/>
      <c r="D375" s="27"/>
      <c r="E375" s="27"/>
      <c r="F375" s="28"/>
      <c r="G375" s="27"/>
      <c r="H375" s="46"/>
      <c r="I375" s="46"/>
    </row>
    <row r="376" ht="12.75" customHeight="1">
      <c r="A376" s="46"/>
      <c r="C376" s="25"/>
      <c r="D376" s="27"/>
      <c r="E376" s="27"/>
      <c r="F376" s="28"/>
      <c r="G376" s="27"/>
      <c r="H376" s="46"/>
      <c r="I376" s="46"/>
    </row>
    <row r="377" ht="12.75" customHeight="1">
      <c r="A377" s="46"/>
      <c r="C377" s="25"/>
      <c r="D377" s="27"/>
      <c r="E377" s="27"/>
      <c r="F377" s="28"/>
      <c r="G377" s="27"/>
      <c r="H377" s="46"/>
      <c r="I377" s="46"/>
    </row>
    <row r="378" ht="12.75" customHeight="1">
      <c r="A378" s="46"/>
      <c r="C378" s="25"/>
      <c r="D378" s="27"/>
      <c r="E378" s="27"/>
      <c r="F378" s="28"/>
      <c r="G378" s="27"/>
      <c r="H378" s="46"/>
      <c r="I378" s="46"/>
    </row>
    <row r="379" ht="12.75" customHeight="1">
      <c r="A379" s="46"/>
      <c r="C379" s="25"/>
      <c r="D379" s="27"/>
      <c r="E379" s="27"/>
      <c r="F379" s="28"/>
      <c r="G379" s="27"/>
      <c r="H379" s="46"/>
      <c r="I379" s="46"/>
    </row>
    <row r="380" ht="12.75" customHeight="1">
      <c r="A380" s="46"/>
      <c r="C380" s="25"/>
      <c r="D380" s="27"/>
      <c r="E380" s="27"/>
      <c r="F380" s="28"/>
      <c r="G380" s="27"/>
      <c r="H380" s="46"/>
      <c r="I380" s="46"/>
    </row>
    <row r="381" ht="12.75" customHeight="1">
      <c r="A381" s="46"/>
      <c r="C381" s="25"/>
      <c r="D381" s="27"/>
      <c r="E381" s="27"/>
      <c r="F381" s="28"/>
      <c r="G381" s="27"/>
      <c r="H381" s="46"/>
      <c r="I381" s="46"/>
    </row>
    <row r="382" ht="12.75" customHeight="1">
      <c r="A382" s="46"/>
      <c r="C382" s="25"/>
      <c r="D382" s="27"/>
      <c r="E382" s="27"/>
      <c r="F382" s="28"/>
      <c r="G382" s="27"/>
      <c r="H382" s="46"/>
      <c r="I382" s="46"/>
    </row>
    <row r="383" ht="12.75" customHeight="1">
      <c r="A383" s="46"/>
      <c r="C383" s="25"/>
      <c r="D383" s="27"/>
      <c r="E383" s="27"/>
      <c r="F383" s="28"/>
      <c r="G383" s="27"/>
      <c r="H383" s="46"/>
      <c r="I383" s="46"/>
    </row>
    <row r="384" ht="12.75" customHeight="1">
      <c r="A384" s="46"/>
      <c r="C384" s="25"/>
      <c r="D384" s="27"/>
      <c r="E384" s="27"/>
      <c r="F384" s="28"/>
      <c r="G384" s="27"/>
      <c r="H384" s="46"/>
      <c r="I384" s="46"/>
    </row>
    <row r="385" ht="12.75" customHeight="1">
      <c r="A385" s="46"/>
      <c r="C385" s="25"/>
      <c r="D385" s="27"/>
      <c r="E385" s="27"/>
      <c r="F385" s="28"/>
      <c r="G385" s="27"/>
      <c r="H385" s="46"/>
      <c r="I385" s="46"/>
    </row>
    <row r="386" ht="12.75" customHeight="1">
      <c r="A386" s="46"/>
      <c r="C386" s="25"/>
      <c r="D386" s="27"/>
      <c r="E386" s="27"/>
      <c r="F386" s="28"/>
      <c r="G386" s="27"/>
      <c r="H386" s="46"/>
      <c r="I386" s="46"/>
    </row>
    <row r="387" ht="12.75" customHeight="1">
      <c r="A387" s="46"/>
      <c r="C387" s="25"/>
      <c r="D387" s="27"/>
      <c r="E387" s="27"/>
      <c r="F387" s="28"/>
      <c r="G387" s="27"/>
      <c r="H387" s="46"/>
      <c r="I387" s="46"/>
    </row>
    <row r="388" ht="12.75" customHeight="1">
      <c r="A388" s="46"/>
      <c r="C388" s="25"/>
      <c r="D388" s="27"/>
      <c r="E388" s="27"/>
      <c r="F388" s="28"/>
      <c r="G388" s="27"/>
      <c r="H388" s="46"/>
      <c r="I388" s="46"/>
    </row>
    <row r="389" ht="12.75" customHeight="1">
      <c r="A389" s="46"/>
      <c r="C389" s="25"/>
      <c r="D389" s="27"/>
      <c r="E389" s="27"/>
      <c r="F389" s="28"/>
      <c r="G389" s="27"/>
      <c r="H389" s="46"/>
      <c r="I389" s="46"/>
    </row>
    <row r="390" ht="12.75" customHeight="1">
      <c r="A390" s="46"/>
      <c r="C390" s="25"/>
      <c r="D390" s="27"/>
      <c r="E390" s="27"/>
      <c r="F390" s="28"/>
      <c r="G390" s="27"/>
      <c r="H390" s="46"/>
      <c r="I390" s="46"/>
    </row>
    <row r="391" ht="12.75" customHeight="1">
      <c r="A391" s="46"/>
      <c r="C391" s="25"/>
      <c r="D391" s="27"/>
      <c r="E391" s="27"/>
      <c r="F391" s="28"/>
      <c r="G391" s="27"/>
      <c r="H391" s="46"/>
      <c r="I391" s="46"/>
    </row>
    <row r="392" ht="12.75" customHeight="1">
      <c r="A392" s="46"/>
      <c r="C392" s="25"/>
      <c r="D392" s="27"/>
      <c r="E392" s="27"/>
      <c r="F392" s="28"/>
      <c r="G392" s="27"/>
      <c r="H392" s="46"/>
      <c r="I392" s="46"/>
    </row>
    <row r="393" ht="12.75" customHeight="1">
      <c r="A393" s="46"/>
      <c r="C393" s="25"/>
      <c r="D393" s="27"/>
      <c r="E393" s="27"/>
      <c r="F393" s="28"/>
      <c r="G393" s="27"/>
      <c r="H393" s="46"/>
      <c r="I393" s="46"/>
    </row>
    <row r="394" ht="12.75" customHeight="1">
      <c r="A394" s="46"/>
      <c r="C394" s="25"/>
      <c r="D394" s="27"/>
      <c r="E394" s="27"/>
      <c r="F394" s="28"/>
      <c r="G394" s="27"/>
      <c r="H394" s="46"/>
      <c r="I394" s="46"/>
    </row>
    <row r="395" ht="12.75" customHeight="1">
      <c r="A395" s="46"/>
      <c r="C395" s="25"/>
      <c r="D395" s="27"/>
      <c r="E395" s="27"/>
      <c r="F395" s="28"/>
      <c r="G395" s="27"/>
      <c r="H395" s="46"/>
      <c r="I395" s="46"/>
    </row>
    <row r="396" ht="12.75" customHeight="1">
      <c r="A396" s="46"/>
      <c r="C396" s="25"/>
      <c r="D396" s="27"/>
      <c r="E396" s="27"/>
      <c r="F396" s="28"/>
      <c r="G396" s="27"/>
      <c r="H396" s="46"/>
      <c r="I396" s="46"/>
    </row>
    <row r="397" ht="12.75" customHeight="1">
      <c r="A397" s="46"/>
      <c r="C397" s="25"/>
      <c r="D397" s="27"/>
      <c r="E397" s="27"/>
      <c r="F397" s="28"/>
      <c r="G397" s="27"/>
      <c r="H397" s="46"/>
      <c r="I397" s="46"/>
    </row>
    <row r="398" ht="12.75" customHeight="1">
      <c r="A398" s="46"/>
      <c r="C398" s="25"/>
      <c r="D398" s="27"/>
      <c r="E398" s="27"/>
      <c r="F398" s="28"/>
      <c r="G398" s="27"/>
      <c r="H398" s="46"/>
      <c r="I398" s="46"/>
    </row>
    <row r="399" ht="12.75" customHeight="1">
      <c r="A399" s="46"/>
      <c r="C399" s="25"/>
      <c r="D399" s="27"/>
      <c r="E399" s="27"/>
      <c r="F399" s="28"/>
      <c r="G399" s="27"/>
      <c r="H399" s="46"/>
      <c r="I399" s="46"/>
    </row>
    <row r="400" ht="12.75" customHeight="1">
      <c r="A400" s="46"/>
      <c r="C400" s="25"/>
      <c r="D400" s="27"/>
      <c r="E400" s="27"/>
      <c r="F400" s="28"/>
      <c r="G400" s="27"/>
      <c r="H400" s="46"/>
      <c r="I400" s="46"/>
    </row>
    <row r="401" ht="12.75" customHeight="1">
      <c r="A401" s="46"/>
      <c r="C401" s="25"/>
      <c r="D401" s="27"/>
      <c r="E401" s="27"/>
      <c r="F401" s="28"/>
      <c r="G401" s="27"/>
      <c r="H401" s="46"/>
      <c r="I401" s="46"/>
    </row>
    <row r="402" ht="12.75" customHeight="1">
      <c r="A402" s="46"/>
      <c r="C402" s="25"/>
      <c r="D402" s="27"/>
      <c r="E402" s="27"/>
      <c r="F402" s="28"/>
      <c r="G402" s="27"/>
      <c r="H402" s="46"/>
      <c r="I402" s="46"/>
    </row>
    <row r="403" ht="12.75" customHeight="1">
      <c r="A403" s="46"/>
      <c r="C403" s="25"/>
      <c r="D403" s="27"/>
      <c r="E403" s="27"/>
      <c r="F403" s="28"/>
      <c r="G403" s="27"/>
      <c r="H403" s="46"/>
      <c r="I403" s="46"/>
    </row>
    <row r="404" ht="12.75" customHeight="1">
      <c r="A404" s="46"/>
      <c r="C404" s="25"/>
      <c r="D404" s="27"/>
      <c r="E404" s="27"/>
      <c r="F404" s="28"/>
      <c r="G404" s="27"/>
      <c r="H404" s="46"/>
      <c r="I404" s="46"/>
    </row>
    <row r="405" ht="12.75" customHeight="1">
      <c r="A405" s="46"/>
      <c r="C405" s="25"/>
      <c r="D405" s="27"/>
      <c r="E405" s="27"/>
      <c r="F405" s="28"/>
      <c r="G405" s="27"/>
      <c r="H405" s="46"/>
      <c r="I405" s="46"/>
    </row>
    <row r="406" ht="12.75" customHeight="1">
      <c r="A406" s="46"/>
      <c r="C406" s="25"/>
      <c r="D406" s="27"/>
      <c r="E406" s="27"/>
      <c r="F406" s="28"/>
      <c r="G406" s="27"/>
      <c r="H406" s="46"/>
      <c r="I406" s="46"/>
    </row>
    <row r="407" ht="12.75" customHeight="1">
      <c r="A407" s="46"/>
      <c r="C407" s="25"/>
      <c r="D407" s="27"/>
      <c r="E407" s="27"/>
      <c r="F407" s="28"/>
      <c r="G407" s="27"/>
      <c r="H407" s="46"/>
      <c r="I407" s="46"/>
    </row>
    <row r="408" ht="12.75" customHeight="1">
      <c r="A408" s="46"/>
      <c r="C408" s="25"/>
      <c r="D408" s="27"/>
      <c r="E408" s="27"/>
      <c r="F408" s="28"/>
      <c r="G408" s="27"/>
      <c r="H408" s="46"/>
      <c r="I408" s="46"/>
    </row>
    <row r="409" ht="12.75" customHeight="1">
      <c r="A409" s="46"/>
      <c r="C409" s="25"/>
      <c r="D409" s="27"/>
      <c r="E409" s="27"/>
      <c r="F409" s="28"/>
      <c r="G409" s="27"/>
      <c r="H409" s="46"/>
      <c r="I409" s="46"/>
    </row>
    <row r="410" ht="12.75" customHeight="1">
      <c r="A410" s="46"/>
      <c r="C410" s="25"/>
      <c r="D410" s="27"/>
      <c r="E410" s="27"/>
      <c r="F410" s="28"/>
      <c r="G410" s="27"/>
      <c r="H410" s="46"/>
      <c r="I410" s="46"/>
    </row>
    <row r="411" ht="12.75" customHeight="1">
      <c r="A411" s="46"/>
      <c r="C411" s="25"/>
      <c r="D411" s="27"/>
      <c r="E411" s="27"/>
      <c r="F411" s="28"/>
      <c r="G411" s="27"/>
      <c r="H411" s="46"/>
      <c r="I411" s="46"/>
    </row>
    <row r="412" ht="12.75" customHeight="1">
      <c r="A412" s="46"/>
      <c r="C412" s="25"/>
      <c r="D412" s="27"/>
      <c r="E412" s="27"/>
      <c r="F412" s="28"/>
      <c r="G412" s="27"/>
      <c r="H412" s="46"/>
      <c r="I412" s="46"/>
    </row>
    <row r="413" ht="12.75" customHeight="1">
      <c r="A413" s="46"/>
      <c r="C413" s="25"/>
      <c r="D413" s="27"/>
      <c r="E413" s="27"/>
      <c r="F413" s="28"/>
      <c r="G413" s="27"/>
      <c r="H413" s="46"/>
      <c r="I413" s="46"/>
    </row>
    <row r="414" ht="12.75" customHeight="1">
      <c r="A414" s="46"/>
      <c r="C414" s="25"/>
      <c r="D414" s="27"/>
      <c r="E414" s="27"/>
      <c r="F414" s="28"/>
      <c r="G414" s="27"/>
      <c r="H414" s="46"/>
      <c r="I414" s="46"/>
    </row>
    <row r="415" ht="12.75" customHeight="1">
      <c r="A415" s="46"/>
      <c r="C415" s="25"/>
      <c r="D415" s="27"/>
      <c r="E415" s="27"/>
      <c r="F415" s="28"/>
      <c r="G415" s="27"/>
      <c r="H415" s="46"/>
      <c r="I415" s="46"/>
    </row>
    <row r="416" ht="12.75" customHeight="1">
      <c r="A416" s="46"/>
      <c r="C416" s="25"/>
      <c r="D416" s="27"/>
      <c r="E416" s="27"/>
      <c r="F416" s="28"/>
      <c r="G416" s="27"/>
      <c r="H416" s="46"/>
      <c r="I416" s="46"/>
    </row>
    <row r="417" ht="12.75" customHeight="1">
      <c r="A417" s="46"/>
      <c r="C417" s="25"/>
      <c r="D417" s="27"/>
      <c r="E417" s="27"/>
      <c r="F417" s="28"/>
      <c r="G417" s="27"/>
      <c r="H417" s="46"/>
      <c r="I417" s="46"/>
    </row>
    <row r="418" ht="12.75" customHeight="1">
      <c r="A418" s="46"/>
      <c r="C418" s="25"/>
      <c r="D418" s="27"/>
      <c r="E418" s="27"/>
      <c r="F418" s="28"/>
      <c r="G418" s="27"/>
      <c r="H418" s="46"/>
      <c r="I418" s="46"/>
    </row>
    <row r="419" ht="12.75" customHeight="1">
      <c r="A419" s="46"/>
      <c r="C419" s="25"/>
      <c r="D419" s="27"/>
      <c r="E419" s="27"/>
      <c r="F419" s="28"/>
      <c r="G419" s="27"/>
      <c r="H419" s="46"/>
      <c r="I419" s="46"/>
    </row>
    <row r="420" ht="12.75" customHeight="1">
      <c r="A420" s="46"/>
      <c r="C420" s="25"/>
      <c r="D420" s="27"/>
      <c r="E420" s="27"/>
      <c r="F420" s="28"/>
      <c r="G420" s="27"/>
      <c r="H420" s="46"/>
      <c r="I420" s="46"/>
    </row>
    <row r="421" ht="12.75" customHeight="1">
      <c r="A421" s="46"/>
      <c r="C421" s="25"/>
      <c r="D421" s="27"/>
      <c r="E421" s="27"/>
      <c r="F421" s="28"/>
      <c r="G421" s="27"/>
      <c r="H421" s="46"/>
      <c r="I421" s="46"/>
    </row>
    <row r="422" ht="12.75" customHeight="1">
      <c r="A422" s="46"/>
      <c r="C422" s="25"/>
      <c r="D422" s="27"/>
      <c r="E422" s="27"/>
      <c r="F422" s="28"/>
      <c r="G422" s="27"/>
      <c r="H422" s="46"/>
      <c r="I422" s="46"/>
    </row>
    <row r="423" ht="12.75" customHeight="1">
      <c r="A423" s="46"/>
      <c r="C423" s="25"/>
      <c r="D423" s="27"/>
      <c r="E423" s="27"/>
      <c r="F423" s="28"/>
      <c r="G423" s="27"/>
      <c r="H423" s="46"/>
      <c r="I423" s="46"/>
    </row>
    <row r="424" ht="12.75" customHeight="1">
      <c r="A424" s="46"/>
      <c r="C424" s="25"/>
      <c r="D424" s="27"/>
      <c r="E424" s="27"/>
      <c r="F424" s="28"/>
      <c r="G424" s="27"/>
      <c r="H424" s="46"/>
      <c r="I424" s="46"/>
    </row>
    <row r="425" ht="12.75" customHeight="1">
      <c r="A425" s="46"/>
      <c r="C425" s="25"/>
      <c r="D425" s="27"/>
      <c r="E425" s="27"/>
      <c r="F425" s="28"/>
      <c r="G425" s="27"/>
      <c r="H425" s="46"/>
      <c r="I425" s="46"/>
    </row>
    <row r="426" ht="12.75" customHeight="1">
      <c r="A426" s="46"/>
      <c r="C426" s="25"/>
      <c r="D426" s="27"/>
      <c r="E426" s="27"/>
      <c r="F426" s="28"/>
      <c r="G426" s="27"/>
      <c r="H426" s="46"/>
      <c r="I426" s="46"/>
    </row>
    <row r="427" ht="12.75" customHeight="1">
      <c r="A427" s="46"/>
      <c r="C427" s="25"/>
      <c r="D427" s="27"/>
      <c r="E427" s="27"/>
      <c r="F427" s="28"/>
      <c r="G427" s="27"/>
      <c r="H427" s="46"/>
      <c r="I427" s="46"/>
    </row>
    <row r="428" ht="12.75" customHeight="1">
      <c r="A428" s="46"/>
      <c r="C428" s="25"/>
      <c r="D428" s="27"/>
      <c r="E428" s="27"/>
      <c r="F428" s="28"/>
      <c r="G428" s="27"/>
      <c r="H428" s="46"/>
      <c r="I428" s="46"/>
    </row>
    <row r="429" ht="12.75" customHeight="1">
      <c r="A429" s="46"/>
      <c r="C429" s="25"/>
      <c r="D429" s="27"/>
      <c r="E429" s="27"/>
      <c r="F429" s="28"/>
      <c r="G429" s="27"/>
      <c r="H429" s="46"/>
      <c r="I429" s="46"/>
    </row>
    <row r="430" ht="12.75" customHeight="1">
      <c r="A430" s="46"/>
      <c r="C430" s="25"/>
      <c r="D430" s="27"/>
      <c r="E430" s="27"/>
      <c r="F430" s="28"/>
      <c r="G430" s="27"/>
      <c r="H430" s="46"/>
      <c r="I430" s="46"/>
    </row>
    <row r="431" ht="12.75" customHeight="1">
      <c r="A431" s="46"/>
      <c r="C431" s="25"/>
      <c r="D431" s="27"/>
      <c r="E431" s="27"/>
      <c r="F431" s="28"/>
      <c r="G431" s="27"/>
      <c r="H431" s="46"/>
      <c r="I431" s="46"/>
    </row>
    <row r="432" ht="12.75" customHeight="1">
      <c r="A432" s="46"/>
      <c r="C432" s="25"/>
      <c r="D432" s="27"/>
      <c r="E432" s="27"/>
      <c r="F432" s="28"/>
      <c r="G432" s="27"/>
      <c r="H432" s="46"/>
      <c r="I432" s="46"/>
    </row>
    <row r="433" ht="12.75" customHeight="1">
      <c r="A433" s="46"/>
      <c r="C433" s="25"/>
      <c r="D433" s="27"/>
      <c r="E433" s="27"/>
      <c r="F433" s="28"/>
      <c r="G433" s="27"/>
      <c r="H433" s="46"/>
      <c r="I433" s="46"/>
    </row>
    <row r="434" ht="12.75" customHeight="1">
      <c r="A434" s="46"/>
      <c r="C434" s="25"/>
      <c r="D434" s="27"/>
      <c r="E434" s="27"/>
      <c r="F434" s="28"/>
      <c r="G434" s="27"/>
      <c r="H434" s="46"/>
      <c r="I434" s="46"/>
    </row>
    <row r="435" ht="12.75" customHeight="1">
      <c r="A435" s="46"/>
      <c r="C435" s="25"/>
      <c r="D435" s="27"/>
      <c r="E435" s="27"/>
      <c r="F435" s="28"/>
      <c r="G435" s="27"/>
      <c r="H435" s="46"/>
      <c r="I435" s="46"/>
    </row>
    <row r="436" ht="12.75" customHeight="1">
      <c r="A436" s="46"/>
      <c r="C436" s="25"/>
      <c r="D436" s="27"/>
      <c r="E436" s="27"/>
      <c r="F436" s="28"/>
      <c r="G436" s="27"/>
      <c r="H436" s="46"/>
      <c r="I436" s="46"/>
    </row>
    <row r="437" ht="12.75" customHeight="1">
      <c r="A437" s="46"/>
      <c r="C437" s="25"/>
      <c r="D437" s="27"/>
      <c r="E437" s="27"/>
      <c r="F437" s="28"/>
      <c r="G437" s="27"/>
      <c r="H437" s="46"/>
      <c r="I437" s="46"/>
    </row>
    <row r="438" ht="12.75" customHeight="1">
      <c r="A438" s="46"/>
      <c r="C438" s="25"/>
      <c r="D438" s="27"/>
      <c r="E438" s="27"/>
      <c r="F438" s="28"/>
      <c r="G438" s="27"/>
      <c r="H438" s="46"/>
      <c r="I438" s="46"/>
    </row>
    <row r="439" ht="12.75" customHeight="1">
      <c r="A439" s="46"/>
      <c r="C439" s="25"/>
      <c r="D439" s="27"/>
      <c r="E439" s="27"/>
      <c r="F439" s="28"/>
      <c r="G439" s="27"/>
      <c r="H439" s="46"/>
      <c r="I439" s="46"/>
    </row>
    <row r="440" ht="12.75" customHeight="1">
      <c r="A440" s="46"/>
      <c r="C440" s="25"/>
      <c r="D440" s="27"/>
      <c r="E440" s="27"/>
      <c r="F440" s="28"/>
      <c r="G440" s="27"/>
      <c r="H440" s="46"/>
      <c r="I440" s="46"/>
    </row>
    <row r="441" ht="12.75" customHeight="1">
      <c r="A441" s="46"/>
      <c r="C441" s="25"/>
      <c r="D441" s="27"/>
      <c r="E441" s="27"/>
      <c r="F441" s="28"/>
      <c r="G441" s="27"/>
      <c r="H441" s="46"/>
      <c r="I441" s="46"/>
    </row>
    <row r="442" ht="12.75" customHeight="1">
      <c r="A442" s="46"/>
      <c r="C442" s="25"/>
      <c r="D442" s="27"/>
      <c r="E442" s="27"/>
      <c r="F442" s="28"/>
      <c r="G442" s="27"/>
      <c r="H442" s="46"/>
      <c r="I442" s="46"/>
    </row>
    <row r="443" ht="12.75" customHeight="1">
      <c r="A443" s="46"/>
      <c r="C443" s="25"/>
      <c r="D443" s="27"/>
      <c r="E443" s="27"/>
      <c r="F443" s="28"/>
      <c r="G443" s="27"/>
      <c r="H443" s="46"/>
      <c r="I443" s="46"/>
    </row>
    <row r="444" ht="12.75" customHeight="1">
      <c r="A444" s="46"/>
      <c r="C444" s="25"/>
      <c r="D444" s="27"/>
      <c r="E444" s="27"/>
      <c r="F444" s="28"/>
      <c r="G444" s="27"/>
      <c r="H444" s="46"/>
      <c r="I444" s="46"/>
    </row>
    <row r="445" ht="12.75" customHeight="1">
      <c r="A445" s="46"/>
      <c r="C445" s="25"/>
      <c r="D445" s="27"/>
      <c r="E445" s="27"/>
      <c r="F445" s="28"/>
      <c r="G445" s="27"/>
      <c r="H445" s="46"/>
      <c r="I445" s="46"/>
    </row>
    <row r="446" ht="12.75" customHeight="1">
      <c r="A446" s="46"/>
      <c r="C446" s="25"/>
      <c r="D446" s="27"/>
      <c r="E446" s="27"/>
      <c r="F446" s="28"/>
      <c r="G446" s="27"/>
      <c r="H446" s="46"/>
      <c r="I446" s="46"/>
    </row>
    <row r="447" ht="12.75" customHeight="1">
      <c r="A447" s="46"/>
      <c r="C447" s="25"/>
      <c r="D447" s="27"/>
      <c r="E447" s="27"/>
      <c r="F447" s="28"/>
      <c r="G447" s="27"/>
      <c r="H447" s="46"/>
      <c r="I447" s="46"/>
    </row>
    <row r="448" ht="12.75" customHeight="1">
      <c r="A448" s="46"/>
      <c r="C448" s="25"/>
      <c r="D448" s="27"/>
      <c r="E448" s="27"/>
      <c r="F448" s="28"/>
      <c r="G448" s="27"/>
      <c r="H448" s="46"/>
      <c r="I448" s="46"/>
    </row>
    <row r="449" ht="12.75" customHeight="1">
      <c r="A449" s="46"/>
      <c r="C449" s="25"/>
      <c r="D449" s="27"/>
      <c r="E449" s="27"/>
      <c r="F449" s="28"/>
      <c r="G449" s="27"/>
      <c r="H449" s="46"/>
      <c r="I449" s="46"/>
    </row>
    <row r="450" ht="12.75" customHeight="1">
      <c r="A450" s="46"/>
      <c r="C450" s="25"/>
      <c r="D450" s="27"/>
      <c r="E450" s="27"/>
      <c r="F450" s="28"/>
      <c r="G450" s="27"/>
      <c r="H450" s="46"/>
      <c r="I450" s="46"/>
    </row>
    <row r="451" ht="12.75" customHeight="1">
      <c r="A451" s="46"/>
      <c r="C451" s="25"/>
      <c r="D451" s="27"/>
      <c r="E451" s="27"/>
      <c r="F451" s="28"/>
      <c r="G451" s="27"/>
      <c r="H451" s="46"/>
      <c r="I451" s="46"/>
    </row>
    <row r="452" ht="12.75" customHeight="1">
      <c r="A452" s="46"/>
      <c r="C452" s="25"/>
      <c r="D452" s="27"/>
      <c r="E452" s="27"/>
      <c r="F452" s="28"/>
      <c r="G452" s="27"/>
      <c r="H452" s="46"/>
      <c r="I452" s="46"/>
    </row>
    <row r="453" ht="12.75" customHeight="1">
      <c r="A453" s="46"/>
      <c r="C453" s="25"/>
      <c r="D453" s="27"/>
      <c r="E453" s="27"/>
      <c r="F453" s="28"/>
      <c r="G453" s="27"/>
      <c r="H453" s="46"/>
      <c r="I453" s="46"/>
    </row>
    <row r="454" ht="12.75" customHeight="1">
      <c r="A454" s="46"/>
      <c r="C454" s="25"/>
      <c r="D454" s="27"/>
      <c r="E454" s="27"/>
      <c r="F454" s="28"/>
      <c r="G454" s="27"/>
      <c r="H454" s="46"/>
      <c r="I454" s="46"/>
    </row>
    <row r="455" ht="12.75" customHeight="1">
      <c r="A455" s="46"/>
      <c r="C455" s="25"/>
      <c r="D455" s="27"/>
      <c r="E455" s="27"/>
      <c r="F455" s="28"/>
      <c r="G455" s="27"/>
      <c r="H455" s="46"/>
      <c r="I455" s="46"/>
    </row>
    <row r="456" ht="12.75" customHeight="1">
      <c r="A456" s="46"/>
      <c r="C456" s="25"/>
      <c r="D456" s="27"/>
      <c r="E456" s="27"/>
      <c r="F456" s="28"/>
      <c r="G456" s="27"/>
      <c r="H456" s="46"/>
      <c r="I456" s="46"/>
    </row>
    <row r="457" ht="12.75" customHeight="1">
      <c r="A457" s="46"/>
      <c r="C457" s="25"/>
      <c r="D457" s="27"/>
      <c r="E457" s="27"/>
      <c r="F457" s="28"/>
      <c r="G457" s="27"/>
      <c r="H457" s="46"/>
      <c r="I457" s="46"/>
    </row>
    <row r="458" ht="12.75" customHeight="1">
      <c r="A458" s="46"/>
      <c r="C458" s="25"/>
      <c r="D458" s="27"/>
      <c r="E458" s="27"/>
      <c r="F458" s="28"/>
      <c r="G458" s="27"/>
      <c r="H458" s="46"/>
      <c r="I458" s="46"/>
    </row>
    <row r="459" ht="12.75" customHeight="1">
      <c r="A459" s="46"/>
      <c r="C459" s="25"/>
      <c r="D459" s="27"/>
      <c r="E459" s="27"/>
      <c r="F459" s="28"/>
      <c r="G459" s="27"/>
      <c r="H459" s="46"/>
      <c r="I459" s="46"/>
    </row>
    <row r="460" ht="12.75" customHeight="1">
      <c r="A460" s="46"/>
      <c r="C460" s="25"/>
      <c r="D460" s="27"/>
      <c r="E460" s="27"/>
      <c r="F460" s="28"/>
      <c r="G460" s="27"/>
      <c r="H460" s="46"/>
      <c r="I460" s="46"/>
    </row>
    <row r="461" ht="12.75" customHeight="1">
      <c r="A461" s="46"/>
      <c r="C461" s="25"/>
      <c r="D461" s="27"/>
      <c r="E461" s="27"/>
      <c r="F461" s="28"/>
      <c r="G461" s="27"/>
      <c r="H461" s="46"/>
      <c r="I461" s="46"/>
    </row>
    <row r="462" ht="12.75" customHeight="1">
      <c r="A462" s="46"/>
      <c r="C462" s="25"/>
      <c r="D462" s="27"/>
      <c r="E462" s="27"/>
      <c r="F462" s="28"/>
      <c r="G462" s="27"/>
      <c r="H462" s="46"/>
      <c r="I462" s="46"/>
    </row>
    <row r="463" ht="12.75" customHeight="1">
      <c r="A463" s="46"/>
      <c r="C463" s="25"/>
      <c r="D463" s="27"/>
      <c r="E463" s="27"/>
      <c r="F463" s="28"/>
      <c r="G463" s="27"/>
      <c r="H463" s="46"/>
      <c r="I463" s="46"/>
    </row>
    <row r="464" ht="12.75" customHeight="1">
      <c r="A464" s="46"/>
      <c r="C464" s="25"/>
      <c r="D464" s="27"/>
      <c r="E464" s="27"/>
      <c r="F464" s="28"/>
      <c r="G464" s="27"/>
      <c r="H464" s="46"/>
      <c r="I464" s="46"/>
    </row>
    <row r="465" ht="12.75" customHeight="1">
      <c r="A465" s="46"/>
      <c r="C465" s="25"/>
      <c r="D465" s="27"/>
      <c r="E465" s="27"/>
      <c r="F465" s="28"/>
      <c r="G465" s="27"/>
      <c r="H465" s="46"/>
      <c r="I465" s="46"/>
    </row>
    <row r="466" ht="12.75" customHeight="1">
      <c r="A466" s="46"/>
      <c r="C466" s="25"/>
      <c r="D466" s="27"/>
      <c r="E466" s="27"/>
      <c r="F466" s="28"/>
      <c r="G466" s="27"/>
      <c r="H466" s="46"/>
      <c r="I466" s="46"/>
    </row>
    <row r="467" ht="12.75" customHeight="1">
      <c r="A467" s="46"/>
      <c r="C467" s="25"/>
      <c r="D467" s="27"/>
      <c r="E467" s="27"/>
      <c r="F467" s="28"/>
      <c r="G467" s="27"/>
      <c r="H467" s="46"/>
      <c r="I467" s="46"/>
    </row>
    <row r="468" ht="12.75" customHeight="1">
      <c r="A468" s="46"/>
      <c r="C468" s="25"/>
      <c r="D468" s="27"/>
      <c r="E468" s="27"/>
      <c r="F468" s="28"/>
      <c r="G468" s="27"/>
      <c r="H468" s="46"/>
      <c r="I468" s="46"/>
    </row>
    <row r="469" ht="12.75" customHeight="1">
      <c r="A469" s="46"/>
      <c r="C469" s="25"/>
      <c r="D469" s="27"/>
      <c r="E469" s="27"/>
      <c r="F469" s="28"/>
      <c r="G469" s="27"/>
      <c r="H469" s="46"/>
      <c r="I469" s="46"/>
    </row>
    <row r="470" ht="12.75" customHeight="1">
      <c r="A470" s="46"/>
      <c r="C470" s="25"/>
      <c r="D470" s="27"/>
      <c r="E470" s="27"/>
      <c r="F470" s="28"/>
      <c r="G470" s="27"/>
      <c r="H470" s="46"/>
      <c r="I470" s="46"/>
    </row>
    <row r="471" ht="12.75" customHeight="1">
      <c r="A471" s="46"/>
      <c r="C471" s="25"/>
      <c r="D471" s="27"/>
      <c r="E471" s="27"/>
      <c r="F471" s="28"/>
      <c r="G471" s="27"/>
      <c r="H471" s="46"/>
      <c r="I471" s="46"/>
    </row>
    <row r="472" ht="12.75" customHeight="1">
      <c r="A472" s="46"/>
      <c r="C472" s="25"/>
      <c r="D472" s="27"/>
      <c r="E472" s="27"/>
      <c r="F472" s="28"/>
      <c r="G472" s="27"/>
      <c r="H472" s="46"/>
      <c r="I472" s="46"/>
    </row>
    <row r="473" ht="12.75" customHeight="1">
      <c r="A473" s="46"/>
      <c r="C473" s="25"/>
      <c r="D473" s="27"/>
      <c r="E473" s="27"/>
      <c r="F473" s="28"/>
      <c r="G473" s="27"/>
      <c r="H473" s="46"/>
      <c r="I473" s="46"/>
    </row>
    <row r="474" ht="12.75" customHeight="1">
      <c r="A474" s="46"/>
      <c r="C474" s="25"/>
      <c r="D474" s="27"/>
      <c r="E474" s="27"/>
      <c r="F474" s="28"/>
      <c r="G474" s="27"/>
      <c r="H474" s="46"/>
      <c r="I474" s="46"/>
    </row>
    <row r="475" ht="12.75" customHeight="1">
      <c r="A475" s="46"/>
      <c r="C475" s="25"/>
      <c r="D475" s="27"/>
      <c r="E475" s="27"/>
      <c r="F475" s="28"/>
      <c r="G475" s="27"/>
      <c r="H475" s="46"/>
      <c r="I475" s="46"/>
    </row>
    <row r="476" ht="12.75" customHeight="1">
      <c r="A476" s="46"/>
      <c r="C476" s="25"/>
      <c r="D476" s="27"/>
      <c r="E476" s="27"/>
      <c r="F476" s="28"/>
      <c r="G476" s="27"/>
      <c r="H476" s="46"/>
      <c r="I476" s="46"/>
    </row>
    <row r="477" ht="12.75" customHeight="1">
      <c r="A477" s="46"/>
      <c r="C477" s="25"/>
      <c r="D477" s="27"/>
      <c r="E477" s="27"/>
      <c r="F477" s="28"/>
      <c r="G477" s="27"/>
      <c r="H477" s="46"/>
      <c r="I477" s="46"/>
    </row>
    <row r="478" ht="12.75" customHeight="1">
      <c r="A478" s="46"/>
      <c r="C478" s="25"/>
      <c r="D478" s="27"/>
      <c r="E478" s="27"/>
      <c r="F478" s="28"/>
      <c r="G478" s="27"/>
      <c r="H478" s="46"/>
      <c r="I478" s="46"/>
    </row>
    <row r="479" ht="12.75" customHeight="1">
      <c r="A479" s="46"/>
      <c r="C479" s="25"/>
      <c r="D479" s="27"/>
      <c r="E479" s="27"/>
      <c r="F479" s="28"/>
      <c r="G479" s="27"/>
      <c r="H479" s="46"/>
      <c r="I479" s="46"/>
    </row>
    <row r="480" ht="12.75" customHeight="1">
      <c r="A480" s="46"/>
      <c r="C480" s="25"/>
      <c r="D480" s="27"/>
      <c r="E480" s="27"/>
      <c r="F480" s="28"/>
      <c r="G480" s="27"/>
      <c r="H480" s="46"/>
      <c r="I480" s="46"/>
    </row>
    <row r="481" ht="12.75" customHeight="1">
      <c r="A481" s="46"/>
      <c r="C481" s="25"/>
      <c r="D481" s="27"/>
      <c r="E481" s="27"/>
      <c r="F481" s="28"/>
      <c r="G481" s="27"/>
      <c r="H481" s="46"/>
      <c r="I481" s="46"/>
    </row>
    <row r="482" ht="12.75" customHeight="1">
      <c r="A482" s="46"/>
      <c r="C482" s="25"/>
      <c r="D482" s="27"/>
      <c r="E482" s="27"/>
      <c r="F482" s="28"/>
      <c r="G482" s="27"/>
      <c r="H482" s="46"/>
      <c r="I482" s="46"/>
    </row>
    <row r="483" ht="12.75" customHeight="1">
      <c r="A483" s="46"/>
      <c r="C483" s="25"/>
      <c r="D483" s="27"/>
      <c r="E483" s="27"/>
      <c r="F483" s="28"/>
      <c r="G483" s="27"/>
      <c r="H483" s="46"/>
      <c r="I483" s="46"/>
    </row>
    <row r="484" ht="12.75" customHeight="1">
      <c r="A484" s="46"/>
      <c r="C484" s="25"/>
      <c r="D484" s="27"/>
      <c r="E484" s="27"/>
      <c r="F484" s="28"/>
      <c r="G484" s="27"/>
      <c r="H484" s="46"/>
      <c r="I484" s="46"/>
    </row>
    <row r="485" ht="12.75" customHeight="1">
      <c r="A485" s="46"/>
      <c r="C485" s="25"/>
      <c r="D485" s="27"/>
      <c r="E485" s="27"/>
      <c r="F485" s="28"/>
      <c r="G485" s="27"/>
      <c r="H485" s="46"/>
      <c r="I485" s="46"/>
    </row>
    <row r="486" ht="12.75" customHeight="1">
      <c r="A486" s="46"/>
      <c r="C486" s="25"/>
      <c r="D486" s="27"/>
      <c r="E486" s="27"/>
      <c r="F486" s="28"/>
      <c r="G486" s="27"/>
      <c r="H486" s="46"/>
      <c r="I486" s="46"/>
    </row>
    <row r="487" ht="12.75" customHeight="1">
      <c r="A487" s="46"/>
      <c r="C487" s="25"/>
      <c r="D487" s="27"/>
      <c r="E487" s="27"/>
      <c r="F487" s="28"/>
      <c r="G487" s="27"/>
      <c r="H487" s="46"/>
      <c r="I487" s="46"/>
    </row>
    <row r="488" ht="12.75" customHeight="1">
      <c r="A488" s="46"/>
      <c r="C488" s="25"/>
      <c r="D488" s="27"/>
      <c r="E488" s="27"/>
      <c r="F488" s="28"/>
      <c r="G488" s="27"/>
      <c r="H488" s="46"/>
      <c r="I488" s="46"/>
    </row>
    <row r="489" ht="12.75" customHeight="1">
      <c r="A489" s="46"/>
      <c r="C489" s="25"/>
      <c r="D489" s="27"/>
      <c r="E489" s="27"/>
      <c r="F489" s="28"/>
      <c r="G489" s="27"/>
      <c r="H489" s="46"/>
      <c r="I489" s="46"/>
    </row>
    <row r="490" ht="12.75" customHeight="1">
      <c r="A490" s="46"/>
      <c r="C490" s="25"/>
      <c r="D490" s="27"/>
      <c r="E490" s="27"/>
      <c r="F490" s="28"/>
      <c r="G490" s="27"/>
      <c r="H490" s="46"/>
      <c r="I490" s="46"/>
    </row>
    <row r="491" ht="12.75" customHeight="1">
      <c r="A491" s="46"/>
      <c r="C491" s="25"/>
      <c r="D491" s="27"/>
      <c r="E491" s="27"/>
      <c r="F491" s="28"/>
      <c r="G491" s="27"/>
      <c r="H491" s="46"/>
      <c r="I491" s="46"/>
    </row>
    <row r="492" ht="12.75" customHeight="1">
      <c r="A492" s="46"/>
      <c r="C492" s="25"/>
      <c r="D492" s="27"/>
      <c r="E492" s="27"/>
      <c r="F492" s="28"/>
      <c r="G492" s="27"/>
      <c r="H492" s="46"/>
      <c r="I492" s="46"/>
    </row>
    <row r="493" ht="12.75" customHeight="1">
      <c r="A493" s="46"/>
      <c r="C493" s="25"/>
      <c r="D493" s="27"/>
      <c r="E493" s="27"/>
      <c r="F493" s="28"/>
      <c r="G493" s="27"/>
      <c r="H493" s="46"/>
      <c r="I493" s="46"/>
    </row>
    <row r="494" ht="12.75" customHeight="1">
      <c r="A494" s="46"/>
      <c r="C494" s="25"/>
      <c r="D494" s="27"/>
      <c r="E494" s="27"/>
      <c r="F494" s="28"/>
      <c r="G494" s="27"/>
      <c r="H494" s="46"/>
      <c r="I494" s="46"/>
    </row>
    <row r="495" ht="12.75" customHeight="1">
      <c r="A495" s="46"/>
      <c r="C495" s="25"/>
      <c r="D495" s="27"/>
      <c r="E495" s="27"/>
      <c r="F495" s="28"/>
      <c r="G495" s="27"/>
      <c r="H495" s="46"/>
      <c r="I495" s="46"/>
    </row>
    <row r="496" ht="12.75" customHeight="1">
      <c r="A496" s="46"/>
      <c r="C496" s="25"/>
      <c r="D496" s="27"/>
      <c r="E496" s="27"/>
      <c r="F496" s="28"/>
      <c r="G496" s="27"/>
      <c r="H496" s="46"/>
      <c r="I496" s="46"/>
    </row>
    <row r="497" ht="12.75" customHeight="1">
      <c r="A497" s="46"/>
      <c r="C497" s="25"/>
      <c r="D497" s="27"/>
      <c r="E497" s="27"/>
      <c r="F497" s="28"/>
      <c r="G497" s="27"/>
      <c r="H497" s="46"/>
      <c r="I497" s="46"/>
    </row>
    <row r="498" ht="12.75" customHeight="1">
      <c r="A498" s="46"/>
      <c r="C498" s="25"/>
      <c r="D498" s="27"/>
      <c r="E498" s="27"/>
      <c r="F498" s="28"/>
      <c r="G498" s="27"/>
      <c r="H498" s="46"/>
      <c r="I498" s="46"/>
    </row>
    <row r="499" ht="12.75" customHeight="1">
      <c r="A499" s="46"/>
      <c r="C499" s="25"/>
      <c r="D499" s="27"/>
      <c r="E499" s="27"/>
      <c r="F499" s="28"/>
      <c r="G499" s="27"/>
      <c r="H499" s="46"/>
      <c r="I499" s="46"/>
    </row>
    <row r="500" ht="12.75" customHeight="1">
      <c r="A500" s="46"/>
      <c r="C500" s="25"/>
      <c r="D500" s="27"/>
      <c r="E500" s="27"/>
      <c r="F500" s="28"/>
      <c r="G500" s="27"/>
      <c r="H500" s="46"/>
      <c r="I500" s="46"/>
    </row>
    <row r="501" ht="12.75" customHeight="1">
      <c r="A501" s="46"/>
      <c r="C501" s="25"/>
      <c r="D501" s="27"/>
      <c r="E501" s="27"/>
      <c r="F501" s="28"/>
      <c r="G501" s="27"/>
      <c r="H501" s="46"/>
      <c r="I501" s="46"/>
    </row>
    <row r="502" ht="12.75" customHeight="1">
      <c r="A502" s="46"/>
      <c r="C502" s="25"/>
      <c r="D502" s="27"/>
      <c r="E502" s="27"/>
      <c r="F502" s="28"/>
      <c r="G502" s="27"/>
      <c r="H502" s="46"/>
      <c r="I502" s="46"/>
    </row>
    <row r="503" ht="12.75" customHeight="1">
      <c r="A503" s="46"/>
      <c r="C503" s="25"/>
      <c r="D503" s="27"/>
      <c r="E503" s="27"/>
      <c r="F503" s="28"/>
      <c r="G503" s="27"/>
      <c r="H503" s="46"/>
      <c r="I503" s="46"/>
    </row>
    <row r="504" ht="12.75" customHeight="1">
      <c r="A504" s="46"/>
      <c r="C504" s="25"/>
      <c r="D504" s="27"/>
      <c r="E504" s="27"/>
      <c r="F504" s="28"/>
      <c r="G504" s="27"/>
      <c r="H504" s="46"/>
      <c r="I504" s="46"/>
    </row>
    <row r="505" ht="12.75" customHeight="1">
      <c r="A505" s="46"/>
      <c r="C505" s="25"/>
      <c r="D505" s="27"/>
      <c r="E505" s="27"/>
      <c r="F505" s="28"/>
      <c r="G505" s="27"/>
      <c r="H505" s="46"/>
      <c r="I505" s="46"/>
    </row>
    <row r="506" ht="12.75" customHeight="1">
      <c r="A506" s="46"/>
      <c r="C506" s="25"/>
      <c r="D506" s="27"/>
      <c r="E506" s="27"/>
      <c r="F506" s="28"/>
      <c r="G506" s="27"/>
      <c r="H506" s="46"/>
      <c r="I506" s="46"/>
    </row>
    <row r="507" ht="12.75" customHeight="1">
      <c r="A507" s="46"/>
      <c r="C507" s="25"/>
      <c r="D507" s="27"/>
      <c r="E507" s="27"/>
      <c r="F507" s="28"/>
      <c r="G507" s="27"/>
      <c r="H507" s="46"/>
      <c r="I507" s="46"/>
    </row>
    <row r="508" ht="12.75" customHeight="1">
      <c r="A508" s="46"/>
      <c r="C508" s="25"/>
      <c r="D508" s="27"/>
      <c r="E508" s="27"/>
      <c r="F508" s="28"/>
      <c r="G508" s="27"/>
      <c r="H508" s="46"/>
      <c r="I508" s="46"/>
    </row>
    <row r="509" ht="12.75" customHeight="1">
      <c r="A509" s="46"/>
      <c r="C509" s="25"/>
      <c r="D509" s="27"/>
      <c r="E509" s="27"/>
      <c r="F509" s="28"/>
      <c r="G509" s="27"/>
      <c r="H509" s="46"/>
      <c r="I509" s="46"/>
    </row>
    <row r="510" ht="12.75" customHeight="1">
      <c r="A510" s="46"/>
      <c r="C510" s="25"/>
      <c r="D510" s="27"/>
      <c r="E510" s="27"/>
      <c r="F510" s="28"/>
      <c r="G510" s="27"/>
      <c r="H510" s="46"/>
      <c r="I510" s="46"/>
    </row>
    <row r="511" ht="12.75" customHeight="1">
      <c r="A511" s="46"/>
      <c r="C511" s="25"/>
      <c r="D511" s="27"/>
      <c r="E511" s="27"/>
      <c r="F511" s="28"/>
      <c r="G511" s="27"/>
      <c r="H511" s="46"/>
      <c r="I511" s="46"/>
    </row>
    <row r="512" ht="12.75" customHeight="1">
      <c r="A512" s="46"/>
      <c r="C512" s="25"/>
      <c r="D512" s="27"/>
      <c r="E512" s="27"/>
      <c r="F512" s="28"/>
      <c r="G512" s="27"/>
      <c r="H512" s="46"/>
      <c r="I512" s="46"/>
    </row>
    <row r="513" ht="12.75" customHeight="1">
      <c r="A513" s="46"/>
      <c r="C513" s="25"/>
      <c r="D513" s="27"/>
      <c r="E513" s="27"/>
      <c r="F513" s="28"/>
      <c r="G513" s="27"/>
      <c r="H513" s="46"/>
      <c r="I513" s="46"/>
    </row>
    <row r="514" ht="12.75" customHeight="1">
      <c r="A514" s="46"/>
      <c r="C514" s="25"/>
      <c r="D514" s="27"/>
      <c r="E514" s="27"/>
      <c r="F514" s="28"/>
      <c r="G514" s="27"/>
      <c r="H514" s="46"/>
      <c r="I514" s="46"/>
    </row>
    <row r="515" ht="12.75" customHeight="1">
      <c r="A515" s="46"/>
      <c r="C515" s="25"/>
      <c r="D515" s="27"/>
      <c r="E515" s="27"/>
      <c r="F515" s="28"/>
      <c r="G515" s="27"/>
      <c r="H515" s="46"/>
      <c r="I515" s="46"/>
    </row>
    <row r="516" ht="12.75" customHeight="1">
      <c r="A516" s="46"/>
      <c r="C516" s="25"/>
      <c r="D516" s="27"/>
      <c r="E516" s="27"/>
      <c r="F516" s="28"/>
      <c r="G516" s="27"/>
      <c r="H516" s="46"/>
      <c r="I516" s="46"/>
    </row>
    <row r="517" ht="12.75" customHeight="1">
      <c r="A517" s="46"/>
      <c r="C517" s="25"/>
      <c r="D517" s="27"/>
      <c r="E517" s="27"/>
      <c r="F517" s="28"/>
      <c r="G517" s="27"/>
      <c r="H517" s="46"/>
      <c r="I517" s="46"/>
    </row>
    <row r="518" ht="12.75" customHeight="1">
      <c r="A518" s="46"/>
      <c r="C518" s="25"/>
      <c r="D518" s="27"/>
      <c r="E518" s="27"/>
      <c r="F518" s="28"/>
      <c r="G518" s="27"/>
      <c r="H518" s="46"/>
      <c r="I518" s="46"/>
    </row>
    <row r="519" ht="12.75" customHeight="1">
      <c r="A519" s="46"/>
      <c r="C519" s="25"/>
      <c r="D519" s="27"/>
      <c r="E519" s="27"/>
      <c r="F519" s="28"/>
      <c r="G519" s="27"/>
      <c r="H519" s="46"/>
      <c r="I519" s="46"/>
    </row>
    <row r="520" ht="12.75" customHeight="1">
      <c r="A520" s="46"/>
      <c r="C520" s="25"/>
      <c r="D520" s="27"/>
      <c r="E520" s="27"/>
      <c r="F520" s="28"/>
      <c r="G520" s="27"/>
      <c r="H520" s="46"/>
      <c r="I520" s="46"/>
    </row>
    <row r="521" ht="12.75" customHeight="1">
      <c r="A521" s="46"/>
      <c r="C521" s="25"/>
      <c r="D521" s="27"/>
      <c r="E521" s="27"/>
      <c r="F521" s="28"/>
      <c r="G521" s="27"/>
      <c r="H521" s="46"/>
      <c r="I521" s="46"/>
    </row>
    <row r="522" ht="12.75" customHeight="1">
      <c r="A522" s="46"/>
      <c r="C522" s="25"/>
      <c r="D522" s="27"/>
      <c r="E522" s="27"/>
      <c r="F522" s="28"/>
      <c r="G522" s="27"/>
      <c r="H522" s="46"/>
      <c r="I522" s="46"/>
    </row>
    <row r="523" ht="12.75" customHeight="1">
      <c r="A523" s="46"/>
      <c r="C523" s="25"/>
      <c r="D523" s="27"/>
      <c r="E523" s="27"/>
      <c r="F523" s="28"/>
      <c r="G523" s="27"/>
      <c r="H523" s="46"/>
      <c r="I523" s="46"/>
    </row>
    <row r="524" ht="12.75" customHeight="1">
      <c r="A524" s="46"/>
      <c r="C524" s="25"/>
      <c r="D524" s="27"/>
      <c r="E524" s="27"/>
      <c r="F524" s="28"/>
      <c r="G524" s="27"/>
      <c r="H524" s="46"/>
      <c r="I524" s="46"/>
    </row>
    <row r="525" ht="12.75" customHeight="1">
      <c r="A525" s="46"/>
      <c r="C525" s="25"/>
      <c r="D525" s="27"/>
      <c r="E525" s="27"/>
      <c r="F525" s="28"/>
      <c r="G525" s="27"/>
      <c r="H525" s="46"/>
      <c r="I525" s="46"/>
    </row>
    <row r="526" ht="12.75" customHeight="1">
      <c r="A526" s="46"/>
      <c r="C526" s="25"/>
      <c r="D526" s="27"/>
      <c r="E526" s="27"/>
      <c r="F526" s="28"/>
      <c r="G526" s="27"/>
      <c r="H526" s="46"/>
      <c r="I526" s="46"/>
    </row>
    <row r="527" ht="12.75" customHeight="1">
      <c r="A527" s="46"/>
      <c r="C527" s="25"/>
      <c r="D527" s="27"/>
      <c r="E527" s="27"/>
      <c r="F527" s="28"/>
      <c r="G527" s="27"/>
      <c r="H527" s="46"/>
      <c r="I527" s="46"/>
    </row>
    <row r="528" ht="12.75" customHeight="1">
      <c r="A528" s="46"/>
      <c r="C528" s="25"/>
      <c r="D528" s="27"/>
      <c r="E528" s="27"/>
      <c r="F528" s="28"/>
      <c r="G528" s="27"/>
      <c r="H528" s="46"/>
      <c r="I528" s="46"/>
    </row>
    <row r="529" ht="12.75" customHeight="1">
      <c r="A529" s="46"/>
      <c r="C529" s="25"/>
      <c r="D529" s="27"/>
      <c r="E529" s="27"/>
      <c r="F529" s="28"/>
      <c r="G529" s="27"/>
      <c r="H529" s="46"/>
      <c r="I529" s="46"/>
    </row>
    <row r="530" ht="12.75" customHeight="1">
      <c r="A530" s="46"/>
      <c r="C530" s="25"/>
      <c r="D530" s="27"/>
      <c r="E530" s="27"/>
      <c r="F530" s="28"/>
      <c r="G530" s="27"/>
      <c r="H530" s="46"/>
      <c r="I530" s="46"/>
    </row>
    <row r="531" ht="12.75" customHeight="1">
      <c r="A531" s="46"/>
      <c r="C531" s="25"/>
      <c r="D531" s="27"/>
      <c r="E531" s="27"/>
      <c r="F531" s="28"/>
      <c r="G531" s="27"/>
      <c r="H531" s="46"/>
      <c r="I531" s="46"/>
    </row>
    <row r="532" ht="12.75" customHeight="1">
      <c r="A532" s="46"/>
      <c r="C532" s="25"/>
      <c r="D532" s="27"/>
      <c r="E532" s="27"/>
      <c r="F532" s="28"/>
      <c r="G532" s="27"/>
      <c r="H532" s="46"/>
      <c r="I532" s="46"/>
    </row>
    <row r="533" ht="12.75" customHeight="1">
      <c r="A533" s="46"/>
      <c r="C533" s="25"/>
      <c r="D533" s="27"/>
      <c r="E533" s="27"/>
      <c r="F533" s="28"/>
      <c r="G533" s="27"/>
      <c r="H533" s="46"/>
      <c r="I533" s="46"/>
    </row>
    <row r="534" ht="12.75" customHeight="1">
      <c r="A534" s="46"/>
      <c r="C534" s="25"/>
      <c r="D534" s="27"/>
      <c r="E534" s="27"/>
      <c r="F534" s="28"/>
      <c r="G534" s="27"/>
      <c r="H534" s="46"/>
      <c r="I534" s="46"/>
    </row>
    <row r="535" ht="12.75" customHeight="1">
      <c r="A535" s="46"/>
      <c r="C535" s="25"/>
      <c r="D535" s="27"/>
      <c r="E535" s="27"/>
      <c r="F535" s="28"/>
      <c r="G535" s="27"/>
      <c r="H535" s="46"/>
      <c r="I535" s="46"/>
    </row>
    <row r="536" ht="12.75" customHeight="1">
      <c r="A536" s="46"/>
      <c r="C536" s="25"/>
      <c r="D536" s="27"/>
      <c r="E536" s="27"/>
      <c r="F536" s="28"/>
      <c r="G536" s="27"/>
      <c r="H536" s="46"/>
      <c r="I536" s="46"/>
    </row>
    <row r="537" ht="12.75" customHeight="1">
      <c r="A537" s="46"/>
      <c r="C537" s="25"/>
      <c r="D537" s="27"/>
      <c r="E537" s="27"/>
      <c r="F537" s="28"/>
      <c r="G537" s="27"/>
      <c r="H537" s="46"/>
      <c r="I537" s="46"/>
    </row>
    <row r="538" ht="12.75" customHeight="1">
      <c r="A538" s="46"/>
      <c r="C538" s="25"/>
      <c r="D538" s="27"/>
      <c r="E538" s="27"/>
      <c r="F538" s="28"/>
      <c r="G538" s="27"/>
      <c r="H538" s="46"/>
      <c r="I538" s="46"/>
    </row>
    <row r="539" ht="12.75" customHeight="1">
      <c r="A539" s="46"/>
      <c r="C539" s="25"/>
      <c r="D539" s="27"/>
      <c r="E539" s="27"/>
      <c r="F539" s="28"/>
      <c r="G539" s="27"/>
      <c r="H539" s="46"/>
      <c r="I539" s="46"/>
    </row>
    <row r="540" ht="12.75" customHeight="1">
      <c r="A540" s="46"/>
      <c r="C540" s="25"/>
      <c r="D540" s="27"/>
      <c r="E540" s="27"/>
      <c r="F540" s="28"/>
      <c r="G540" s="27"/>
      <c r="H540" s="46"/>
      <c r="I540" s="46"/>
    </row>
    <row r="541" ht="12.75" customHeight="1">
      <c r="A541" s="46"/>
      <c r="C541" s="25"/>
      <c r="D541" s="27"/>
      <c r="E541" s="27"/>
      <c r="F541" s="28"/>
      <c r="G541" s="27"/>
      <c r="H541" s="46"/>
      <c r="I541" s="46"/>
    </row>
    <row r="542" ht="12.75" customHeight="1">
      <c r="A542" s="46"/>
      <c r="C542" s="25"/>
      <c r="D542" s="27"/>
      <c r="E542" s="27"/>
      <c r="F542" s="28"/>
      <c r="G542" s="27"/>
      <c r="H542" s="46"/>
      <c r="I542" s="46"/>
    </row>
    <row r="543" ht="12.75" customHeight="1">
      <c r="A543" s="46"/>
      <c r="C543" s="25"/>
      <c r="D543" s="27"/>
      <c r="E543" s="27"/>
      <c r="F543" s="28"/>
      <c r="G543" s="27"/>
      <c r="H543" s="46"/>
      <c r="I543" s="46"/>
    </row>
    <row r="544" ht="12.75" customHeight="1">
      <c r="A544" s="46"/>
      <c r="C544" s="25"/>
      <c r="D544" s="27"/>
      <c r="E544" s="27"/>
      <c r="F544" s="28"/>
      <c r="G544" s="27"/>
      <c r="H544" s="46"/>
      <c r="I544" s="46"/>
    </row>
    <row r="545" ht="12.75" customHeight="1">
      <c r="A545" s="46"/>
      <c r="C545" s="25"/>
      <c r="D545" s="27"/>
      <c r="E545" s="27"/>
      <c r="F545" s="28"/>
      <c r="G545" s="27"/>
      <c r="H545" s="46"/>
      <c r="I545" s="46"/>
    </row>
    <row r="546" ht="12.75" customHeight="1">
      <c r="A546" s="46"/>
      <c r="C546" s="25"/>
      <c r="D546" s="27"/>
      <c r="E546" s="27"/>
      <c r="F546" s="28"/>
      <c r="G546" s="27"/>
      <c r="H546" s="46"/>
      <c r="I546" s="46"/>
    </row>
    <row r="547" ht="12.75" customHeight="1">
      <c r="A547" s="46"/>
      <c r="C547" s="25"/>
      <c r="D547" s="27"/>
      <c r="E547" s="27"/>
      <c r="F547" s="28"/>
      <c r="G547" s="27"/>
      <c r="H547" s="46"/>
      <c r="I547" s="46"/>
    </row>
    <row r="548" ht="12.75" customHeight="1">
      <c r="A548" s="46"/>
      <c r="C548" s="25"/>
      <c r="D548" s="27"/>
      <c r="E548" s="27"/>
      <c r="F548" s="28"/>
      <c r="G548" s="27"/>
      <c r="H548" s="46"/>
      <c r="I548" s="46"/>
    </row>
    <row r="549" ht="12.75" customHeight="1">
      <c r="A549" s="46"/>
      <c r="C549" s="25"/>
      <c r="D549" s="27"/>
      <c r="E549" s="27"/>
      <c r="F549" s="28"/>
      <c r="G549" s="27"/>
      <c r="H549" s="46"/>
      <c r="I549" s="46"/>
    </row>
    <row r="550" ht="12.75" customHeight="1">
      <c r="A550" s="46"/>
      <c r="C550" s="25"/>
      <c r="D550" s="27"/>
      <c r="E550" s="27"/>
      <c r="F550" s="28"/>
      <c r="G550" s="27"/>
      <c r="H550" s="46"/>
      <c r="I550" s="46"/>
    </row>
    <row r="551" ht="12.75" customHeight="1">
      <c r="A551" s="46"/>
      <c r="C551" s="25"/>
      <c r="D551" s="27"/>
      <c r="E551" s="27"/>
      <c r="F551" s="28"/>
      <c r="G551" s="27"/>
      <c r="H551" s="46"/>
      <c r="I551" s="46"/>
    </row>
    <row r="552" ht="12.75" customHeight="1">
      <c r="A552" s="46"/>
      <c r="C552" s="25"/>
      <c r="D552" s="27"/>
      <c r="E552" s="27"/>
      <c r="F552" s="28"/>
      <c r="G552" s="27"/>
      <c r="H552" s="46"/>
      <c r="I552" s="46"/>
    </row>
    <row r="553" ht="12.75" customHeight="1">
      <c r="A553" s="46"/>
      <c r="C553" s="25"/>
      <c r="D553" s="27"/>
      <c r="E553" s="27"/>
      <c r="F553" s="28"/>
      <c r="G553" s="27"/>
      <c r="H553" s="46"/>
      <c r="I553" s="46"/>
    </row>
    <row r="554" ht="12.75" customHeight="1">
      <c r="A554" s="46"/>
      <c r="C554" s="25"/>
      <c r="D554" s="27"/>
      <c r="E554" s="27"/>
      <c r="F554" s="28"/>
      <c r="G554" s="27"/>
      <c r="H554" s="46"/>
      <c r="I554" s="46"/>
    </row>
    <row r="555" ht="12.75" customHeight="1">
      <c r="A555" s="46"/>
      <c r="C555" s="25"/>
      <c r="D555" s="27"/>
      <c r="E555" s="27"/>
      <c r="F555" s="28"/>
      <c r="G555" s="27"/>
      <c r="H555" s="46"/>
      <c r="I555" s="46"/>
    </row>
    <row r="556" ht="12.75" customHeight="1">
      <c r="A556" s="46"/>
      <c r="C556" s="25"/>
      <c r="D556" s="27"/>
      <c r="E556" s="27"/>
      <c r="F556" s="28"/>
      <c r="G556" s="27"/>
      <c r="H556" s="46"/>
      <c r="I556" s="46"/>
    </row>
    <row r="557" ht="12.75" customHeight="1">
      <c r="A557" s="46"/>
      <c r="C557" s="25"/>
      <c r="D557" s="27"/>
      <c r="E557" s="27"/>
      <c r="F557" s="28"/>
      <c r="G557" s="27"/>
      <c r="H557" s="46"/>
      <c r="I557" s="46"/>
    </row>
    <row r="558" ht="12.75" customHeight="1">
      <c r="A558" s="46"/>
      <c r="C558" s="25"/>
      <c r="D558" s="27"/>
      <c r="E558" s="27"/>
      <c r="F558" s="28"/>
      <c r="G558" s="27"/>
      <c r="H558" s="46"/>
      <c r="I558" s="46"/>
    </row>
    <row r="559" ht="12.75" customHeight="1">
      <c r="A559" s="46"/>
      <c r="C559" s="25"/>
      <c r="D559" s="27"/>
      <c r="E559" s="27"/>
      <c r="F559" s="28"/>
      <c r="G559" s="27"/>
      <c r="H559" s="46"/>
      <c r="I559" s="46"/>
    </row>
    <row r="560" ht="12.75" customHeight="1">
      <c r="A560" s="46"/>
      <c r="C560" s="25"/>
      <c r="D560" s="27"/>
      <c r="E560" s="27"/>
      <c r="F560" s="28"/>
      <c r="G560" s="27"/>
      <c r="H560" s="46"/>
      <c r="I560" s="46"/>
    </row>
    <row r="561" ht="12.75" customHeight="1">
      <c r="A561" s="46"/>
      <c r="C561" s="25"/>
      <c r="D561" s="27"/>
      <c r="E561" s="27"/>
      <c r="F561" s="28"/>
      <c r="G561" s="27"/>
      <c r="H561" s="46"/>
      <c r="I561" s="46"/>
    </row>
    <row r="562" ht="12.75" customHeight="1">
      <c r="A562" s="46"/>
      <c r="C562" s="25"/>
      <c r="D562" s="27"/>
      <c r="E562" s="27"/>
      <c r="F562" s="28"/>
      <c r="G562" s="27"/>
      <c r="H562" s="46"/>
      <c r="I562" s="46"/>
    </row>
    <row r="563" ht="12.75" customHeight="1">
      <c r="A563" s="46"/>
      <c r="C563" s="25"/>
      <c r="D563" s="27"/>
      <c r="E563" s="27"/>
      <c r="F563" s="28"/>
      <c r="G563" s="27"/>
      <c r="H563" s="46"/>
      <c r="I563" s="46"/>
    </row>
    <row r="564" ht="12.75" customHeight="1">
      <c r="A564" s="46"/>
      <c r="C564" s="25"/>
      <c r="D564" s="27"/>
      <c r="E564" s="27"/>
      <c r="F564" s="28"/>
      <c r="G564" s="27"/>
      <c r="H564" s="46"/>
      <c r="I564" s="46"/>
    </row>
    <row r="565" ht="12.75" customHeight="1">
      <c r="A565" s="46"/>
      <c r="C565" s="25"/>
      <c r="D565" s="27"/>
      <c r="E565" s="27"/>
      <c r="F565" s="28"/>
      <c r="G565" s="27"/>
      <c r="H565" s="46"/>
      <c r="I565" s="46"/>
    </row>
    <row r="566" ht="12.75" customHeight="1">
      <c r="A566" s="46"/>
      <c r="C566" s="25"/>
      <c r="D566" s="27"/>
      <c r="E566" s="27"/>
      <c r="F566" s="28"/>
      <c r="G566" s="27"/>
      <c r="H566" s="46"/>
      <c r="I566" s="46"/>
    </row>
    <row r="567" ht="12.75" customHeight="1">
      <c r="A567" s="46"/>
      <c r="C567" s="25"/>
      <c r="D567" s="27"/>
      <c r="E567" s="27"/>
      <c r="F567" s="28"/>
      <c r="G567" s="27"/>
      <c r="H567" s="46"/>
      <c r="I567" s="46"/>
    </row>
    <row r="568" ht="12.75" customHeight="1">
      <c r="A568" s="46"/>
      <c r="C568" s="25"/>
      <c r="D568" s="27"/>
      <c r="E568" s="27"/>
      <c r="F568" s="28"/>
      <c r="G568" s="27"/>
      <c r="H568" s="46"/>
      <c r="I568" s="46"/>
    </row>
    <row r="569" ht="12.75" customHeight="1">
      <c r="A569" s="46"/>
      <c r="C569" s="25"/>
      <c r="D569" s="27"/>
      <c r="E569" s="27"/>
      <c r="F569" s="28"/>
      <c r="G569" s="27"/>
      <c r="H569" s="46"/>
      <c r="I569" s="46"/>
    </row>
    <row r="570" ht="12.75" customHeight="1">
      <c r="A570" s="46"/>
      <c r="C570" s="25"/>
      <c r="D570" s="27"/>
      <c r="E570" s="27"/>
      <c r="F570" s="28"/>
      <c r="G570" s="27"/>
      <c r="H570" s="46"/>
      <c r="I570" s="46"/>
    </row>
    <row r="571" ht="12.75" customHeight="1">
      <c r="A571" s="46"/>
      <c r="C571" s="25"/>
      <c r="D571" s="27"/>
      <c r="E571" s="27"/>
      <c r="F571" s="28"/>
      <c r="G571" s="27"/>
      <c r="H571" s="46"/>
      <c r="I571" s="46"/>
    </row>
    <row r="572" ht="12.75" customHeight="1">
      <c r="A572" s="46"/>
      <c r="C572" s="25"/>
      <c r="D572" s="27"/>
      <c r="E572" s="27"/>
      <c r="F572" s="28"/>
      <c r="G572" s="27"/>
      <c r="H572" s="46"/>
      <c r="I572" s="46"/>
    </row>
    <row r="573" ht="12.75" customHeight="1">
      <c r="A573" s="46"/>
      <c r="C573" s="25"/>
      <c r="D573" s="27"/>
      <c r="E573" s="27"/>
      <c r="F573" s="28"/>
      <c r="G573" s="27"/>
      <c r="H573" s="46"/>
      <c r="I573" s="46"/>
    </row>
    <row r="574" ht="12.75" customHeight="1">
      <c r="A574" s="46"/>
      <c r="C574" s="25"/>
      <c r="D574" s="27"/>
      <c r="E574" s="27"/>
      <c r="F574" s="28"/>
      <c r="G574" s="27"/>
      <c r="H574" s="46"/>
      <c r="I574" s="46"/>
    </row>
    <row r="575" ht="12.75" customHeight="1">
      <c r="A575" s="46"/>
      <c r="C575" s="25"/>
      <c r="D575" s="27"/>
      <c r="E575" s="27"/>
      <c r="F575" s="28"/>
      <c r="G575" s="27"/>
      <c r="H575" s="46"/>
      <c r="I575" s="46"/>
    </row>
    <row r="576" ht="12.75" customHeight="1">
      <c r="A576" s="46"/>
      <c r="C576" s="25"/>
      <c r="D576" s="27"/>
      <c r="E576" s="27"/>
      <c r="F576" s="28"/>
      <c r="G576" s="27"/>
      <c r="H576" s="46"/>
      <c r="I576" s="46"/>
    </row>
    <row r="577" ht="12.75" customHeight="1">
      <c r="A577" s="46"/>
      <c r="C577" s="25"/>
      <c r="D577" s="27"/>
      <c r="E577" s="27"/>
      <c r="F577" s="28"/>
      <c r="G577" s="27"/>
      <c r="H577" s="46"/>
      <c r="I577" s="46"/>
    </row>
    <row r="578" ht="12.75" customHeight="1">
      <c r="A578" s="46"/>
      <c r="C578" s="25"/>
      <c r="D578" s="27"/>
      <c r="E578" s="27"/>
      <c r="F578" s="28"/>
      <c r="G578" s="27"/>
      <c r="H578" s="46"/>
      <c r="I578" s="46"/>
    </row>
    <row r="579" ht="12.75" customHeight="1">
      <c r="A579" s="46"/>
      <c r="C579" s="25"/>
      <c r="D579" s="27"/>
      <c r="E579" s="27"/>
      <c r="F579" s="28"/>
      <c r="G579" s="27"/>
      <c r="H579" s="46"/>
      <c r="I579" s="46"/>
    </row>
    <row r="580" ht="12.75" customHeight="1">
      <c r="A580" s="46"/>
      <c r="C580" s="25"/>
      <c r="D580" s="27"/>
      <c r="E580" s="27"/>
      <c r="F580" s="28"/>
      <c r="G580" s="27"/>
      <c r="H580" s="46"/>
      <c r="I580" s="46"/>
    </row>
    <row r="581" ht="12.75" customHeight="1">
      <c r="A581" s="46"/>
      <c r="C581" s="25"/>
      <c r="D581" s="27"/>
      <c r="E581" s="27"/>
      <c r="F581" s="28"/>
      <c r="G581" s="27"/>
      <c r="H581" s="46"/>
      <c r="I581" s="46"/>
    </row>
    <row r="582" ht="12.75" customHeight="1">
      <c r="A582" s="46"/>
      <c r="C582" s="25"/>
      <c r="D582" s="27"/>
      <c r="E582" s="27"/>
      <c r="F582" s="28"/>
      <c r="G582" s="27"/>
      <c r="H582" s="46"/>
      <c r="I582" s="46"/>
    </row>
    <row r="583" ht="12.75" customHeight="1">
      <c r="A583" s="46"/>
      <c r="C583" s="25"/>
      <c r="D583" s="27"/>
      <c r="E583" s="27"/>
      <c r="F583" s="28"/>
      <c r="G583" s="27"/>
      <c r="H583" s="46"/>
      <c r="I583" s="46"/>
    </row>
    <row r="584" ht="12.75" customHeight="1">
      <c r="A584" s="46"/>
      <c r="C584" s="25"/>
      <c r="D584" s="27"/>
      <c r="E584" s="27"/>
      <c r="F584" s="28"/>
      <c r="G584" s="27"/>
      <c r="H584" s="46"/>
      <c r="I584" s="46"/>
    </row>
    <row r="585" ht="12.75" customHeight="1">
      <c r="A585" s="46"/>
      <c r="C585" s="25"/>
      <c r="D585" s="27"/>
      <c r="E585" s="27"/>
      <c r="F585" s="28"/>
      <c r="G585" s="27"/>
      <c r="H585" s="46"/>
      <c r="I585" s="46"/>
    </row>
    <row r="586" ht="12.75" customHeight="1">
      <c r="A586" s="46"/>
      <c r="C586" s="25"/>
      <c r="D586" s="27"/>
      <c r="E586" s="27"/>
      <c r="F586" s="28"/>
      <c r="G586" s="27"/>
      <c r="H586" s="46"/>
      <c r="I586" s="46"/>
    </row>
    <row r="587" ht="12.75" customHeight="1">
      <c r="A587" s="46"/>
      <c r="C587" s="25"/>
      <c r="D587" s="27"/>
      <c r="E587" s="27"/>
      <c r="F587" s="28"/>
      <c r="G587" s="27"/>
      <c r="H587" s="46"/>
      <c r="I587" s="46"/>
    </row>
    <row r="588" ht="12.75" customHeight="1">
      <c r="A588" s="46"/>
      <c r="C588" s="25"/>
      <c r="D588" s="27"/>
      <c r="E588" s="27"/>
      <c r="F588" s="28"/>
      <c r="G588" s="27"/>
      <c r="H588" s="46"/>
      <c r="I588" s="46"/>
    </row>
    <row r="589" ht="12.75" customHeight="1">
      <c r="A589" s="46"/>
      <c r="C589" s="25"/>
      <c r="D589" s="27"/>
      <c r="E589" s="27"/>
      <c r="F589" s="28"/>
      <c r="G589" s="27"/>
      <c r="H589" s="46"/>
      <c r="I589" s="46"/>
    </row>
    <row r="590" ht="12.75" customHeight="1">
      <c r="A590" s="46"/>
      <c r="C590" s="25"/>
      <c r="D590" s="27"/>
      <c r="E590" s="27"/>
      <c r="F590" s="28"/>
      <c r="G590" s="27"/>
      <c r="H590" s="46"/>
      <c r="I590" s="46"/>
    </row>
    <row r="591" ht="12.75" customHeight="1">
      <c r="A591" s="46"/>
      <c r="C591" s="25"/>
      <c r="D591" s="27"/>
      <c r="E591" s="27"/>
      <c r="F591" s="28"/>
      <c r="G591" s="27"/>
      <c r="H591" s="46"/>
      <c r="I591" s="46"/>
    </row>
    <row r="592" ht="12.75" customHeight="1">
      <c r="A592" s="46"/>
      <c r="C592" s="25"/>
      <c r="D592" s="27"/>
      <c r="E592" s="27"/>
      <c r="F592" s="28"/>
      <c r="G592" s="27"/>
      <c r="H592" s="46"/>
      <c r="I592" s="46"/>
    </row>
    <row r="593" ht="12.75" customHeight="1">
      <c r="A593" s="46"/>
      <c r="C593" s="25"/>
      <c r="D593" s="27"/>
      <c r="E593" s="27"/>
      <c r="F593" s="28"/>
      <c r="G593" s="27"/>
      <c r="H593" s="46"/>
      <c r="I593" s="46"/>
    </row>
    <row r="594" ht="12.75" customHeight="1">
      <c r="A594" s="46"/>
      <c r="C594" s="25"/>
      <c r="D594" s="27"/>
      <c r="E594" s="27"/>
      <c r="F594" s="28"/>
      <c r="G594" s="27"/>
      <c r="H594" s="46"/>
      <c r="I594" s="46"/>
    </row>
    <row r="595" ht="12.75" customHeight="1">
      <c r="A595" s="46"/>
      <c r="C595" s="25"/>
      <c r="D595" s="27"/>
      <c r="E595" s="27"/>
      <c r="F595" s="28"/>
      <c r="G595" s="27"/>
      <c r="H595" s="46"/>
      <c r="I595" s="46"/>
    </row>
    <row r="596" ht="12.75" customHeight="1">
      <c r="A596" s="46"/>
      <c r="C596" s="25"/>
      <c r="D596" s="27"/>
      <c r="E596" s="27"/>
      <c r="F596" s="28"/>
      <c r="G596" s="27"/>
      <c r="H596" s="46"/>
      <c r="I596" s="46"/>
    </row>
    <row r="597" ht="12.75" customHeight="1">
      <c r="A597" s="46"/>
      <c r="C597" s="25"/>
      <c r="D597" s="27"/>
      <c r="E597" s="27"/>
      <c r="F597" s="28"/>
      <c r="G597" s="27"/>
      <c r="H597" s="46"/>
      <c r="I597" s="46"/>
    </row>
    <row r="598" ht="12.75" customHeight="1">
      <c r="A598" s="46"/>
      <c r="C598" s="25"/>
      <c r="D598" s="27"/>
      <c r="E598" s="27"/>
      <c r="F598" s="28"/>
      <c r="G598" s="27"/>
      <c r="H598" s="46"/>
      <c r="I598" s="46"/>
    </row>
    <row r="599" ht="12.75" customHeight="1">
      <c r="A599" s="46"/>
      <c r="C599" s="25"/>
      <c r="D599" s="27"/>
      <c r="E599" s="27"/>
      <c r="F599" s="28"/>
      <c r="G599" s="27"/>
      <c r="H599" s="46"/>
      <c r="I599" s="46"/>
    </row>
    <row r="600" ht="12.75" customHeight="1">
      <c r="A600" s="46"/>
      <c r="C600" s="25"/>
      <c r="D600" s="27"/>
      <c r="E600" s="27"/>
      <c r="F600" s="28"/>
      <c r="G600" s="27"/>
      <c r="H600" s="46"/>
      <c r="I600" s="46"/>
    </row>
    <row r="601" ht="12.75" customHeight="1">
      <c r="A601" s="46"/>
      <c r="C601" s="25"/>
      <c r="D601" s="27"/>
      <c r="E601" s="27"/>
      <c r="F601" s="28"/>
      <c r="G601" s="27"/>
      <c r="H601" s="46"/>
      <c r="I601" s="46"/>
    </row>
    <row r="602" ht="12.75" customHeight="1">
      <c r="A602" s="46"/>
      <c r="C602" s="25"/>
      <c r="D602" s="27"/>
      <c r="E602" s="27"/>
      <c r="F602" s="28"/>
      <c r="G602" s="27"/>
      <c r="H602" s="46"/>
      <c r="I602" s="46"/>
    </row>
    <row r="603" ht="12.75" customHeight="1">
      <c r="A603" s="46"/>
      <c r="C603" s="25"/>
      <c r="D603" s="27"/>
      <c r="E603" s="27"/>
      <c r="F603" s="28"/>
      <c r="G603" s="27"/>
      <c r="H603" s="46"/>
      <c r="I603" s="46"/>
    </row>
    <row r="604" ht="12.75" customHeight="1">
      <c r="A604" s="46"/>
      <c r="C604" s="25"/>
      <c r="D604" s="27"/>
      <c r="E604" s="27"/>
      <c r="F604" s="28"/>
      <c r="G604" s="27"/>
      <c r="H604" s="46"/>
      <c r="I604" s="46"/>
    </row>
    <row r="605" ht="12.75" customHeight="1">
      <c r="A605" s="46"/>
      <c r="C605" s="25"/>
      <c r="D605" s="27"/>
      <c r="E605" s="27"/>
      <c r="F605" s="28"/>
      <c r="G605" s="27"/>
      <c r="H605" s="46"/>
      <c r="I605" s="46"/>
    </row>
    <row r="606" ht="12.75" customHeight="1">
      <c r="A606" s="46"/>
      <c r="C606" s="25"/>
      <c r="D606" s="27"/>
      <c r="E606" s="27"/>
      <c r="F606" s="28"/>
      <c r="G606" s="27"/>
      <c r="H606" s="46"/>
      <c r="I606" s="46"/>
    </row>
    <row r="607" ht="12.75" customHeight="1">
      <c r="A607" s="46"/>
      <c r="C607" s="25"/>
      <c r="D607" s="27"/>
      <c r="E607" s="27"/>
      <c r="F607" s="28"/>
      <c r="G607" s="27"/>
      <c r="H607" s="46"/>
      <c r="I607" s="46"/>
    </row>
    <row r="608" ht="12.75" customHeight="1">
      <c r="A608" s="46"/>
      <c r="C608" s="25"/>
      <c r="D608" s="27"/>
      <c r="E608" s="27"/>
      <c r="F608" s="28"/>
      <c r="G608" s="27"/>
      <c r="H608" s="46"/>
      <c r="I608" s="46"/>
    </row>
    <row r="609" ht="12.75" customHeight="1">
      <c r="A609" s="46"/>
      <c r="C609" s="25"/>
      <c r="D609" s="27"/>
      <c r="E609" s="27"/>
      <c r="F609" s="28"/>
      <c r="G609" s="27"/>
      <c r="H609" s="46"/>
      <c r="I609" s="46"/>
    </row>
    <row r="610" ht="12.75" customHeight="1">
      <c r="A610" s="46"/>
      <c r="C610" s="25"/>
      <c r="D610" s="27"/>
      <c r="E610" s="27"/>
      <c r="F610" s="28"/>
      <c r="G610" s="27"/>
      <c r="H610" s="46"/>
      <c r="I610" s="46"/>
    </row>
    <row r="611" ht="12.75" customHeight="1">
      <c r="A611" s="46"/>
      <c r="C611" s="25"/>
      <c r="D611" s="27"/>
      <c r="E611" s="27"/>
      <c r="F611" s="28"/>
      <c r="G611" s="27"/>
      <c r="H611" s="46"/>
      <c r="I611" s="46"/>
    </row>
    <row r="612" ht="12.75" customHeight="1">
      <c r="A612" s="46"/>
      <c r="C612" s="25"/>
      <c r="D612" s="27"/>
      <c r="E612" s="27"/>
      <c r="F612" s="28"/>
      <c r="G612" s="27"/>
      <c r="H612" s="46"/>
      <c r="I612" s="46"/>
    </row>
    <row r="613" ht="12.75" customHeight="1">
      <c r="A613" s="46"/>
      <c r="C613" s="25"/>
      <c r="D613" s="27"/>
      <c r="E613" s="27"/>
      <c r="F613" s="28"/>
      <c r="G613" s="27"/>
      <c r="H613" s="46"/>
      <c r="I613" s="46"/>
    </row>
    <row r="614" ht="12.75" customHeight="1">
      <c r="A614" s="46"/>
      <c r="C614" s="25"/>
      <c r="D614" s="27"/>
      <c r="E614" s="27"/>
      <c r="F614" s="28"/>
      <c r="G614" s="27"/>
      <c r="H614" s="46"/>
      <c r="I614" s="46"/>
    </row>
    <row r="615" ht="12.75" customHeight="1">
      <c r="A615" s="46"/>
      <c r="C615" s="25"/>
      <c r="D615" s="27"/>
      <c r="E615" s="27"/>
      <c r="F615" s="28"/>
      <c r="G615" s="27"/>
      <c r="H615" s="46"/>
      <c r="I615" s="46"/>
    </row>
    <row r="616" ht="12.75" customHeight="1">
      <c r="A616" s="46"/>
      <c r="C616" s="25"/>
      <c r="D616" s="27"/>
      <c r="E616" s="27"/>
      <c r="F616" s="28"/>
      <c r="G616" s="27"/>
      <c r="H616" s="46"/>
      <c r="I616" s="46"/>
    </row>
    <row r="617" ht="12.75" customHeight="1">
      <c r="A617" s="46"/>
      <c r="C617" s="25"/>
      <c r="D617" s="27"/>
      <c r="E617" s="27"/>
      <c r="F617" s="28"/>
      <c r="G617" s="27"/>
      <c r="H617" s="46"/>
      <c r="I617" s="46"/>
    </row>
    <row r="618" ht="12.75" customHeight="1">
      <c r="A618" s="46"/>
      <c r="C618" s="25"/>
      <c r="D618" s="27"/>
      <c r="E618" s="27"/>
      <c r="F618" s="28"/>
      <c r="G618" s="27"/>
      <c r="H618" s="46"/>
      <c r="I618" s="46"/>
    </row>
    <row r="619" ht="12.75" customHeight="1">
      <c r="A619" s="46"/>
      <c r="C619" s="25"/>
      <c r="D619" s="27"/>
      <c r="E619" s="27"/>
      <c r="F619" s="28"/>
      <c r="G619" s="27"/>
      <c r="H619" s="46"/>
      <c r="I619" s="46"/>
    </row>
    <row r="620" ht="12.75" customHeight="1">
      <c r="A620" s="46"/>
      <c r="C620" s="25"/>
      <c r="D620" s="27"/>
      <c r="E620" s="27"/>
      <c r="F620" s="28"/>
      <c r="G620" s="27"/>
      <c r="H620" s="46"/>
      <c r="I620" s="46"/>
    </row>
    <row r="621" ht="12.75" customHeight="1">
      <c r="A621" s="46"/>
      <c r="C621" s="25"/>
      <c r="D621" s="27"/>
      <c r="E621" s="27"/>
      <c r="F621" s="28"/>
      <c r="G621" s="27"/>
      <c r="H621" s="46"/>
      <c r="I621" s="46"/>
    </row>
    <row r="622" ht="12.75" customHeight="1">
      <c r="A622" s="46"/>
      <c r="C622" s="25"/>
      <c r="D622" s="27"/>
      <c r="E622" s="27"/>
      <c r="F622" s="28"/>
      <c r="G622" s="27"/>
      <c r="H622" s="46"/>
      <c r="I622" s="46"/>
    </row>
    <row r="623" ht="12.75" customHeight="1">
      <c r="A623" s="46"/>
      <c r="C623" s="25"/>
      <c r="D623" s="27"/>
      <c r="E623" s="27"/>
      <c r="F623" s="28"/>
      <c r="G623" s="27"/>
      <c r="H623" s="46"/>
      <c r="I623" s="46"/>
    </row>
    <row r="624" ht="12.75" customHeight="1">
      <c r="A624" s="46"/>
      <c r="C624" s="25"/>
      <c r="D624" s="27"/>
      <c r="E624" s="27"/>
      <c r="F624" s="28"/>
      <c r="G624" s="27"/>
      <c r="H624" s="46"/>
      <c r="I624" s="46"/>
    </row>
    <row r="625" ht="12.75" customHeight="1">
      <c r="A625" s="46"/>
      <c r="C625" s="25"/>
      <c r="D625" s="27"/>
      <c r="E625" s="27"/>
      <c r="F625" s="28"/>
      <c r="G625" s="27"/>
      <c r="H625" s="46"/>
      <c r="I625" s="46"/>
    </row>
    <row r="626" ht="12.75" customHeight="1">
      <c r="A626" s="46"/>
      <c r="C626" s="25"/>
      <c r="D626" s="27"/>
      <c r="E626" s="27"/>
      <c r="F626" s="28"/>
      <c r="G626" s="27"/>
      <c r="H626" s="46"/>
      <c r="I626" s="46"/>
    </row>
    <row r="627" ht="12.75" customHeight="1">
      <c r="A627" s="46"/>
      <c r="C627" s="25"/>
      <c r="D627" s="27"/>
      <c r="E627" s="27"/>
      <c r="F627" s="28"/>
      <c r="G627" s="27"/>
      <c r="H627" s="46"/>
      <c r="I627" s="46"/>
    </row>
    <row r="628" ht="12.75" customHeight="1">
      <c r="A628" s="46"/>
      <c r="C628" s="25"/>
      <c r="D628" s="27"/>
      <c r="E628" s="27"/>
      <c r="F628" s="28"/>
      <c r="G628" s="27"/>
      <c r="H628" s="46"/>
      <c r="I628" s="46"/>
    </row>
    <row r="629" ht="12.75" customHeight="1">
      <c r="A629" s="46"/>
      <c r="C629" s="25"/>
      <c r="D629" s="27"/>
      <c r="E629" s="27"/>
      <c r="F629" s="28"/>
      <c r="G629" s="27"/>
      <c r="H629" s="46"/>
      <c r="I629" s="46"/>
    </row>
    <row r="630" ht="12.75" customHeight="1">
      <c r="A630" s="46"/>
      <c r="C630" s="25"/>
      <c r="D630" s="27"/>
      <c r="E630" s="27"/>
      <c r="F630" s="28"/>
      <c r="G630" s="27"/>
      <c r="H630" s="46"/>
      <c r="I630" s="46"/>
    </row>
    <row r="631" ht="12.75" customHeight="1">
      <c r="A631" s="46"/>
      <c r="C631" s="25"/>
      <c r="D631" s="27"/>
      <c r="E631" s="27"/>
      <c r="F631" s="28"/>
      <c r="G631" s="27"/>
      <c r="H631" s="46"/>
      <c r="I631" s="46"/>
    </row>
    <row r="632" ht="12.75" customHeight="1">
      <c r="A632" s="46"/>
      <c r="C632" s="25"/>
      <c r="D632" s="27"/>
      <c r="E632" s="27"/>
      <c r="F632" s="28"/>
      <c r="G632" s="27"/>
      <c r="H632" s="46"/>
      <c r="I632" s="46"/>
    </row>
    <row r="633" ht="12.75" customHeight="1">
      <c r="A633" s="46"/>
      <c r="C633" s="25"/>
      <c r="D633" s="27"/>
      <c r="E633" s="27"/>
      <c r="F633" s="28"/>
      <c r="G633" s="27"/>
      <c r="H633" s="46"/>
      <c r="I633" s="46"/>
    </row>
    <row r="634" ht="12.75" customHeight="1">
      <c r="A634" s="46"/>
      <c r="C634" s="25"/>
      <c r="D634" s="27"/>
      <c r="E634" s="27"/>
      <c r="F634" s="28"/>
      <c r="G634" s="27"/>
      <c r="H634" s="46"/>
      <c r="I634" s="46"/>
    </row>
    <row r="635" ht="12.75" customHeight="1">
      <c r="A635" s="46"/>
      <c r="C635" s="25"/>
      <c r="D635" s="27"/>
      <c r="E635" s="27"/>
      <c r="F635" s="28"/>
      <c r="G635" s="27"/>
      <c r="H635" s="46"/>
      <c r="I635" s="46"/>
    </row>
    <row r="636" ht="12.75" customHeight="1">
      <c r="A636" s="46"/>
      <c r="C636" s="25"/>
      <c r="D636" s="27"/>
      <c r="E636" s="27"/>
      <c r="F636" s="28"/>
      <c r="G636" s="27"/>
      <c r="H636" s="46"/>
      <c r="I636" s="46"/>
    </row>
    <row r="637" ht="12.75" customHeight="1">
      <c r="A637" s="46"/>
      <c r="C637" s="25"/>
      <c r="D637" s="27"/>
      <c r="E637" s="27"/>
      <c r="F637" s="28"/>
      <c r="G637" s="27"/>
      <c r="H637" s="46"/>
      <c r="I637" s="46"/>
    </row>
    <row r="638" ht="12.75" customHeight="1">
      <c r="A638" s="46"/>
      <c r="C638" s="25"/>
      <c r="D638" s="27"/>
      <c r="E638" s="27"/>
      <c r="F638" s="28"/>
      <c r="G638" s="27"/>
      <c r="H638" s="46"/>
      <c r="I638" s="46"/>
    </row>
    <row r="639" ht="12.75" customHeight="1">
      <c r="A639" s="46"/>
      <c r="C639" s="25"/>
      <c r="D639" s="27"/>
      <c r="E639" s="27"/>
      <c r="F639" s="28"/>
      <c r="G639" s="27"/>
      <c r="H639" s="46"/>
      <c r="I639" s="46"/>
    </row>
    <row r="640" ht="12.75" customHeight="1">
      <c r="A640" s="46"/>
      <c r="C640" s="25"/>
      <c r="D640" s="27"/>
      <c r="E640" s="27"/>
      <c r="F640" s="28"/>
      <c r="G640" s="27"/>
      <c r="H640" s="46"/>
      <c r="I640" s="46"/>
    </row>
    <row r="641" ht="12.75" customHeight="1">
      <c r="A641" s="46"/>
      <c r="C641" s="25"/>
      <c r="D641" s="27"/>
      <c r="E641" s="27"/>
      <c r="F641" s="28"/>
      <c r="G641" s="27"/>
      <c r="H641" s="46"/>
      <c r="I641" s="46"/>
    </row>
    <row r="642" ht="12.75" customHeight="1">
      <c r="A642" s="46"/>
      <c r="C642" s="25"/>
      <c r="D642" s="27"/>
      <c r="E642" s="27"/>
      <c r="F642" s="28"/>
      <c r="G642" s="27"/>
      <c r="H642" s="46"/>
      <c r="I642" s="46"/>
    </row>
    <row r="643" ht="12.75" customHeight="1">
      <c r="A643" s="46"/>
      <c r="C643" s="25"/>
      <c r="D643" s="27"/>
      <c r="E643" s="27"/>
      <c r="F643" s="28"/>
      <c r="G643" s="27"/>
      <c r="H643" s="46"/>
      <c r="I643" s="46"/>
    </row>
    <row r="644" ht="12.75" customHeight="1">
      <c r="A644" s="46"/>
      <c r="C644" s="25"/>
      <c r="D644" s="27"/>
      <c r="E644" s="27"/>
      <c r="F644" s="28"/>
      <c r="G644" s="27"/>
      <c r="H644" s="46"/>
      <c r="I644" s="46"/>
    </row>
    <row r="645" ht="12.75" customHeight="1">
      <c r="A645" s="46"/>
      <c r="C645" s="25"/>
      <c r="D645" s="27"/>
      <c r="E645" s="27"/>
      <c r="F645" s="28"/>
      <c r="G645" s="27"/>
      <c r="H645" s="46"/>
      <c r="I645" s="46"/>
    </row>
    <row r="646" ht="12.75" customHeight="1">
      <c r="A646" s="46"/>
      <c r="C646" s="25"/>
      <c r="D646" s="27"/>
      <c r="E646" s="27"/>
      <c r="F646" s="28"/>
      <c r="G646" s="27"/>
      <c r="H646" s="46"/>
      <c r="I646" s="46"/>
    </row>
    <row r="647" ht="12.75" customHeight="1">
      <c r="A647" s="46"/>
      <c r="C647" s="25"/>
      <c r="D647" s="27"/>
      <c r="E647" s="27"/>
      <c r="F647" s="28"/>
      <c r="G647" s="27"/>
      <c r="H647" s="46"/>
      <c r="I647" s="46"/>
    </row>
    <row r="648" ht="12.75" customHeight="1">
      <c r="A648" s="46"/>
      <c r="C648" s="25"/>
      <c r="D648" s="27"/>
      <c r="E648" s="27"/>
      <c r="F648" s="28"/>
      <c r="G648" s="27"/>
      <c r="H648" s="46"/>
      <c r="I648" s="46"/>
    </row>
    <row r="649" ht="12.75" customHeight="1">
      <c r="A649" s="46"/>
      <c r="C649" s="25"/>
      <c r="D649" s="27"/>
      <c r="E649" s="27"/>
      <c r="F649" s="28"/>
      <c r="G649" s="27"/>
      <c r="H649" s="46"/>
      <c r="I649" s="46"/>
    </row>
    <row r="650" ht="12.75" customHeight="1">
      <c r="A650" s="46"/>
      <c r="C650" s="25"/>
      <c r="D650" s="27"/>
      <c r="E650" s="27"/>
      <c r="F650" s="28"/>
      <c r="G650" s="27"/>
      <c r="H650" s="46"/>
      <c r="I650" s="46"/>
    </row>
    <row r="651" ht="12.75" customHeight="1">
      <c r="A651" s="46"/>
      <c r="C651" s="25"/>
      <c r="D651" s="27"/>
      <c r="E651" s="27"/>
      <c r="F651" s="28"/>
      <c r="G651" s="27"/>
      <c r="H651" s="46"/>
      <c r="I651" s="46"/>
    </row>
    <row r="652" ht="12.75" customHeight="1">
      <c r="A652" s="46"/>
      <c r="C652" s="25"/>
      <c r="D652" s="27"/>
      <c r="E652" s="27"/>
      <c r="F652" s="28"/>
      <c r="G652" s="27"/>
      <c r="H652" s="46"/>
      <c r="I652" s="46"/>
    </row>
    <row r="653" ht="12.75" customHeight="1">
      <c r="A653" s="46"/>
      <c r="C653" s="25"/>
      <c r="D653" s="27"/>
      <c r="E653" s="27"/>
      <c r="F653" s="28"/>
      <c r="G653" s="27"/>
      <c r="H653" s="46"/>
      <c r="I653" s="46"/>
    </row>
    <row r="654" ht="12.75" customHeight="1">
      <c r="A654" s="46"/>
      <c r="C654" s="25"/>
      <c r="D654" s="27"/>
      <c r="E654" s="27"/>
      <c r="F654" s="28"/>
      <c r="G654" s="27"/>
      <c r="H654" s="46"/>
      <c r="I654" s="46"/>
    </row>
    <row r="655" ht="12.75" customHeight="1">
      <c r="A655" s="46"/>
      <c r="C655" s="25"/>
      <c r="D655" s="27"/>
      <c r="E655" s="27"/>
      <c r="F655" s="28"/>
      <c r="G655" s="27"/>
      <c r="H655" s="46"/>
      <c r="I655" s="46"/>
    </row>
    <row r="656" ht="12.75" customHeight="1">
      <c r="A656" s="46"/>
      <c r="C656" s="25"/>
      <c r="D656" s="27"/>
      <c r="E656" s="27"/>
      <c r="F656" s="28"/>
      <c r="G656" s="27"/>
      <c r="H656" s="46"/>
      <c r="I656" s="46"/>
    </row>
    <row r="657" ht="12.75" customHeight="1">
      <c r="A657" s="46"/>
      <c r="C657" s="25"/>
      <c r="D657" s="27"/>
      <c r="E657" s="27"/>
      <c r="F657" s="28"/>
      <c r="G657" s="27"/>
      <c r="H657" s="46"/>
      <c r="I657" s="46"/>
    </row>
    <row r="658" ht="12.75" customHeight="1">
      <c r="A658" s="46"/>
      <c r="C658" s="25"/>
      <c r="D658" s="27"/>
      <c r="E658" s="27"/>
      <c r="F658" s="28"/>
      <c r="G658" s="27"/>
      <c r="H658" s="46"/>
      <c r="I658" s="46"/>
    </row>
    <row r="659" ht="12.75" customHeight="1">
      <c r="A659" s="46"/>
      <c r="C659" s="25"/>
      <c r="D659" s="27"/>
      <c r="E659" s="27"/>
      <c r="F659" s="28"/>
      <c r="G659" s="27"/>
      <c r="H659" s="46"/>
      <c r="I659" s="46"/>
    </row>
    <row r="660" ht="12.75" customHeight="1">
      <c r="A660" s="46"/>
      <c r="C660" s="25"/>
      <c r="D660" s="27"/>
      <c r="E660" s="27"/>
      <c r="F660" s="28"/>
      <c r="G660" s="27"/>
      <c r="H660" s="46"/>
      <c r="I660" s="46"/>
    </row>
    <row r="661" ht="12.75" customHeight="1">
      <c r="A661" s="46"/>
      <c r="C661" s="25"/>
      <c r="D661" s="27"/>
      <c r="E661" s="27"/>
      <c r="F661" s="28"/>
      <c r="G661" s="27"/>
      <c r="H661" s="46"/>
      <c r="I661" s="46"/>
    </row>
    <row r="662" ht="12.75" customHeight="1">
      <c r="A662" s="46"/>
      <c r="C662" s="25"/>
      <c r="D662" s="27"/>
      <c r="E662" s="27"/>
      <c r="F662" s="28"/>
      <c r="G662" s="27"/>
      <c r="H662" s="46"/>
      <c r="I662" s="46"/>
    </row>
    <row r="663" ht="12.75" customHeight="1">
      <c r="A663" s="46"/>
      <c r="C663" s="25"/>
      <c r="D663" s="27"/>
      <c r="E663" s="27"/>
      <c r="F663" s="28"/>
      <c r="G663" s="27"/>
      <c r="H663" s="46"/>
      <c r="I663" s="46"/>
    </row>
    <row r="664" ht="12.75" customHeight="1">
      <c r="A664" s="46"/>
      <c r="C664" s="25"/>
      <c r="D664" s="27"/>
      <c r="E664" s="27"/>
      <c r="F664" s="28"/>
      <c r="G664" s="27"/>
      <c r="H664" s="46"/>
      <c r="I664" s="46"/>
    </row>
    <row r="665" ht="12.75" customHeight="1">
      <c r="A665" s="46"/>
      <c r="C665" s="25"/>
      <c r="D665" s="27"/>
      <c r="E665" s="27"/>
      <c r="F665" s="28"/>
      <c r="G665" s="27"/>
      <c r="H665" s="46"/>
      <c r="I665" s="46"/>
    </row>
    <row r="666" ht="12.75" customHeight="1">
      <c r="A666" s="46"/>
      <c r="C666" s="25"/>
      <c r="D666" s="27"/>
      <c r="E666" s="27"/>
      <c r="F666" s="28"/>
      <c r="G666" s="27"/>
      <c r="H666" s="46"/>
      <c r="I666" s="46"/>
    </row>
    <row r="667" ht="12.75" customHeight="1">
      <c r="A667" s="46"/>
      <c r="C667" s="25"/>
      <c r="D667" s="27"/>
      <c r="E667" s="27"/>
      <c r="F667" s="28"/>
      <c r="G667" s="27"/>
      <c r="H667" s="46"/>
      <c r="I667" s="46"/>
    </row>
    <row r="668" ht="12.75" customHeight="1">
      <c r="A668" s="46"/>
      <c r="C668" s="25"/>
      <c r="D668" s="27"/>
      <c r="E668" s="27"/>
      <c r="F668" s="28"/>
      <c r="G668" s="27"/>
      <c r="H668" s="46"/>
      <c r="I668" s="46"/>
    </row>
    <row r="669" ht="12.75" customHeight="1">
      <c r="A669" s="46"/>
      <c r="C669" s="25"/>
      <c r="D669" s="27"/>
      <c r="E669" s="27"/>
      <c r="F669" s="28"/>
      <c r="G669" s="27"/>
      <c r="H669" s="46"/>
      <c r="I669" s="46"/>
    </row>
    <row r="670" ht="12.75" customHeight="1">
      <c r="A670" s="46"/>
      <c r="C670" s="25"/>
      <c r="D670" s="27"/>
      <c r="E670" s="27"/>
      <c r="F670" s="28"/>
      <c r="G670" s="27"/>
      <c r="H670" s="46"/>
      <c r="I670" s="46"/>
    </row>
    <row r="671" ht="12.75" customHeight="1">
      <c r="A671" s="46"/>
      <c r="C671" s="25"/>
      <c r="D671" s="27"/>
      <c r="E671" s="27"/>
      <c r="F671" s="28"/>
      <c r="G671" s="27"/>
      <c r="H671" s="46"/>
      <c r="I671" s="46"/>
    </row>
    <row r="672" ht="12.75" customHeight="1">
      <c r="A672" s="46"/>
      <c r="C672" s="25"/>
      <c r="D672" s="27"/>
      <c r="E672" s="27"/>
      <c r="F672" s="28"/>
      <c r="G672" s="27"/>
      <c r="H672" s="46"/>
      <c r="I672" s="46"/>
    </row>
    <row r="673" ht="12.75" customHeight="1">
      <c r="A673" s="46"/>
      <c r="C673" s="25"/>
      <c r="D673" s="27"/>
      <c r="E673" s="27"/>
      <c r="F673" s="28"/>
      <c r="G673" s="27"/>
      <c r="H673" s="46"/>
      <c r="I673" s="46"/>
    </row>
    <row r="674" ht="12.75" customHeight="1">
      <c r="A674" s="46"/>
      <c r="C674" s="25"/>
      <c r="D674" s="27"/>
      <c r="E674" s="27"/>
      <c r="F674" s="28"/>
      <c r="G674" s="27"/>
      <c r="H674" s="46"/>
      <c r="I674" s="46"/>
    </row>
    <row r="675" ht="12.75" customHeight="1">
      <c r="A675" s="46"/>
      <c r="C675" s="25"/>
      <c r="D675" s="27"/>
      <c r="E675" s="27"/>
      <c r="F675" s="28"/>
      <c r="G675" s="27"/>
      <c r="H675" s="46"/>
      <c r="I675" s="46"/>
    </row>
    <row r="676" ht="12.75" customHeight="1">
      <c r="A676" s="46"/>
      <c r="C676" s="25"/>
      <c r="D676" s="27"/>
      <c r="E676" s="27"/>
      <c r="F676" s="28"/>
      <c r="G676" s="27"/>
      <c r="H676" s="46"/>
      <c r="I676" s="46"/>
    </row>
    <row r="677" ht="12.75" customHeight="1">
      <c r="A677" s="46"/>
      <c r="C677" s="25"/>
      <c r="D677" s="27"/>
      <c r="E677" s="27"/>
      <c r="F677" s="28"/>
      <c r="G677" s="27"/>
      <c r="H677" s="46"/>
      <c r="I677" s="46"/>
    </row>
    <row r="678" ht="12.75" customHeight="1">
      <c r="A678" s="46"/>
      <c r="C678" s="25"/>
      <c r="D678" s="27"/>
      <c r="E678" s="27"/>
      <c r="F678" s="28"/>
      <c r="G678" s="27"/>
      <c r="H678" s="46"/>
      <c r="I678" s="46"/>
    </row>
    <row r="679" ht="12.75" customHeight="1">
      <c r="A679" s="46"/>
      <c r="C679" s="25"/>
      <c r="D679" s="27"/>
      <c r="E679" s="27"/>
      <c r="F679" s="28"/>
      <c r="G679" s="27"/>
      <c r="H679" s="46"/>
      <c r="I679" s="46"/>
    </row>
    <row r="680" ht="12.75" customHeight="1">
      <c r="A680" s="46"/>
      <c r="C680" s="25"/>
      <c r="D680" s="27"/>
      <c r="E680" s="27"/>
      <c r="F680" s="28"/>
      <c r="G680" s="27"/>
      <c r="H680" s="46"/>
      <c r="I680" s="46"/>
    </row>
    <row r="681" ht="12.75" customHeight="1">
      <c r="A681" s="46"/>
      <c r="C681" s="25"/>
      <c r="D681" s="27"/>
      <c r="E681" s="27"/>
      <c r="F681" s="28"/>
      <c r="G681" s="27"/>
      <c r="H681" s="46"/>
      <c r="I681" s="46"/>
    </row>
    <row r="682" ht="12.75" customHeight="1">
      <c r="A682" s="46"/>
      <c r="C682" s="25"/>
      <c r="D682" s="27"/>
      <c r="E682" s="27"/>
      <c r="F682" s="28"/>
      <c r="G682" s="27"/>
      <c r="H682" s="46"/>
      <c r="I682" s="46"/>
    </row>
    <row r="683" ht="12.75" customHeight="1">
      <c r="A683" s="46"/>
      <c r="C683" s="25"/>
      <c r="D683" s="27"/>
      <c r="E683" s="27"/>
      <c r="F683" s="28"/>
      <c r="G683" s="27"/>
      <c r="H683" s="46"/>
      <c r="I683" s="46"/>
    </row>
    <row r="684" ht="12.75" customHeight="1">
      <c r="A684" s="46"/>
      <c r="C684" s="25"/>
      <c r="D684" s="27"/>
      <c r="E684" s="27"/>
      <c r="F684" s="28"/>
      <c r="G684" s="27"/>
      <c r="H684" s="46"/>
      <c r="I684" s="46"/>
    </row>
    <row r="685" ht="12.75" customHeight="1">
      <c r="A685" s="46"/>
      <c r="C685" s="25"/>
      <c r="D685" s="27"/>
      <c r="E685" s="27"/>
      <c r="F685" s="28"/>
      <c r="G685" s="27"/>
      <c r="H685" s="46"/>
      <c r="I685" s="46"/>
    </row>
    <row r="686" ht="12.75" customHeight="1">
      <c r="A686" s="46"/>
      <c r="C686" s="25"/>
      <c r="D686" s="27"/>
      <c r="E686" s="27"/>
      <c r="F686" s="28"/>
      <c r="G686" s="27"/>
      <c r="H686" s="46"/>
      <c r="I686" s="46"/>
    </row>
    <row r="687" ht="12.75" customHeight="1">
      <c r="A687" s="46"/>
      <c r="C687" s="25"/>
      <c r="D687" s="27"/>
      <c r="E687" s="27"/>
      <c r="F687" s="28"/>
      <c r="G687" s="27"/>
      <c r="H687" s="46"/>
      <c r="I687" s="46"/>
    </row>
    <row r="688" ht="12.75" customHeight="1">
      <c r="A688" s="46"/>
      <c r="C688" s="25"/>
      <c r="D688" s="27"/>
      <c r="E688" s="27"/>
      <c r="F688" s="28"/>
      <c r="G688" s="27"/>
      <c r="H688" s="46"/>
      <c r="I688" s="46"/>
    </row>
    <row r="689" ht="12.75" customHeight="1">
      <c r="A689" s="46"/>
      <c r="C689" s="25"/>
      <c r="D689" s="27"/>
      <c r="E689" s="27"/>
      <c r="F689" s="28"/>
      <c r="G689" s="27"/>
      <c r="H689" s="46"/>
      <c r="I689" s="46"/>
    </row>
    <row r="690" ht="12.75" customHeight="1">
      <c r="A690" s="46"/>
      <c r="C690" s="25"/>
      <c r="D690" s="27"/>
      <c r="E690" s="27"/>
      <c r="F690" s="28"/>
      <c r="G690" s="27"/>
      <c r="H690" s="46"/>
      <c r="I690" s="46"/>
    </row>
    <row r="691" ht="12.75" customHeight="1">
      <c r="A691" s="46"/>
      <c r="C691" s="25"/>
      <c r="D691" s="27"/>
      <c r="E691" s="27"/>
      <c r="F691" s="28"/>
      <c r="G691" s="27"/>
      <c r="H691" s="46"/>
      <c r="I691" s="46"/>
    </row>
    <row r="692" ht="12.75" customHeight="1">
      <c r="A692" s="46"/>
      <c r="C692" s="25"/>
      <c r="D692" s="27"/>
      <c r="E692" s="27"/>
      <c r="F692" s="28"/>
      <c r="G692" s="27"/>
      <c r="H692" s="46"/>
      <c r="I692" s="46"/>
    </row>
    <row r="693" ht="12.75" customHeight="1">
      <c r="A693" s="46"/>
      <c r="C693" s="25"/>
      <c r="D693" s="27"/>
      <c r="E693" s="27"/>
      <c r="F693" s="28"/>
      <c r="G693" s="27"/>
      <c r="H693" s="46"/>
      <c r="I693" s="46"/>
    </row>
    <row r="694" ht="12.75" customHeight="1">
      <c r="A694" s="46"/>
      <c r="C694" s="25"/>
      <c r="D694" s="27"/>
      <c r="E694" s="27"/>
      <c r="F694" s="28"/>
      <c r="G694" s="27"/>
      <c r="H694" s="46"/>
      <c r="I694" s="46"/>
    </row>
    <row r="695" ht="12.75" customHeight="1">
      <c r="A695" s="46"/>
      <c r="C695" s="25"/>
      <c r="D695" s="27"/>
      <c r="E695" s="27"/>
      <c r="F695" s="28"/>
      <c r="G695" s="27"/>
      <c r="H695" s="46"/>
      <c r="I695" s="46"/>
    </row>
    <row r="696" ht="12.75" customHeight="1">
      <c r="A696" s="46"/>
      <c r="C696" s="25"/>
      <c r="D696" s="27"/>
      <c r="E696" s="27"/>
      <c r="F696" s="28"/>
      <c r="G696" s="27"/>
      <c r="H696" s="46"/>
      <c r="I696" s="46"/>
    </row>
    <row r="697" ht="12.75" customHeight="1">
      <c r="A697" s="46"/>
      <c r="C697" s="25"/>
      <c r="D697" s="27"/>
      <c r="E697" s="27"/>
      <c r="F697" s="28"/>
      <c r="G697" s="27"/>
      <c r="H697" s="46"/>
      <c r="I697" s="46"/>
    </row>
    <row r="698" ht="12.75" customHeight="1">
      <c r="A698" s="46"/>
      <c r="C698" s="25"/>
      <c r="D698" s="27"/>
      <c r="E698" s="27"/>
      <c r="F698" s="28"/>
      <c r="G698" s="27"/>
      <c r="H698" s="46"/>
      <c r="I698" s="46"/>
    </row>
    <row r="699" ht="12.75" customHeight="1">
      <c r="A699" s="46"/>
      <c r="C699" s="25"/>
      <c r="D699" s="27"/>
      <c r="E699" s="27"/>
      <c r="F699" s="28"/>
      <c r="G699" s="27"/>
      <c r="H699" s="46"/>
      <c r="I699" s="46"/>
    </row>
    <row r="700" ht="12.75" customHeight="1">
      <c r="A700" s="46"/>
      <c r="C700" s="25"/>
      <c r="D700" s="27"/>
      <c r="E700" s="27"/>
      <c r="F700" s="28"/>
      <c r="G700" s="27"/>
      <c r="H700" s="46"/>
      <c r="I700" s="46"/>
    </row>
    <row r="701" ht="12.75" customHeight="1">
      <c r="A701" s="46"/>
      <c r="C701" s="25"/>
      <c r="D701" s="27"/>
      <c r="E701" s="27"/>
      <c r="F701" s="28"/>
      <c r="G701" s="27"/>
      <c r="H701" s="46"/>
      <c r="I701" s="46"/>
    </row>
    <row r="702" ht="12.75" customHeight="1">
      <c r="A702" s="46"/>
      <c r="C702" s="25"/>
      <c r="D702" s="27"/>
      <c r="E702" s="27"/>
      <c r="F702" s="28"/>
      <c r="G702" s="27"/>
      <c r="H702" s="46"/>
      <c r="I702" s="46"/>
    </row>
    <row r="703" ht="12.75" customHeight="1">
      <c r="A703" s="46"/>
      <c r="C703" s="25"/>
      <c r="D703" s="27"/>
      <c r="E703" s="27"/>
      <c r="F703" s="28"/>
      <c r="G703" s="27"/>
      <c r="H703" s="46"/>
      <c r="I703" s="46"/>
    </row>
    <row r="704" ht="12.75" customHeight="1">
      <c r="A704" s="46"/>
      <c r="C704" s="25"/>
      <c r="D704" s="27"/>
      <c r="E704" s="27"/>
      <c r="F704" s="28"/>
      <c r="G704" s="27"/>
      <c r="H704" s="46"/>
      <c r="I704" s="46"/>
    </row>
    <row r="705" ht="12.75" customHeight="1">
      <c r="A705" s="46"/>
      <c r="C705" s="25"/>
      <c r="D705" s="27"/>
      <c r="E705" s="27"/>
      <c r="F705" s="28"/>
      <c r="G705" s="27"/>
      <c r="H705" s="46"/>
      <c r="I705" s="46"/>
    </row>
    <row r="706" ht="12.75" customHeight="1">
      <c r="A706" s="46"/>
      <c r="C706" s="25"/>
      <c r="D706" s="27"/>
      <c r="E706" s="27"/>
      <c r="F706" s="28"/>
      <c r="G706" s="27"/>
      <c r="H706" s="46"/>
      <c r="I706" s="46"/>
    </row>
    <row r="707" ht="12.75" customHeight="1">
      <c r="A707" s="46"/>
      <c r="C707" s="25"/>
      <c r="D707" s="27"/>
      <c r="E707" s="27"/>
      <c r="F707" s="28"/>
      <c r="G707" s="27"/>
      <c r="H707" s="46"/>
      <c r="I707" s="46"/>
    </row>
    <row r="708" ht="12.75" customHeight="1">
      <c r="A708" s="46"/>
      <c r="C708" s="25"/>
      <c r="D708" s="27"/>
      <c r="E708" s="27"/>
      <c r="F708" s="28"/>
      <c r="G708" s="27"/>
      <c r="H708" s="46"/>
      <c r="I708" s="46"/>
    </row>
    <row r="709" ht="12.75" customHeight="1">
      <c r="A709" s="46"/>
      <c r="C709" s="25"/>
      <c r="D709" s="27"/>
      <c r="E709" s="27"/>
      <c r="F709" s="28"/>
      <c r="G709" s="27"/>
      <c r="H709" s="46"/>
      <c r="I709" s="46"/>
    </row>
    <row r="710" ht="12.75" customHeight="1">
      <c r="A710" s="46"/>
      <c r="C710" s="25"/>
      <c r="D710" s="27"/>
      <c r="E710" s="27"/>
      <c r="F710" s="28"/>
      <c r="G710" s="27"/>
      <c r="H710" s="46"/>
      <c r="I710" s="46"/>
    </row>
    <row r="711" ht="12.75" customHeight="1">
      <c r="A711" s="46"/>
      <c r="C711" s="25"/>
      <c r="D711" s="27"/>
      <c r="E711" s="27"/>
      <c r="F711" s="28"/>
      <c r="G711" s="27"/>
      <c r="H711" s="46"/>
      <c r="I711" s="46"/>
    </row>
    <row r="712" ht="12.75" customHeight="1">
      <c r="A712" s="46"/>
      <c r="C712" s="25"/>
      <c r="D712" s="27"/>
      <c r="E712" s="27"/>
      <c r="F712" s="28"/>
      <c r="G712" s="27"/>
      <c r="H712" s="46"/>
      <c r="I712" s="46"/>
    </row>
    <row r="713" ht="12.75" customHeight="1">
      <c r="A713" s="46"/>
      <c r="C713" s="25"/>
      <c r="D713" s="27"/>
      <c r="E713" s="27"/>
      <c r="F713" s="28"/>
      <c r="G713" s="27"/>
      <c r="H713" s="46"/>
      <c r="I713" s="46"/>
    </row>
    <row r="714" ht="12.75" customHeight="1">
      <c r="A714" s="46"/>
      <c r="C714" s="25"/>
      <c r="D714" s="27"/>
      <c r="E714" s="27"/>
      <c r="F714" s="28"/>
      <c r="G714" s="27"/>
      <c r="H714" s="46"/>
      <c r="I714" s="46"/>
    </row>
    <row r="715" ht="12.75" customHeight="1">
      <c r="A715" s="46"/>
      <c r="C715" s="25"/>
      <c r="D715" s="27"/>
      <c r="E715" s="27"/>
      <c r="F715" s="28"/>
      <c r="G715" s="27"/>
      <c r="H715" s="46"/>
      <c r="I715" s="46"/>
    </row>
    <row r="716" ht="12.75" customHeight="1">
      <c r="A716" s="46"/>
      <c r="C716" s="25"/>
      <c r="D716" s="27"/>
      <c r="E716" s="27"/>
      <c r="F716" s="28"/>
      <c r="G716" s="27"/>
      <c r="H716" s="46"/>
      <c r="I716" s="46"/>
    </row>
    <row r="717" ht="12.75" customHeight="1">
      <c r="A717" s="46"/>
      <c r="C717" s="25"/>
      <c r="D717" s="27"/>
      <c r="E717" s="27"/>
      <c r="F717" s="28"/>
      <c r="G717" s="27"/>
      <c r="H717" s="46"/>
      <c r="I717" s="46"/>
    </row>
    <row r="718" ht="12.75" customHeight="1">
      <c r="A718" s="46"/>
      <c r="C718" s="25"/>
      <c r="D718" s="27"/>
      <c r="E718" s="27"/>
      <c r="F718" s="28"/>
      <c r="G718" s="27"/>
      <c r="H718" s="46"/>
      <c r="I718" s="46"/>
    </row>
    <row r="719" ht="12.75" customHeight="1">
      <c r="A719" s="46"/>
      <c r="C719" s="25"/>
      <c r="D719" s="27"/>
      <c r="E719" s="27"/>
      <c r="F719" s="28"/>
      <c r="G719" s="27"/>
      <c r="H719" s="46"/>
      <c r="I719" s="46"/>
    </row>
    <row r="720" ht="12.75" customHeight="1">
      <c r="A720" s="46"/>
      <c r="C720" s="25"/>
      <c r="D720" s="27"/>
      <c r="E720" s="27"/>
      <c r="F720" s="28"/>
      <c r="G720" s="27"/>
      <c r="H720" s="46"/>
      <c r="I720" s="46"/>
    </row>
    <row r="721" ht="12.75" customHeight="1">
      <c r="A721" s="46"/>
      <c r="C721" s="25"/>
      <c r="D721" s="27"/>
      <c r="E721" s="27"/>
      <c r="F721" s="28"/>
      <c r="G721" s="27"/>
      <c r="H721" s="46"/>
      <c r="I721" s="46"/>
    </row>
    <row r="722" ht="12.75" customHeight="1">
      <c r="A722" s="46"/>
      <c r="C722" s="25"/>
      <c r="D722" s="27"/>
      <c r="E722" s="27"/>
      <c r="F722" s="28"/>
      <c r="G722" s="27"/>
      <c r="H722" s="46"/>
      <c r="I722" s="46"/>
    </row>
    <row r="723" ht="12.75" customHeight="1">
      <c r="A723" s="46"/>
      <c r="C723" s="25"/>
      <c r="D723" s="27"/>
      <c r="E723" s="27"/>
      <c r="F723" s="28"/>
      <c r="G723" s="27"/>
      <c r="H723" s="46"/>
      <c r="I723" s="46"/>
    </row>
    <row r="724" ht="12.75" customHeight="1">
      <c r="A724" s="46"/>
      <c r="C724" s="25"/>
      <c r="D724" s="27"/>
      <c r="E724" s="27"/>
      <c r="F724" s="28"/>
      <c r="G724" s="27"/>
      <c r="H724" s="46"/>
      <c r="I724" s="46"/>
    </row>
    <row r="725" ht="12.75" customHeight="1">
      <c r="A725" s="46"/>
      <c r="C725" s="25"/>
      <c r="D725" s="27"/>
      <c r="E725" s="27"/>
      <c r="F725" s="28"/>
      <c r="G725" s="27"/>
      <c r="H725" s="46"/>
      <c r="I725" s="46"/>
    </row>
    <row r="726" ht="12.75" customHeight="1">
      <c r="A726" s="46"/>
      <c r="C726" s="25"/>
      <c r="D726" s="27"/>
      <c r="E726" s="27"/>
      <c r="F726" s="28"/>
      <c r="G726" s="27"/>
      <c r="H726" s="46"/>
      <c r="I726" s="46"/>
    </row>
    <row r="727" ht="12.75" customHeight="1">
      <c r="A727" s="46"/>
      <c r="C727" s="25"/>
      <c r="D727" s="27"/>
      <c r="E727" s="27"/>
      <c r="F727" s="28"/>
      <c r="G727" s="27"/>
      <c r="H727" s="46"/>
      <c r="I727" s="46"/>
    </row>
    <row r="728" ht="12.75" customHeight="1">
      <c r="A728" s="46"/>
      <c r="C728" s="25"/>
      <c r="D728" s="27"/>
      <c r="E728" s="27"/>
      <c r="F728" s="28"/>
      <c r="G728" s="27"/>
      <c r="H728" s="46"/>
      <c r="I728" s="46"/>
    </row>
    <row r="729" ht="12.75" customHeight="1">
      <c r="A729" s="46"/>
      <c r="C729" s="25"/>
      <c r="D729" s="27"/>
      <c r="E729" s="27"/>
      <c r="F729" s="28"/>
      <c r="G729" s="27"/>
      <c r="H729" s="46"/>
      <c r="I729" s="46"/>
    </row>
    <row r="730" ht="12.75" customHeight="1">
      <c r="A730" s="46"/>
      <c r="C730" s="25"/>
      <c r="D730" s="27"/>
      <c r="E730" s="27"/>
      <c r="F730" s="28"/>
      <c r="G730" s="27"/>
      <c r="H730" s="46"/>
      <c r="I730" s="46"/>
    </row>
    <row r="731" ht="12.75" customHeight="1">
      <c r="A731" s="46"/>
      <c r="C731" s="25"/>
      <c r="D731" s="27"/>
      <c r="E731" s="27"/>
      <c r="F731" s="28"/>
      <c r="G731" s="27"/>
      <c r="H731" s="46"/>
      <c r="I731" s="46"/>
    </row>
    <row r="732" ht="12.75" customHeight="1">
      <c r="A732" s="46"/>
      <c r="C732" s="25"/>
      <c r="D732" s="27"/>
      <c r="E732" s="27"/>
      <c r="F732" s="28"/>
      <c r="G732" s="27"/>
      <c r="H732" s="46"/>
      <c r="I732" s="46"/>
    </row>
    <row r="733" ht="12.75" customHeight="1">
      <c r="A733" s="46"/>
      <c r="C733" s="25"/>
      <c r="D733" s="27"/>
      <c r="E733" s="27"/>
      <c r="F733" s="28"/>
      <c r="G733" s="27"/>
      <c r="H733" s="46"/>
      <c r="I733" s="46"/>
    </row>
    <row r="734" ht="12.75" customHeight="1">
      <c r="A734" s="46"/>
      <c r="C734" s="25"/>
      <c r="D734" s="27"/>
      <c r="E734" s="27"/>
      <c r="F734" s="28"/>
      <c r="G734" s="27"/>
      <c r="H734" s="46"/>
      <c r="I734" s="46"/>
    </row>
    <row r="735" ht="12.75" customHeight="1">
      <c r="A735" s="46"/>
      <c r="C735" s="25"/>
      <c r="D735" s="27"/>
      <c r="E735" s="27"/>
      <c r="F735" s="28"/>
      <c r="G735" s="27"/>
      <c r="H735" s="46"/>
      <c r="I735" s="46"/>
    </row>
    <row r="736" ht="12.75" customHeight="1">
      <c r="A736" s="46"/>
      <c r="C736" s="25"/>
      <c r="D736" s="27"/>
      <c r="E736" s="27"/>
      <c r="F736" s="28"/>
      <c r="G736" s="27"/>
      <c r="H736" s="46"/>
      <c r="I736" s="46"/>
    </row>
    <row r="737" ht="12.75" customHeight="1">
      <c r="A737" s="46"/>
      <c r="C737" s="25"/>
      <c r="D737" s="27"/>
      <c r="E737" s="27"/>
      <c r="F737" s="28"/>
      <c r="G737" s="27"/>
      <c r="H737" s="46"/>
      <c r="I737" s="46"/>
    </row>
    <row r="738" ht="12.75" customHeight="1">
      <c r="A738" s="46"/>
      <c r="C738" s="25"/>
      <c r="D738" s="27"/>
      <c r="E738" s="27"/>
      <c r="F738" s="28"/>
      <c r="G738" s="27"/>
      <c r="H738" s="46"/>
      <c r="I738" s="46"/>
    </row>
    <row r="739" ht="12.75" customHeight="1">
      <c r="A739" s="46"/>
      <c r="C739" s="25"/>
      <c r="D739" s="27"/>
      <c r="E739" s="27"/>
      <c r="F739" s="28"/>
      <c r="G739" s="27"/>
      <c r="H739" s="46"/>
      <c r="I739" s="46"/>
    </row>
    <row r="740" ht="12.75" customHeight="1">
      <c r="A740" s="46"/>
      <c r="C740" s="25"/>
      <c r="D740" s="27"/>
      <c r="E740" s="27"/>
      <c r="F740" s="28"/>
      <c r="G740" s="27"/>
      <c r="H740" s="46"/>
      <c r="I740" s="46"/>
    </row>
    <row r="741" ht="12.75" customHeight="1">
      <c r="A741" s="46"/>
      <c r="C741" s="25"/>
      <c r="D741" s="27"/>
      <c r="E741" s="27"/>
      <c r="F741" s="28"/>
      <c r="G741" s="27"/>
      <c r="H741" s="46"/>
      <c r="I741" s="46"/>
    </row>
    <row r="742" ht="12.75" customHeight="1">
      <c r="A742" s="46"/>
      <c r="C742" s="25"/>
      <c r="D742" s="27"/>
      <c r="E742" s="27"/>
      <c r="F742" s="28"/>
      <c r="G742" s="27"/>
      <c r="H742" s="46"/>
      <c r="I742" s="46"/>
    </row>
    <row r="743" ht="12.75" customHeight="1">
      <c r="A743" s="46"/>
      <c r="C743" s="25"/>
      <c r="D743" s="27"/>
      <c r="E743" s="27"/>
      <c r="F743" s="28"/>
      <c r="G743" s="27"/>
      <c r="H743" s="46"/>
      <c r="I743" s="46"/>
    </row>
    <row r="744" ht="12.75" customHeight="1">
      <c r="A744" s="46"/>
      <c r="C744" s="25"/>
      <c r="D744" s="27"/>
      <c r="E744" s="27"/>
      <c r="F744" s="28"/>
      <c r="G744" s="27"/>
      <c r="H744" s="46"/>
      <c r="I744" s="46"/>
    </row>
    <row r="745" ht="12.75" customHeight="1">
      <c r="A745" s="46"/>
      <c r="C745" s="25"/>
      <c r="D745" s="27"/>
      <c r="E745" s="27"/>
      <c r="F745" s="28"/>
      <c r="G745" s="27"/>
      <c r="H745" s="46"/>
      <c r="I745" s="46"/>
    </row>
    <row r="746" ht="12.75" customHeight="1">
      <c r="A746" s="46"/>
      <c r="C746" s="25"/>
      <c r="D746" s="27"/>
      <c r="E746" s="27"/>
      <c r="F746" s="28"/>
      <c r="G746" s="27"/>
      <c r="H746" s="46"/>
      <c r="I746" s="46"/>
    </row>
    <row r="747" ht="12.75" customHeight="1">
      <c r="A747" s="46"/>
      <c r="C747" s="25"/>
      <c r="D747" s="27"/>
      <c r="E747" s="27"/>
      <c r="F747" s="28"/>
      <c r="G747" s="27"/>
      <c r="H747" s="46"/>
      <c r="I747" s="46"/>
    </row>
    <row r="748" ht="12.75" customHeight="1">
      <c r="A748" s="46"/>
      <c r="C748" s="25"/>
      <c r="D748" s="27"/>
      <c r="E748" s="27"/>
      <c r="F748" s="28"/>
      <c r="G748" s="27"/>
      <c r="H748" s="46"/>
      <c r="I748" s="46"/>
    </row>
    <row r="749" ht="12.75" customHeight="1">
      <c r="A749" s="46"/>
      <c r="C749" s="25"/>
      <c r="D749" s="27"/>
      <c r="E749" s="27"/>
      <c r="F749" s="28"/>
      <c r="G749" s="27"/>
      <c r="H749" s="46"/>
      <c r="I749" s="46"/>
    </row>
    <row r="750" ht="12.75" customHeight="1">
      <c r="A750" s="46"/>
      <c r="C750" s="25"/>
      <c r="D750" s="27"/>
      <c r="E750" s="27"/>
      <c r="F750" s="28"/>
      <c r="G750" s="27"/>
      <c r="H750" s="46"/>
      <c r="I750" s="46"/>
    </row>
    <row r="751" ht="12.75" customHeight="1">
      <c r="A751" s="46"/>
      <c r="C751" s="25"/>
      <c r="D751" s="27"/>
      <c r="E751" s="27"/>
      <c r="F751" s="28"/>
      <c r="G751" s="27"/>
      <c r="H751" s="46"/>
      <c r="I751" s="46"/>
    </row>
    <row r="752" ht="12.75" customHeight="1">
      <c r="A752" s="46"/>
      <c r="C752" s="25"/>
      <c r="D752" s="27"/>
      <c r="E752" s="27"/>
      <c r="F752" s="28"/>
      <c r="G752" s="27"/>
      <c r="H752" s="46"/>
      <c r="I752" s="46"/>
    </row>
    <row r="753" ht="12.75" customHeight="1">
      <c r="A753" s="46"/>
      <c r="C753" s="25"/>
      <c r="D753" s="27"/>
      <c r="E753" s="27"/>
      <c r="F753" s="28"/>
      <c r="G753" s="27"/>
      <c r="H753" s="46"/>
      <c r="I753" s="46"/>
    </row>
    <row r="754" ht="12.75" customHeight="1">
      <c r="A754" s="46"/>
      <c r="C754" s="25"/>
      <c r="D754" s="27"/>
      <c r="E754" s="27"/>
      <c r="F754" s="28"/>
      <c r="G754" s="27"/>
      <c r="H754" s="46"/>
      <c r="I754" s="46"/>
    </row>
    <row r="755" ht="12.75" customHeight="1">
      <c r="A755" s="46"/>
      <c r="C755" s="25"/>
      <c r="D755" s="27"/>
      <c r="E755" s="27"/>
      <c r="F755" s="28"/>
      <c r="G755" s="27"/>
      <c r="H755" s="46"/>
      <c r="I755" s="46"/>
    </row>
    <row r="756" ht="12.75" customHeight="1">
      <c r="A756" s="46"/>
      <c r="C756" s="25"/>
      <c r="D756" s="27"/>
      <c r="E756" s="27"/>
      <c r="F756" s="28"/>
      <c r="G756" s="27"/>
      <c r="H756" s="46"/>
      <c r="I756" s="46"/>
    </row>
    <row r="757" ht="12.75" customHeight="1">
      <c r="A757" s="46"/>
      <c r="C757" s="25"/>
      <c r="D757" s="27"/>
      <c r="E757" s="27"/>
      <c r="F757" s="28"/>
      <c r="G757" s="27"/>
      <c r="H757" s="46"/>
      <c r="I757" s="46"/>
    </row>
    <row r="758" ht="12.75" customHeight="1">
      <c r="A758" s="46"/>
      <c r="C758" s="25"/>
      <c r="D758" s="27"/>
      <c r="E758" s="27"/>
      <c r="F758" s="28"/>
      <c r="G758" s="27"/>
      <c r="H758" s="46"/>
      <c r="I758" s="46"/>
    </row>
    <row r="759" ht="12.75" customHeight="1">
      <c r="A759" s="46"/>
      <c r="C759" s="25"/>
      <c r="D759" s="27"/>
      <c r="E759" s="27"/>
      <c r="F759" s="28"/>
      <c r="G759" s="27"/>
      <c r="H759" s="46"/>
      <c r="I759" s="46"/>
    </row>
    <row r="760" ht="12.75" customHeight="1">
      <c r="A760" s="46"/>
      <c r="C760" s="25"/>
      <c r="D760" s="27"/>
      <c r="E760" s="27"/>
      <c r="F760" s="28"/>
      <c r="G760" s="27"/>
      <c r="H760" s="46"/>
      <c r="I760" s="46"/>
    </row>
    <row r="761" ht="12.75" customHeight="1">
      <c r="A761" s="46"/>
      <c r="C761" s="25"/>
      <c r="D761" s="27"/>
      <c r="E761" s="27"/>
      <c r="F761" s="28"/>
      <c r="G761" s="27"/>
      <c r="H761" s="46"/>
      <c r="I761" s="46"/>
    </row>
    <row r="762" ht="12.75" customHeight="1">
      <c r="A762" s="46"/>
      <c r="C762" s="25"/>
      <c r="D762" s="27"/>
      <c r="E762" s="27"/>
      <c r="F762" s="28"/>
      <c r="G762" s="27"/>
      <c r="H762" s="46"/>
      <c r="I762" s="46"/>
    </row>
    <row r="763" ht="12.75" customHeight="1">
      <c r="A763" s="46"/>
      <c r="C763" s="25"/>
      <c r="D763" s="27"/>
      <c r="E763" s="27"/>
      <c r="F763" s="28"/>
      <c r="G763" s="27"/>
      <c r="H763" s="46"/>
      <c r="I763" s="46"/>
    </row>
    <row r="764" ht="12.75" customHeight="1">
      <c r="A764" s="46"/>
      <c r="C764" s="25"/>
      <c r="D764" s="27"/>
      <c r="E764" s="27"/>
      <c r="F764" s="28"/>
      <c r="G764" s="27"/>
      <c r="H764" s="46"/>
      <c r="I764" s="46"/>
    </row>
    <row r="765" ht="12.75" customHeight="1">
      <c r="A765" s="46"/>
      <c r="C765" s="25"/>
      <c r="D765" s="27"/>
      <c r="E765" s="27"/>
      <c r="F765" s="28"/>
      <c r="G765" s="27"/>
      <c r="H765" s="46"/>
      <c r="I765" s="46"/>
    </row>
    <row r="766" ht="12.75" customHeight="1">
      <c r="A766" s="46"/>
      <c r="C766" s="25"/>
      <c r="D766" s="27"/>
      <c r="E766" s="27"/>
      <c r="F766" s="28"/>
      <c r="G766" s="27"/>
      <c r="H766" s="46"/>
      <c r="I766" s="46"/>
    </row>
    <row r="767" ht="12.75" customHeight="1">
      <c r="A767" s="46"/>
      <c r="C767" s="25"/>
      <c r="D767" s="27"/>
      <c r="E767" s="27"/>
      <c r="F767" s="28"/>
      <c r="G767" s="27"/>
      <c r="H767" s="46"/>
      <c r="I767" s="46"/>
    </row>
    <row r="768" ht="12.75" customHeight="1">
      <c r="A768" s="46"/>
      <c r="C768" s="25"/>
      <c r="D768" s="27"/>
      <c r="E768" s="27"/>
      <c r="F768" s="28"/>
      <c r="G768" s="27"/>
      <c r="H768" s="46"/>
      <c r="I768" s="46"/>
    </row>
    <row r="769" ht="12.75" customHeight="1">
      <c r="A769" s="46"/>
      <c r="C769" s="25"/>
      <c r="D769" s="27"/>
      <c r="E769" s="27"/>
      <c r="F769" s="28"/>
      <c r="G769" s="27"/>
      <c r="H769" s="46"/>
      <c r="I769" s="46"/>
    </row>
    <row r="770" ht="12.75" customHeight="1">
      <c r="A770" s="46"/>
      <c r="C770" s="25"/>
      <c r="D770" s="27"/>
      <c r="E770" s="27"/>
      <c r="F770" s="28"/>
      <c r="G770" s="27"/>
      <c r="H770" s="46"/>
      <c r="I770" s="46"/>
    </row>
    <row r="771" ht="12.75" customHeight="1">
      <c r="A771" s="46"/>
      <c r="C771" s="25"/>
      <c r="D771" s="27"/>
      <c r="E771" s="27"/>
      <c r="F771" s="28"/>
      <c r="G771" s="27"/>
      <c r="H771" s="46"/>
      <c r="I771" s="46"/>
    </row>
    <row r="772" ht="12.75" customHeight="1">
      <c r="A772" s="46"/>
      <c r="C772" s="25"/>
      <c r="D772" s="27"/>
      <c r="E772" s="27"/>
      <c r="F772" s="28"/>
      <c r="G772" s="27"/>
      <c r="H772" s="46"/>
      <c r="I772" s="46"/>
    </row>
    <row r="773" ht="12.75" customHeight="1">
      <c r="A773" s="46"/>
      <c r="C773" s="25"/>
      <c r="D773" s="27"/>
      <c r="E773" s="27"/>
      <c r="F773" s="28"/>
      <c r="G773" s="27"/>
      <c r="H773" s="46"/>
      <c r="I773" s="46"/>
    </row>
    <row r="774" ht="12.75" customHeight="1">
      <c r="A774" s="46"/>
      <c r="C774" s="25"/>
      <c r="D774" s="27"/>
      <c r="E774" s="27"/>
      <c r="F774" s="28"/>
      <c r="G774" s="27"/>
      <c r="H774" s="46"/>
      <c r="I774" s="46"/>
    </row>
    <row r="775" ht="12.75" customHeight="1">
      <c r="A775" s="46"/>
      <c r="C775" s="25"/>
      <c r="D775" s="27"/>
      <c r="E775" s="27"/>
      <c r="F775" s="28"/>
      <c r="G775" s="27"/>
      <c r="H775" s="46"/>
      <c r="I775" s="46"/>
    </row>
    <row r="776" ht="12.75" customHeight="1">
      <c r="A776" s="46"/>
      <c r="C776" s="25"/>
      <c r="D776" s="27"/>
      <c r="E776" s="27"/>
      <c r="F776" s="28"/>
      <c r="G776" s="27"/>
      <c r="H776" s="46"/>
      <c r="I776" s="46"/>
    </row>
    <row r="777" ht="12.75" customHeight="1">
      <c r="A777" s="46"/>
      <c r="C777" s="25"/>
      <c r="D777" s="27"/>
      <c r="E777" s="27"/>
      <c r="F777" s="28"/>
      <c r="G777" s="27"/>
      <c r="H777" s="46"/>
      <c r="I777" s="46"/>
    </row>
    <row r="778" ht="12.75" customHeight="1">
      <c r="A778" s="46"/>
      <c r="C778" s="25"/>
      <c r="D778" s="27"/>
      <c r="E778" s="27"/>
      <c r="F778" s="28"/>
      <c r="G778" s="27"/>
      <c r="H778" s="46"/>
      <c r="I778" s="46"/>
    </row>
    <row r="779" ht="12.75" customHeight="1">
      <c r="A779" s="46"/>
      <c r="C779" s="25"/>
      <c r="D779" s="27"/>
      <c r="E779" s="27"/>
      <c r="F779" s="28"/>
      <c r="G779" s="27"/>
      <c r="H779" s="46"/>
      <c r="I779" s="46"/>
    </row>
    <row r="780" ht="12.75" customHeight="1">
      <c r="A780" s="46"/>
      <c r="C780" s="25"/>
      <c r="D780" s="27"/>
      <c r="E780" s="27"/>
      <c r="F780" s="28"/>
      <c r="G780" s="27"/>
      <c r="H780" s="46"/>
      <c r="I780" s="46"/>
    </row>
    <row r="781" ht="12.75" customHeight="1">
      <c r="A781" s="46"/>
      <c r="C781" s="25"/>
      <c r="D781" s="27"/>
      <c r="E781" s="27"/>
      <c r="F781" s="28"/>
      <c r="G781" s="27"/>
      <c r="H781" s="46"/>
      <c r="I781" s="46"/>
    </row>
    <row r="782" ht="12.75" customHeight="1">
      <c r="A782" s="46"/>
      <c r="C782" s="25"/>
      <c r="D782" s="27"/>
      <c r="E782" s="27"/>
      <c r="F782" s="28"/>
      <c r="G782" s="27"/>
      <c r="H782" s="46"/>
      <c r="I782" s="46"/>
    </row>
    <row r="783" ht="12.75" customHeight="1">
      <c r="A783" s="46"/>
      <c r="C783" s="25"/>
      <c r="D783" s="27"/>
      <c r="E783" s="27"/>
      <c r="F783" s="28"/>
      <c r="G783" s="27"/>
      <c r="H783" s="46"/>
      <c r="I783" s="46"/>
    </row>
    <row r="784" ht="12.75" customHeight="1">
      <c r="A784" s="46"/>
      <c r="C784" s="25"/>
      <c r="D784" s="27"/>
      <c r="E784" s="27"/>
      <c r="F784" s="28"/>
      <c r="G784" s="27"/>
      <c r="H784" s="46"/>
      <c r="I784" s="46"/>
    </row>
    <row r="785" ht="12.75" customHeight="1">
      <c r="A785" s="46"/>
      <c r="C785" s="25"/>
      <c r="D785" s="27"/>
      <c r="E785" s="27"/>
      <c r="F785" s="28"/>
      <c r="G785" s="27"/>
      <c r="H785" s="46"/>
      <c r="I785" s="46"/>
    </row>
    <row r="786" ht="12.75" customHeight="1">
      <c r="A786" s="46"/>
      <c r="C786" s="25"/>
      <c r="D786" s="27"/>
      <c r="E786" s="27"/>
      <c r="F786" s="28"/>
      <c r="G786" s="27"/>
      <c r="H786" s="46"/>
      <c r="I786" s="46"/>
    </row>
    <row r="787" ht="12.75" customHeight="1">
      <c r="A787" s="46"/>
      <c r="C787" s="25"/>
      <c r="D787" s="27"/>
      <c r="E787" s="27"/>
      <c r="F787" s="28"/>
      <c r="G787" s="27"/>
      <c r="H787" s="46"/>
      <c r="I787" s="46"/>
    </row>
    <row r="788" ht="12.75" customHeight="1">
      <c r="A788" s="46"/>
      <c r="C788" s="25"/>
      <c r="D788" s="27"/>
      <c r="E788" s="27"/>
      <c r="F788" s="28"/>
      <c r="G788" s="27"/>
      <c r="H788" s="46"/>
      <c r="I788" s="46"/>
    </row>
    <row r="789" ht="12.75" customHeight="1">
      <c r="A789" s="46"/>
      <c r="C789" s="25"/>
      <c r="D789" s="27"/>
      <c r="E789" s="27"/>
      <c r="F789" s="28"/>
      <c r="G789" s="27"/>
      <c r="H789" s="46"/>
      <c r="I789" s="46"/>
    </row>
    <row r="790" ht="12.75" customHeight="1">
      <c r="A790" s="46"/>
      <c r="C790" s="25"/>
      <c r="D790" s="27"/>
      <c r="E790" s="27"/>
      <c r="F790" s="28"/>
      <c r="G790" s="27"/>
      <c r="H790" s="46"/>
      <c r="I790" s="46"/>
    </row>
    <row r="791" ht="12.75" customHeight="1">
      <c r="A791" s="46"/>
      <c r="C791" s="25"/>
      <c r="D791" s="27"/>
      <c r="E791" s="27"/>
      <c r="F791" s="28"/>
      <c r="G791" s="27"/>
      <c r="H791" s="46"/>
      <c r="I791" s="46"/>
    </row>
    <row r="792" ht="12.75" customHeight="1">
      <c r="A792" s="46"/>
      <c r="C792" s="25"/>
      <c r="D792" s="27"/>
      <c r="E792" s="27"/>
      <c r="F792" s="28"/>
      <c r="G792" s="27"/>
      <c r="H792" s="46"/>
      <c r="I792" s="46"/>
    </row>
    <row r="793" ht="12.75" customHeight="1">
      <c r="A793" s="46"/>
      <c r="C793" s="25"/>
      <c r="D793" s="27"/>
      <c r="E793" s="27"/>
      <c r="F793" s="28"/>
      <c r="G793" s="27"/>
      <c r="H793" s="46"/>
      <c r="I793" s="46"/>
    </row>
    <row r="794" ht="12.75" customHeight="1">
      <c r="A794" s="46"/>
      <c r="C794" s="25"/>
      <c r="D794" s="27"/>
      <c r="E794" s="27"/>
      <c r="F794" s="28"/>
      <c r="G794" s="27"/>
      <c r="H794" s="46"/>
      <c r="I794" s="46"/>
    </row>
    <row r="795" ht="12.75" customHeight="1">
      <c r="A795" s="46"/>
      <c r="C795" s="25"/>
      <c r="D795" s="27"/>
      <c r="E795" s="27"/>
      <c r="F795" s="28"/>
      <c r="G795" s="27"/>
      <c r="H795" s="46"/>
      <c r="I795" s="46"/>
    </row>
    <row r="796" ht="12.75" customHeight="1">
      <c r="A796" s="46"/>
      <c r="C796" s="25"/>
      <c r="D796" s="27"/>
      <c r="E796" s="27"/>
      <c r="F796" s="28"/>
      <c r="G796" s="27"/>
      <c r="H796" s="46"/>
      <c r="I796" s="46"/>
    </row>
    <row r="797" ht="12.75" customHeight="1">
      <c r="A797" s="46"/>
      <c r="C797" s="25"/>
      <c r="D797" s="27"/>
      <c r="E797" s="27"/>
      <c r="F797" s="28"/>
      <c r="G797" s="27"/>
      <c r="H797" s="46"/>
      <c r="I797" s="46"/>
    </row>
    <row r="798" ht="12.75" customHeight="1">
      <c r="A798" s="46"/>
      <c r="C798" s="25"/>
      <c r="D798" s="27"/>
      <c r="E798" s="27"/>
      <c r="F798" s="28"/>
      <c r="G798" s="27"/>
      <c r="H798" s="46"/>
      <c r="I798" s="46"/>
    </row>
    <row r="799" ht="12.75" customHeight="1">
      <c r="A799" s="46"/>
      <c r="C799" s="25"/>
      <c r="D799" s="27"/>
      <c r="E799" s="27"/>
      <c r="F799" s="28"/>
      <c r="G799" s="27"/>
      <c r="H799" s="46"/>
      <c r="I799" s="46"/>
    </row>
    <row r="800" ht="12.75" customHeight="1">
      <c r="A800" s="46"/>
      <c r="C800" s="25"/>
      <c r="D800" s="27"/>
      <c r="E800" s="27"/>
      <c r="F800" s="28"/>
      <c r="G800" s="27"/>
      <c r="H800" s="46"/>
      <c r="I800" s="46"/>
    </row>
    <row r="801" ht="12.75" customHeight="1">
      <c r="A801" s="46"/>
      <c r="C801" s="25"/>
      <c r="D801" s="27"/>
      <c r="E801" s="27"/>
      <c r="F801" s="28"/>
      <c r="G801" s="27"/>
      <c r="H801" s="46"/>
      <c r="I801" s="46"/>
    </row>
    <row r="802" ht="12.75" customHeight="1">
      <c r="A802" s="46"/>
      <c r="C802" s="25"/>
      <c r="D802" s="27"/>
      <c r="E802" s="27"/>
      <c r="F802" s="28"/>
      <c r="G802" s="27"/>
      <c r="H802" s="46"/>
      <c r="I802" s="46"/>
    </row>
    <row r="803" ht="12.75" customHeight="1">
      <c r="A803" s="46"/>
      <c r="C803" s="25"/>
      <c r="D803" s="27"/>
      <c r="E803" s="27"/>
      <c r="F803" s="28"/>
      <c r="G803" s="27"/>
      <c r="H803" s="46"/>
      <c r="I803" s="46"/>
    </row>
    <row r="804" ht="12.75" customHeight="1">
      <c r="A804" s="46"/>
      <c r="C804" s="25"/>
      <c r="D804" s="27"/>
      <c r="E804" s="27"/>
      <c r="F804" s="28"/>
      <c r="G804" s="27"/>
      <c r="H804" s="46"/>
      <c r="I804" s="46"/>
    </row>
    <row r="805" ht="12.75" customHeight="1">
      <c r="A805" s="46"/>
      <c r="C805" s="25"/>
      <c r="D805" s="27"/>
      <c r="E805" s="27"/>
      <c r="F805" s="28"/>
      <c r="G805" s="27"/>
      <c r="H805" s="46"/>
      <c r="I805" s="46"/>
    </row>
    <row r="806" ht="12.75" customHeight="1">
      <c r="A806" s="46"/>
      <c r="C806" s="25"/>
      <c r="D806" s="27"/>
      <c r="E806" s="27"/>
      <c r="F806" s="28"/>
      <c r="G806" s="27"/>
      <c r="H806" s="46"/>
      <c r="I806" s="46"/>
    </row>
    <row r="807" ht="12.75" customHeight="1">
      <c r="A807" s="46"/>
      <c r="C807" s="25"/>
      <c r="D807" s="27"/>
      <c r="E807" s="27"/>
      <c r="F807" s="28"/>
      <c r="G807" s="27"/>
      <c r="H807" s="46"/>
      <c r="I807" s="46"/>
    </row>
    <row r="808" ht="12.75" customHeight="1">
      <c r="A808" s="46"/>
      <c r="C808" s="25"/>
      <c r="D808" s="27"/>
      <c r="E808" s="27"/>
      <c r="F808" s="28"/>
      <c r="G808" s="27"/>
      <c r="H808" s="46"/>
      <c r="I808" s="46"/>
    </row>
    <row r="809" ht="12.75" customHeight="1">
      <c r="A809" s="46"/>
      <c r="C809" s="25"/>
      <c r="D809" s="27"/>
      <c r="E809" s="27"/>
      <c r="F809" s="28"/>
      <c r="G809" s="27"/>
      <c r="H809" s="46"/>
      <c r="I809" s="46"/>
    </row>
    <row r="810" ht="12.75" customHeight="1">
      <c r="A810" s="46"/>
      <c r="C810" s="25"/>
      <c r="D810" s="27"/>
      <c r="E810" s="27"/>
      <c r="F810" s="28"/>
      <c r="G810" s="27"/>
      <c r="H810" s="46"/>
      <c r="I810" s="46"/>
    </row>
    <row r="811" ht="12.75" customHeight="1">
      <c r="A811" s="46"/>
      <c r="C811" s="25"/>
      <c r="D811" s="27"/>
      <c r="E811" s="27"/>
      <c r="F811" s="28"/>
      <c r="G811" s="27"/>
      <c r="H811" s="46"/>
      <c r="I811" s="46"/>
    </row>
    <row r="812" ht="12.75" customHeight="1">
      <c r="A812" s="46"/>
      <c r="C812" s="25"/>
      <c r="D812" s="27"/>
      <c r="E812" s="27"/>
      <c r="F812" s="28"/>
      <c r="G812" s="27"/>
      <c r="H812" s="46"/>
      <c r="I812" s="46"/>
    </row>
    <row r="813" ht="12.75" customHeight="1">
      <c r="A813" s="46"/>
      <c r="C813" s="25"/>
      <c r="D813" s="27"/>
      <c r="E813" s="27"/>
      <c r="F813" s="28"/>
      <c r="G813" s="27"/>
      <c r="H813" s="46"/>
      <c r="I813" s="46"/>
    </row>
    <row r="814" ht="12.75" customHeight="1">
      <c r="A814" s="46"/>
      <c r="C814" s="25"/>
      <c r="D814" s="27"/>
      <c r="E814" s="27"/>
      <c r="F814" s="28"/>
      <c r="G814" s="27"/>
      <c r="H814" s="46"/>
      <c r="I814" s="46"/>
    </row>
    <row r="815" ht="12.75" customHeight="1">
      <c r="A815" s="46"/>
      <c r="C815" s="25"/>
      <c r="D815" s="27"/>
      <c r="E815" s="27"/>
      <c r="F815" s="28"/>
      <c r="G815" s="27"/>
      <c r="H815" s="46"/>
      <c r="I815" s="46"/>
    </row>
    <row r="816" ht="12.75" customHeight="1">
      <c r="A816" s="46"/>
      <c r="C816" s="25"/>
      <c r="D816" s="27"/>
      <c r="E816" s="27"/>
      <c r="F816" s="28"/>
      <c r="G816" s="27"/>
      <c r="H816" s="46"/>
      <c r="I816" s="46"/>
    </row>
    <row r="817" ht="12.75" customHeight="1">
      <c r="A817" s="46"/>
      <c r="C817" s="25"/>
      <c r="D817" s="27"/>
      <c r="E817" s="27"/>
      <c r="F817" s="28"/>
      <c r="G817" s="27"/>
      <c r="H817" s="46"/>
      <c r="I817" s="46"/>
    </row>
    <row r="818" ht="12.75" customHeight="1">
      <c r="A818" s="46"/>
      <c r="C818" s="25"/>
      <c r="D818" s="27"/>
      <c r="E818" s="27"/>
      <c r="F818" s="28"/>
      <c r="G818" s="27"/>
      <c r="H818" s="46"/>
      <c r="I818" s="46"/>
    </row>
    <row r="819" ht="12.75" customHeight="1">
      <c r="A819" s="46"/>
      <c r="C819" s="25"/>
      <c r="D819" s="27"/>
      <c r="E819" s="27"/>
      <c r="F819" s="28"/>
      <c r="G819" s="27"/>
      <c r="H819" s="46"/>
      <c r="I819" s="46"/>
    </row>
    <row r="820" ht="12.75" customHeight="1">
      <c r="A820" s="46"/>
      <c r="C820" s="25"/>
      <c r="D820" s="27"/>
      <c r="E820" s="27"/>
      <c r="F820" s="28"/>
      <c r="G820" s="27"/>
      <c r="H820" s="46"/>
      <c r="I820" s="46"/>
    </row>
    <row r="821" ht="12.75" customHeight="1">
      <c r="A821" s="46"/>
      <c r="C821" s="25"/>
      <c r="D821" s="27"/>
      <c r="E821" s="27"/>
      <c r="F821" s="28"/>
      <c r="G821" s="27"/>
      <c r="H821" s="46"/>
      <c r="I821" s="46"/>
    </row>
    <row r="822" ht="12.75" customHeight="1">
      <c r="A822" s="46"/>
      <c r="C822" s="25"/>
      <c r="D822" s="27"/>
      <c r="E822" s="27"/>
      <c r="F822" s="28"/>
      <c r="G822" s="27"/>
      <c r="H822" s="46"/>
      <c r="I822" s="46"/>
    </row>
    <row r="823" ht="12.75" customHeight="1">
      <c r="A823" s="46"/>
      <c r="C823" s="25"/>
      <c r="D823" s="27"/>
      <c r="E823" s="27"/>
      <c r="F823" s="28"/>
      <c r="G823" s="27"/>
      <c r="H823" s="46"/>
      <c r="I823" s="46"/>
    </row>
    <row r="824" ht="12.75" customHeight="1">
      <c r="A824" s="46"/>
      <c r="C824" s="25"/>
      <c r="D824" s="27"/>
      <c r="E824" s="27"/>
      <c r="F824" s="28"/>
      <c r="G824" s="27"/>
      <c r="H824" s="46"/>
      <c r="I824" s="46"/>
    </row>
    <row r="825" ht="12.75" customHeight="1">
      <c r="A825" s="46"/>
      <c r="C825" s="25"/>
      <c r="D825" s="27"/>
      <c r="E825" s="27"/>
      <c r="F825" s="28"/>
      <c r="G825" s="27"/>
      <c r="H825" s="46"/>
      <c r="I825" s="46"/>
    </row>
    <row r="826" ht="12.75" customHeight="1">
      <c r="A826" s="46"/>
      <c r="C826" s="25"/>
      <c r="D826" s="27"/>
      <c r="E826" s="27"/>
      <c r="F826" s="28"/>
      <c r="G826" s="27"/>
      <c r="H826" s="46"/>
      <c r="I826" s="46"/>
    </row>
    <row r="827" ht="12.75" customHeight="1">
      <c r="A827" s="46"/>
      <c r="C827" s="25"/>
      <c r="D827" s="27"/>
      <c r="E827" s="27"/>
      <c r="F827" s="28"/>
      <c r="G827" s="27"/>
      <c r="H827" s="46"/>
      <c r="I827" s="46"/>
    </row>
    <row r="828" ht="12.75" customHeight="1">
      <c r="A828" s="46"/>
      <c r="C828" s="25"/>
      <c r="D828" s="27"/>
      <c r="E828" s="27"/>
      <c r="F828" s="28"/>
      <c r="G828" s="27"/>
      <c r="H828" s="46"/>
      <c r="I828" s="46"/>
    </row>
    <row r="829" ht="12.75" customHeight="1">
      <c r="A829" s="46"/>
      <c r="C829" s="25"/>
      <c r="D829" s="27"/>
      <c r="E829" s="27"/>
      <c r="F829" s="28"/>
      <c r="G829" s="27"/>
      <c r="H829" s="46"/>
      <c r="I829" s="46"/>
    </row>
    <row r="830" ht="12.75" customHeight="1">
      <c r="A830" s="46"/>
      <c r="C830" s="25"/>
      <c r="D830" s="27"/>
      <c r="E830" s="27"/>
      <c r="F830" s="28"/>
      <c r="G830" s="27"/>
      <c r="H830" s="46"/>
      <c r="I830" s="46"/>
    </row>
    <row r="831" ht="12.75" customHeight="1">
      <c r="A831" s="46"/>
      <c r="C831" s="25"/>
      <c r="D831" s="27"/>
      <c r="E831" s="27"/>
      <c r="F831" s="28"/>
      <c r="G831" s="27"/>
      <c r="H831" s="46"/>
      <c r="I831" s="46"/>
    </row>
    <row r="832" ht="12.75" customHeight="1">
      <c r="A832" s="46"/>
      <c r="C832" s="25"/>
      <c r="D832" s="27"/>
      <c r="E832" s="27"/>
      <c r="F832" s="28"/>
      <c r="G832" s="27"/>
      <c r="H832" s="46"/>
      <c r="I832" s="46"/>
    </row>
    <row r="833" ht="12.75" customHeight="1">
      <c r="A833" s="46"/>
      <c r="C833" s="25"/>
      <c r="D833" s="27"/>
      <c r="E833" s="27"/>
      <c r="F833" s="28"/>
      <c r="G833" s="27"/>
      <c r="H833" s="46"/>
      <c r="I833" s="46"/>
    </row>
    <row r="834" ht="12.75" customHeight="1">
      <c r="A834" s="46"/>
      <c r="C834" s="25"/>
      <c r="D834" s="27"/>
      <c r="E834" s="27"/>
      <c r="F834" s="28"/>
      <c r="G834" s="27"/>
      <c r="H834" s="46"/>
      <c r="I834" s="46"/>
    </row>
    <row r="835" ht="12.75" customHeight="1">
      <c r="A835" s="46"/>
      <c r="C835" s="25"/>
      <c r="D835" s="27"/>
      <c r="E835" s="27"/>
      <c r="F835" s="28"/>
      <c r="G835" s="27"/>
      <c r="H835" s="46"/>
      <c r="I835" s="46"/>
    </row>
    <row r="836" ht="12.75" customHeight="1">
      <c r="A836" s="46"/>
      <c r="C836" s="25"/>
      <c r="D836" s="27"/>
      <c r="E836" s="27"/>
      <c r="F836" s="28"/>
      <c r="G836" s="27"/>
      <c r="H836" s="46"/>
      <c r="I836" s="46"/>
    </row>
    <row r="837" ht="12.75" customHeight="1">
      <c r="A837" s="46"/>
      <c r="C837" s="25"/>
      <c r="D837" s="27"/>
      <c r="E837" s="27"/>
      <c r="F837" s="28"/>
      <c r="G837" s="27"/>
      <c r="H837" s="46"/>
      <c r="I837" s="46"/>
    </row>
    <row r="838" ht="12.75" customHeight="1">
      <c r="A838" s="46"/>
      <c r="C838" s="25"/>
      <c r="D838" s="27"/>
      <c r="E838" s="27"/>
      <c r="F838" s="28"/>
      <c r="G838" s="27"/>
      <c r="H838" s="46"/>
      <c r="I838" s="46"/>
    </row>
    <row r="839" ht="12.75" customHeight="1">
      <c r="A839" s="46"/>
      <c r="C839" s="25"/>
      <c r="D839" s="27"/>
      <c r="E839" s="27"/>
      <c r="F839" s="28"/>
      <c r="G839" s="27"/>
      <c r="H839" s="46"/>
      <c r="I839" s="46"/>
    </row>
    <row r="840" ht="12.75" customHeight="1">
      <c r="A840" s="46"/>
      <c r="C840" s="25"/>
      <c r="D840" s="27"/>
      <c r="E840" s="27"/>
      <c r="F840" s="28"/>
      <c r="G840" s="27"/>
      <c r="H840" s="46"/>
      <c r="I840" s="46"/>
    </row>
    <row r="841" ht="12.75" customHeight="1">
      <c r="A841" s="46"/>
      <c r="C841" s="25"/>
      <c r="D841" s="27"/>
      <c r="E841" s="27"/>
      <c r="F841" s="28"/>
      <c r="G841" s="27"/>
      <c r="H841" s="46"/>
      <c r="I841" s="46"/>
    </row>
    <row r="842" ht="12.75" customHeight="1">
      <c r="A842" s="46"/>
      <c r="C842" s="25"/>
      <c r="D842" s="27"/>
      <c r="E842" s="27"/>
      <c r="F842" s="28"/>
      <c r="G842" s="27"/>
      <c r="H842" s="46"/>
      <c r="I842" s="46"/>
    </row>
    <row r="843" ht="12.75" customHeight="1">
      <c r="A843" s="46"/>
      <c r="C843" s="25"/>
      <c r="D843" s="27"/>
      <c r="E843" s="27"/>
      <c r="F843" s="28"/>
      <c r="G843" s="27"/>
      <c r="H843" s="46"/>
      <c r="I843" s="46"/>
    </row>
    <row r="844" ht="12.75" customHeight="1">
      <c r="A844" s="46"/>
      <c r="C844" s="25"/>
      <c r="D844" s="27"/>
      <c r="E844" s="27"/>
      <c r="F844" s="28"/>
      <c r="G844" s="27"/>
      <c r="H844" s="46"/>
      <c r="I844" s="46"/>
    </row>
    <row r="845" ht="12.75" customHeight="1">
      <c r="A845" s="46"/>
      <c r="C845" s="25"/>
      <c r="D845" s="27"/>
      <c r="E845" s="27"/>
      <c r="F845" s="28"/>
      <c r="G845" s="27"/>
      <c r="H845" s="46"/>
      <c r="I845" s="46"/>
    </row>
    <row r="846" ht="12.75" customHeight="1">
      <c r="A846" s="46"/>
      <c r="C846" s="25"/>
      <c r="D846" s="27"/>
      <c r="E846" s="27"/>
      <c r="F846" s="28"/>
      <c r="G846" s="27"/>
      <c r="H846" s="46"/>
      <c r="I846" s="46"/>
    </row>
    <row r="847" ht="12.75" customHeight="1">
      <c r="A847" s="46"/>
      <c r="C847" s="25"/>
      <c r="D847" s="27"/>
      <c r="E847" s="27"/>
      <c r="F847" s="28"/>
      <c r="G847" s="27"/>
      <c r="H847" s="46"/>
      <c r="I847" s="46"/>
    </row>
    <row r="848" ht="12.75" customHeight="1">
      <c r="A848" s="46"/>
      <c r="C848" s="25"/>
      <c r="D848" s="27"/>
      <c r="E848" s="27"/>
      <c r="F848" s="28"/>
      <c r="G848" s="27"/>
      <c r="H848" s="46"/>
      <c r="I848" s="46"/>
    </row>
    <row r="849" ht="12.75" customHeight="1">
      <c r="A849" s="46"/>
      <c r="C849" s="25"/>
      <c r="D849" s="27"/>
      <c r="E849" s="27"/>
      <c r="F849" s="28"/>
      <c r="G849" s="27"/>
      <c r="H849" s="46"/>
      <c r="I849" s="46"/>
    </row>
    <row r="850" ht="12.75" customHeight="1">
      <c r="A850" s="46"/>
      <c r="C850" s="25"/>
      <c r="D850" s="27"/>
      <c r="E850" s="27"/>
      <c r="F850" s="28"/>
      <c r="G850" s="27"/>
      <c r="H850" s="46"/>
      <c r="I850" s="46"/>
    </row>
    <row r="851" ht="12.75" customHeight="1">
      <c r="A851" s="46"/>
      <c r="C851" s="25"/>
      <c r="D851" s="27"/>
      <c r="E851" s="27"/>
      <c r="F851" s="28"/>
      <c r="G851" s="27"/>
      <c r="H851" s="46"/>
      <c r="I851" s="46"/>
    </row>
    <row r="852" ht="12.75" customHeight="1">
      <c r="A852" s="46"/>
      <c r="C852" s="25"/>
      <c r="D852" s="27"/>
      <c r="E852" s="27"/>
      <c r="F852" s="28"/>
      <c r="G852" s="27"/>
      <c r="H852" s="46"/>
      <c r="I852" s="46"/>
    </row>
    <row r="853" ht="12.75" customHeight="1">
      <c r="A853" s="46"/>
      <c r="C853" s="25"/>
      <c r="D853" s="27"/>
      <c r="E853" s="27"/>
      <c r="F853" s="28"/>
      <c r="G853" s="27"/>
      <c r="H853" s="46"/>
      <c r="I853" s="46"/>
    </row>
    <row r="854" ht="12.75" customHeight="1">
      <c r="A854" s="46"/>
      <c r="C854" s="25"/>
      <c r="D854" s="27"/>
      <c r="E854" s="27"/>
      <c r="F854" s="28"/>
      <c r="G854" s="27"/>
      <c r="H854" s="46"/>
      <c r="I854" s="46"/>
    </row>
    <row r="855" ht="12.75" customHeight="1">
      <c r="A855" s="46"/>
      <c r="C855" s="25"/>
      <c r="D855" s="27"/>
      <c r="E855" s="27"/>
      <c r="F855" s="28"/>
      <c r="G855" s="27"/>
      <c r="H855" s="46"/>
      <c r="I855" s="46"/>
    </row>
    <row r="856" ht="12.75" customHeight="1">
      <c r="A856" s="46"/>
      <c r="C856" s="25"/>
      <c r="D856" s="27"/>
      <c r="E856" s="27"/>
      <c r="F856" s="28"/>
      <c r="G856" s="27"/>
      <c r="H856" s="46"/>
      <c r="I856" s="46"/>
    </row>
    <row r="857" ht="12.75" customHeight="1">
      <c r="A857" s="46"/>
      <c r="C857" s="25"/>
      <c r="D857" s="27"/>
      <c r="E857" s="27"/>
      <c r="F857" s="28"/>
      <c r="G857" s="27"/>
      <c r="H857" s="46"/>
      <c r="I857" s="46"/>
    </row>
    <row r="858" ht="12.75" customHeight="1">
      <c r="A858" s="46"/>
      <c r="C858" s="25"/>
      <c r="D858" s="27"/>
      <c r="E858" s="27"/>
      <c r="F858" s="28"/>
      <c r="G858" s="27"/>
      <c r="H858" s="46"/>
      <c r="I858" s="46"/>
    </row>
    <row r="859" ht="12.75" customHeight="1">
      <c r="A859" s="46"/>
      <c r="C859" s="25"/>
      <c r="D859" s="27"/>
      <c r="E859" s="27"/>
      <c r="F859" s="28"/>
      <c r="G859" s="27"/>
      <c r="H859" s="46"/>
      <c r="I859" s="46"/>
    </row>
    <row r="860" ht="12.75" customHeight="1">
      <c r="A860" s="46"/>
      <c r="C860" s="25"/>
      <c r="D860" s="27"/>
      <c r="E860" s="27"/>
      <c r="F860" s="28"/>
      <c r="G860" s="27"/>
      <c r="H860" s="46"/>
      <c r="I860" s="46"/>
    </row>
    <row r="861" ht="12.75" customHeight="1">
      <c r="A861" s="46"/>
      <c r="C861" s="25"/>
      <c r="D861" s="27"/>
      <c r="E861" s="27"/>
      <c r="F861" s="28"/>
      <c r="G861" s="27"/>
      <c r="H861" s="46"/>
      <c r="I861" s="46"/>
    </row>
    <row r="862" ht="12.75" customHeight="1">
      <c r="A862" s="46"/>
      <c r="C862" s="25"/>
      <c r="D862" s="27"/>
      <c r="E862" s="27"/>
      <c r="F862" s="28"/>
      <c r="G862" s="27"/>
      <c r="H862" s="46"/>
      <c r="I862" s="46"/>
    </row>
    <row r="863" ht="12.75" customHeight="1">
      <c r="A863" s="46"/>
      <c r="C863" s="25"/>
      <c r="D863" s="27"/>
      <c r="E863" s="27"/>
      <c r="F863" s="28"/>
      <c r="G863" s="27"/>
      <c r="H863" s="46"/>
      <c r="I863" s="46"/>
    </row>
    <row r="864" ht="12.75" customHeight="1">
      <c r="A864" s="46"/>
      <c r="C864" s="25"/>
      <c r="D864" s="27"/>
      <c r="E864" s="27"/>
      <c r="F864" s="28"/>
      <c r="G864" s="27"/>
      <c r="H864" s="46"/>
      <c r="I864" s="46"/>
    </row>
    <row r="865" ht="12.75" customHeight="1">
      <c r="A865" s="46"/>
      <c r="C865" s="25"/>
      <c r="D865" s="27"/>
      <c r="E865" s="27"/>
      <c r="F865" s="28"/>
      <c r="G865" s="27"/>
      <c r="H865" s="46"/>
      <c r="I865" s="46"/>
    </row>
    <row r="866" ht="12.75" customHeight="1">
      <c r="A866" s="46"/>
      <c r="C866" s="25"/>
      <c r="D866" s="27"/>
      <c r="E866" s="27"/>
      <c r="F866" s="28"/>
      <c r="G866" s="27"/>
      <c r="H866" s="46"/>
      <c r="I866" s="46"/>
    </row>
    <row r="867" ht="12.75" customHeight="1">
      <c r="A867" s="46"/>
      <c r="C867" s="25"/>
      <c r="D867" s="27"/>
      <c r="E867" s="27"/>
      <c r="F867" s="28"/>
      <c r="G867" s="27"/>
      <c r="H867" s="46"/>
      <c r="I867" s="46"/>
    </row>
    <row r="868" ht="12.75" customHeight="1">
      <c r="A868" s="46"/>
      <c r="C868" s="25"/>
      <c r="D868" s="27"/>
      <c r="E868" s="27"/>
      <c r="F868" s="28"/>
      <c r="G868" s="27"/>
      <c r="H868" s="46"/>
      <c r="I868" s="46"/>
    </row>
    <row r="869" ht="12.75" customHeight="1">
      <c r="A869" s="46"/>
      <c r="C869" s="25"/>
      <c r="D869" s="27"/>
      <c r="E869" s="27"/>
      <c r="F869" s="28"/>
      <c r="G869" s="27"/>
      <c r="H869" s="46"/>
      <c r="I869" s="46"/>
    </row>
    <row r="870" ht="12.75" customHeight="1">
      <c r="A870" s="46"/>
      <c r="C870" s="25"/>
      <c r="D870" s="27"/>
      <c r="E870" s="27"/>
      <c r="F870" s="28"/>
      <c r="G870" s="27"/>
      <c r="H870" s="46"/>
      <c r="I870" s="46"/>
    </row>
    <row r="871" ht="12.75" customHeight="1">
      <c r="A871" s="46"/>
      <c r="C871" s="25"/>
      <c r="D871" s="27"/>
      <c r="E871" s="27"/>
      <c r="F871" s="28"/>
      <c r="G871" s="27"/>
      <c r="H871" s="46"/>
      <c r="I871" s="46"/>
    </row>
    <row r="872" ht="12.75" customHeight="1">
      <c r="A872" s="46"/>
      <c r="C872" s="25"/>
      <c r="D872" s="27"/>
      <c r="E872" s="27"/>
      <c r="F872" s="28"/>
      <c r="G872" s="27"/>
      <c r="H872" s="46"/>
      <c r="I872" s="46"/>
    </row>
    <row r="873" ht="12.75" customHeight="1">
      <c r="A873" s="46"/>
      <c r="C873" s="25"/>
      <c r="D873" s="27"/>
      <c r="E873" s="27"/>
      <c r="F873" s="28"/>
      <c r="G873" s="27"/>
      <c r="H873" s="46"/>
      <c r="I873" s="46"/>
    </row>
    <row r="874" ht="12.75" customHeight="1">
      <c r="A874" s="46"/>
      <c r="C874" s="25"/>
      <c r="D874" s="27"/>
      <c r="E874" s="27"/>
      <c r="F874" s="28"/>
      <c r="G874" s="27"/>
      <c r="H874" s="46"/>
      <c r="I874" s="46"/>
    </row>
    <row r="875" ht="12.75" customHeight="1">
      <c r="A875" s="46"/>
      <c r="C875" s="25"/>
      <c r="D875" s="27"/>
      <c r="E875" s="27"/>
      <c r="F875" s="28"/>
      <c r="G875" s="27"/>
      <c r="H875" s="46"/>
      <c r="I875" s="46"/>
    </row>
    <row r="876" ht="12.75" customHeight="1">
      <c r="A876" s="46"/>
      <c r="C876" s="25"/>
      <c r="D876" s="27"/>
      <c r="E876" s="27"/>
      <c r="F876" s="28"/>
      <c r="G876" s="27"/>
      <c r="H876" s="46"/>
      <c r="I876" s="46"/>
    </row>
    <row r="877" ht="12.75" customHeight="1">
      <c r="A877" s="46"/>
      <c r="C877" s="25"/>
      <c r="D877" s="27"/>
      <c r="E877" s="27"/>
      <c r="F877" s="28"/>
      <c r="G877" s="27"/>
      <c r="H877" s="46"/>
      <c r="I877" s="46"/>
    </row>
    <row r="878" ht="12.75" customHeight="1">
      <c r="A878" s="46"/>
      <c r="C878" s="25"/>
      <c r="D878" s="27"/>
      <c r="E878" s="27"/>
      <c r="F878" s="28"/>
      <c r="G878" s="27"/>
      <c r="H878" s="46"/>
      <c r="I878" s="46"/>
    </row>
    <row r="879" ht="12.75" customHeight="1">
      <c r="A879" s="46"/>
      <c r="C879" s="25"/>
      <c r="D879" s="27"/>
      <c r="E879" s="27"/>
      <c r="F879" s="28"/>
      <c r="G879" s="27"/>
      <c r="H879" s="46"/>
      <c r="I879" s="46"/>
    </row>
    <row r="880" ht="12.75" customHeight="1">
      <c r="A880" s="46"/>
      <c r="C880" s="25"/>
      <c r="D880" s="27"/>
      <c r="E880" s="27"/>
      <c r="F880" s="28"/>
      <c r="G880" s="27"/>
      <c r="H880" s="46"/>
      <c r="I880" s="46"/>
    </row>
    <row r="881" ht="12.75" customHeight="1">
      <c r="A881" s="46"/>
      <c r="C881" s="25"/>
      <c r="D881" s="27"/>
      <c r="E881" s="27"/>
      <c r="F881" s="28"/>
      <c r="G881" s="27"/>
      <c r="H881" s="46"/>
      <c r="I881" s="46"/>
    </row>
    <row r="882" ht="12.75" customHeight="1">
      <c r="A882" s="46"/>
      <c r="C882" s="25"/>
      <c r="D882" s="27"/>
      <c r="E882" s="27"/>
      <c r="F882" s="28"/>
      <c r="G882" s="27"/>
      <c r="H882" s="46"/>
      <c r="I882" s="46"/>
    </row>
    <row r="883" ht="12.75" customHeight="1">
      <c r="A883" s="46"/>
      <c r="C883" s="25"/>
      <c r="D883" s="27"/>
      <c r="E883" s="27"/>
      <c r="F883" s="28"/>
      <c r="G883" s="27"/>
      <c r="H883" s="46"/>
      <c r="I883" s="46"/>
    </row>
    <row r="884" ht="12.75" customHeight="1">
      <c r="A884" s="46"/>
      <c r="C884" s="25"/>
      <c r="D884" s="27"/>
      <c r="E884" s="27"/>
      <c r="F884" s="28"/>
      <c r="G884" s="27"/>
      <c r="H884" s="46"/>
      <c r="I884" s="46"/>
    </row>
    <row r="885" ht="12.75" customHeight="1">
      <c r="A885" s="46"/>
      <c r="C885" s="25"/>
      <c r="D885" s="27"/>
      <c r="E885" s="27"/>
      <c r="F885" s="28"/>
      <c r="G885" s="27"/>
      <c r="H885" s="46"/>
      <c r="I885" s="46"/>
    </row>
    <row r="886" ht="12.75" customHeight="1">
      <c r="A886" s="46"/>
      <c r="C886" s="25"/>
      <c r="D886" s="27"/>
      <c r="E886" s="27"/>
      <c r="F886" s="28"/>
      <c r="G886" s="27"/>
      <c r="H886" s="46"/>
      <c r="I886" s="46"/>
    </row>
    <row r="887" ht="12.75" customHeight="1">
      <c r="A887" s="46"/>
      <c r="C887" s="25"/>
      <c r="D887" s="27"/>
      <c r="E887" s="27"/>
      <c r="F887" s="28"/>
      <c r="G887" s="27"/>
      <c r="H887" s="46"/>
      <c r="I887" s="46"/>
    </row>
    <row r="888" ht="12.75" customHeight="1">
      <c r="A888" s="46"/>
      <c r="C888" s="25"/>
      <c r="D888" s="27"/>
      <c r="E888" s="27"/>
      <c r="F888" s="28"/>
      <c r="G888" s="27"/>
      <c r="H888" s="46"/>
      <c r="I888" s="46"/>
    </row>
    <row r="889" ht="12.75" customHeight="1">
      <c r="A889" s="46"/>
      <c r="C889" s="25"/>
      <c r="D889" s="27"/>
      <c r="E889" s="27"/>
      <c r="F889" s="28"/>
      <c r="G889" s="27"/>
      <c r="H889" s="46"/>
      <c r="I889" s="46"/>
    </row>
    <row r="890" ht="12.75" customHeight="1">
      <c r="A890" s="46"/>
      <c r="C890" s="25"/>
      <c r="D890" s="27"/>
      <c r="E890" s="27"/>
      <c r="F890" s="28"/>
      <c r="G890" s="27"/>
      <c r="H890" s="46"/>
      <c r="I890" s="46"/>
    </row>
    <row r="891" ht="12.75" customHeight="1">
      <c r="A891" s="46"/>
      <c r="C891" s="25"/>
      <c r="D891" s="27"/>
      <c r="E891" s="27"/>
      <c r="F891" s="28"/>
      <c r="G891" s="27"/>
      <c r="H891" s="46"/>
      <c r="I891" s="46"/>
    </row>
    <row r="892" ht="12.75" customHeight="1">
      <c r="A892" s="46"/>
      <c r="C892" s="25"/>
      <c r="D892" s="27"/>
      <c r="E892" s="27"/>
      <c r="F892" s="28"/>
      <c r="G892" s="27"/>
      <c r="H892" s="46"/>
      <c r="I892" s="46"/>
    </row>
    <row r="893" ht="12.75" customHeight="1">
      <c r="A893" s="46"/>
      <c r="C893" s="25"/>
      <c r="D893" s="27"/>
      <c r="E893" s="27"/>
      <c r="F893" s="28"/>
      <c r="G893" s="27"/>
      <c r="H893" s="46"/>
      <c r="I893" s="46"/>
    </row>
    <row r="894" ht="12.75" customHeight="1">
      <c r="A894" s="46"/>
      <c r="C894" s="25"/>
      <c r="D894" s="27"/>
      <c r="E894" s="27"/>
      <c r="F894" s="28"/>
      <c r="G894" s="27"/>
      <c r="H894" s="46"/>
      <c r="I894" s="46"/>
    </row>
    <row r="895" ht="12.75" customHeight="1">
      <c r="A895" s="46"/>
      <c r="C895" s="25"/>
      <c r="D895" s="27"/>
      <c r="E895" s="27"/>
      <c r="F895" s="28"/>
      <c r="G895" s="27"/>
      <c r="H895" s="46"/>
      <c r="I895" s="46"/>
    </row>
    <row r="896" ht="12.75" customHeight="1">
      <c r="A896" s="46"/>
      <c r="C896" s="25"/>
      <c r="D896" s="27"/>
      <c r="E896" s="27"/>
      <c r="F896" s="28"/>
      <c r="G896" s="27"/>
      <c r="H896" s="46"/>
      <c r="I896" s="46"/>
    </row>
    <row r="897" ht="12.75" customHeight="1">
      <c r="A897" s="46"/>
      <c r="C897" s="25"/>
      <c r="D897" s="27"/>
      <c r="E897" s="27"/>
      <c r="F897" s="28"/>
      <c r="G897" s="27"/>
      <c r="H897" s="46"/>
      <c r="I897" s="46"/>
    </row>
    <row r="898" ht="12.75" customHeight="1">
      <c r="A898" s="46"/>
      <c r="C898" s="25"/>
      <c r="D898" s="27"/>
      <c r="E898" s="27"/>
      <c r="F898" s="28"/>
      <c r="G898" s="27"/>
      <c r="H898" s="46"/>
      <c r="I898" s="46"/>
    </row>
    <row r="899" ht="12.75" customHeight="1">
      <c r="A899" s="46"/>
      <c r="C899" s="25"/>
      <c r="D899" s="27"/>
      <c r="E899" s="27"/>
      <c r="F899" s="28"/>
      <c r="G899" s="27"/>
      <c r="H899" s="46"/>
      <c r="I899" s="46"/>
    </row>
    <row r="900" ht="12.75" customHeight="1">
      <c r="A900" s="46"/>
      <c r="C900" s="25"/>
      <c r="D900" s="27"/>
      <c r="E900" s="27"/>
      <c r="F900" s="28"/>
      <c r="G900" s="27"/>
      <c r="H900" s="46"/>
      <c r="I900" s="46"/>
    </row>
    <row r="901" ht="12.75" customHeight="1">
      <c r="A901" s="46"/>
      <c r="C901" s="25"/>
      <c r="D901" s="27"/>
      <c r="E901" s="27"/>
      <c r="F901" s="28"/>
      <c r="G901" s="27"/>
      <c r="H901" s="46"/>
      <c r="I901" s="46"/>
    </row>
    <row r="902" ht="12.75" customHeight="1">
      <c r="A902" s="46"/>
      <c r="C902" s="25"/>
      <c r="D902" s="27"/>
      <c r="E902" s="27"/>
      <c r="F902" s="28"/>
      <c r="G902" s="27"/>
      <c r="H902" s="46"/>
      <c r="I902" s="46"/>
    </row>
    <row r="903" ht="12.75" customHeight="1">
      <c r="A903" s="46"/>
      <c r="C903" s="25"/>
      <c r="D903" s="27"/>
      <c r="E903" s="27"/>
      <c r="F903" s="28"/>
      <c r="G903" s="27"/>
      <c r="H903" s="46"/>
      <c r="I903" s="46"/>
    </row>
    <row r="904" ht="12.75" customHeight="1">
      <c r="A904" s="46"/>
      <c r="C904" s="25"/>
      <c r="D904" s="27"/>
      <c r="E904" s="27"/>
      <c r="F904" s="28"/>
      <c r="G904" s="27"/>
      <c r="H904" s="46"/>
      <c r="I904" s="46"/>
    </row>
    <row r="905" ht="12.75" customHeight="1">
      <c r="A905" s="46"/>
      <c r="C905" s="25"/>
      <c r="D905" s="27"/>
      <c r="E905" s="27"/>
      <c r="F905" s="28"/>
      <c r="G905" s="27"/>
      <c r="H905" s="46"/>
      <c r="I905" s="46"/>
    </row>
    <row r="906" ht="12.75" customHeight="1">
      <c r="A906" s="46"/>
      <c r="C906" s="25"/>
      <c r="D906" s="27"/>
      <c r="E906" s="27"/>
      <c r="F906" s="28"/>
      <c r="G906" s="27"/>
      <c r="H906" s="46"/>
      <c r="I906" s="46"/>
    </row>
    <row r="907" ht="12.75" customHeight="1">
      <c r="A907" s="46"/>
      <c r="C907" s="25"/>
      <c r="D907" s="27"/>
      <c r="E907" s="27"/>
      <c r="F907" s="28"/>
      <c r="G907" s="27"/>
      <c r="H907" s="46"/>
      <c r="I907" s="46"/>
    </row>
    <row r="908" ht="12.75" customHeight="1">
      <c r="A908" s="46"/>
      <c r="C908" s="25"/>
      <c r="D908" s="27"/>
      <c r="E908" s="27"/>
      <c r="F908" s="28"/>
      <c r="G908" s="27"/>
      <c r="H908" s="46"/>
      <c r="I908" s="46"/>
    </row>
    <row r="909" ht="12.75" customHeight="1">
      <c r="A909" s="46"/>
      <c r="C909" s="25"/>
      <c r="D909" s="27"/>
      <c r="E909" s="27"/>
      <c r="F909" s="28"/>
      <c r="G909" s="27"/>
      <c r="H909" s="46"/>
      <c r="I909" s="46"/>
    </row>
    <row r="910" ht="12.75" customHeight="1">
      <c r="A910" s="46"/>
      <c r="C910" s="25"/>
      <c r="D910" s="27"/>
      <c r="E910" s="27"/>
      <c r="F910" s="28"/>
      <c r="G910" s="27"/>
      <c r="H910" s="46"/>
      <c r="I910" s="46"/>
    </row>
    <row r="911" ht="12.75" customHeight="1">
      <c r="A911" s="46"/>
      <c r="C911" s="25"/>
      <c r="D911" s="27"/>
      <c r="E911" s="27"/>
      <c r="F911" s="28"/>
      <c r="G911" s="27"/>
      <c r="H911" s="46"/>
      <c r="I911" s="46"/>
    </row>
    <row r="912" ht="12.75" customHeight="1">
      <c r="A912" s="46"/>
      <c r="C912" s="25"/>
      <c r="D912" s="27"/>
      <c r="E912" s="27"/>
      <c r="F912" s="28"/>
      <c r="G912" s="27"/>
      <c r="H912" s="46"/>
      <c r="I912" s="46"/>
    </row>
    <row r="913" ht="12.75" customHeight="1">
      <c r="A913" s="46"/>
      <c r="C913" s="25"/>
      <c r="D913" s="27"/>
      <c r="E913" s="27"/>
      <c r="F913" s="28"/>
      <c r="G913" s="27"/>
      <c r="H913" s="46"/>
      <c r="I913" s="46"/>
    </row>
    <row r="914" ht="12.75" customHeight="1">
      <c r="A914" s="46"/>
      <c r="C914" s="25"/>
      <c r="D914" s="27"/>
      <c r="E914" s="27"/>
      <c r="F914" s="28"/>
      <c r="G914" s="27"/>
      <c r="H914" s="46"/>
      <c r="I914" s="46"/>
    </row>
    <row r="915" ht="12.75" customHeight="1">
      <c r="A915" s="46"/>
      <c r="C915" s="25"/>
      <c r="D915" s="27"/>
      <c r="E915" s="27"/>
      <c r="F915" s="28"/>
      <c r="G915" s="27"/>
      <c r="H915" s="46"/>
      <c r="I915" s="46"/>
    </row>
    <row r="916" ht="12.75" customHeight="1">
      <c r="A916" s="46"/>
      <c r="C916" s="25"/>
      <c r="D916" s="27"/>
      <c r="E916" s="27"/>
      <c r="F916" s="28"/>
      <c r="G916" s="27"/>
      <c r="H916" s="46"/>
      <c r="I916" s="46"/>
    </row>
    <row r="917" ht="12.75" customHeight="1">
      <c r="A917" s="46"/>
      <c r="C917" s="25"/>
      <c r="D917" s="27"/>
      <c r="E917" s="27"/>
      <c r="F917" s="28"/>
      <c r="G917" s="27"/>
      <c r="H917" s="46"/>
      <c r="I917" s="46"/>
    </row>
    <row r="918" ht="12.75" customHeight="1">
      <c r="A918" s="46"/>
      <c r="C918" s="25"/>
      <c r="D918" s="27"/>
      <c r="E918" s="27"/>
      <c r="F918" s="28"/>
      <c r="G918" s="27"/>
      <c r="H918" s="46"/>
      <c r="I918" s="46"/>
    </row>
    <row r="919" ht="12.75" customHeight="1">
      <c r="A919" s="46"/>
      <c r="C919" s="25"/>
      <c r="D919" s="27"/>
      <c r="E919" s="27"/>
      <c r="F919" s="28"/>
      <c r="G919" s="27"/>
      <c r="H919" s="46"/>
      <c r="I919" s="46"/>
    </row>
    <row r="920" ht="12.75" customHeight="1">
      <c r="A920" s="46"/>
      <c r="C920" s="25"/>
      <c r="D920" s="27"/>
      <c r="E920" s="27"/>
      <c r="F920" s="28"/>
      <c r="G920" s="27"/>
      <c r="H920" s="46"/>
      <c r="I920" s="46"/>
    </row>
    <row r="921" ht="12.75" customHeight="1">
      <c r="A921" s="46"/>
      <c r="C921" s="25"/>
      <c r="D921" s="27"/>
      <c r="E921" s="27"/>
      <c r="F921" s="28"/>
      <c r="G921" s="27"/>
      <c r="H921" s="46"/>
      <c r="I921" s="46"/>
    </row>
    <row r="922" ht="12.75" customHeight="1">
      <c r="A922" s="46"/>
      <c r="C922" s="25"/>
      <c r="D922" s="27"/>
      <c r="E922" s="27"/>
      <c r="F922" s="28"/>
      <c r="G922" s="27"/>
      <c r="H922" s="46"/>
      <c r="I922" s="46"/>
    </row>
    <row r="923" ht="12.75" customHeight="1">
      <c r="A923" s="46"/>
      <c r="C923" s="25"/>
      <c r="D923" s="27"/>
      <c r="E923" s="27"/>
      <c r="F923" s="28"/>
      <c r="G923" s="27"/>
      <c r="H923" s="46"/>
      <c r="I923" s="46"/>
    </row>
    <row r="924" ht="12.75" customHeight="1">
      <c r="A924" s="46"/>
      <c r="C924" s="25"/>
      <c r="D924" s="27"/>
      <c r="E924" s="27"/>
      <c r="F924" s="28"/>
      <c r="G924" s="27"/>
      <c r="H924" s="46"/>
      <c r="I924" s="46"/>
    </row>
    <row r="925" ht="12.75" customHeight="1">
      <c r="A925" s="46"/>
      <c r="C925" s="25"/>
      <c r="D925" s="27"/>
      <c r="E925" s="27"/>
      <c r="F925" s="28"/>
      <c r="G925" s="27"/>
      <c r="H925" s="46"/>
      <c r="I925" s="46"/>
    </row>
    <row r="926" ht="12.75" customHeight="1">
      <c r="A926" s="46"/>
      <c r="C926" s="25"/>
      <c r="D926" s="27"/>
      <c r="E926" s="27"/>
      <c r="F926" s="28"/>
      <c r="G926" s="27"/>
      <c r="H926" s="46"/>
      <c r="I926" s="46"/>
    </row>
    <row r="927" ht="12.75" customHeight="1">
      <c r="A927" s="46"/>
      <c r="C927" s="25"/>
      <c r="D927" s="27"/>
      <c r="E927" s="27"/>
      <c r="F927" s="28"/>
      <c r="G927" s="27"/>
      <c r="H927" s="46"/>
      <c r="I927" s="46"/>
    </row>
    <row r="928" ht="12.75" customHeight="1">
      <c r="A928" s="46"/>
      <c r="C928" s="25"/>
      <c r="D928" s="27"/>
      <c r="E928" s="27"/>
      <c r="F928" s="28"/>
      <c r="G928" s="27"/>
      <c r="H928" s="46"/>
      <c r="I928" s="46"/>
    </row>
    <row r="929" ht="12.75" customHeight="1">
      <c r="A929" s="46"/>
      <c r="C929" s="25"/>
      <c r="D929" s="27"/>
      <c r="E929" s="27"/>
      <c r="F929" s="28"/>
      <c r="G929" s="27"/>
      <c r="H929" s="46"/>
      <c r="I929" s="46"/>
    </row>
    <row r="930" ht="12.75" customHeight="1">
      <c r="A930" s="46"/>
      <c r="C930" s="25"/>
      <c r="D930" s="27"/>
      <c r="E930" s="27"/>
      <c r="F930" s="28"/>
      <c r="G930" s="27"/>
      <c r="H930" s="46"/>
      <c r="I930" s="46"/>
    </row>
    <row r="931" ht="12.75" customHeight="1">
      <c r="A931" s="46"/>
      <c r="C931" s="25"/>
      <c r="D931" s="27"/>
      <c r="E931" s="27"/>
      <c r="F931" s="28"/>
      <c r="G931" s="27"/>
      <c r="H931" s="46"/>
      <c r="I931" s="46"/>
    </row>
    <row r="932" ht="12.75" customHeight="1">
      <c r="A932" s="46"/>
      <c r="C932" s="25"/>
      <c r="D932" s="27"/>
      <c r="E932" s="27"/>
      <c r="F932" s="28"/>
      <c r="G932" s="27"/>
      <c r="H932" s="46"/>
      <c r="I932" s="46"/>
    </row>
    <row r="933" ht="12.75" customHeight="1">
      <c r="A933" s="46"/>
      <c r="C933" s="25"/>
      <c r="D933" s="27"/>
      <c r="E933" s="27"/>
      <c r="F933" s="28"/>
      <c r="G933" s="27"/>
      <c r="H933" s="46"/>
      <c r="I933" s="46"/>
    </row>
    <row r="934" ht="12.75" customHeight="1">
      <c r="A934" s="46"/>
      <c r="C934" s="25"/>
      <c r="D934" s="27"/>
      <c r="E934" s="27"/>
      <c r="F934" s="28"/>
      <c r="G934" s="27"/>
      <c r="H934" s="46"/>
      <c r="I934" s="46"/>
    </row>
    <row r="935" ht="12.75" customHeight="1">
      <c r="A935" s="46"/>
      <c r="C935" s="25"/>
      <c r="D935" s="27"/>
      <c r="E935" s="27"/>
      <c r="F935" s="28"/>
      <c r="G935" s="27"/>
      <c r="H935" s="46"/>
      <c r="I935" s="46"/>
    </row>
    <row r="936" ht="12.75" customHeight="1">
      <c r="A936" s="46"/>
      <c r="C936" s="25"/>
      <c r="D936" s="27"/>
      <c r="E936" s="27"/>
      <c r="F936" s="28"/>
      <c r="G936" s="27"/>
      <c r="H936" s="46"/>
      <c r="I936" s="46"/>
    </row>
    <row r="937" ht="12.75" customHeight="1">
      <c r="A937" s="46"/>
      <c r="C937" s="25"/>
      <c r="D937" s="27"/>
      <c r="E937" s="27"/>
      <c r="F937" s="28"/>
      <c r="G937" s="27"/>
      <c r="H937" s="46"/>
      <c r="I937" s="46"/>
    </row>
    <row r="938" ht="12.75" customHeight="1">
      <c r="A938" s="46"/>
      <c r="C938" s="25"/>
      <c r="D938" s="27"/>
      <c r="E938" s="27"/>
      <c r="F938" s="28"/>
      <c r="G938" s="27"/>
      <c r="H938" s="46"/>
      <c r="I938" s="46"/>
    </row>
    <row r="939" ht="12.75" customHeight="1">
      <c r="A939" s="46"/>
      <c r="C939" s="25"/>
      <c r="D939" s="27"/>
      <c r="E939" s="27"/>
      <c r="F939" s="28"/>
      <c r="G939" s="27"/>
      <c r="H939" s="46"/>
      <c r="I939" s="46"/>
    </row>
    <row r="940" ht="12.75" customHeight="1">
      <c r="A940" s="46"/>
      <c r="C940" s="25"/>
      <c r="D940" s="27"/>
      <c r="E940" s="27"/>
      <c r="F940" s="28"/>
      <c r="G940" s="27"/>
      <c r="H940" s="46"/>
      <c r="I940" s="46"/>
    </row>
    <row r="941" ht="12.75" customHeight="1">
      <c r="A941" s="46"/>
      <c r="C941" s="25"/>
      <c r="D941" s="27"/>
      <c r="E941" s="27"/>
      <c r="F941" s="28"/>
      <c r="G941" s="27"/>
      <c r="H941" s="46"/>
      <c r="I941" s="46"/>
    </row>
    <row r="942" ht="12.75" customHeight="1">
      <c r="A942" s="46"/>
      <c r="C942" s="25"/>
      <c r="D942" s="27"/>
      <c r="E942" s="27"/>
      <c r="F942" s="28"/>
      <c r="G942" s="27"/>
      <c r="H942" s="46"/>
      <c r="I942" s="46"/>
    </row>
    <row r="943" ht="12.75" customHeight="1">
      <c r="A943" s="46"/>
      <c r="C943" s="25"/>
      <c r="D943" s="27"/>
      <c r="E943" s="27"/>
      <c r="F943" s="28"/>
      <c r="G943" s="27"/>
      <c r="H943" s="46"/>
      <c r="I943" s="46"/>
    </row>
    <row r="944" ht="12.75" customHeight="1">
      <c r="A944" s="46"/>
      <c r="C944" s="25"/>
      <c r="D944" s="27"/>
      <c r="E944" s="27"/>
      <c r="F944" s="28"/>
      <c r="G944" s="27"/>
      <c r="H944" s="46"/>
      <c r="I944" s="46"/>
    </row>
    <row r="945" ht="12.75" customHeight="1">
      <c r="A945" s="46"/>
      <c r="C945" s="25"/>
      <c r="D945" s="27"/>
      <c r="E945" s="27"/>
      <c r="F945" s="28"/>
      <c r="G945" s="27"/>
      <c r="H945" s="46"/>
      <c r="I945" s="46"/>
    </row>
    <row r="946" ht="12.75" customHeight="1">
      <c r="A946" s="46"/>
      <c r="C946" s="25"/>
      <c r="D946" s="27"/>
      <c r="E946" s="27"/>
      <c r="F946" s="28"/>
      <c r="G946" s="27"/>
      <c r="H946" s="46"/>
      <c r="I946" s="46"/>
    </row>
    <row r="947" ht="12.75" customHeight="1">
      <c r="A947" s="46"/>
      <c r="C947" s="25"/>
      <c r="D947" s="27"/>
      <c r="E947" s="27"/>
      <c r="F947" s="28"/>
      <c r="G947" s="27"/>
      <c r="H947" s="46"/>
      <c r="I947" s="46"/>
    </row>
    <row r="948" ht="12.75" customHeight="1">
      <c r="A948" s="46"/>
      <c r="C948" s="25"/>
      <c r="D948" s="27"/>
      <c r="E948" s="27"/>
      <c r="F948" s="28"/>
      <c r="G948" s="27"/>
      <c r="H948" s="46"/>
      <c r="I948" s="46"/>
    </row>
    <row r="949" ht="12.75" customHeight="1">
      <c r="A949" s="46"/>
      <c r="C949" s="25"/>
      <c r="D949" s="27"/>
      <c r="E949" s="27"/>
      <c r="F949" s="28"/>
      <c r="G949" s="27"/>
      <c r="H949" s="46"/>
      <c r="I949" s="46"/>
    </row>
    <row r="950" ht="12.75" customHeight="1">
      <c r="A950" s="46"/>
      <c r="C950" s="25"/>
      <c r="D950" s="27"/>
      <c r="E950" s="27"/>
      <c r="F950" s="28"/>
      <c r="G950" s="27"/>
      <c r="H950" s="46"/>
      <c r="I950" s="46"/>
    </row>
    <row r="951" ht="12.75" customHeight="1">
      <c r="A951" s="46"/>
      <c r="C951" s="25"/>
      <c r="D951" s="27"/>
      <c r="E951" s="27"/>
      <c r="F951" s="28"/>
      <c r="G951" s="27"/>
      <c r="H951" s="46"/>
      <c r="I951" s="46"/>
    </row>
    <row r="952" ht="12.75" customHeight="1">
      <c r="A952" s="46"/>
      <c r="C952" s="25"/>
      <c r="D952" s="27"/>
      <c r="E952" s="27"/>
      <c r="F952" s="28"/>
      <c r="G952" s="27"/>
      <c r="H952" s="46"/>
      <c r="I952" s="46"/>
    </row>
    <row r="953" ht="12.75" customHeight="1">
      <c r="A953" s="46"/>
      <c r="C953" s="25"/>
      <c r="D953" s="27"/>
      <c r="E953" s="27"/>
      <c r="F953" s="28"/>
      <c r="G953" s="27"/>
      <c r="H953" s="46"/>
      <c r="I953" s="46"/>
    </row>
    <row r="954" ht="12.75" customHeight="1">
      <c r="A954" s="46"/>
      <c r="C954" s="25"/>
      <c r="D954" s="27"/>
      <c r="E954" s="27"/>
      <c r="F954" s="28"/>
      <c r="G954" s="27"/>
      <c r="H954" s="46"/>
      <c r="I954" s="46"/>
    </row>
    <row r="955" ht="12.75" customHeight="1">
      <c r="A955" s="46"/>
      <c r="C955" s="25"/>
      <c r="D955" s="27"/>
      <c r="E955" s="27"/>
      <c r="F955" s="28"/>
      <c r="G955" s="27"/>
      <c r="H955" s="46"/>
      <c r="I955" s="46"/>
    </row>
    <row r="956" ht="12.75" customHeight="1">
      <c r="A956" s="46"/>
      <c r="C956" s="25"/>
      <c r="D956" s="27"/>
      <c r="E956" s="27"/>
      <c r="F956" s="28"/>
      <c r="G956" s="27"/>
      <c r="H956" s="46"/>
      <c r="I956" s="46"/>
    </row>
    <row r="957" ht="12.75" customHeight="1">
      <c r="A957" s="46"/>
      <c r="C957" s="25"/>
      <c r="D957" s="27"/>
      <c r="E957" s="27"/>
      <c r="F957" s="28"/>
      <c r="G957" s="27"/>
      <c r="H957" s="46"/>
      <c r="I957" s="46"/>
    </row>
    <row r="958" ht="12.75" customHeight="1">
      <c r="A958" s="46"/>
      <c r="C958" s="25"/>
      <c r="D958" s="27"/>
      <c r="E958" s="27"/>
      <c r="F958" s="28"/>
      <c r="G958" s="27"/>
      <c r="H958" s="46"/>
      <c r="I958" s="46"/>
    </row>
    <row r="959" ht="12.75" customHeight="1">
      <c r="A959" s="46"/>
      <c r="C959" s="25"/>
      <c r="D959" s="27"/>
      <c r="E959" s="27"/>
      <c r="F959" s="28"/>
      <c r="G959" s="27"/>
      <c r="H959" s="46"/>
      <c r="I959" s="46"/>
    </row>
    <row r="960" ht="12.75" customHeight="1">
      <c r="A960" s="46"/>
      <c r="C960" s="25"/>
      <c r="D960" s="27"/>
      <c r="E960" s="27"/>
      <c r="F960" s="28"/>
      <c r="G960" s="27"/>
      <c r="H960" s="46"/>
      <c r="I960" s="46"/>
    </row>
    <row r="961" ht="12.75" customHeight="1">
      <c r="A961" s="46"/>
      <c r="C961" s="25"/>
      <c r="D961" s="27"/>
      <c r="E961" s="27"/>
      <c r="F961" s="28"/>
      <c r="G961" s="27"/>
      <c r="H961" s="46"/>
      <c r="I961" s="46"/>
    </row>
    <row r="962" ht="12.75" customHeight="1">
      <c r="A962" s="46"/>
      <c r="C962" s="25"/>
      <c r="D962" s="27"/>
      <c r="E962" s="27"/>
      <c r="F962" s="28"/>
      <c r="G962" s="27"/>
      <c r="H962" s="46"/>
      <c r="I962" s="46"/>
    </row>
    <row r="963" ht="12.75" customHeight="1">
      <c r="A963" s="46"/>
      <c r="C963" s="25"/>
      <c r="D963" s="27"/>
      <c r="E963" s="27"/>
      <c r="F963" s="28"/>
      <c r="G963" s="27"/>
      <c r="H963" s="46"/>
      <c r="I963" s="46"/>
    </row>
    <row r="964" ht="12.75" customHeight="1">
      <c r="A964" s="46"/>
      <c r="C964" s="25"/>
      <c r="D964" s="27"/>
      <c r="E964" s="27"/>
      <c r="F964" s="28"/>
      <c r="G964" s="27"/>
      <c r="H964" s="46"/>
      <c r="I964" s="46"/>
    </row>
    <row r="965" ht="12.75" customHeight="1">
      <c r="A965" s="46"/>
      <c r="C965" s="25"/>
      <c r="D965" s="27"/>
      <c r="E965" s="27"/>
      <c r="F965" s="28"/>
      <c r="G965" s="27"/>
      <c r="H965" s="46"/>
      <c r="I965" s="46"/>
    </row>
    <row r="966" ht="12.75" customHeight="1">
      <c r="A966" s="46"/>
      <c r="C966" s="25"/>
      <c r="D966" s="27"/>
      <c r="E966" s="27"/>
      <c r="F966" s="28"/>
      <c r="G966" s="27"/>
      <c r="H966" s="46"/>
      <c r="I966" s="46"/>
    </row>
    <row r="967" ht="12.75" customHeight="1">
      <c r="A967" s="46"/>
      <c r="C967" s="25"/>
      <c r="D967" s="27"/>
      <c r="E967" s="27"/>
      <c r="F967" s="28"/>
      <c r="G967" s="27"/>
      <c r="H967" s="46"/>
      <c r="I967" s="46"/>
    </row>
    <row r="968" ht="12.75" customHeight="1">
      <c r="A968" s="46"/>
      <c r="C968" s="25"/>
      <c r="D968" s="27"/>
      <c r="E968" s="27"/>
      <c r="F968" s="28"/>
      <c r="G968" s="27"/>
      <c r="H968" s="46"/>
      <c r="I968" s="46"/>
    </row>
    <row r="969" ht="12.75" customHeight="1">
      <c r="A969" s="46"/>
      <c r="C969" s="25"/>
      <c r="D969" s="27"/>
      <c r="E969" s="27"/>
      <c r="F969" s="28"/>
      <c r="G969" s="27"/>
      <c r="H969" s="46"/>
      <c r="I969" s="46"/>
    </row>
    <row r="970" ht="12.75" customHeight="1">
      <c r="A970" s="46"/>
      <c r="C970" s="25"/>
      <c r="D970" s="27"/>
      <c r="E970" s="27"/>
      <c r="F970" s="28"/>
      <c r="G970" s="27"/>
      <c r="H970" s="46"/>
      <c r="I970" s="46"/>
    </row>
    <row r="971" ht="12.75" customHeight="1">
      <c r="A971" s="46"/>
      <c r="C971" s="25"/>
      <c r="D971" s="27"/>
      <c r="E971" s="27"/>
      <c r="F971" s="28"/>
      <c r="G971" s="27"/>
      <c r="H971" s="46"/>
      <c r="I971" s="46"/>
    </row>
    <row r="972" ht="12.75" customHeight="1">
      <c r="A972" s="46"/>
      <c r="C972" s="25"/>
      <c r="D972" s="27"/>
      <c r="E972" s="27"/>
      <c r="F972" s="28"/>
      <c r="G972" s="27"/>
      <c r="H972" s="46"/>
      <c r="I972" s="46"/>
    </row>
    <row r="973" ht="12.75" customHeight="1">
      <c r="A973" s="46"/>
      <c r="C973" s="25"/>
      <c r="D973" s="27"/>
      <c r="E973" s="27"/>
      <c r="F973" s="28"/>
      <c r="G973" s="27"/>
      <c r="H973" s="46"/>
      <c r="I973" s="46"/>
    </row>
    <row r="974" ht="12.75" customHeight="1">
      <c r="A974" s="46"/>
      <c r="C974" s="25"/>
      <c r="D974" s="27"/>
      <c r="E974" s="27"/>
      <c r="F974" s="28"/>
      <c r="G974" s="27"/>
      <c r="H974" s="46"/>
      <c r="I974" s="46"/>
    </row>
    <row r="975" ht="12.75" customHeight="1">
      <c r="A975" s="46"/>
      <c r="C975" s="25"/>
      <c r="D975" s="27"/>
      <c r="E975" s="27"/>
      <c r="F975" s="28"/>
      <c r="G975" s="27"/>
      <c r="H975" s="46"/>
      <c r="I975" s="46"/>
    </row>
    <row r="976" ht="12.75" customHeight="1">
      <c r="A976" s="46"/>
      <c r="C976" s="25"/>
      <c r="D976" s="27"/>
      <c r="E976" s="27"/>
      <c r="F976" s="28"/>
      <c r="G976" s="27"/>
      <c r="H976" s="46"/>
      <c r="I976" s="46"/>
    </row>
    <row r="977" ht="12.75" customHeight="1">
      <c r="A977" s="46"/>
      <c r="C977" s="25"/>
      <c r="D977" s="27"/>
      <c r="E977" s="27"/>
      <c r="F977" s="28"/>
      <c r="G977" s="27"/>
      <c r="H977" s="46"/>
      <c r="I977" s="46"/>
    </row>
    <row r="978" ht="12.75" customHeight="1">
      <c r="A978" s="46"/>
      <c r="C978" s="25"/>
      <c r="D978" s="27"/>
      <c r="E978" s="27"/>
      <c r="F978" s="28"/>
      <c r="G978" s="27"/>
      <c r="H978" s="46"/>
      <c r="I978" s="46"/>
    </row>
    <row r="979" ht="12.75" customHeight="1">
      <c r="A979" s="46"/>
      <c r="C979" s="25"/>
      <c r="D979" s="27"/>
      <c r="E979" s="27"/>
      <c r="F979" s="28"/>
      <c r="G979" s="27"/>
      <c r="H979" s="46"/>
      <c r="I979" s="46"/>
    </row>
    <row r="980" ht="12.75" customHeight="1">
      <c r="A980" s="46"/>
      <c r="C980" s="25"/>
      <c r="D980" s="27"/>
      <c r="E980" s="27"/>
      <c r="F980" s="28"/>
      <c r="G980" s="27"/>
      <c r="H980" s="46"/>
      <c r="I980" s="46"/>
    </row>
    <row r="981" ht="12.75" customHeight="1">
      <c r="A981" s="46"/>
      <c r="C981" s="25"/>
      <c r="D981" s="27"/>
      <c r="E981" s="27"/>
      <c r="F981" s="28"/>
      <c r="G981" s="27"/>
      <c r="H981" s="46"/>
      <c r="I981" s="46"/>
    </row>
    <row r="982" ht="12.75" customHeight="1">
      <c r="A982" s="46"/>
      <c r="C982" s="25"/>
      <c r="D982" s="27"/>
      <c r="E982" s="27"/>
      <c r="F982" s="28"/>
      <c r="G982" s="27"/>
      <c r="H982" s="46"/>
      <c r="I982" s="46"/>
    </row>
    <row r="983" ht="12.75" customHeight="1">
      <c r="A983" s="46"/>
      <c r="C983" s="25"/>
      <c r="D983" s="27"/>
      <c r="E983" s="27"/>
      <c r="F983" s="28"/>
      <c r="G983" s="27"/>
      <c r="H983" s="46"/>
      <c r="I983" s="46"/>
    </row>
    <row r="984" ht="12.75" customHeight="1">
      <c r="A984" s="46"/>
      <c r="C984" s="25"/>
      <c r="D984" s="27"/>
      <c r="E984" s="27"/>
      <c r="F984" s="28"/>
      <c r="G984" s="27"/>
      <c r="H984" s="46"/>
      <c r="I984" s="46"/>
    </row>
    <row r="985" ht="12.75" customHeight="1">
      <c r="A985" s="46"/>
      <c r="C985" s="25"/>
      <c r="D985" s="27"/>
      <c r="E985" s="27"/>
      <c r="F985" s="28"/>
      <c r="G985" s="27"/>
      <c r="H985" s="46"/>
      <c r="I985" s="46"/>
    </row>
    <row r="986" ht="12.75" customHeight="1">
      <c r="A986" s="46"/>
      <c r="C986" s="25"/>
      <c r="D986" s="27"/>
      <c r="E986" s="27"/>
      <c r="F986" s="28"/>
      <c r="G986" s="27"/>
      <c r="H986" s="46"/>
      <c r="I986" s="46"/>
    </row>
    <row r="987" ht="12.75" customHeight="1">
      <c r="A987" s="46"/>
      <c r="C987" s="25"/>
      <c r="D987" s="27"/>
      <c r="E987" s="27"/>
      <c r="F987" s="28"/>
      <c r="G987" s="27"/>
      <c r="H987" s="46"/>
      <c r="I987" s="46"/>
    </row>
    <row r="988" ht="12.75" customHeight="1">
      <c r="A988" s="46"/>
      <c r="C988" s="25"/>
      <c r="D988" s="27"/>
      <c r="E988" s="27"/>
      <c r="F988" s="28"/>
      <c r="G988" s="27"/>
      <c r="H988" s="46"/>
      <c r="I988" s="46"/>
    </row>
    <row r="989" ht="12.75" customHeight="1">
      <c r="A989" s="46"/>
      <c r="C989" s="25"/>
      <c r="D989" s="27"/>
      <c r="E989" s="27"/>
      <c r="F989" s="28"/>
      <c r="G989" s="27"/>
      <c r="H989" s="46"/>
      <c r="I989" s="46"/>
    </row>
    <row r="990" ht="12.75" customHeight="1">
      <c r="A990" s="46"/>
      <c r="C990" s="25"/>
      <c r="D990" s="27"/>
      <c r="E990" s="27"/>
      <c r="F990" s="28"/>
      <c r="G990" s="27"/>
      <c r="H990" s="46"/>
      <c r="I990" s="46"/>
    </row>
    <row r="991" ht="12.75" customHeight="1">
      <c r="A991" s="46"/>
      <c r="C991" s="25"/>
      <c r="D991" s="27"/>
      <c r="E991" s="27"/>
      <c r="F991" s="28"/>
      <c r="G991" s="27"/>
      <c r="H991" s="46"/>
      <c r="I991" s="46"/>
    </row>
    <row r="992" ht="12.75" customHeight="1">
      <c r="A992" s="46"/>
      <c r="C992" s="25"/>
      <c r="D992" s="27"/>
      <c r="E992" s="27"/>
      <c r="F992" s="28"/>
      <c r="G992" s="27"/>
      <c r="H992" s="46"/>
      <c r="I992" s="46"/>
    </row>
    <row r="993" ht="12.75" customHeight="1">
      <c r="A993" s="46"/>
      <c r="C993" s="25"/>
      <c r="D993" s="27"/>
      <c r="E993" s="27"/>
      <c r="F993" s="28"/>
      <c r="G993" s="27"/>
      <c r="H993" s="46"/>
      <c r="I993" s="46"/>
    </row>
    <row r="994" ht="12.75" customHeight="1">
      <c r="A994" s="46"/>
      <c r="C994" s="25"/>
      <c r="D994" s="27"/>
      <c r="E994" s="27"/>
      <c r="F994" s="28"/>
      <c r="G994" s="27"/>
      <c r="H994" s="46"/>
      <c r="I994" s="46"/>
    </row>
    <row r="995" ht="12.75" customHeight="1">
      <c r="A995" s="46"/>
      <c r="C995" s="25"/>
      <c r="D995" s="27"/>
      <c r="E995" s="27"/>
      <c r="F995" s="28"/>
      <c r="G995" s="27"/>
      <c r="H995" s="46"/>
      <c r="I995" s="46"/>
    </row>
    <row r="996" ht="12.75" customHeight="1">
      <c r="A996" s="46"/>
      <c r="C996" s="25"/>
      <c r="D996" s="27"/>
      <c r="E996" s="27"/>
      <c r="F996" s="28"/>
      <c r="G996" s="27"/>
      <c r="H996" s="46"/>
      <c r="I996" s="46"/>
    </row>
    <row r="997" ht="12.75" customHeight="1">
      <c r="A997" s="46"/>
      <c r="C997" s="25"/>
      <c r="D997" s="27"/>
      <c r="E997" s="27"/>
      <c r="F997" s="28"/>
      <c r="G997" s="27"/>
      <c r="H997" s="46"/>
      <c r="I997" s="46"/>
    </row>
    <row r="998" ht="12.75" customHeight="1">
      <c r="A998" s="46"/>
      <c r="C998" s="25"/>
      <c r="D998" s="27"/>
      <c r="E998" s="27"/>
      <c r="F998" s="28"/>
      <c r="G998" s="27"/>
      <c r="H998" s="46"/>
      <c r="I998" s="46"/>
    </row>
    <row r="999" ht="12.75" customHeight="1">
      <c r="A999" s="46"/>
      <c r="C999" s="25"/>
      <c r="D999" s="27"/>
      <c r="E999" s="27"/>
      <c r="F999" s="28"/>
      <c r="G999" s="27"/>
      <c r="H999" s="46"/>
      <c r="I999" s="46"/>
    </row>
    <row r="1000" ht="12.75" customHeight="1">
      <c r="A1000" s="46"/>
      <c r="C1000" s="25"/>
      <c r="D1000" s="27"/>
      <c r="E1000" s="27"/>
      <c r="F1000" s="28"/>
      <c r="G1000" s="27"/>
      <c r="H1000" s="46"/>
      <c r="I1000" s="4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63"/>
    <col customWidth="1" min="3" max="4" width="11.38"/>
    <col customWidth="1" min="5" max="9" width="10.63"/>
    <col customWidth="1" min="10" max="10" width="4.75"/>
    <col customWidth="1" min="11" max="11" width="5.75"/>
    <col customWidth="1" min="12" max="26" width="10.63"/>
  </cols>
  <sheetData>
    <row r="1" ht="12.75" customHeight="1">
      <c r="A1" s="25">
        <v>2.0</v>
      </c>
      <c r="B1" s="59">
        <f t="shared" ref="B1:B30" si="1">D1-C1</f>
        <v>10673</v>
      </c>
      <c r="C1" s="59">
        <f>319+1708</f>
        <v>2027</v>
      </c>
      <c r="D1" s="59">
        <f>2000+10700</f>
        <v>12700</v>
      </c>
      <c r="E1" s="59">
        <f t="shared" ref="E1:E30" si="2">D1*2.3681%</f>
        <v>300.7487</v>
      </c>
      <c r="F1" s="59">
        <f t="shared" ref="F1:F30" si="3">D1-E1</f>
        <v>12399.2513</v>
      </c>
      <c r="J1" s="25">
        <v>1.0</v>
      </c>
      <c r="K1" s="25">
        <v>2.0</v>
      </c>
      <c r="L1" s="59">
        <f>2000+10700</f>
        <v>12700</v>
      </c>
    </row>
    <row r="2" ht="12.75" customHeight="1">
      <c r="A2" s="25">
        <v>3.0</v>
      </c>
      <c r="B2" s="59">
        <f t="shared" si="1"/>
        <v>13739</v>
      </c>
      <c r="C2" s="59">
        <f>639+1748+224</f>
        <v>2611</v>
      </c>
      <c r="D2" s="59">
        <f>4000+10950+1400</f>
        <v>16350</v>
      </c>
      <c r="E2" s="59">
        <f t="shared" si="2"/>
        <v>387.18435</v>
      </c>
      <c r="F2" s="59">
        <f t="shared" si="3"/>
        <v>15962.81565</v>
      </c>
      <c r="J2" s="25">
        <v>2.0</v>
      </c>
      <c r="K2" s="25">
        <v>3.0</v>
      </c>
      <c r="L2" s="59">
        <f>4000+10950+1400</f>
        <v>16350</v>
      </c>
    </row>
    <row r="3" ht="12.75" customHeight="1">
      <c r="A3" s="25">
        <v>2.0</v>
      </c>
      <c r="B3" s="59">
        <f t="shared" si="1"/>
        <v>4538</v>
      </c>
      <c r="C3" s="59">
        <f>335+527</f>
        <v>862</v>
      </c>
      <c r="D3" s="59">
        <f>2100+3300</f>
        <v>5400</v>
      </c>
      <c r="E3" s="59">
        <f t="shared" si="2"/>
        <v>127.8774</v>
      </c>
      <c r="F3" s="59">
        <f t="shared" si="3"/>
        <v>5272.1226</v>
      </c>
      <c r="J3" s="25">
        <v>3.0</v>
      </c>
      <c r="K3" s="25">
        <v>2.0</v>
      </c>
      <c r="L3" s="59">
        <f>2100+3300</f>
        <v>5400</v>
      </c>
    </row>
    <row r="4" ht="12.75" customHeight="1">
      <c r="A4" s="25">
        <v>3.0</v>
      </c>
      <c r="B4" s="59">
        <f t="shared" si="1"/>
        <v>4075</v>
      </c>
      <c r="C4" s="59">
        <f>208+224+343</f>
        <v>775</v>
      </c>
      <c r="D4" s="59">
        <f>1300+1400+2150</f>
        <v>4850</v>
      </c>
      <c r="E4" s="59">
        <f t="shared" si="2"/>
        <v>114.85285</v>
      </c>
      <c r="F4" s="59">
        <f t="shared" si="3"/>
        <v>4735.14715</v>
      </c>
      <c r="J4" s="25">
        <v>4.0</v>
      </c>
      <c r="K4" s="25">
        <v>3.0</v>
      </c>
      <c r="L4" s="59">
        <f>1300+1400+2150</f>
        <v>4850</v>
      </c>
    </row>
    <row r="5" ht="12.75" customHeight="1">
      <c r="A5" s="25">
        <v>1.0</v>
      </c>
      <c r="B5" s="59">
        <f t="shared" si="1"/>
        <v>3319</v>
      </c>
      <c r="C5" s="59">
        <v>631.0</v>
      </c>
      <c r="D5" s="59">
        <v>3950.0</v>
      </c>
      <c r="E5" s="59">
        <f t="shared" si="2"/>
        <v>93.53995</v>
      </c>
      <c r="F5" s="59">
        <f t="shared" si="3"/>
        <v>3856.46005</v>
      </c>
      <c r="J5" s="25">
        <v>5.0</v>
      </c>
      <c r="K5" s="25">
        <v>1.0</v>
      </c>
      <c r="L5" s="59">
        <v>3950.0</v>
      </c>
    </row>
    <row r="6" ht="12.75" customHeight="1">
      <c r="A6" s="25">
        <v>5.0</v>
      </c>
      <c r="B6" s="59">
        <f t="shared" si="1"/>
        <v>15883</v>
      </c>
      <c r="C6" s="59">
        <f>479+303+1597+255+383</f>
        <v>3017</v>
      </c>
      <c r="D6" s="59">
        <f>3000+1900+10000+1600+2400</f>
        <v>18900</v>
      </c>
      <c r="E6" s="59">
        <f t="shared" si="2"/>
        <v>447.5709</v>
      </c>
      <c r="F6" s="59">
        <f t="shared" si="3"/>
        <v>18452.4291</v>
      </c>
      <c r="J6" s="25">
        <v>6.0</v>
      </c>
      <c r="K6" s="25">
        <v>5.0</v>
      </c>
      <c r="L6" s="59">
        <f>3000+1900+10000+1600+2400</f>
        <v>18900</v>
      </c>
    </row>
    <row r="7" ht="12.75" customHeight="1">
      <c r="A7" s="25">
        <v>0.0</v>
      </c>
      <c r="B7" s="59">
        <f t="shared" si="1"/>
        <v>0</v>
      </c>
      <c r="C7" s="59">
        <v>0.0</v>
      </c>
      <c r="D7" s="59">
        <v>0.0</v>
      </c>
      <c r="E7" s="59">
        <f t="shared" si="2"/>
        <v>0</v>
      </c>
      <c r="F7" s="59">
        <f t="shared" si="3"/>
        <v>0</v>
      </c>
      <c r="J7" s="25">
        <v>7.0</v>
      </c>
      <c r="K7" s="25">
        <v>0.0</v>
      </c>
      <c r="L7" s="59">
        <v>0.0</v>
      </c>
    </row>
    <row r="8" ht="12.75" customHeight="1">
      <c r="A8" s="25">
        <v>1.0</v>
      </c>
      <c r="B8" s="59">
        <f t="shared" si="1"/>
        <v>336</v>
      </c>
      <c r="C8" s="59">
        <v>64.0</v>
      </c>
      <c r="D8" s="59">
        <v>400.0</v>
      </c>
      <c r="E8" s="59">
        <f t="shared" si="2"/>
        <v>9.4724</v>
      </c>
      <c r="F8" s="59">
        <f t="shared" si="3"/>
        <v>390.5276</v>
      </c>
      <c r="J8" s="25">
        <v>8.0</v>
      </c>
      <c r="K8" s="25">
        <v>1.0</v>
      </c>
      <c r="L8" s="59">
        <v>400.0</v>
      </c>
    </row>
    <row r="9" ht="12.75" customHeight="1">
      <c r="A9" s="25">
        <v>4.0</v>
      </c>
      <c r="B9" s="59">
        <f t="shared" si="1"/>
        <v>23950</v>
      </c>
      <c r="C9" s="59">
        <f>1325+1597+1261+367</f>
        <v>4550</v>
      </c>
      <c r="D9" s="59">
        <f>8300+10000+7900+2300</f>
        <v>28500</v>
      </c>
      <c r="E9" s="59">
        <f t="shared" si="2"/>
        <v>674.9085</v>
      </c>
      <c r="F9" s="59">
        <f t="shared" si="3"/>
        <v>27825.0915</v>
      </c>
      <c r="J9" s="25">
        <v>9.0</v>
      </c>
      <c r="K9" s="25">
        <v>4.0</v>
      </c>
      <c r="L9" s="59">
        <f>8300+10000+7900+2300</f>
        <v>28500</v>
      </c>
    </row>
    <row r="10" ht="12.75" customHeight="1">
      <c r="A10" s="25">
        <v>7.0</v>
      </c>
      <c r="B10" s="59">
        <f t="shared" si="1"/>
        <v>20546</v>
      </c>
      <c r="C10" s="59">
        <f>176+639+631+1708+239+463+48</f>
        <v>3904</v>
      </c>
      <c r="D10" s="59">
        <f>1100+4000+3950+10700+1500+2900+300</f>
        <v>24450</v>
      </c>
      <c r="E10" s="59">
        <f t="shared" si="2"/>
        <v>579.00045</v>
      </c>
      <c r="F10" s="59">
        <f t="shared" si="3"/>
        <v>23870.99955</v>
      </c>
      <c r="J10" s="25">
        <v>10.0</v>
      </c>
      <c r="K10" s="25">
        <v>7.0</v>
      </c>
      <c r="L10" s="59">
        <f>1100+4000+3950+10700+1500+2900+300</f>
        <v>24450</v>
      </c>
    </row>
    <row r="11" ht="12.75" customHeight="1">
      <c r="A11" s="25">
        <v>2.0</v>
      </c>
      <c r="B11" s="59">
        <f t="shared" si="1"/>
        <v>4286</v>
      </c>
      <c r="C11" s="59">
        <f>495+319</f>
        <v>814</v>
      </c>
      <c r="D11" s="59">
        <f>3100+2000</f>
        <v>5100</v>
      </c>
      <c r="E11" s="59">
        <f t="shared" si="2"/>
        <v>120.7731</v>
      </c>
      <c r="F11" s="59">
        <f t="shared" si="3"/>
        <v>4979.2269</v>
      </c>
      <c r="J11" s="25">
        <v>11.0</v>
      </c>
      <c r="K11" s="25">
        <v>2.0</v>
      </c>
      <c r="L11" s="59">
        <f>3100+2000</f>
        <v>5100</v>
      </c>
    </row>
    <row r="12" ht="12.75" customHeight="1">
      <c r="A12" s="25">
        <v>2.0</v>
      </c>
      <c r="B12" s="59">
        <f t="shared" si="1"/>
        <v>3277</v>
      </c>
      <c r="C12" s="59">
        <f>208+415</f>
        <v>623</v>
      </c>
      <c r="D12" s="59">
        <f>1300+2600</f>
        <v>3900</v>
      </c>
      <c r="E12" s="59">
        <f t="shared" si="2"/>
        <v>92.3559</v>
      </c>
      <c r="F12" s="59">
        <f t="shared" si="3"/>
        <v>3807.6441</v>
      </c>
      <c r="J12" s="25">
        <v>12.0</v>
      </c>
      <c r="K12" s="25">
        <v>2.0</v>
      </c>
      <c r="L12" s="59">
        <f>1300+2600</f>
        <v>3900</v>
      </c>
    </row>
    <row r="13" ht="12.75" customHeight="1">
      <c r="A13" s="25">
        <v>3.0</v>
      </c>
      <c r="B13" s="59">
        <f t="shared" si="1"/>
        <v>6806</v>
      </c>
      <c r="C13" s="59">
        <f>80+623+591</f>
        <v>1294</v>
      </c>
      <c r="D13" s="59">
        <f>500+3900+3700</f>
        <v>8100</v>
      </c>
      <c r="E13" s="59">
        <f t="shared" si="2"/>
        <v>191.8161</v>
      </c>
      <c r="F13" s="59">
        <f t="shared" si="3"/>
        <v>7908.1839</v>
      </c>
      <c r="J13" s="25">
        <v>13.0</v>
      </c>
      <c r="K13" s="25">
        <v>3.0</v>
      </c>
      <c r="L13" s="59">
        <f>500+3900+3700</f>
        <v>8100</v>
      </c>
    </row>
    <row r="14" ht="12.75" customHeight="1">
      <c r="A14" s="25">
        <v>3.0</v>
      </c>
      <c r="B14" s="59">
        <f t="shared" si="1"/>
        <v>12436</v>
      </c>
      <c r="C14" s="59">
        <f>1118+607+639</f>
        <v>2364</v>
      </c>
      <c r="D14" s="59">
        <f>7000+3800+4000</f>
        <v>14800</v>
      </c>
      <c r="E14" s="59">
        <f t="shared" si="2"/>
        <v>350.4788</v>
      </c>
      <c r="F14" s="59">
        <f t="shared" si="3"/>
        <v>14449.5212</v>
      </c>
      <c r="J14" s="25">
        <v>14.0</v>
      </c>
      <c r="K14" s="25">
        <v>3.0</v>
      </c>
      <c r="L14" s="59">
        <f>7000+3800+4000</f>
        <v>14800</v>
      </c>
    </row>
    <row r="15" ht="12.75" customHeight="1">
      <c r="A15" s="25">
        <v>1.0</v>
      </c>
      <c r="B15" s="59">
        <f t="shared" si="1"/>
        <v>7815</v>
      </c>
      <c r="C15" s="59">
        <v>1485.0</v>
      </c>
      <c r="D15" s="59">
        <v>9300.0</v>
      </c>
      <c r="E15" s="59">
        <f t="shared" si="2"/>
        <v>220.2333</v>
      </c>
      <c r="F15" s="59">
        <f t="shared" si="3"/>
        <v>9079.7667</v>
      </c>
      <c r="J15" s="25">
        <v>15.0</v>
      </c>
      <c r="K15" s="25">
        <v>1.0</v>
      </c>
      <c r="L15" s="59">
        <v>9300.0</v>
      </c>
    </row>
    <row r="16" ht="12.75" customHeight="1">
      <c r="A16" s="25">
        <v>2.0</v>
      </c>
      <c r="B16" s="59">
        <f t="shared" si="1"/>
        <v>2521</v>
      </c>
      <c r="C16" s="59">
        <f>351+128</f>
        <v>479</v>
      </c>
      <c r="D16" s="59">
        <f>2200+800</f>
        <v>3000</v>
      </c>
      <c r="E16" s="59">
        <f t="shared" si="2"/>
        <v>71.043</v>
      </c>
      <c r="F16" s="59">
        <f t="shared" si="3"/>
        <v>2928.957</v>
      </c>
      <c r="J16" s="25">
        <v>16.0</v>
      </c>
      <c r="K16" s="25">
        <v>2.0</v>
      </c>
      <c r="L16" s="59">
        <f>2200+800</f>
        <v>3000</v>
      </c>
    </row>
    <row r="17" ht="12.75" customHeight="1">
      <c r="A17" s="25">
        <v>6.0</v>
      </c>
      <c r="B17" s="59">
        <f t="shared" si="1"/>
        <v>32016</v>
      </c>
      <c r="C17" s="59">
        <f>1102+782+1900+575+1166+559</f>
        <v>6084</v>
      </c>
      <c r="D17" s="59">
        <f>6900+4900+11900+3600+7300+3500</f>
        <v>38100</v>
      </c>
      <c r="E17" s="59">
        <f t="shared" si="2"/>
        <v>902.2461</v>
      </c>
      <c r="F17" s="59">
        <f t="shared" si="3"/>
        <v>37197.7539</v>
      </c>
      <c r="J17" s="25">
        <v>17.0</v>
      </c>
      <c r="K17" s="25">
        <v>6.0</v>
      </c>
      <c r="L17" s="59">
        <f>6900+4900+11900+3600+7300+3500</f>
        <v>38100</v>
      </c>
    </row>
    <row r="18" ht="12.75" customHeight="1">
      <c r="A18" s="25">
        <v>5.0</v>
      </c>
      <c r="B18" s="59">
        <f t="shared" si="1"/>
        <v>15209</v>
      </c>
      <c r="C18" s="59">
        <f>224+399+671+559+1038</f>
        <v>2891</v>
      </c>
      <c r="D18" s="59">
        <f>1400+2500+4200+3500+6500</f>
        <v>18100</v>
      </c>
      <c r="E18" s="59">
        <f t="shared" si="2"/>
        <v>428.6261</v>
      </c>
      <c r="F18" s="59">
        <f t="shared" si="3"/>
        <v>17671.3739</v>
      </c>
      <c r="J18" s="25">
        <v>18.0</v>
      </c>
      <c r="K18" s="25">
        <v>5.0</v>
      </c>
      <c r="L18" s="59">
        <f>1400+2500+4200+3500+6500</f>
        <v>18100</v>
      </c>
    </row>
    <row r="19" ht="12.75" customHeight="1">
      <c r="A19" s="25">
        <v>5.0</v>
      </c>
      <c r="B19" s="59">
        <f t="shared" si="1"/>
        <v>10083</v>
      </c>
      <c r="C19" s="59">
        <f>607+176+128+367+639</f>
        <v>1917</v>
      </c>
      <c r="D19" s="59">
        <f>3800+1100+800+2300+4000</f>
        <v>12000</v>
      </c>
      <c r="E19" s="59">
        <f t="shared" si="2"/>
        <v>284.172</v>
      </c>
      <c r="F19" s="59">
        <f t="shared" si="3"/>
        <v>11715.828</v>
      </c>
      <c r="J19" s="25">
        <v>19.0</v>
      </c>
      <c r="K19" s="25">
        <v>5.0</v>
      </c>
      <c r="L19" s="59">
        <f>3800+1100+800+2300+4000</f>
        <v>12000</v>
      </c>
    </row>
    <row r="20" ht="12.75" customHeight="1">
      <c r="A20" s="25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J20" s="25">
        <v>20.0</v>
      </c>
      <c r="K20" s="25">
        <v>0.0</v>
      </c>
      <c r="L20" s="59">
        <v>0.0</v>
      </c>
    </row>
    <row r="21" ht="12.75" customHeight="1">
      <c r="A21" s="25">
        <v>3.0</v>
      </c>
      <c r="B21" s="59">
        <f t="shared" si="1"/>
        <v>11009</v>
      </c>
      <c r="C21" s="59">
        <f>958+319+814</f>
        <v>2091</v>
      </c>
      <c r="D21" s="59">
        <f>6000+2000+5100</f>
        <v>13100</v>
      </c>
      <c r="E21" s="59">
        <f t="shared" si="2"/>
        <v>310.2211</v>
      </c>
      <c r="F21" s="59">
        <f t="shared" si="3"/>
        <v>12789.7789</v>
      </c>
      <c r="J21" s="25">
        <v>21.0</v>
      </c>
      <c r="K21" s="25">
        <v>3.0</v>
      </c>
      <c r="L21" s="59">
        <f>6000+2000+5100</f>
        <v>13100</v>
      </c>
    </row>
    <row r="22" ht="12.75" customHeight="1">
      <c r="A22" s="25">
        <v>9.0</v>
      </c>
      <c r="B22" s="59">
        <f t="shared" si="1"/>
        <v>43825</v>
      </c>
      <c r="C22" s="59">
        <f>319+543+1277+1405+950+718+1325+383+1405</f>
        <v>8325</v>
      </c>
      <c r="D22" s="59">
        <f>2000+3400+8000+8800+5950+4500+8300+2400+8800</f>
        <v>52150</v>
      </c>
      <c r="E22" s="59">
        <f t="shared" si="2"/>
        <v>1234.96415</v>
      </c>
      <c r="F22" s="59">
        <f t="shared" si="3"/>
        <v>50915.03585</v>
      </c>
      <c r="J22" s="25">
        <v>22.0</v>
      </c>
      <c r="K22" s="25">
        <v>9.0</v>
      </c>
      <c r="L22" s="59">
        <f>2000+3400+8000+8800+5950+4500+8300+2400+8800</f>
        <v>52150</v>
      </c>
    </row>
    <row r="23" ht="12.75" customHeight="1">
      <c r="A23" s="25">
        <v>3.0</v>
      </c>
      <c r="B23" s="59">
        <f t="shared" si="1"/>
        <v>6513</v>
      </c>
      <c r="C23" s="59">
        <f>263+655+319</f>
        <v>1237</v>
      </c>
      <c r="D23" s="59">
        <f>1650+4100+2000</f>
        <v>7750</v>
      </c>
      <c r="E23" s="59">
        <f t="shared" si="2"/>
        <v>183.52775</v>
      </c>
      <c r="F23" s="59">
        <f t="shared" si="3"/>
        <v>7566.47225</v>
      </c>
      <c r="J23" s="25">
        <v>23.0</v>
      </c>
      <c r="K23" s="25">
        <v>3.0</v>
      </c>
      <c r="L23" s="59">
        <f>1650+4100+2000</f>
        <v>7750</v>
      </c>
    </row>
    <row r="24" ht="12.75" customHeight="1">
      <c r="A24" s="25">
        <v>2.0</v>
      </c>
      <c r="B24" s="59">
        <f t="shared" si="1"/>
        <v>2395</v>
      </c>
      <c r="C24" s="59">
        <f>295+160</f>
        <v>455</v>
      </c>
      <c r="D24" s="59">
        <f>1850+1000</f>
        <v>2850</v>
      </c>
      <c r="E24" s="59">
        <f t="shared" si="2"/>
        <v>67.49085</v>
      </c>
      <c r="F24" s="59">
        <f t="shared" si="3"/>
        <v>2782.50915</v>
      </c>
      <c r="J24" s="25">
        <v>24.0</v>
      </c>
      <c r="K24" s="25">
        <v>2.0</v>
      </c>
      <c r="L24" s="59">
        <f>1850+1000</f>
        <v>2850</v>
      </c>
    </row>
    <row r="25" ht="12.75" customHeight="1">
      <c r="A25" s="25">
        <v>2.0</v>
      </c>
      <c r="B25" s="59">
        <f t="shared" si="1"/>
        <v>6218</v>
      </c>
      <c r="C25" s="59">
        <f>479+703</f>
        <v>1182</v>
      </c>
      <c r="D25" s="59">
        <f>3000+4400</f>
        <v>7400</v>
      </c>
      <c r="E25" s="59">
        <f t="shared" si="2"/>
        <v>175.2394</v>
      </c>
      <c r="F25" s="59">
        <f t="shared" si="3"/>
        <v>7224.7606</v>
      </c>
      <c r="J25" s="25">
        <v>25.0</v>
      </c>
      <c r="K25" s="25">
        <v>2.0</v>
      </c>
      <c r="L25" s="59">
        <f>3000+4400</f>
        <v>7400</v>
      </c>
    </row>
    <row r="26" ht="12.75" customHeight="1">
      <c r="A26" s="25">
        <v>7.0</v>
      </c>
      <c r="B26" s="59">
        <f t="shared" si="1"/>
        <v>19873</v>
      </c>
      <c r="C26" s="59">
        <f>447+1070+112+160+870+671+447</f>
        <v>3777</v>
      </c>
      <c r="D26" s="59">
        <f>2800+6700+700+1000+5450+4200+2800</f>
        <v>23650</v>
      </c>
      <c r="E26" s="59">
        <f t="shared" si="2"/>
        <v>560.05565</v>
      </c>
      <c r="F26" s="59">
        <f t="shared" si="3"/>
        <v>23089.94435</v>
      </c>
      <c r="J26" s="25">
        <v>26.0</v>
      </c>
      <c r="K26" s="25">
        <v>7.0</v>
      </c>
      <c r="L26" s="59">
        <f>2800+6700+700+1000+5450+4200+2800</f>
        <v>23650</v>
      </c>
    </row>
    <row r="27" ht="12.75" customHeight="1">
      <c r="A27" s="25">
        <v>4.0</v>
      </c>
      <c r="B27" s="59">
        <f t="shared" si="1"/>
        <v>9329</v>
      </c>
      <c r="C27" s="59">
        <f>734+335+399+303</f>
        <v>1771</v>
      </c>
      <c r="D27" s="59">
        <f>4600+2100+2500+1900</f>
        <v>11100</v>
      </c>
      <c r="E27" s="59">
        <f t="shared" si="2"/>
        <v>262.8591</v>
      </c>
      <c r="F27" s="59">
        <f t="shared" si="3"/>
        <v>10837.1409</v>
      </c>
      <c r="J27" s="25">
        <v>27.0</v>
      </c>
      <c r="K27" s="25">
        <v>4.0</v>
      </c>
      <c r="L27" s="59">
        <f>4600+2100+2500+1900</f>
        <v>11100</v>
      </c>
    </row>
    <row r="28" ht="12.75" customHeight="1">
      <c r="A28" s="25">
        <v>2.0</v>
      </c>
      <c r="B28" s="59">
        <f t="shared" si="1"/>
        <v>5798</v>
      </c>
      <c r="C28" s="59">
        <f>1038+64</f>
        <v>1102</v>
      </c>
      <c r="D28" s="59">
        <f>6500+400</f>
        <v>6900</v>
      </c>
      <c r="E28" s="59">
        <f t="shared" si="2"/>
        <v>163.3989</v>
      </c>
      <c r="F28" s="59">
        <f t="shared" si="3"/>
        <v>6736.6011</v>
      </c>
      <c r="J28" s="25">
        <v>28.0</v>
      </c>
      <c r="K28" s="25">
        <v>2.0</v>
      </c>
      <c r="L28" s="59">
        <f>6500+400</f>
        <v>6900</v>
      </c>
    </row>
    <row r="29" ht="12.75" customHeight="1">
      <c r="A29" s="25">
        <v>8.0</v>
      </c>
      <c r="B29" s="59">
        <f t="shared" si="1"/>
        <v>42690</v>
      </c>
      <c r="C29" s="59">
        <f>1788+718+2219+894+639+1197+96+559</f>
        <v>8110</v>
      </c>
      <c r="D29" s="59">
        <f>11200+4500+13900+5600+4000+7500+600+3500</f>
        <v>50800</v>
      </c>
      <c r="E29" s="59">
        <f t="shared" si="2"/>
        <v>1202.9948</v>
      </c>
      <c r="F29" s="59">
        <f t="shared" si="3"/>
        <v>49597.0052</v>
      </c>
      <c r="J29" s="25">
        <v>29.0</v>
      </c>
      <c r="K29" s="25">
        <v>8.0</v>
      </c>
      <c r="L29" s="59">
        <f>11200+4500+13900+5600+4000+7500+600+3500</f>
        <v>50800</v>
      </c>
    </row>
    <row r="30" ht="12.75" customHeight="1">
      <c r="A30" s="25">
        <v>0.0</v>
      </c>
      <c r="B30" s="59">
        <f t="shared" si="1"/>
        <v>0</v>
      </c>
      <c r="C30" s="59">
        <v>0.0</v>
      </c>
      <c r="D30" s="59">
        <v>0.0</v>
      </c>
      <c r="E30" s="59">
        <f t="shared" si="2"/>
        <v>0</v>
      </c>
      <c r="F30" s="59">
        <f t="shared" si="3"/>
        <v>0</v>
      </c>
      <c r="J30" s="25">
        <v>30.0</v>
      </c>
      <c r="K30" s="25">
        <v>0.0</v>
      </c>
      <c r="L30" s="59">
        <v>0.0</v>
      </c>
    </row>
    <row r="31" ht="12.75" customHeight="1">
      <c r="A31" s="60">
        <f t="shared" ref="A31:F31" si="4">SUM(A1:A30)</f>
        <v>97</v>
      </c>
      <c r="B31" s="61">
        <f t="shared" si="4"/>
        <v>339158</v>
      </c>
      <c r="C31" s="61">
        <f t="shared" si="4"/>
        <v>64442</v>
      </c>
      <c r="D31" s="61">
        <f t="shared" si="4"/>
        <v>403600</v>
      </c>
      <c r="E31" s="60">
        <f t="shared" si="4"/>
        <v>9557.6516</v>
      </c>
      <c r="F31" s="60">
        <f t="shared" si="4"/>
        <v>394042.3484</v>
      </c>
      <c r="G31" s="59"/>
      <c r="H31" s="59"/>
      <c r="I31" s="59"/>
      <c r="J31" s="62">
        <f t="shared" ref="J31:L31" si="5">SUM(J1:J30)</f>
        <v>465</v>
      </c>
      <c r="K31" s="63">
        <f t="shared" si="5"/>
        <v>97</v>
      </c>
      <c r="L31" s="64">
        <f t="shared" si="5"/>
        <v>403600</v>
      </c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2.75" customHeight="1">
      <c r="A32" s="25"/>
      <c r="C32" s="59"/>
      <c r="D32" s="59"/>
      <c r="J32" s="25"/>
    </row>
    <row r="33" ht="12.75" customHeight="1">
      <c r="A33" s="25"/>
      <c r="C33" s="59"/>
      <c r="D33" s="59"/>
      <c r="J33" s="25"/>
    </row>
    <row r="34" ht="12.75" customHeight="1">
      <c r="A34" s="25"/>
      <c r="C34" s="59"/>
      <c r="D34" s="59"/>
      <c r="J34" s="25"/>
    </row>
    <row r="35" ht="12.75" customHeight="1">
      <c r="A35" s="25"/>
      <c r="C35" s="59"/>
      <c r="D35" s="59"/>
      <c r="J35" s="25"/>
    </row>
    <row r="36" ht="12.75" customHeight="1">
      <c r="A36" s="25"/>
      <c r="C36" s="59"/>
      <c r="D36" s="59"/>
      <c r="J36" s="25"/>
    </row>
    <row r="37" ht="12.75" customHeight="1">
      <c r="A37" s="25"/>
      <c r="C37" s="59"/>
      <c r="D37" s="59"/>
      <c r="J37" s="25"/>
    </row>
    <row r="38" ht="12.75" customHeight="1">
      <c r="A38" s="25"/>
      <c r="C38" s="59"/>
      <c r="D38" s="59"/>
      <c r="J38" s="25"/>
    </row>
    <row r="39" ht="12.75" customHeight="1">
      <c r="A39" s="25"/>
      <c r="C39" s="59"/>
      <c r="D39" s="59"/>
      <c r="J39" s="25"/>
    </row>
    <row r="40" ht="12.75" customHeight="1">
      <c r="A40" s="25"/>
      <c r="C40" s="59"/>
      <c r="D40" s="59"/>
      <c r="J40" s="25"/>
    </row>
    <row r="41" ht="12.75" customHeight="1">
      <c r="A41" s="25"/>
      <c r="C41" s="59"/>
      <c r="D41" s="59"/>
      <c r="J41" s="25"/>
    </row>
    <row r="42" ht="12.75" customHeight="1">
      <c r="A42" s="25"/>
      <c r="C42" s="59"/>
      <c r="D42" s="59"/>
      <c r="J42" s="25"/>
    </row>
    <row r="43" ht="12.75" customHeight="1">
      <c r="A43" s="25"/>
      <c r="C43" s="59"/>
      <c r="D43" s="59"/>
      <c r="J43" s="25"/>
    </row>
    <row r="44" ht="12.75" customHeight="1">
      <c r="A44" s="25"/>
      <c r="C44" s="59"/>
      <c r="D44" s="59"/>
      <c r="J44" s="25"/>
    </row>
    <row r="45" ht="12.75" customHeight="1">
      <c r="A45" s="25"/>
      <c r="C45" s="59"/>
      <c r="D45" s="59"/>
      <c r="J45" s="25"/>
    </row>
    <row r="46" ht="12.75" customHeight="1">
      <c r="A46" s="25"/>
      <c r="C46" s="59"/>
      <c r="D46" s="59"/>
      <c r="J46" s="25"/>
    </row>
    <row r="47" ht="12.75" customHeight="1">
      <c r="A47" s="25"/>
      <c r="C47" s="59"/>
      <c r="D47" s="59"/>
      <c r="J47" s="25"/>
    </row>
    <row r="48" ht="12.75" customHeight="1">
      <c r="A48" s="25"/>
      <c r="C48" s="59"/>
      <c r="D48" s="59"/>
      <c r="J48" s="25"/>
    </row>
    <row r="49" ht="12.75" customHeight="1">
      <c r="A49" s="25"/>
      <c r="C49" s="59"/>
      <c r="D49" s="59"/>
      <c r="J49" s="25"/>
    </row>
    <row r="50" ht="12.75" customHeight="1">
      <c r="A50" s="25"/>
      <c r="C50" s="59"/>
      <c r="D50" s="59"/>
      <c r="J50" s="25"/>
    </row>
    <row r="51" ht="12.75" customHeight="1">
      <c r="A51" s="25"/>
      <c r="C51" s="59"/>
      <c r="D51" s="59"/>
      <c r="J51" s="25"/>
    </row>
    <row r="52" ht="12.75" customHeight="1">
      <c r="A52" s="25"/>
      <c r="C52" s="59"/>
      <c r="D52" s="59"/>
      <c r="J52" s="25"/>
    </row>
    <row r="53" ht="12.75" customHeight="1">
      <c r="A53" s="25"/>
      <c r="C53" s="59"/>
      <c r="D53" s="59"/>
      <c r="J53" s="25"/>
    </row>
    <row r="54" ht="12.75" customHeight="1">
      <c r="A54" s="25"/>
      <c r="C54" s="59"/>
      <c r="D54" s="59"/>
      <c r="J54" s="25"/>
    </row>
    <row r="55" ht="12.75" customHeight="1">
      <c r="A55" s="25"/>
      <c r="C55" s="59"/>
      <c r="D55" s="59"/>
      <c r="J55" s="25"/>
    </row>
    <row r="56" ht="12.75" customHeight="1">
      <c r="A56" s="25"/>
      <c r="C56" s="59"/>
      <c r="D56" s="59"/>
      <c r="J56" s="25"/>
    </row>
    <row r="57" ht="12.75" customHeight="1">
      <c r="A57" s="25"/>
      <c r="C57" s="59"/>
      <c r="D57" s="59"/>
      <c r="J57" s="25"/>
    </row>
    <row r="58" ht="12.75" customHeight="1">
      <c r="A58" s="25"/>
      <c r="C58" s="59"/>
      <c r="D58" s="59"/>
      <c r="J58" s="25"/>
    </row>
    <row r="59" ht="12.75" customHeight="1">
      <c r="A59" s="25"/>
      <c r="C59" s="59"/>
      <c r="D59" s="59"/>
      <c r="J59" s="25"/>
    </row>
    <row r="60" ht="12.75" customHeight="1">
      <c r="A60" s="25"/>
      <c r="C60" s="59"/>
      <c r="D60" s="59"/>
      <c r="J60" s="25"/>
    </row>
    <row r="61" ht="12.75" customHeight="1">
      <c r="A61" s="25"/>
      <c r="C61" s="59"/>
      <c r="D61" s="59"/>
      <c r="J61" s="25"/>
    </row>
    <row r="62" ht="12.75" customHeight="1">
      <c r="A62" s="25"/>
      <c r="C62" s="59"/>
      <c r="D62" s="59"/>
      <c r="J62" s="25"/>
    </row>
    <row r="63" ht="12.75" customHeight="1">
      <c r="A63" s="25"/>
      <c r="C63" s="59"/>
      <c r="D63" s="59"/>
      <c r="J63" s="25"/>
    </row>
    <row r="64" ht="12.75" customHeight="1">
      <c r="A64" s="25"/>
      <c r="C64" s="59"/>
      <c r="D64" s="59"/>
      <c r="J64" s="25"/>
    </row>
    <row r="65" ht="12.75" customHeight="1">
      <c r="A65" s="25"/>
      <c r="C65" s="59"/>
      <c r="D65" s="59"/>
      <c r="J65" s="25"/>
    </row>
    <row r="66" ht="12.75" customHeight="1">
      <c r="A66" s="25"/>
      <c r="C66" s="59"/>
      <c r="D66" s="59"/>
      <c r="J66" s="25"/>
    </row>
    <row r="67" ht="12.75" customHeight="1">
      <c r="A67" s="25"/>
      <c r="C67" s="59"/>
      <c r="D67" s="59"/>
      <c r="J67" s="25"/>
    </row>
    <row r="68" ht="12.75" customHeight="1">
      <c r="A68" s="25"/>
      <c r="C68" s="59"/>
      <c r="D68" s="59"/>
      <c r="J68" s="25"/>
    </row>
    <row r="69" ht="12.75" customHeight="1">
      <c r="A69" s="25"/>
      <c r="C69" s="59"/>
      <c r="D69" s="59"/>
      <c r="J69" s="25"/>
    </row>
    <row r="70" ht="12.75" customHeight="1">
      <c r="A70" s="25"/>
      <c r="C70" s="59"/>
      <c r="D70" s="59"/>
      <c r="J70" s="25"/>
    </row>
    <row r="71" ht="12.75" customHeight="1">
      <c r="A71" s="25"/>
      <c r="C71" s="59"/>
      <c r="D71" s="59"/>
      <c r="J71" s="25"/>
    </row>
    <row r="72" ht="12.75" customHeight="1">
      <c r="A72" s="25"/>
      <c r="C72" s="59"/>
      <c r="D72" s="59"/>
      <c r="J72" s="25"/>
    </row>
    <row r="73" ht="12.75" customHeight="1">
      <c r="A73" s="25"/>
      <c r="C73" s="59"/>
      <c r="D73" s="59"/>
      <c r="J73" s="25"/>
    </row>
    <row r="74" ht="12.75" customHeight="1">
      <c r="A74" s="25"/>
      <c r="C74" s="59"/>
      <c r="D74" s="59"/>
      <c r="J74" s="25"/>
    </row>
    <row r="75" ht="12.75" customHeight="1">
      <c r="A75" s="25"/>
      <c r="C75" s="59"/>
      <c r="D75" s="59"/>
      <c r="J75" s="25"/>
    </row>
    <row r="76" ht="12.75" customHeight="1">
      <c r="A76" s="25"/>
      <c r="C76" s="59"/>
      <c r="D76" s="59"/>
      <c r="J76" s="25"/>
    </row>
    <row r="77" ht="12.75" customHeight="1">
      <c r="A77" s="25"/>
      <c r="C77" s="59"/>
      <c r="D77" s="59"/>
      <c r="J77" s="25"/>
    </row>
    <row r="78" ht="12.75" customHeight="1">
      <c r="A78" s="25"/>
      <c r="C78" s="59"/>
      <c r="D78" s="59"/>
      <c r="J78" s="25"/>
    </row>
    <row r="79" ht="12.75" customHeight="1">
      <c r="A79" s="25"/>
      <c r="C79" s="59"/>
      <c r="D79" s="59"/>
      <c r="J79" s="25"/>
    </row>
    <row r="80" ht="12.75" customHeight="1">
      <c r="A80" s="25"/>
      <c r="C80" s="59"/>
      <c r="D80" s="59"/>
      <c r="J80" s="25"/>
    </row>
    <row r="81" ht="12.75" customHeight="1">
      <c r="A81" s="25"/>
      <c r="C81" s="59"/>
      <c r="D81" s="59"/>
      <c r="J81" s="25"/>
    </row>
    <row r="82" ht="12.75" customHeight="1">
      <c r="A82" s="25"/>
      <c r="C82" s="59"/>
      <c r="D82" s="59"/>
      <c r="J82" s="25"/>
    </row>
    <row r="83" ht="12.75" customHeight="1">
      <c r="A83" s="25"/>
      <c r="C83" s="59"/>
      <c r="D83" s="59"/>
      <c r="J83" s="25"/>
    </row>
    <row r="84" ht="12.75" customHeight="1">
      <c r="A84" s="25"/>
      <c r="C84" s="59"/>
      <c r="D84" s="59"/>
      <c r="J84" s="25"/>
    </row>
    <row r="85" ht="12.75" customHeight="1">
      <c r="A85" s="25"/>
      <c r="C85" s="59"/>
      <c r="D85" s="59"/>
      <c r="J85" s="25"/>
    </row>
    <row r="86" ht="12.75" customHeight="1">
      <c r="A86" s="25"/>
      <c r="C86" s="59"/>
      <c r="D86" s="59"/>
      <c r="J86" s="25"/>
    </row>
    <row r="87" ht="12.75" customHeight="1">
      <c r="A87" s="25"/>
      <c r="C87" s="59"/>
      <c r="D87" s="59"/>
      <c r="J87" s="25"/>
    </row>
    <row r="88" ht="12.75" customHeight="1">
      <c r="A88" s="25"/>
      <c r="C88" s="59"/>
      <c r="D88" s="59"/>
      <c r="J88" s="25"/>
    </row>
    <row r="89" ht="12.75" customHeight="1">
      <c r="A89" s="25"/>
      <c r="C89" s="59"/>
      <c r="D89" s="59"/>
      <c r="J89" s="25"/>
    </row>
    <row r="90" ht="12.75" customHeight="1">
      <c r="A90" s="25"/>
      <c r="C90" s="59"/>
      <c r="D90" s="59"/>
      <c r="J90" s="25"/>
    </row>
    <row r="91" ht="12.75" customHeight="1">
      <c r="A91" s="25"/>
      <c r="C91" s="59"/>
      <c r="D91" s="59"/>
      <c r="J91" s="25"/>
    </row>
    <row r="92" ht="12.75" customHeight="1">
      <c r="A92" s="25"/>
      <c r="C92" s="59"/>
      <c r="D92" s="59"/>
      <c r="J92" s="25"/>
    </row>
    <row r="93" ht="12.75" customHeight="1">
      <c r="A93" s="25"/>
      <c r="C93" s="59"/>
      <c r="D93" s="59"/>
      <c r="J93" s="25"/>
    </row>
    <row r="94" ht="12.75" customHeight="1">
      <c r="A94" s="25"/>
      <c r="C94" s="59"/>
      <c r="D94" s="59"/>
      <c r="J94" s="25"/>
    </row>
    <row r="95" ht="12.75" customHeight="1">
      <c r="A95" s="25"/>
      <c r="C95" s="59"/>
      <c r="D95" s="59"/>
      <c r="J95" s="25"/>
    </row>
    <row r="96" ht="12.75" customHeight="1">
      <c r="A96" s="25"/>
      <c r="C96" s="59"/>
      <c r="D96" s="59"/>
      <c r="J96" s="25"/>
    </row>
    <row r="97" ht="12.75" customHeight="1">
      <c r="A97" s="25"/>
      <c r="C97" s="59"/>
      <c r="D97" s="59"/>
      <c r="J97" s="25"/>
    </row>
    <row r="98" ht="12.75" customHeight="1">
      <c r="A98" s="25"/>
      <c r="C98" s="59"/>
      <c r="D98" s="59"/>
      <c r="J98" s="25"/>
    </row>
    <row r="99" ht="12.75" customHeight="1">
      <c r="A99" s="25"/>
      <c r="C99" s="59"/>
      <c r="D99" s="59"/>
      <c r="J99" s="25"/>
    </row>
    <row r="100" ht="12.75" customHeight="1">
      <c r="A100" s="25"/>
      <c r="C100" s="59"/>
      <c r="D100" s="59"/>
      <c r="J100" s="25"/>
    </row>
    <row r="101" ht="12.75" customHeight="1">
      <c r="A101" s="25"/>
      <c r="C101" s="59"/>
      <c r="D101" s="59"/>
      <c r="J101" s="25"/>
    </row>
    <row r="102" ht="12.75" customHeight="1">
      <c r="A102" s="25"/>
      <c r="C102" s="59"/>
      <c r="D102" s="59"/>
      <c r="J102" s="25"/>
    </row>
    <row r="103" ht="12.75" customHeight="1">
      <c r="A103" s="25"/>
      <c r="C103" s="59"/>
      <c r="D103" s="59"/>
      <c r="J103" s="25"/>
    </row>
    <row r="104" ht="12.75" customHeight="1">
      <c r="A104" s="25"/>
      <c r="C104" s="59"/>
      <c r="D104" s="59"/>
      <c r="J104" s="25"/>
    </row>
    <row r="105" ht="12.75" customHeight="1">
      <c r="A105" s="25"/>
      <c r="C105" s="59"/>
      <c r="D105" s="59"/>
      <c r="J105" s="25"/>
    </row>
    <row r="106" ht="12.75" customHeight="1">
      <c r="A106" s="25"/>
      <c r="C106" s="59"/>
      <c r="D106" s="59"/>
      <c r="J106" s="25"/>
    </row>
    <row r="107" ht="12.75" customHeight="1">
      <c r="A107" s="25"/>
      <c r="C107" s="59"/>
      <c r="D107" s="59"/>
      <c r="J107" s="25"/>
    </row>
    <row r="108" ht="12.75" customHeight="1">
      <c r="A108" s="25"/>
      <c r="C108" s="59"/>
      <c r="D108" s="59"/>
      <c r="J108" s="25"/>
    </row>
    <row r="109" ht="12.75" customHeight="1">
      <c r="A109" s="25"/>
      <c r="C109" s="59"/>
      <c r="D109" s="59"/>
      <c r="J109" s="25"/>
    </row>
    <row r="110" ht="12.75" customHeight="1">
      <c r="A110" s="25"/>
      <c r="C110" s="59"/>
      <c r="D110" s="59"/>
      <c r="J110" s="25"/>
    </row>
    <row r="111" ht="12.75" customHeight="1">
      <c r="A111" s="25"/>
      <c r="C111" s="59"/>
      <c r="D111" s="59"/>
      <c r="J111" s="25"/>
    </row>
    <row r="112" ht="12.75" customHeight="1">
      <c r="A112" s="25"/>
      <c r="C112" s="59"/>
      <c r="D112" s="59"/>
      <c r="J112" s="25"/>
    </row>
    <row r="113" ht="12.75" customHeight="1">
      <c r="A113" s="25"/>
      <c r="C113" s="59"/>
      <c r="D113" s="59"/>
      <c r="J113" s="25"/>
    </row>
    <row r="114" ht="12.75" customHeight="1">
      <c r="A114" s="25"/>
      <c r="C114" s="59"/>
      <c r="D114" s="59"/>
      <c r="J114" s="25"/>
    </row>
    <row r="115" ht="12.75" customHeight="1">
      <c r="A115" s="25"/>
      <c r="C115" s="59"/>
      <c r="D115" s="59"/>
      <c r="J115" s="25"/>
    </row>
    <row r="116" ht="12.75" customHeight="1">
      <c r="A116" s="25"/>
      <c r="C116" s="59"/>
      <c r="D116" s="59"/>
      <c r="J116" s="25"/>
    </row>
    <row r="117" ht="12.75" customHeight="1">
      <c r="A117" s="25"/>
      <c r="C117" s="59"/>
      <c r="D117" s="59"/>
      <c r="J117" s="25"/>
    </row>
    <row r="118" ht="12.75" customHeight="1">
      <c r="A118" s="25"/>
      <c r="C118" s="59"/>
      <c r="D118" s="59"/>
      <c r="J118" s="25"/>
    </row>
    <row r="119" ht="12.75" customHeight="1">
      <c r="A119" s="25"/>
      <c r="C119" s="59"/>
      <c r="D119" s="59"/>
      <c r="J119" s="25"/>
    </row>
    <row r="120" ht="12.75" customHeight="1">
      <c r="A120" s="25"/>
      <c r="C120" s="59"/>
      <c r="D120" s="59"/>
      <c r="J120" s="25"/>
    </row>
    <row r="121" ht="12.75" customHeight="1">
      <c r="A121" s="25"/>
      <c r="C121" s="59"/>
      <c r="D121" s="59"/>
      <c r="J121" s="25"/>
    </row>
    <row r="122" ht="12.75" customHeight="1">
      <c r="A122" s="25"/>
      <c r="C122" s="59"/>
      <c r="D122" s="59"/>
      <c r="J122" s="25"/>
    </row>
    <row r="123" ht="12.75" customHeight="1">
      <c r="A123" s="25"/>
      <c r="C123" s="59"/>
      <c r="D123" s="59"/>
      <c r="J123" s="25"/>
    </row>
    <row r="124" ht="12.75" customHeight="1">
      <c r="A124" s="25"/>
      <c r="C124" s="59"/>
      <c r="D124" s="59"/>
      <c r="J124" s="25"/>
    </row>
    <row r="125" ht="12.75" customHeight="1">
      <c r="A125" s="25"/>
      <c r="C125" s="59"/>
      <c r="D125" s="59"/>
      <c r="J125" s="25"/>
    </row>
    <row r="126" ht="12.75" customHeight="1">
      <c r="A126" s="25"/>
      <c r="C126" s="59"/>
      <c r="D126" s="59"/>
      <c r="J126" s="25"/>
    </row>
    <row r="127" ht="12.75" customHeight="1">
      <c r="A127" s="25"/>
      <c r="C127" s="59"/>
      <c r="D127" s="59"/>
      <c r="J127" s="25"/>
    </row>
    <row r="128" ht="12.75" customHeight="1">
      <c r="A128" s="25"/>
      <c r="C128" s="59"/>
      <c r="D128" s="59"/>
      <c r="J128" s="25"/>
    </row>
    <row r="129" ht="12.75" customHeight="1">
      <c r="A129" s="25"/>
      <c r="C129" s="59"/>
      <c r="D129" s="59"/>
      <c r="J129" s="25"/>
    </row>
    <row r="130" ht="12.75" customHeight="1">
      <c r="A130" s="25"/>
      <c r="C130" s="59"/>
      <c r="D130" s="59"/>
      <c r="J130" s="25"/>
    </row>
    <row r="131" ht="12.75" customHeight="1">
      <c r="A131" s="25"/>
      <c r="C131" s="59"/>
      <c r="D131" s="59"/>
      <c r="J131" s="25"/>
    </row>
    <row r="132" ht="12.75" customHeight="1">
      <c r="A132" s="25"/>
      <c r="C132" s="59"/>
      <c r="D132" s="59"/>
      <c r="J132" s="25"/>
    </row>
    <row r="133" ht="12.75" customHeight="1">
      <c r="A133" s="25"/>
      <c r="C133" s="59"/>
      <c r="D133" s="59"/>
      <c r="J133" s="25"/>
    </row>
    <row r="134" ht="12.75" customHeight="1">
      <c r="A134" s="25"/>
      <c r="C134" s="59"/>
      <c r="D134" s="59"/>
      <c r="J134" s="25"/>
    </row>
    <row r="135" ht="12.75" customHeight="1">
      <c r="A135" s="25"/>
      <c r="C135" s="59"/>
      <c r="D135" s="59"/>
      <c r="J135" s="25"/>
    </row>
    <row r="136" ht="12.75" customHeight="1">
      <c r="A136" s="25"/>
      <c r="C136" s="59"/>
      <c r="D136" s="59"/>
      <c r="J136" s="25"/>
    </row>
    <row r="137" ht="12.75" customHeight="1">
      <c r="A137" s="25"/>
      <c r="C137" s="59"/>
      <c r="D137" s="59"/>
      <c r="J137" s="25"/>
    </row>
    <row r="138" ht="12.75" customHeight="1">
      <c r="A138" s="25"/>
      <c r="C138" s="59"/>
      <c r="D138" s="59"/>
      <c r="J138" s="25"/>
    </row>
    <row r="139" ht="12.75" customHeight="1">
      <c r="A139" s="25"/>
      <c r="C139" s="59"/>
      <c r="D139" s="59"/>
      <c r="J139" s="25"/>
    </row>
    <row r="140" ht="12.75" customHeight="1">
      <c r="A140" s="25"/>
      <c r="C140" s="59"/>
      <c r="D140" s="59"/>
      <c r="J140" s="25"/>
    </row>
    <row r="141" ht="12.75" customHeight="1">
      <c r="A141" s="25"/>
      <c r="C141" s="59"/>
      <c r="D141" s="59"/>
      <c r="J141" s="25"/>
    </row>
    <row r="142" ht="12.75" customHeight="1">
      <c r="A142" s="25"/>
      <c r="C142" s="59"/>
      <c r="D142" s="59"/>
      <c r="J142" s="25"/>
    </row>
    <row r="143" ht="12.75" customHeight="1">
      <c r="A143" s="25"/>
      <c r="C143" s="59"/>
      <c r="D143" s="59"/>
      <c r="J143" s="25"/>
    </row>
    <row r="144" ht="12.75" customHeight="1">
      <c r="A144" s="25"/>
      <c r="C144" s="59"/>
      <c r="D144" s="59"/>
      <c r="J144" s="25"/>
    </row>
    <row r="145" ht="12.75" customHeight="1">
      <c r="A145" s="25"/>
      <c r="C145" s="59"/>
      <c r="D145" s="59"/>
      <c r="J145" s="25"/>
    </row>
    <row r="146" ht="12.75" customHeight="1">
      <c r="A146" s="25"/>
      <c r="C146" s="59"/>
      <c r="D146" s="59"/>
      <c r="J146" s="25"/>
    </row>
    <row r="147" ht="12.75" customHeight="1">
      <c r="A147" s="25"/>
      <c r="C147" s="59"/>
      <c r="D147" s="59"/>
      <c r="J147" s="25"/>
    </row>
    <row r="148" ht="12.75" customHeight="1">
      <c r="A148" s="25"/>
      <c r="C148" s="59"/>
      <c r="D148" s="59"/>
      <c r="J148" s="25"/>
    </row>
    <row r="149" ht="12.75" customHeight="1">
      <c r="A149" s="25"/>
      <c r="C149" s="59"/>
      <c r="D149" s="59"/>
      <c r="J149" s="25"/>
    </row>
    <row r="150" ht="12.75" customHeight="1">
      <c r="A150" s="25"/>
      <c r="C150" s="59"/>
      <c r="D150" s="59"/>
      <c r="J150" s="25"/>
    </row>
    <row r="151" ht="12.75" customHeight="1">
      <c r="A151" s="25"/>
      <c r="C151" s="59"/>
      <c r="D151" s="59"/>
      <c r="J151" s="25"/>
    </row>
    <row r="152" ht="12.75" customHeight="1">
      <c r="A152" s="25"/>
      <c r="C152" s="59"/>
      <c r="D152" s="59"/>
      <c r="J152" s="25"/>
    </row>
    <row r="153" ht="12.75" customHeight="1">
      <c r="A153" s="25"/>
      <c r="C153" s="59"/>
      <c r="D153" s="59"/>
      <c r="J153" s="25"/>
    </row>
    <row r="154" ht="12.75" customHeight="1">
      <c r="A154" s="25"/>
      <c r="C154" s="59"/>
      <c r="D154" s="59"/>
      <c r="J154" s="25"/>
    </row>
    <row r="155" ht="12.75" customHeight="1">
      <c r="A155" s="25"/>
      <c r="C155" s="59"/>
      <c r="D155" s="59"/>
      <c r="J155" s="25"/>
    </row>
    <row r="156" ht="12.75" customHeight="1">
      <c r="A156" s="25"/>
      <c r="C156" s="59"/>
      <c r="D156" s="59"/>
      <c r="J156" s="25"/>
    </row>
    <row r="157" ht="12.75" customHeight="1">
      <c r="A157" s="25"/>
      <c r="C157" s="59"/>
      <c r="D157" s="59"/>
      <c r="J157" s="25"/>
    </row>
    <row r="158" ht="12.75" customHeight="1">
      <c r="A158" s="25"/>
      <c r="C158" s="59"/>
      <c r="D158" s="59"/>
      <c r="J158" s="25"/>
    </row>
    <row r="159" ht="12.75" customHeight="1">
      <c r="A159" s="25"/>
      <c r="C159" s="59"/>
      <c r="D159" s="59"/>
      <c r="J159" s="25"/>
    </row>
    <row r="160" ht="12.75" customHeight="1">
      <c r="A160" s="25"/>
      <c r="C160" s="59"/>
      <c r="D160" s="59"/>
      <c r="J160" s="25"/>
    </row>
    <row r="161" ht="12.75" customHeight="1">
      <c r="A161" s="25"/>
      <c r="C161" s="59"/>
      <c r="D161" s="59"/>
      <c r="J161" s="25"/>
    </row>
    <row r="162" ht="12.75" customHeight="1">
      <c r="A162" s="25"/>
      <c r="C162" s="59"/>
      <c r="D162" s="59"/>
      <c r="J162" s="25"/>
    </row>
    <row r="163" ht="12.75" customHeight="1">
      <c r="A163" s="25"/>
      <c r="C163" s="59"/>
      <c r="D163" s="59"/>
      <c r="J163" s="25"/>
    </row>
    <row r="164" ht="12.75" customHeight="1">
      <c r="A164" s="25"/>
      <c r="C164" s="59"/>
      <c r="D164" s="59"/>
      <c r="J164" s="25"/>
    </row>
    <row r="165" ht="12.75" customHeight="1">
      <c r="A165" s="25"/>
      <c r="C165" s="59"/>
      <c r="D165" s="59"/>
      <c r="J165" s="25"/>
    </row>
    <row r="166" ht="12.75" customHeight="1">
      <c r="A166" s="25"/>
      <c r="C166" s="59"/>
      <c r="D166" s="59"/>
      <c r="J166" s="25"/>
    </row>
    <row r="167" ht="12.75" customHeight="1">
      <c r="A167" s="25"/>
      <c r="C167" s="59"/>
      <c r="D167" s="59"/>
      <c r="J167" s="25"/>
    </row>
    <row r="168" ht="12.75" customHeight="1">
      <c r="A168" s="25"/>
      <c r="C168" s="59"/>
      <c r="D168" s="59"/>
      <c r="J168" s="25"/>
    </row>
    <row r="169" ht="12.75" customHeight="1">
      <c r="A169" s="25"/>
      <c r="C169" s="59"/>
      <c r="D169" s="59"/>
      <c r="J169" s="25"/>
    </row>
    <row r="170" ht="12.75" customHeight="1">
      <c r="A170" s="25"/>
      <c r="C170" s="59"/>
      <c r="D170" s="59"/>
      <c r="J170" s="25"/>
    </row>
    <row r="171" ht="12.75" customHeight="1">
      <c r="A171" s="25"/>
      <c r="C171" s="59"/>
      <c r="D171" s="59"/>
      <c r="J171" s="25"/>
    </row>
    <row r="172" ht="12.75" customHeight="1">
      <c r="A172" s="25"/>
      <c r="C172" s="59"/>
      <c r="D172" s="59"/>
      <c r="J172" s="25"/>
    </row>
    <row r="173" ht="12.75" customHeight="1">
      <c r="A173" s="25"/>
      <c r="C173" s="59"/>
      <c r="D173" s="59"/>
      <c r="J173" s="25"/>
    </row>
    <row r="174" ht="12.75" customHeight="1">
      <c r="A174" s="25"/>
      <c r="C174" s="59"/>
      <c r="D174" s="59"/>
      <c r="J174" s="25"/>
    </row>
    <row r="175" ht="12.75" customHeight="1">
      <c r="A175" s="25"/>
      <c r="C175" s="59"/>
      <c r="D175" s="59"/>
      <c r="J175" s="25"/>
    </row>
    <row r="176" ht="12.75" customHeight="1">
      <c r="A176" s="25"/>
      <c r="C176" s="59"/>
      <c r="D176" s="59"/>
      <c r="J176" s="25"/>
    </row>
    <row r="177" ht="12.75" customHeight="1">
      <c r="A177" s="25"/>
      <c r="C177" s="59"/>
      <c r="D177" s="59"/>
      <c r="J177" s="25"/>
    </row>
    <row r="178" ht="12.75" customHeight="1">
      <c r="A178" s="25"/>
      <c r="C178" s="59"/>
      <c r="D178" s="59"/>
      <c r="J178" s="25"/>
    </row>
    <row r="179" ht="12.75" customHeight="1">
      <c r="A179" s="25"/>
      <c r="C179" s="59"/>
      <c r="D179" s="59"/>
      <c r="J179" s="25"/>
    </row>
    <row r="180" ht="12.75" customHeight="1">
      <c r="A180" s="25"/>
      <c r="C180" s="59"/>
      <c r="D180" s="59"/>
      <c r="J180" s="25"/>
    </row>
    <row r="181" ht="12.75" customHeight="1">
      <c r="A181" s="25"/>
      <c r="C181" s="59"/>
      <c r="D181" s="59"/>
      <c r="J181" s="25"/>
    </row>
    <row r="182" ht="12.75" customHeight="1">
      <c r="A182" s="25"/>
      <c r="C182" s="59"/>
      <c r="D182" s="59"/>
      <c r="J182" s="25"/>
    </row>
    <row r="183" ht="12.75" customHeight="1">
      <c r="A183" s="25"/>
      <c r="C183" s="59"/>
      <c r="D183" s="59"/>
      <c r="J183" s="25"/>
    </row>
    <row r="184" ht="12.75" customHeight="1">
      <c r="A184" s="25"/>
      <c r="C184" s="59"/>
      <c r="D184" s="59"/>
      <c r="J184" s="25"/>
    </row>
    <row r="185" ht="12.75" customHeight="1">
      <c r="A185" s="25"/>
      <c r="C185" s="59"/>
      <c r="D185" s="59"/>
      <c r="J185" s="25"/>
    </row>
    <row r="186" ht="12.75" customHeight="1">
      <c r="A186" s="25"/>
      <c r="C186" s="59"/>
      <c r="D186" s="59"/>
      <c r="J186" s="25"/>
    </row>
    <row r="187" ht="12.75" customHeight="1">
      <c r="A187" s="25"/>
      <c r="C187" s="59"/>
      <c r="D187" s="59"/>
      <c r="J187" s="25"/>
    </row>
    <row r="188" ht="12.75" customHeight="1">
      <c r="A188" s="25"/>
      <c r="C188" s="59"/>
      <c r="D188" s="59"/>
      <c r="J188" s="25"/>
    </row>
    <row r="189" ht="12.75" customHeight="1">
      <c r="A189" s="25"/>
      <c r="C189" s="59"/>
      <c r="D189" s="59"/>
      <c r="J189" s="25"/>
    </row>
    <row r="190" ht="12.75" customHeight="1">
      <c r="A190" s="25"/>
      <c r="C190" s="59"/>
      <c r="D190" s="59"/>
      <c r="J190" s="25"/>
    </row>
    <row r="191" ht="12.75" customHeight="1">
      <c r="A191" s="25"/>
      <c r="C191" s="59"/>
      <c r="D191" s="59"/>
      <c r="J191" s="25"/>
    </row>
    <row r="192" ht="12.75" customHeight="1">
      <c r="A192" s="25"/>
      <c r="C192" s="59"/>
      <c r="D192" s="59"/>
      <c r="J192" s="25"/>
    </row>
    <row r="193" ht="12.75" customHeight="1">
      <c r="A193" s="25"/>
      <c r="C193" s="59"/>
      <c r="D193" s="59"/>
      <c r="J193" s="25"/>
    </row>
    <row r="194" ht="12.75" customHeight="1">
      <c r="A194" s="25"/>
      <c r="C194" s="59"/>
      <c r="D194" s="59"/>
      <c r="J194" s="25"/>
    </row>
    <row r="195" ht="12.75" customHeight="1">
      <c r="A195" s="25"/>
      <c r="C195" s="59"/>
      <c r="D195" s="59"/>
      <c r="J195" s="25"/>
    </row>
    <row r="196" ht="12.75" customHeight="1">
      <c r="A196" s="25"/>
      <c r="C196" s="59"/>
      <c r="D196" s="59"/>
      <c r="J196" s="25"/>
    </row>
    <row r="197" ht="12.75" customHeight="1">
      <c r="A197" s="25"/>
      <c r="C197" s="59"/>
      <c r="D197" s="59"/>
      <c r="J197" s="25"/>
    </row>
    <row r="198" ht="12.75" customHeight="1">
      <c r="A198" s="25"/>
      <c r="C198" s="59"/>
      <c r="D198" s="59"/>
      <c r="J198" s="25"/>
    </row>
    <row r="199" ht="12.75" customHeight="1">
      <c r="A199" s="25"/>
      <c r="C199" s="59"/>
      <c r="D199" s="59"/>
      <c r="J199" s="25"/>
    </row>
    <row r="200" ht="12.75" customHeight="1">
      <c r="A200" s="25"/>
      <c r="C200" s="59"/>
      <c r="D200" s="59"/>
      <c r="J200" s="25"/>
    </row>
    <row r="201" ht="12.75" customHeight="1">
      <c r="A201" s="25"/>
      <c r="C201" s="59"/>
      <c r="D201" s="59"/>
      <c r="J201" s="25"/>
    </row>
    <row r="202" ht="12.75" customHeight="1">
      <c r="A202" s="25"/>
      <c r="C202" s="59"/>
      <c r="D202" s="59"/>
      <c r="J202" s="25"/>
    </row>
    <row r="203" ht="12.75" customHeight="1">
      <c r="A203" s="25"/>
      <c r="C203" s="59"/>
      <c r="D203" s="59"/>
      <c r="J203" s="25"/>
    </row>
    <row r="204" ht="12.75" customHeight="1">
      <c r="A204" s="25"/>
      <c r="C204" s="59"/>
      <c r="D204" s="59"/>
      <c r="J204" s="25"/>
    </row>
    <row r="205" ht="12.75" customHeight="1">
      <c r="A205" s="25"/>
      <c r="C205" s="59"/>
      <c r="D205" s="59"/>
      <c r="J205" s="25"/>
    </row>
    <row r="206" ht="12.75" customHeight="1">
      <c r="A206" s="25"/>
      <c r="C206" s="59"/>
      <c r="D206" s="59"/>
      <c r="J206" s="25"/>
    </row>
    <row r="207" ht="12.75" customHeight="1">
      <c r="A207" s="25"/>
      <c r="C207" s="59"/>
      <c r="D207" s="59"/>
      <c r="J207" s="25"/>
    </row>
    <row r="208" ht="12.75" customHeight="1">
      <c r="A208" s="25"/>
      <c r="C208" s="59"/>
      <c r="D208" s="59"/>
      <c r="J208" s="25"/>
    </row>
    <row r="209" ht="12.75" customHeight="1">
      <c r="A209" s="25"/>
      <c r="C209" s="59"/>
      <c r="D209" s="59"/>
      <c r="J209" s="25"/>
    </row>
    <row r="210" ht="12.75" customHeight="1">
      <c r="A210" s="25"/>
      <c r="C210" s="59"/>
      <c r="D210" s="59"/>
      <c r="J210" s="25"/>
    </row>
    <row r="211" ht="12.75" customHeight="1">
      <c r="A211" s="25"/>
      <c r="C211" s="59"/>
      <c r="D211" s="59"/>
      <c r="J211" s="25"/>
    </row>
    <row r="212" ht="12.75" customHeight="1">
      <c r="A212" s="25"/>
      <c r="C212" s="59"/>
      <c r="D212" s="59"/>
      <c r="J212" s="25"/>
    </row>
    <row r="213" ht="12.75" customHeight="1">
      <c r="A213" s="25"/>
      <c r="C213" s="59"/>
      <c r="D213" s="59"/>
      <c r="J213" s="25"/>
    </row>
    <row r="214" ht="12.75" customHeight="1">
      <c r="A214" s="25"/>
      <c r="C214" s="59"/>
      <c r="D214" s="59"/>
      <c r="J214" s="25"/>
    </row>
    <row r="215" ht="12.75" customHeight="1">
      <c r="A215" s="25"/>
      <c r="C215" s="59"/>
      <c r="D215" s="59"/>
      <c r="J215" s="25"/>
    </row>
    <row r="216" ht="12.75" customHeight="1">
      <c r="A216" s="25"/>
      <c r="C216" s="59"/>
      <c r="D216" s="59"/>
      <c r="J216" s="25"/>
    </row>
    <row r="217" ht="12.75" customHeight="1">
      <c r="A217" s="25"/>
      <c r="C217" s="59"/>
      <c r="D217" s="59"/>
      <c r="J217" s="25"/>
    </row>
    <row r="218" ht="12.75" customHeight="1">
      <c r="A218" s="25"/>
      <c r="C218" s="59"/>
      <c r="D218" s="59"/>
      <c r="J218" s="25"/>
    </row>
    <row r="219" ht="12.75" customHeight="1">
      <c r="A219" s="25"/>
      <c r="C219" s="59"/>
      <c r="D219" s="59"/>
      <c r="J219" s="25"/>
    </row>
    <row r="220" ht="12.75" customHeight="1">
      <c r="A220" s="25"/>
      <c r="C220" s="59"/>
      <c r="D220" s="59"/>
      <c r="J220" s="25"/>
    </row>
    <row r="221" ht="12.75" customHeight="1">
      <c r="A221" s="25"/>
      <c r="C221" s="59"/>
      <c r="D221" s="59"/>
      <c r="J221" s="25"/>
    </row>
    <row r="222" ht="12.75" customHeight="1">
      <c r="A222" s="25"/>
      <c r="C222" s="59"/>
      <c r="D222" s="59"/>
      <c r="J222" s="25"/>
    </row>
    <row r="223" ht="12.75" customHeight="1">
      <c r="A223" s="25"/>
      <c r="C223" s="59"/>
      <c r="D223" s="59"/>
      <c r="J223" s="25"/>
    </row>
    <row r="224" ht="12.75" customHeight="1">
      <c r="A224" s="25"/>
      <c r="C224" s="59"/>
      <c r="D224" s="59"/>
      <c r="J224" s="25"/>
    </row>
    <row r="225" ht="12.75" customHeight="1">
      <c r="A225" s="25"/>
      <c r="C225" s="59"/>
      <c r="D225" s="59"/>
      <c r="J225" s="25"/>
    </row>
    <row r="226" ht="12.75" customHeight="1">
      <c r="A226" s="25"/>
      <c r="C226" s="59"/>
      <c r="D226" s="59"/>
      <c r="J226" s="25"/>
    </row>
    <row r="227" ht="12.75" customHeight="1">
      <c r="A227" s="25"/>
      <c r="C227" s="59"/>
      <c r="D227" s="59"/>
      <c r="J227" s="25"/>
    </row>
    <row r="228" ht="12.75" customHeight="1">
      <c r="A228" s="25"/>
      <c r="C228" s="59"/>
      <c r="D228" s="59"/>
      <c r="J228" s="25"/>
    </row>
    <row r="229" ht="12.75" customHeight="1">
      <c r="A229" s="25"/>
      <c r="C229" s="59"/>
      <c r="D229" s="59"/>
      <c r="J229" s="25"/>
    </row>
    <row r="230" ht="12.75" customHeight="1">
      <c r="A230" s="25"/>
      <c r="C230" s="59"/>
      <c r="D230" s="59"/>
      <c r="J230" s="25"/>
    </row>
    <row r="231" ht="12.75" customHeight="1">
      <c r="A231" s="25"/>
      <c r="C231" s="59"/>
      <c r="D231" s="59"/>
      <c r="J231" s="25"/>
    </row>
    <row r="232" ht="12.75" customHeight="1">
      <c r="A232" s="25"/>
      <c r="C232" s="59"/>
      <c r="D232" s="59"/>
      <c r="J232" s="25"/>
    </row>
    <row r="233" ht="12.75" customHeight="1">
      <c r="A233" s="25"/>
      <c r="C233" s="59"/>
      <c r="D233" s="59"/>
      <c r="J233" s="25"/>
    </row>
    <row r="234" ht="12.75" customHeight="1">
      <c r="A234" s="25"/>
      <c r="C234" s="59"/>
      <c r="D234" s="59"/>
      <c r="J234" s="25"/>
    </row>
    <row r="235" ht="12.75" customHeight="1">
      <c r="A235" s="25"/>
      <c r="C235" s="59"/>
      <c r="D235" s="59"/>
      <c r="J235" s="25"/>
    </row>
    <row r="236" ht="12.75" customHeight="1">
      <c r="A236" s="25"/>
      <c r="C236" s="59"/>
      <c r="D236" s="59"/>
      <c r="J236" s="25"/>
    </row>
    <row r="237" ht="12.75" customHeight="1">
      <c r="A237" s="25"/>
      <c r="C237" s="59"/>
      <c r="D237" s="59"/>
      <c r="J237" s="25"/>
    </row>
    <row r="238" ht="12.75" customHeight="1">
      <c r="A238" s="25"/>
      <c r="C238" s="59"/>
      <c r="D238" s="59"/>
      <c r="J238" s="25"/>
    </row>
    <row r="239" ht="12.75" customHeight="1">
      <c r="A239" s="25"/>
      <c r="C239" s="59"/>
      <c r="D239" s="59"/>
      <c r="J239" s="25"/>
    </row>
    <row r="240" ht="12.75" customHeight="1">
      <c r="A240" s="25"/>
      <c r="C240" s="59"/>
      <c r="D240" s="59"/>
      <c r="J240" s="25"/>
    </row>
    <row r="241" ht="12.75" customHeight="1">
      <c r="A241" s="25"/>
      <c r="C241" s="59"/>
      <c r="D241" s="59"/>
      <c r="J241" s="25"/>
    </row>
    <row r="242" ht="12.75" customHeight="1">
      <c r="A242" s="25"/>
      <c r="C242" s="59"/>
      <c r="D242" s="59"/>
      <c r="J242" s="25"/>
    </row>
    <row r="243" ht="12.75" customHeight="1">
      <c r="A243" s="25"/>
      <c r="C243" s="59"/>
      <c r="D243" s="59"/>
      <c r="J243" s="25"/>
    </row>
    <row r="244" ht="12.75" customHeight="1">
      <c r="A244" s="25"/>
      <c r="C244" s="59"/>
      <c r="D244" s="59"/>
      <c r="J244" s="25"/>
    </row>
    <row r="245" ht="12.75" customHeight="1">
      <c r="A245" s="25"/>
      <c r="C245" s="59"/>
      <c r="D245" s="59"/>
      <c r="J245" s="25"/>
    </row>
    <row r="246" ht="12.75" customHeight="1">
      <c r="A246" s="25"/>
      <c r="C246" s="59"/>
      <c r="D246" s="59"/>
      <c r="J246" s="25"/>
    </row>
    <row r="247" ht="12.75" customHeight="1">
      <c r="A247" s="25"/>
      <c r="C247" s="59"/>
      <c r="D247" s="59"/>
      <c r="J247" s="25"/>
    </row>
    <row r="248" ht="12.75" customHeight="1">
      <c r="A248" s="25"/>
      <c r="C248" s="59"/>
      <c r="D248" s="59"/>
      <c r="J248" s="25"/>
    </row>
    <row r="249" ht="12.75" customHeight="1">
      <c r="A249" s="25"/>
      <c r="C249" s="59"/>
      <c r="D249" s="59"/>
      <c r="J249" s="25"/>
    </row>
    <row r="250" ht="12.75" customHeight="1">
      <c r="A250" s="25"/>
      <c r="C250" s="59"/>
      <c r="D250" s="59"/>
      <c r="J250" s="25"/>
    </row>
    <row r="251" ht="12.75" customHeight="1">
      <c r="A251" s="25"/>
      <c r="C251" s="59"/>
      <c r="D251" s="59"/>
      <c r="J251" s="25"/>
    </row>
    <row r="252" ht="12.75" customHeight="1">
      <c r="A252" s="25"/>
      <c r="C252" s="59"/>
      <c r="D252" s="59"/>
      <c r="J252" s="25"/>
    </row>
    <row r="253" ht="12.75" customHeight="1">
      <c r="A253" s="25"/>
      <c r="C253" s="59"/>
      <c r="D253" s="59"/>
      <c r="J253" s="25"/>
    </row>
    <row r="254" ht="12.75" customHeight="1">
      <c r="A254" s="25"/>
      <c r="C254" s="59"/>
      <c r="D254" s="59"/>
      <c r="J254" s="25"/>
    </row>
    <row r="255" ht="12.75" customHeight="1">
      <c r="A255" s="25"/>
      <c r="C255" s="59"/>
      <c r="D255" s="59"/>
      <c r="J255" s="25"/>
    </row>
    <row r="256" ht="12.75" customHeight="1">
      <c r="A256" s="25"/>
      <c r="C256" s="59"/>
      <c r="D256" s="59"/>
      <c r="J256" s="25"/>
    </row>
    <row r="257" ht="12.75" customHeight="1">
      <c r="A257" s="25"/>
      <c r="C257" s="59"/>
      <c r="D257" s="59"/>
      <c r="J257" s="25"/>
    </row>
    <row r="258" ht="12.75" customHeight="1">
      <c r="A258" s="25"/>
      <c r="C258" s="59"/>
      <c r="D258" s="59"/>
      <c r="J258" s="25"/>
    </row>
    <row r="259" ht="12.75" customHeight="1">
      <c r="A259" s="25"/>
      <c r="C259" s="59"/>
      <c r="D259" s="59"/>
      <c r="J259" s="25"/>
    </row>
    <row r="260" ht="12.75" customHeight="1">
      <c r="A260" s="25"/>
      <c r="C260" s="59"/>
      <c r="D260" s="59"/>
      <c r="J260" s="25"/>
    </row>
    <row r="261" ht="12.75" customHeight="1">
      <c r="A261" s="25"/>
      <c r="C261" s="59"/>
      <c r="D261" s="59"/>
      <c r="J261" s="25"/>
    </row>
    <row r="262" ht="12.75" customHeight="1">
      <c r="A262" s="25"/>
      <c r="C262" s="59"/>
      <c r="D262" s="59"/>
      <c r="J262" s="25"/>
    </row>
    <row r="263" ht="12.75" customHeight="1">
      <c r="A263" s="25"/>
      <c r="C263" s="59"/>
      <c r="D263" s="59"/>
      <c r="J263" s="25"/>
    </row>
    <row r="264" ht="12.75" customHeight="1">
      <c r="A264" s="25"/>
      <c r="C264" s="59"/>
      <c r="D264" s="59"/>
      <c r="J264" s="25"/>
    </row>
    <row r="265" ht="12.75" customHeight="1">
      <c r="A265" s="25"/>
      <c r="C265" s="59"/>
      <c r="D265" s="59"/>
      <c r="J265" s="25"/>
    </row>
    <row r="266" ht="12.75" customHeight="1">
      <c r="A266" s="25"/>
      <c r="C266" s="59"/>
      <c r="D266" s="59"/>
      <c r="J266" s="25"/>
    </row>
    <row r="267" ht="12.75" customHeight="1">
      <c r="A267" s="25"/>
      <c r="C267" s="59"/>
      <c r="D267" s="59"/>
      <c r="J267" s="25"/>
    </row>
    <row r="268" ht="12.75" customHeight="1">
      <c r="A268" s="25"/>
      <c r="C268" s="59"/>
      <c r="D268" s="59"/>
      <c r="J268" s="25"/>
    </row>
    <row r="269" ht="12.75" customHeight="1">
      <c r="A269" s="25"/>
      <c r="C269" s="59"/>
      <c r="D269" s="59"/>
      <c r="J269" s="25"/>
    </row>
    <row r="270" ht="12.75" customHeight="1">
      <c r="A270" s="25"/>
      <c r="C270" s="59"/>
      <c r="D270" s="59"/>
      <c r="J270" s="25"/>
    </row>
    <row r="271" ht="12.75" customHeight="1">
      <c r="A271" s="25"/>
      <c r="C271" s="59"/>
      <c r="D271" s="59"/>
      <c r="J271" s="25"/>
    </row>
    <row r="272" ht="12.75" customHeight="1">
      <c r="A272" s="25"/>
      <c r="C272" s="59"/>
      <c r="D272" s="59"/>
      <c r="J272" s="25"/>
    </row>
    <row r="273" ht="12.75" customHeight="1">
      <c r="A273" s="25"/>
      <c r="C273" s="59"/>
      <c r="D273" s="59"/>
      <c r="J273" s="25"/>
    </row>
    <row r="274" ht="12.75" customHeight="1">
      <c r="A274" s="25"/>
      <c r="C274" s="59"/>
      <c r="D274" s="59"/>
      <c r="J274" s="25"/>
    </row>
    <row r="275" ht="12.75" customHeight="1">
      <c r="A275" s="25"/>
      <c r="C275" s="59"/>
      <c r="D275" s="59"/>
      <c r="J275" s="25"/>
    </row>
    <row r="276" ht="12.75" customHeight="1">
      <c r="A276" s="25"/>
      <c r="C276" s="59"/>
      <c r="D276" s="59"/>
      <c r="J276" s="25"/>
    </row>
    <row r="277" ht="12.75" customHeight="1">
      <c r="A277" s="25"/>
      <c r="C277" s="59"/>
      <c r="D277" s="59"/>
      <c r="J277" s="25"/>
    </row>
    <row r="278" ht="12.75" customHeight="1">
      <c r="A278" s="25"/>
      <c r="C278" s="59"/>
      <c r="D278" s="59"/>
      <c r="J278" s="25"/>
    </row>
    <row r="279" ht="12.75" customHeight="1">
      <c r="A279" s="25"/>
      <c r="C279" s="59"/>
      <c r="D279" s="59"/>
      <c r="J279" s="25"/>
    </row>
    <row r="280" ht="12.75" customHeight="1">
      <c r="A280" s="25"/>
      <c r="C280" s="59"/>
      <c r="D280" s="59"/>
      <c r="J280" s="25"/>
    </row>
    <row r="281" ht="12.75" customHeight="1">
      <c r="A281" s="25"/>
      <c r="C281" s="59"/>
      <c r="D281" s="59"/>
      <c r="J281" s="25"/>
    </row>
    <row r="282" ht="12.75" customHeight="1">
      <c r="A282" s="25"/>
      <c r="C282" s="59"/>
      <c r="D282" s="59"/>
      <c r="J282" s="25"/>
    </row>
    <row r="283" ht="12.75" customHeight="1">
      <c r="A283" s="25"/>
      <c r="C283" s="59"/>
      <c r="D283" s="59"/>
      <c r="J283" s="25"/>
    </row>
    <row r="284" ht="12.75" customHeight="1">
      <c r="A284" s="25"/>
      <c r="C284" s="59"/>
      <c r="D284" s="59"/>
      <c r="J284" s="25"/>
    </row>
    <row r="285" ht="12.75" customHeight="1">
      <c r="A285" s="25"/>
      <c r="C285" s="59"/>
      <c r="D285" s="59"/>
      <c r="J285" s="25"/>
    </row>
    <row r="286" ht="12.75" customHeight="1">
      <c r="A286" s="25"/>
      <c r="C286" s="59"/>
      <c r="D286" s="59"/>
      <c r="J286" s="25"/>
    </row>
    <row r="287" ht="12.75" customHeight="1">
      <c r="A287" s="25"/>
      <c r="C287" s="59"/>
      <c r="D287" s="59"/>
      <c r="J287" s="25"/>
    </row>
    <row r="288" ht="12.75" customHeight="1">
      <c r="A288" s="25"/>
      <c r="C288" s="59"/>
      <c r="D288" s="59"/>
      <c r="J288" s="25"/>
    </row>
    <row r="289" ht="12.75" customHeight="1">
      <c r="A289" s="25"/>
      <c r="C289" s="59"/>
      <c r="D289" s="59"/>
      <c r="J289" s="25"/>
    </row>
    <row r="290" ht="12.75" customHeight="1">
      <c r="A290" s="25"/>
      <c r="C290" s="59"/>
      <c r="D290" s="59"/>
      <c r="J290" s="25"/>
    </row>
    <row r="291" ht="12.75" customHeight="1">
      <c r="A291" s="25"/>
      <c r="C291" s="59"/>
      <c r="D291" s="59"/>
      <c r="J291" s="25"/>
    </row>
    <row r="292" ht="12.75" customHeight="1">
      <c r="A292" s="25"/>
      <c r="C292" s="59"/>
      <c r="D292" s="59"/>
      <c r="J292" s="25"/>
    </row>
    <row r="293" ht="12.75" customHeight="1">
      <c r="A293" s="25"/>
      <c r="C293" s="59"/>
      <c r="D293" s="59"/>
      <c r="J293" s="25"/>
    </row>
    <row r="294" ht="12.75" customHeight="1">
      <c r="A294" s="25"/>
      <c r="C294" s="59"/>
      <c r="D294" s="59"/>
      <c r="J294" s="25"/>
    </row>
    <row r="295" ht="12.75" customHeight="1">
      <c r="A295" s="25"/>
      <c r="C295" s="59"/>
      <c r="D295" s="59"/>
      <c r="J295" s="25"/>
    </row>
    <row r="296" ht="12.75" customHeight="1">
      <c r="A296" s="25"/>
      <c r="C296" s="59"/>
      <c r="D296" s="59"/>
      <c r="J296" s="25"/>
    </row>
    <row r="297" ht="12.75" customHeight="1">
      <c r="A297" s="25"/>
      <c r="C297" s="59"/>
      <c r="D297" s="59"/>
      <c r="J297" s="25"/>
    </row>
    <row r="298" ht="12.75" customHeight="1">
      <c r="A298" s="25"/>
      <c r="C298" s="59"/>
      <c r="D298" s="59"/>
      <c r="J298" s="25"/>
    </row>
    <row r="299" ht="12.75" customHeight="1">
      <c r="A299" s="25"/>
      <c r="C299" s="59"/>
      <c r="D299" s="59"/>
      <c r="J299" s="25"/>
    </row>
    <row r="300" ht="12.75" customHeight="1">
      <c r="A300" s="25"/>
      <c r="C300" s="59"/>
      <c r="D300" s="59"/>
      <c r="J300" s="25"/>
    </row>
    <row r="301" ht="12.75" customHeight="1">
      <c r="A301" s="25"/>
      <c r="C301" s="59"/>
      <c r="D301" s="59"/>
      <c r="J301" s="25"/>
    </row>
    <row r="302" ht="12.75" customHeight="1">
      <c r="A302" s="25"/>
      <c r="C302" s="59"/>
      <c r="D302" s="59"/>
      <c r="J302" s="25"/>
    </row>
    <row r="303" ht="12.75" customHeight="1">
      <c r="A303" s="25"/>
      <c r="C303" s="59"/>
      <c r="D303" s="59"/>
      <c r="J303" s="25"/>
    </row>
    <row r="304" ht="12.75" customHeight="1">
      <c r="A304" s="25"/>
      <c r="C304" s="59"/>
      <c r="D304" s="59"/>
      <c r="J304" s="25"/>
    </row>
    <row r="305" ht="12.75" customHeight="1">
      <c r="A305" s="25"/>
      <c r="C305" s="59"/>
      <c r="D305" s="59"/>
      <c r="J305" s="25"/>
    </row>
    <row r="306" ht="12.75" customHeight="1">
      <c r="A306" s="25"/>
      <c r="C306" s="59"/>
      <c r="D306" s="59"/>
      <c r="J306" s="25"/>
    </row>
    <row r="307" ht="12.75" customHeight="1">
      <c r="A307" s="25"/>
      <c r="C307" s="59"/>
      <c r="D307" s="59"/>
      <c r="J307" s="25"/>
    </row>
    <row r="308" ht="12.75" customHeight="1">
      <c r="A308" s="25"/>
      <c r="C308" s="59"/>
      <c r="D308" s="59"/>
      <c r="J308" s="25"/>
    </row>
    <row r="309" ht="12.75" customHeight="1">
      <c r="A309" s="25"/>
      <c r="C309" s="59"/>
      <c r="D309" s="59"/>
      <c r="J309" s="25"/>
    </row>
    <row r="310" ht="12.75" customHeight="1">
      <c r="A310" s="25"/>
      <c r="C310" s="59"/>
      <c r="D310" s="59"/>
      <c r="J310" s="25"/>
    </row>
    <row r="311" ht="12.75" customHeight="1">
      <c r="A311" s="25"/>
      <c r="C311" s="59"/>
      <c r="D311" s="59"/>
      <c r="J311" s="25"/>
    </row>
    <row r="312" ht="12.75" customHeight="1">
      <c r="A312" s="25"/>
      <c r="C312" s="59"/>
      <c r="D312" s="59"/>
      <c r="J312" s="25"/>
    </row>
    <row r="313" ht="12.75" customHeight="1">
      <c r="A313" s="25"/>
      <c r="C313" s="59"/>
      <c r="D313" s="59"/>
      <c r="J313" s="25"/>
    </row>
    <row r="314" ht="12.75" customHeight="1">
      <c r="A314" s="25"/>
      <c r="C314" s="59"/>
      <c r="D314" s="59"/>
      <c r="J314" s="25"/>
    </row>
    <row r="315" ht="12.75" customHeight="1">
      <c r="A315" s="25"/>
      <c r="C315" s="59"/>
      <c r="D315" s="59"/>
      <c r="J315" s="25"/>
    </row>
    <row r="316" ht="12.75" customHeight="1">
      <c r="A316" s="25"/>
      <c r="C316" s="59"/>
      <c r="D316" s="59"/>
      <c r="J316" s="25"/>
    </row>
    <row r="317" ht="12.75" customHeight="1">
      <c r="A317" s="25"/>
      <c r="C317" s="59"/>
      <c r="D317" s="59"/>
      <c r="J317" s="25"/>
    </row>
    <row r="318" ht="12.75" customHeight="1">
      <c r="A318" s="25"/>
      <c r="C318" s="59"/>
      <c r="D318" s="59"/>
      <c r="J318" s="25"/>
    </row>
    <row r="319" ht="12.75" customHeight="1">
      <c r="A319" s="25"/>
      <c r="C319" s="59"/>
      <c r="D319" s="59"/>
      <c r="J319" s="25"/>
    </row>
    <row r="320" ht="12.75" customHeight="1">
      <c r="A320" s="25"/>
      <c r="C320" s="59"/>
      <c r="D320" s="59"/>
      <c r="J320" s="25"/>
    </row>
    <row r="321" ht="12.75" customHeight="1">
      <c r="A321" s="25"/>
      <c r="C321" s="59"/>
      <c r="D321" s="59"/>
      <c r="J321" s="25"/>
    </row>
    <row r="322" ht="12.75" customHeight="1">
      <c r="A322" s="25"/>
      <c r="C322" s="59"/>
      <c r="D322" s="59"/>
      <c r="J322" s="25"/>
    </row>
    <row r="323" ht="12.75" customHeight="1">
      <c r="A323" s="25"/>
      <c r="C323" s="59"/>
      <c r="D323" s="59"/>
      <c r="J323" s="25"/>
    </row>
    <row r="324" ht="12.75" customHeight="1">
      <c r="A324" s="25"/>
      <c r="C324" s="59"/>
      <c r="D324" s="59"/>
      <c r="J324" s="25"/>
    </row>
    <row r="325" ht="12.75" customHeight="1">
      <c r="A325" s="25"/>
      <c r="C325" s="59"/>
      <c r="D325" s="59"/>
      <c r="J325" s="25"/>
    </row>
    <row r="326" ht="12.75" customHeight="1">
      <c r="A326" s="25"/>
      <c r="C326" s="59"/>
      <c r="D326" s="59"/>
      <c r="J326" s="25"/>
    </row>
    <row r="327" ht="12.75" customHeight="1">
      <c r="A327" s="25"/>
      <c r="C327" s="59"/>
      <c r="D327" s="59"/>
      <c r="J327" s="25"/>
    </row>
    <row r="328" ht="12.75" customHeight="1">
      <c r="A328" s="25"/>
      <c r="C328" s="59"/>
      <c r="D328" s="59"/>
      <c r="J328" s="25"/>
    </row>
    <row r="329" ht="12.75" customHeight="1">
      <c r="A329" s="25"/>
      <c r="C329" s="59"/>
      <c r="D329" s="59"/>
      <c r="J329" s="25"/>
    </row>
    <row r="330" ht="12.75" customHeight="1">
      <c r="A330" s="25"/>
      <c r="C330" s="59"/>
      <c r="D330" s="59"/>
      <c r="J330" s="25"/>
    </row>
    <row r="331" ht="12.75" customHeight="1">
      <c r="A331" s="25"/>
      <c r="C331" s="59"/>
      <c r="D331" s="59"/>
      <c r="J331" s="25"/>
    </row>
    <row r="332" ht="12.75" customHeight="1">
      <c r="A332" s="25"/>
      <c r="C332" s="59"/>
      <c r="D332" s="59"/>
      <c r="J332" s="25"/>
    </row>
    <row r="333" ht="12.75" customHeight="1">
      <c r="A333" s="25"/>
      <c r="C333" s="59"/>
      <c r="D333" s="59"/>
      <c r="J333" s="25"/>
    </row>
    <row r="334" ht="12.75" customHeight="1">
      <c r="A334" s="25"/>
      <c r="C334" s="59"/>
      <c r="D334" s="59"/>
      <c r="J334" s="25"/>
    </row>
    <row r="335" ht="12.75" customHeight="1">
      <c r="A335" s="25"/>
      <c r="C335" s="59"/>
      <c r="D335" s="59"/>
      <c r="J335" s="25"/>
    </row>
    <row r="336" ht="12.75" customHeight="1">
      <c r="A336" s="25"/>
      <c r="C336" s="59"/>
      <c r="D336" s="59"/>
      <c r="J336" s="25"/>
    </row>
    <row r="337" ht="12.75" customHeight="1">
      <c r="A337" s="25"/>
      <c r="C337" s="59"/>
      <c r="D337" s="59"/>
      <c r="J337" s="25"/>
    </row>
    <row r="338" ht="12.75" customHeight="1">
      <c r="A338" s="25"/>
      <c r="C338" s="59"/>
      <c r="D338" s="59"/>
      <c r="J338" s="25"/>
    </row>
    <row r="339" ht="12.75" customHeight="1">
      <c r="A339" s="25"/>
      <c r="C339" s="59"/>
      <c r="D339" s="59"/>
      <c r="J339" s="25"/>
    </row>
    <row r="340" ht="12.75" customHeight="1">
      <c r="A340" s="25"/>
      <c r="C340" s="59"/>
      <c r="D340" s="59"/>
      <c r="J340" s="25"/>
    </row>
    <row r="341" ht="12.75" customHeight="1">
      <c r="A341" s="25"/>
      <c r="C341" s="59"/>
      <c r="D341" s="59"/>
      <c r="J341" s="25"/>
    </row>
    <row r="342" ht="12.75" customHeight="1">
      <c r="A342" s="25"/>
      <c r="C342" s="59"/>
      <c r="D342" s="59"/>
      <c r="J342" s="25"/>
    </row>
    <row r="343" ht="12.75" customHeight="1">
      <c r="A343" s="25"/>
      <c r="C343" s="59"/>
      <c r="D343" s="59"/>
      <c r="J343" s="25"/>
    </row>
    <row r="344" ht="12.75" customHeight="1">
      <c r="A344" s="25"/>
      <c r="C344" s="59"/>
      <c r="D344" s="59"/>
      <c r="J344" s="25"/>
    </row>
    <row r="345" ht="12.75" customHeight="1">
      <c r="A345" s="25"/>
      <c r="C345" s="59"/>
      <c r="D345" s="59"/>
      <c r="J345" s="25"/>
    </row>
    <row r="346" ht="12.75" customHeight="1">
      <c r="A346" s="25"/>
      <c r="C346" s="59"/>
      <c r="D346" s="59"/>
      <c r="J346" s="25"/>
    </row>
    <row r="347" ht="12.75" customHeight="1">
      <c r="A347" s="25"/>
      <c r="C347" s="59"/>
      <c r="D347" s="59"/>
      <c r="J347" s="25"/>
    </row>
    <row r="348" ht="12.75" customHeight="1">
      <c r="A348" s="25"/>
      <c r="C348" s="59"/>
      <c r="D348" s="59"/>
      <c r="J348" s="25"/>
    </row>
    <row r="349" ht="12.75" customHeight="1">
      <c r="A349" s="25"/>
      <c r="C349" s="59"/>
      <c r="D349" s="59"/>
      <c r="J349" s="25"/>
    </row>
    <row r="350" ht="12.75" customHeight="1">
      <c r="A350" s="25"/>
      <c r="C350" s="59"/>
      <c r="D350" s="59"/>
      <c r="J350" s="25"/>
    </row>
    <row r="351" ht="12.75" customHeight="1">
      <c r="A351" s="25"/>
      <c r="C351" s="59"/>
      <c r="D351" s="59"/>
      <c r="J351" s="25"/>
    </row>
    <row r="352" ht="12.75" customHeight="1">
      <c r="A352" s="25"/>
      <c r="C352" s="59"/>
      <c r="D352" s="59"/>
      <c r="J352" s="25"/>
    </row>
    <row r="353" ht="12.75" customHeight="1">
      <c r="A353" s="25"/>
      <c r="C353" s="59"/>
      <c r="D353" s="59"/>
      <c r="J353" s="25"/>
    </row>
    <row r="354" ht="12.75" customHeight="1">
      <c r="A354" s="25"/>
      <c r="C354" s="59"/>
      <c r="D354" s="59"/>
      <c r="J354" s="25"/>
    </row>
    <row r="355" ht="12.75" customHeight="1">
      <c r="A355" s="25"/>
      <c r="C355" s="59"/>
      <c r="D355" s="59"/>
      <c r="J355" s="25"/>
    </row>
    <row r="356" ht="12.75" customHeight="1">
      <c r="A356" s="25"/>
      <c r="C356" s="59"/>
      <c r="D356" s="59"/>
      <c r="J356" s="25"/>
    </row>
    <row r="357" ht="12.75" customHeight="1">
      <c r="A357" s="25"/>
      <c r="C357" s="59"/>
      <c r="D357" s="59"/>
      <c r="J357" s="25"/>
    </row>
    <row r="358" ht="12.75" customHeight="1">
      <c r="A358" s="25"/>
      <c r="C358" s="59"/>
      <c r="D358" s="59"/>
      <c r="J358" s="25"/>
    </row>
    <row r="359" ht="12.75" customHeight="1">
      <c r="A359" s="25"/>
      <c r="C359" s="59"/>
      <c r="D359" s="59"/>
      <c r="J359" s="25"/>
    </row>
    <row r="360" ht="12.75" customHeight="1">
      <c r="A360" s="25"/>
      <c r="C360" s="59"/>
      <c r="D360" s="59"/>
      <c r="J360" s="25"/>
    </row>
    <row r="361" ht="12.75" customHeight="1">
      <c r="A361" s="25"/>
      <c r="C361" s="59"/>
      <c r="D361" s="59"/>
      <c r="J361" s="25"/>
    </row>
    <row r="362" ht="12.75" customHeight="1">
      <c r="A362" s="25"/>
      <c r="C362" s="59"/>
      <c r="D362" s="59"/>
      <c r="J362" s="25"/>
    </row>
    <row r="363" ht="12.75" customHeight="1">
      <c r="A363" s="25"/>
      <c r="C363" s="59"/>
      <c r="D363" s="59"/>
      <c r="J363" s="25"/>
    </row>
    <row r="364" ht="12.75" customHeight="1">
      <c r="A364" s="25"/>
      <c r="C364" s="59"/>
      <c r="D364" s="59"/>
      <c r="J364" s="25"/>
    </row>
    <row r="365" ht="12.75" customHeight="1">
      <c r="A365" s="25"/>
      <c r="C365" s="59"/>
      <c r="D365" s="59"/>
      <c r="J365" s="25"/>
    </row>
    <row r="366" ht="12.75" customHeight="1">
      <c r="A366" s="25"/>
      <c r="C366" s="59"/>
      <c r="D366" s="59"/>
      <c r="J366" s="25"/>
    </row>
    <row r="367" ht="12.75" customHeight="1">
      <c r="A367" s="25"/>
      <c r="C367" s="59"/>
      <c r="D367" s="59"/>
      <c r="J367" s="25"/>
    </row>
    <row r="368" ht="12.75" customHeight="1">
      <c r="A368" s="25"/>
      <c r="C368" s="59"/>
      <c r="D368" s="59"/>
      <c r="J368" s="25"/>
    </row>
    <row r="369" ht="12.75" customHeight="1">
      <c r="A369" s="25"/>
      <c r="C369" s="59"/>
      <c r="D369" s="59"/>
      <c r="J369" s="25"/>
    </row>
    <row r="370" ht="12.75" customHeight="1">
      <c r="A370" s="25"/>
      <c r="C370" s="59"/>
      <c r="D370" s="59"/>
      <c r="J370" s="25"/>
    </row>
    <row r="371" ht="12.75" customHeight="1">
      <c r="A371" s="25"/>
      <c r="C371" s="59"/>
      <c r="D371" s="59"/>
      <c r="J371" s="25"/>
    </row>
    <row r="372" ht="12.75" customHeight="1">
      <c r="A372" s="25"/>
      <c r="C372" s="59"/>
      <c r="D372" s="59"/>
      <c r="J372" s="25"/>
    </row>
    <row r="373" ht="12.75" customHeight="1">
      <c r="A373" s="25"/>
      <c r="C373" s="59"/>
      <c r="D373" s="59"/>
      <c r="J373" s="25"/>
    </row>
    <row r="374" ht="12.75" customHeight="1">
      <c r="A374" s="25"/>
      <c r="C374" s="59"/>
      <c r="D374" s="59"/>
      <c r="J374" s="25"/>
    </row>
    <row r="375" ht="12.75" customHeight="1">
      <c r="A375" s="25"/>
      <c r="C375" s="59"/>
      <c r="D375" s="59"/>
      <c r="J375" s="25"/>
    </row>
    <row r="376" ht="12.75" customHeight="1">
      <c r="A376" s="25"/>
      <c r="C376" s="59"/>
      <c r="D376" s="59"/>
      <c r="J376" s="25"/>
    </row>
    <row r="377" ht="12.75" customHeight="1">
      <c r="A377" s="25"/>
      <c r="C377" s="59"/>
      <c r="D377" s="59"/>
      <c r="J377" s="25"/>
    </row>
    <row r="378" ht="12.75" customHeight="1">
      <c r="A378" s="25"/>
      <c r="C378" s="59"/>
      <c r="D378" s="59"/>
      <c r="J378" s="25"/>
    </row>
    <row r="379" ht="12.75" customHeight="1">
      <c r="A379" s="25"/>
      <c r="C379" s="59"/>
      <c r="D379" s="59"/>
      <c r="J379" s="25"/>
    </row>
    <row r="380" ht="12.75" customHeight="1">
      <c r="A380" s="25"/>
      <c r="C380" s="59"/>
      <c r="D380" s="59"/>
      <c r="J380" s="25"/>
    </row>
    <row r="381" ht="12.75" customHeight="1">
      <c r="A381" s="25"/>
      <c r="C381" s="59"/>
      <c r="D381" s="59"/>
      <c r="J381" s="25"/>
    </row>
    <row r="382" ht="12.75" customHeight="1">
      <c r="A382" s="25"/>
      <c r="C382" s="59"/>
      <c r="D382" s="59"/>
      <c r="J382" s="25"/>
    </row>
    <row r="383" ht="12.75" customHeight="1">
      <c r="A383" s="25"/>
      <c r="C383" s="59"/>
      <c r="D383" s="59"/>
      <c r="J383" s="25"/>
    </row>
    <row r="384" ht="12.75" customHeight="1">
      <c r="A384" s="25"/>
      <c r="C384" s="59"/>
      <c r="D384" s="59"/>
      <c r="J384" s="25"/>
    </row>
    <row r="385" ht="12.75" customHeight="1">
      <c r="A385" s="25"/>
      <c r="C385" s="59"/>
      <c r="D385" s="59"/>
      <c r="J385" s="25"/>
    </row>
    <row r="386" ht="12.75" customHeight="1">
      <c r="A386" s="25"/>
      <c r="C386" s="59"/>
      <c r="D386" s="59"/>
      <c r="J386" s="25"/>
    </row>
    <row r="387" ht="12.75" customHeight="1">
      <c r="A387" s="25"/>
      <c r="C387" s="59"/>
      <c r="D387" s="59"/>
      <c r="J387" s="25"/>
    </row>
    <row r="388" ht="12.75" customHeight="1">
      <c r="A388" s="25"/>
      <c r="C388" s="59"/>
      <c r="D388" s="59"/>
      <c r="J388" s="25"/>
    </row>
    <row r="389" ht="12.75" customHeight="1">
      <c r="A389" s="25"/>
      <c r="C389" s="59"/>
      <c r="D389" s="59"/>
      <c r="J389" s="25"/>
    </row>
    <row r="390" ht="12.75" customHeight="1">
      <c r="A390" s="25"/>
      <c r="C390" s="59"/>
      <c r="D390" s="59"/>
      <c r="J390" s="25"/>
    </row>
    <row r="391" ht="12.75" customHeight="1">
      <c r="A391" s="25"/>
      <c r="C391" s="59"/>
      <c r="D391" s="59"/>
      <c r="J391" s="25"/>
    </row>
    <row r="392" ht="12.75" customHeight="1">
      <c r="A392" s="25"/>
      <c r="C392" s="59"/>
      <c r="D392" s="59"/>
      <c r="J392" s="25"/>
    </row>
    <row r="393" ht="12.75" customHeight="1">
      <c r="A393" s="25"/>
      <c r="C393" s="59"/>
      <c r="D393" s="59"/>
      <c r="J393" s="25"/>
    </row>
    <row r="394" ht="12.75" customHeight="1">
      <c r="A394" s="25"/>
      <c r="C394" s="59"/>
      <c r="D394" s="59"/>
      <c r="J394" s="25"/>
    </row>
    <row r="395" ht="12.75" customHeight="1">
      <c r="A395" s="25"/>
      <c r="C395" s="59"/>
      <c r="D395" s="59"/>
      <c r="J395" s="25"/>
    </row>
    <row r="396" ht="12.75" customHeight="1">
      <c r="A396" s="25"/>
      <c r="C396" s="59"/>
      <c r="D396" s="59"/>
      <c r="J396" s="25"/>
    </row>
    <row r="397" ht="12.75" customHeight="1">
      <c r="A397" s="25"/>
      <c r="C397" s="59"/>
      <c r="D397" s="59"/>
      <c r="J397" s="25"/>
    </row>
    <row r="398" ht="12.75" customHeight="1">
      <c r="A398" s="25"/>
      <c r="C398" s="59"/>
      <c r="D398" s="59"/>
      <c r="J398" s="25"/>
    </row>
    <row r="399" ht="12.75" customHeight="1">
      <c r="A399" s="25"/>
      <c r="C399" s="59"/>
      <c r="D399" s="59"/>
      <c r="J399" s="25"/>
    </row>
    <row r="400" ht="12.75" customHeight="1">
      <c r="A400" s="25"/>
      <c r="C400" s="59"/>
      <c r="D400" s="59"/>
      <c r="J400" s="25"/>
    </row>
    <row r="401" ht="12.75" customHeight="1">
      <c r="A401" s="25"/>
      <c r="C401" s="59"/>
      <c r="D401" s="59"/>
      <c r="J401" s="25"/>
    </row>
    <row r="402" ht="12.75" customHeight="1">
      <c r="A402" s="25"/>
      <c r="C402" s="59"/>
      <c r="D402" s="59"/>
      <c r="J402" s="25"/>
    </row>
    <row r="403" ht="12.75" customHeight="1">
      <c r="A403" s="25"/>
      <c r="C403" s="59"/>
      <c r="D403" s="59"/>
      <c r="J403" s="25"/>
    </row>
    <row r="404" ht="12.75" customHeight="1">
      <c r="A404" s="25"/>
      <c r="C404" s="59"/>
      <c r="D404" s="59"/>
      <c r="J404" s="25"/>
    </row>
    <row r="405" ht="12.75" customHeight="1">
      <c r="A405" s="25"/>
      <c r="C405" s="59"/>
      <c r="D405" s="59"/>
      <c r="J405" s="25"/>
    </row>
    <row r="406" ht="12.75" customHeight="1">
      <c r="A406" s="25"/>
      <c r="C406" s="59"/>
      <c r="D406" s="59"/>
      <c r="J406" s="25"/>
    </row>
    <row r="407" ht="12.75" customHeight="1">
      <c r="A407" s="25"/>
      <c r="C407" s="59"/>
      <c r="D407" s="59"/>
      <c r="J407" s="25"/>
    </row>
    <row r="408" ht="12.75" customHeight="1">
      <c r="A408" s="25"/>
      <c r="C408" s="59"/>
      <c r="D408" s="59"/>
      <c r="J408" s="25"/>
    </row>
    <row r="409" ht="12.75" customHeight="1">
      <c r="A409" s="25"/>
      <c r="C409" s="59"/>
      <c r="D409" s="59"/>
      <c r="J409" s="25"/>
    </row>
    <row r="410" ht="12.75" customHeight="1">
      <c r="A410" s="25"/>
      <c r="C410" s="59"/>
      <c r="D410" s="59"/>
      <c r="J410" s="25"/>
    </row>
    <row r="411" ht="12.75" customHeight="1">
      <c r="A411" s="25"/>
      <c r="C411" s="59"/>
      <c r="D411" s="59"/>
      <c r="J411" s="25"/>
    </row>
    <row r="412" ht="12.75" customHeight="1">
      <c r="A412" s="25"/>
      <c r="C412" s="59"/>
      <c r="D412" s="59"/>
      <c r="J412" s="25"/>
    </row>
    <row r="413" ht="12.75" customHeight="1">
      <c r="A413" s="25"/>
      <c r="C413" s="59"/>
      <c r="D413" s="59"/>
      <c r="J413" s="25"/>
    </row>
    <row r="414" ht="12.75" customHeight="1">
      <c r="A414" s="25"/>
      <c r="C414" s="59"/>
      <c r="D414" s="59"/>
      <c r="J414" s="25"/>
    </row>
    <row r="415" ht="12.75" customHeight="1">
      <c r="A415" s="25"/>
      <c r="C415" s="59"/>
      <c r="D415" s="59"/>
      <c r="J415" s="25"/>
    </row>
    <row r="416" ht="12.75" customHeight="1">
      <c r="A416" s="25"/>
      <c r="C416" s="59"/>
      <c r="D416" s="59"/>
      <c r="J416" s="25"/>
    </row>
    <row r="417" ht="12.75" customHeight="1">
      <c r="A417" s="25"/>
      <c r="C417" s="59"/>
      <c r="D417" s="59"/>
      <c r="J417" s="25"/>
    </row>
    <row r="418" ht="12.75" customHeight="1">
      <c r="A418" s="25"/>
      <c r="C418" s="59"/>
      <c r="D418" s="59"/>
      <c r="J418" s="25"/>
    </row>
    <row r="419" ht="12.75" customHeight="1">
      <c r="A419" s="25"/>
      <c r="C419" s="59"/>
      <c r="D419" s="59"/>
      <c r="J419" s="25"/>
    </row>
    <row r="420" ht="12.75" customHeight="1">
      <c r="A420" s="25"/>
      <c r="C420" s="59"/>
      <c r="D420" s="59"/>
      <c r="J420" s="25"/>
    </row>
    <row r="421" ht="12.75" customHeight="1">
      <c r="A421" s="25"/>
      <c r="C421" s="59"/>
      <c r="D421" s="59"/>
      <c r="J421" s="25"/>
    </row>
    <row r="422" ht="12.75" customHeight="1">
      <c r="A422" s="25"/>
      <c r="C422" s="59"/>
      <c r="D422" s="59"/>
      <c r="J422" s="25"/>
    </row>
    <row r="423" ht="12.75" customHeight="1">
      <c r="A423" s="25"/>
      <c r="C423" s="59"/>
      <c r="D423" s="59"/>
      <c r="J423" s="25"/>
    </row>
    <row r="424" ht="12.75" customHeight="1">
      <c r="A424" s="25"/>
      <c r="C424" s="59"/>
      <c r="D424" s="59"/>
      <c r="J424" s="25"/>
    </row>
    <row r="425" ht="12.75" customHeight="1">
      <c r="A425" s="25"/>
      <c r="C425" s="59"/>
      <c r="D425" s="59"/>
      <c r="J425" s="25"/>
    </row>
    <row r="426" ht="12.75" customHeight="1">
      <c r="A426" s="25"/>
      <c r="C426" s="59"/>
      <c r="D426" s="59"/>
      <c r="J426" s="25"/>
    </row>
    <row r="427" ht="12.75" customHeight="1">
      <c r="A427" s="25"/>
      <c r="C427" s="59"/>
      <c r="D427" s="59"/>
      <c r="J427" s="25"/>
    </row>
    <row r="428" ht="12.75" customHeight="1">
      <c r="A428" s="25"/>
      <c r="C428" s="59"/>
      <c r="D428" s="59"/>
      <c r="J428" s="25"/>
    </row>
    <row r="429" ht="12.75" customHeight="1">
      <c r="A429" s="25"/>
      <c r="C429" s="59"/>
      <c r="D429" s="59"/>
      <c r="J429" s="25"/>
    </row>
    <row r="430" ht="12.75" customHeight="1">
      <c r="A430" s="25"/>
      <c r="C430" s="59"/>
      <c r="D430" s="59"/>
      <c r="J430" s="25"/>
    </row>
    <row r="431" ht="12.75" customHeight="1">
      <c r="A431" s="25"/>
      <c r="C431" s="59"/>
      <c r="D431" s="59"/>
      <c r="J431" s="25"/>
    </row>
    <row r="432" ht="12.75" customHeight="1">
      <c r="A432" s="25"/>
      <c r="C432" s="59"/>
      <c r="D432" s="59"/>
      <c r="J432" s="25"/>
    </row>
    <row r="433" ht="12.75" customHeight="1">
      <c r="A433" s="25"/>
      <c r="C433" s="59"/>
      <c r="D433" s="59"/>
      <c r="J433" s="25"/>
    </row>
    <row r="434" ht="12.75" customHeight="1">
      <c r="A434" s="25"/>
      <c r="C434" s="59"/>
      <c r="D434" s="59"/>
      <c r="J434" s="25"/>
    </row>
    <row r="435" ht="12.75" customHeight="1">
      <c r="A435" s="25"/>
      <c r="C435" s="59"/>
      <c r="D435" s="59"/>
      <c r="J435" s="25"/>
    </row>
    <row r="436" ht="12.75" customHeight="1">
      <c r="A436" s="25"/>
      <c r="C436" s="59"/>
      <c r="D436" s="59"/>
      <c r="J436" s="25"/>
    </row>
    <row r="437" ht="12.75" customHeight="1">
      <c r="A437" s="25"/>
      <c r="C437" s="59"/>
      <c r="D437" s="59"/>
      <c r="J437" s="25"/>
    </row>
    <row r="438" ht="12.75" customHeight="1">
      <c r="A438" s="25"/>
      <c r="C438" s="59"/>
      <c r="D438" s="59"/>
      <c r="J438" s="25"/>
    </row>
    <row r="439" ht="12.75" customHeight="1">
      <c r="A439" s="25"/>
      <c r="C439" s="59"/>
      <c r="D439" s="59"/>
      <c r="J439" s="25"/>
    </row>
    <row r="440" ht="12.75" customHeight="1">
      <c r="A440" s="25"/>
      <c r="C440" s="59"/>
      <c r="D440" s="59"/>
      <c r="J440" s="25"/>
    </row>
    <row r="441" ht="12.75" customHeight="1">
      <c r="A441" s="25"/>
      <c r="C441" s="59"/>
      <c r="D441" s="59"/>
      <c r="J441" s="25"/>
    </row>
    <row r="442" ht="12.75" customHeight="1">
      <c r="A442" s="25"/>
      <c r="C442" s="59"/>
      <c r="D442" s="59"/>
      <c r="J442" s="25"/>
    </row>
    <row r="443" ht="12.75" customHeight="1">
      <c r="A443" s="25"/>
      <c r="C443" s="59"/>
      <c r="D443" s="59"/>
      <c r="J443" s="25"/>
    </row>
    <row r="444" ht="12.75" customHeight="1">
      <c r="A444" s="25"/>
      <c r="C444" s="59"/>
      <c r="D444" s="59"/>
      <c r="J444" s="25"/>
    </row>
    <row r="445" ht="12.75" customHeight="1">
      <c r="A445" s="25"/>
      <c r="C445" s="59"/>
      <c r="D445" s="59"/>
      <c r="J445" s="25"/>
    </row>
    <row r="446" ht="12.75" customHeight="1">
      <c r="A446" s="25"/>
      <c r="C446" s="59"/>
      <c r="D446" s="59"/>
      <c r="J446" s="25"/>
    </row>
    <row r="447" ht="12.75" customHeight="1">
      <c r="A447" s="25"/>
      <c r="C447" s="59"/>
      <c r="D447" s="59"/>
      <c r="J447" s="25"/>
    </row>
    <row r="448" ht="12.75" customHeight="1">
      <c r="A448" s="25"/>
      <c r="C448" s="59"/>
      <c r="D448" s="59"/>
      <c r="J448" s="25"/>
    </row>
    <row r="449" ht="12.75" customHeight="1">
      <c r="A449" s="25"/>
      <c r="C449" s="59"/>
      <c r="D449" s="59"/>
      <c r="J449" s="25"/>
    </row>
    <row r="450" ht="12.75" customHeight="1">
      <c r="A450" s="25"/>
      <c r="C450" s="59"/>
      <c r="D450" s="59"/>
      <c r="J450" s="25"/>
    </row>
    <row r="451" ht="12.75" customHeight="1">
      <c r="A451" s="25"/>
      <c r="C451" s="59"/>
      <c r="D451" s="59"/>
      <c r="J451" s="25"/>
    </row>
    <row r="452" ht="12.75" customHeight="1">
      <c r="A452" s="25"/>
      <c r="C452" s="59"/>
      <c r="D452" s="59"/>
      <c r="J452" s="25"/>
    </row>
    <row r="453" ht="12.75" customHeight="1">
      <c r="A453" s="25"/>
      <c r="C453" s="59"/>
      <c r="D453" s="59"/>
      <c r="J453" s="25"/>
    </row>
    <row r="454" ht="12.75" customHeight="1">
      <c r="A454" s="25"/>
      <c r="C454" s="59"/>
      <c r="D454" s="59"/>
      <c r="J454" s="25"/>
    </row>
    <row r="455" ht="12.75" customHeight="1">
      <c r="A455" s="25"/>
      <c r="C455" s="59"/>
      <c r="D455" s="59"/>
      <c r="J455" s="25"/>
    </row>
    <row r="456" ht="12.75" customHeight="1">
      <c r="A456" s="25"/>
      <c r="C456" s="59"/>
      <c r="D456" s="59"/>
      <c r="J456" s="25"/>
    </row>
    <row r="457" ht="12.75" customHeight="1">
      <c r="A457" s="25"/>
      <c r="C457" s="59"/>
      <c r="D457" s="59"/>
      <c r="J457" s="25"/>
    </row>
    <row r="458" ht="12.75" customHeight="1">
      <c r="A458" s="25"/>
      <c r="C458" s="59"/>
      <c r="D458" s="59"/>
      <c r="J458" s="25"/>
    </row>
    <row r="459" ht="12.75" customHeight="1">
      <c r="A459" s="25"/>
      <c r="C459" s="59"/>
      <c r="D459" s="59"/>
      <c r="J459" s="25"/>
    </row>
    <row r="460" ht="12.75" customHeight="1">
      <c r="A460" s="25"/>
      <c r="C460" s="59"/>
      <c r="D460" s="59"/>
      <c r="J460" s="25"/>
    </row>
    <row r="461" ht="12.75" customHeight="1">
      <c r="A461" s="25"/>
      <c r="C461" s="59"/>
      <c r="D461" s="59"/>
      <c r="J461" s="25"/>
    </row>
    <row r="462" ht="12.75" customHeight="1">
      <c r="A462" s="25"/>
      <c r="C462" s="59"/>
      <c r="D462" s="59"/>
      <c r="J462" s="25"/>
    </row>
    <row r="463" ht="12.75" customHeight="1">
      <c r="A463" s="25"/>
      <c r="C463" s="59"/>
      <c r="D463" s="59"/>
      <c r="J463" s="25"/>
    </row>
    <row r="464" ht="12.75" customHeight="1">
      <c r="A464" s="25"/>
      <c r="C464" s="59"/>
      <c r="D464" s="59"/>
      <c r="J464" s="25"/>
    </row>
    <row r="465" ht="12.75" customHeight="1">
      <c r="A465" s="25"/>
      <c r="C465" s="59"/>
      <c r="D465" s="59"/>
      <c r="J465" s="25"/>
    </row>
    <row r="466" ht="12.75" customHeight="1">
      <c r="A466" s="25"/>
      <c r="C466" s="59"/>
      <c r="D466" s="59"/>
      <c r="J466" s="25"/>
    </row>
    <row r="467" ht="12.75" customHeight="1">
      <c r="A467" s="25"/>
      <c r="C467" s="59"/>
      <c r="D467" s="59"/>
      <c r="J467" s="25"/>
    </row>
    <row r="468" ht="12.75" customHeight="1">
      <c r="A468" s="25"/>
      <c r="C468" s="59"/>
      <c r="D468" s="59"/>
      <c r="J468" s="25"/>
    </row>
    <row r="469" ht="12.75" customHeight="1">
      <c r="A469" s="25"/>
      <c r="C469" s="59"/>
      <c r="D469" s="59"/>
      <c r="J469" s="25"/>
    </row>
    <row r="470" ht="12.75" customHeight="1">
      <c r="A470" s="25"/>
      <c r="C470" s="59"/>
      <c r="D470" s="59"/>
      <c r="J470" s="25"/>
    </row>
    <row r="471" ht="12.75" customHeight="1">
      <c r="A471" s="25"/>
      <c r="C471" s="59"/>
      <c r="D471" s="59"/>
      <c r="J471" s="25"/>
    </row>
    <row r="472" ht="12.75" customHeight="1">
      <c r="A472" s="25"/>
      <c r="C472" s="59"/>
      <c r="D472" s="59"/>
      <c r="J472" s="25"/>
    </row>
    <row r="473" ht="12.75" customHeight="1">
      <c r="A473" s="25"/>
      <c r="C473" s="59"/>
      <c r="D473" s="59"/>
      <c r="J473" s="25"/>
    </row>
    <row r="474" ht="12.75" customHeight="1">
      <c r="A474" s="25"/>
      <c r="C474" s="59"/>
      <c r="D474" s="59"/>
      <c r="J474" s="25"/>
    </row>
    <row r="475" ht="12.75" customHeight="1">
      <c r="A475" s="25"/>
      <c r="C475" s="59"/>
      <c r="D475" s="59"/>
      <c r="J475" s="25"/>
    </row>
    <row r="476" ht="12.75" customHeight="1">
      <c r="A476" s="25"/>
      <c r="C476" s="59"/>
      <c r="D476" s="59"/>
      <c r="J476" s="25"/>
    </row>
    <row r="477" ht="12.75" customHeight="1">
      <c r="A477" s="25"/>
      <c r="C477" s="59"/>
      <c r="D477" s="59"/>
      <c r="J477" s="25"/>
    </row>
    <row r="478" ht="12.75" customHeight="1">
      <c r="A478" s="25"/>
      <c r="C478" s="59"/>
      <c r="D478" s="59"/>
      <c r="J478" s="25"/>
    </row>
    <row r="479" ht="12.75" customHeight="1">
      <c r="A479" s="25"/>
      <c r="C479" s="59"/>
      <c r="D479" s="59"/>
      <c r="J479" s="25"/>
    </row>
    <row r="480" ht="12.75" customHeight="1">
      <c r="A480" s="25"/>
      <c r="C480" s="59"/>
      <c r="D480" s="59"/>
      <c r="J480" s="25"/>
    </row>
    <row r="481" ht="12.75" customHeight="1">
      <c r="A481" s="25"/>
      <c r="C481" s="59"/>
      <c r="D481" s="59"/>
      <c r="J481" s="25"/>
    </row>
    <row r="482" ht="12.75" customHeight="1">
      <c r="A482" s="25"/>
      <c r="C482" s="59"/>
      <c r="D482" s="59"/>
      <c r="J482" s="25"/>
    </row>
    <row r="483" ht="12.75" customHeight="1">
      <c r="A483" s="25"/>
      <c r="C483" s="59"/>
      <c r="D483" s="59"/>
      <c r="J483" s="25"/>
    </row>
    <row r="484" ht="12.75" customHeight="1">
      <c r="A484" s="25"/>
      <c r="C484" s="59"/>
      <c r="D484" s="59"/>
      <c r="J484" s="25"/>
    </row>
    <row r="485" ht="12.75" customHeight="1">
      <c r="A485" s="25"/>
      <c r="C485" s="59"/>
      <c r="D485" s="59"/>
      <c r="J485" s="25"/>
    </row>
    <row r="486" ht="12.75" customHeight="1">
      <c r="A486" s="25"/>
      <c r="C486" s="59"/>
      <c r="D486" s="59"/>
      <c r="J486" s="25"/>
    </row>
    <row r="487" ht="12.75" customHeight="1">
      <c r="A487" s="25"/>
      <c r="C487" s="59"/>
      <c r="D487" s="59"/>
      <c r="J487" s="25"/>
    </row>
    <row r="488" ht="12.75" customHeight="1">
      <c r="A488" s="25"/>
      <c r="C488" s="59"/>
      <c r="D488" s="59"/>
      <c r="J488" s="25"/>
    </row>
    <row r="489" ht="12.75" customHeight="1">
      <c r="A489" s="25"/>
      <c r="C489" s="59"/>
      <c r="D489" s="59"/>
      <c r="J489" s="25"/>
    </row>
    <row r="490" ht="12.75" customHeight="1">
      <c r="A490" s="25"/>
      <c r="C490" s="59"/>
      <c r="D490" s="59"/>
      <c r="J490" s="25"/>
    </row>
    <row r="491" ht="12.75" customHeight="1">
      <c r="A491" s="25"/>
      <c r="C491" s="59"/>
      <c r="D491" s="59"/>
      <c r="J491" s="25"/>
    </row>
    <row r="492" ht="12.75" customHeight="1">
      <c r="A492" s="25"/>
      <c r="C492" s="59"/>
      <c r="D492" s="59"/>
      <c r="J492" s="25"/>
    </row>
    <row r="493" ht="12.75" customHeight="1">
      <c r="A493" s="25"/>
      <c r="C493" s="59"/>
      <c r="D493" s="59"/>
      <c r="J493" s="25"/>
    </row>
    <row r="494" ht="12.75" customHeight="1">
      <c r="A494" s="25"/>
      <c r="C494" s="59"/>
      <c r="D494" s="59"/>
      <c r="J494" s="25"/>
    </row>
    <row r="495" ht="12.75" customHeight="1">
      <c r="A495" s="25"/>
      <c r="C495" s="59"/>
      <c r="D495" s="59"/>
      <c r="J495" s="25"/>
    </row>
    <row r="496" ht="12.75" customHeight="1">
      <c r="A496" s="25"/>
      <c r="C496" s="59"/>
      <c r="D496" s="59"/>
      <c r="J496" s="25"/>
    </row>
    <row r="497" ht="12.75" customHeight="1">
      <c r="A497" s="25"/>
      <c r="C497" s="59"/>
      <c r="D497" s="59"/>
      <c r="J497" s="25"/>
    </row>
    <row r="498" ht="12.75" customHeight="1">
      <c r="A498" s="25"/>
      <c r="C498" s="59"/>
      <c r="D498" s="59"/>
      <c r="J498" s="25"/>
    </row>
    <row r="499" ht="12.75" customHeight="1">
      <c r="A499" s="25"/>
      <c r="C499" s="59"/>
      <c r="D499" s="59"/>
      <c r="J499" s="25"/>
    </row>
    <row r="500" ht="12.75" customHeight="1">
      <c r="A500" s="25"/>
      <c r="C500" s="59"/>
      <c r="D500" s="59"/>
      <c r="J500" s="25"/>
    </row>
    <row r="501" ht="12.75" customHeight="1">
      <c r="A501" s="25"/>
      <c r="C501" s="59"/>
      <c r="D501" s="59"/>
      <c r="J501" s="25"/>
    </row>
    <row r="502" ht="12.75" customHeight="1">
      <c r="A502" s="25"/>
      <c r="C502" s="59"/>
      <c r="D502" s="59"/>
      <c r="J502" s="25"/>
    </row>
    <row r="503" ht="12.75" customHeight="1">
      <c r="A503" s="25"/>
      <c r="C503" s="59"/>
      <c r="D503" s="59"/>
      <c r="J503" s="25"/>
    </row>
    <row r="504" ht="12.75" customHeight="1">
      <c r="A504" s="25"/>
      <c r="C504" s="59"/>
      <c r="D504" s="59"/>
      <c r="J504" s="25"/>
    </row>
    <row r="505" ht="12.75" customHeight="1">
      <c r="A505" s="25"/>
      <c r="C505" s="59"/>
      <c r="D505" s="59"/>
      <c r="J505" s="25"/>
    </row>
    <row r="506" ht="12.75" customHeight="1">
      <c r="A506" s="25"/>
      <c r="C506" s="59"/>
      <c r="D506" s="59"/>
      <c r="J506" s="25"/>
    </row>
    <row r="507" ht="12.75" customHeight="1">
      <c r="A507" s="25"/>
      <c r="C507" s="59"/>
      <c r="D507" s="59"/>
      <c r="J507" s="25"/>
    </row>
    <row r="508" ht="12.75" customHeight="1">
      <c r="A508" s="25"/>
      <c r="C508" s="59"/>
      <c r="D508" s="59"/>
      <c r="J508" s="25"/>
    </row>
    <row r="509" ht="12.75" customHeight="1">
      <c r="A509" s="25"/>
      <c r="C509" s="59"/>
      <c r="D509" s="59"/>
      <c r="J509" s="25"/>
    </row>
    <row r="510" ht="12.75" customHeight="1">
      <c r="A510" s="25"/>
      <c r="C510" s="59"/>
      <c r="D510" s="59"/>
      <c r="J510" s="25"/>
    </row>
    <row r="511" ht="12.75" customHeight="1">
      <c r="A511" s="25"/>
      <c r="C511" s="59"/>
      <c r="D511" s="59"/>
      <c r="J511" s="25"/>
    </row>
    <row r="512" ht="12.75" customHeight="1">
      <c r="A512" s="25"/>
      <c r="C512" s="59"/>
      <c r="D512" s="59"/>
      <c r="J512" s="25"/>
    </row>
    <row r="513" ht="12.75" customHeight="1">
      <c r="A513" s="25"/>
      <c r="C513" s="59"/>
      <c r="D513" s="59"/>
      <c r="J513" s="25"/>
    </row>
    <row r="514" ht="12.75" customHeight="1">
      <c r="A514" s="25"/>
      <c r="C514" s="59"/>
      <c r="D514" s="59"/>
      <c r="J514" s="25"/>
    </row>
    <row r="515" ht="12.75" customHeight="1">
      <c r="A515" s="25"/>
      <c r="C515" s="59"/>
      <c r="D515" s="59"/>
      <c r="J515" s="25"/>
    </row>
    <row r="516" ht="12.75" customHeight="1">
      <c r="A516" s="25"/>
      <c r="C516" s="59"/>
      <c r="D516" s="59"/>
      <c r="J516" s="25"/>
    </row>
    <row r="517" ht="12.75" customHeight="1">
      <c r="A517" s="25"/>
      <c r="C517" s="59"/>
      <c r="D517" s="59"/>
      <c r="J517" s="25"/>
    </row>
    <row r="518" ht="12.75" customHeight="1">
      <c r="A518" s="25"/>
      <c r="C518" s="59"/>
      <c r="D518" s="59"/>
      <c r="J518" s="25"/>
    </row>
    <row r="519" ht="12.75" customHeight="1">
      <c r="A519" s="25"/>
      <c r="C519" s="59"/>
      <c r="D519" s="59"/>
      <c r="J519" s="25"/>
    </row>
    <row r="520" ht="12.75" customHeight="1">
      <c r="A520" s="25"/>
      <c r="C520" s="59"/>
      <c r="D520" s="59"/>
      <c r="J520" s="25"/>
    </row>
    <row r="521" ht="12.75" customHeight="1">
      <c r="A521" s="25"/>
      <c r="C521" s="59"/>
      <c r="D521" s="59"/>
      <c r="J521" s="25"/>
    </row>
    <row r="522" ht="12.75" customHeight="1">
      <c r="A522" s="25"/>
      <c r="C522" s="59"/>
      <c r="D522" s="59"/>
      <c r="J522" s="25"/>
    </row>
    <row r="523" ht="12.75" customHeight="1">
      <c r="A523" s="25"/>
      <c r="C523" s="59"/>
      <c r="D523" s="59"/>
      <c r="J523" s="25"/>
    </row>
    <row r="524" ht="12.75" customHeight="1">
      <c r="A524" s="25"/>
      <c r="C524" s="59"/>
      <c r="D524" s="59"/>
      <c r="J524" s="25"/>
    </row>
    <row r="525" ht="12.75" customHeight="1">
      <c r="A525" s="25"/>
      <c r="C525" s="59"/>
      <c r="D525" s="59"/>
      <c r="J525" s="25"/>
    </row>
    <row r="526" ht="12.75" customHeight="1">
      <c r="A526" s="25"/>
      <c r="C526" s="59"/>
      <c r="D526" s="59"/>
      <c r="J526" s="25"/>
    </row>
    <row r="527" ht="12.75" customHeight="1">
      <c r="A527" s="25"/>
      <c r="C527" s="59"/>
      <c r="D527" s="59"/>
      <c r="J527" s="25"/>
    </row>
    <row r="528" ht="12.75" customHeight="1">
      <c r="A528" s="25"/>
      <c r="C528" s="59"/>
      <c r="D528" s="59"/>
      <c r="J528" s="25"/>
    </row>
    <row r="529" ht="12.75" customHeight="1">
      <c r="A529" s="25"/>
      <c r="C529" s="59"/>
      <c r="D529" s="59"/>
      <c r="J529" s="25"/>
    </row>
    <row r="530" ht="12.75" customHeight="1">
      <c r="A530" s="25"/>
      <c r="C530" s="59"/>
      <c r="D530" s="59"/>
      <c r="J530" s="25"/>
    </row>
    <row r="531" ht="12.75" customHeight="1">
      <c r="A531" s="25"/>
      <c r="C531" s="59"/>
      <c r="D531" s="59"/>
      <c r="J531" s="25"/>
    </row>
    <row r="532" ht="12.75" customHeight="1">
      <c r="A532" s="25"/>
      <c r="C532" s="59"/>
      <c r="D532" s="59"/>
      <c r="J532" s="25"/>
    </row>
    <row r="533" ht="12.75" customHeight="1">
      <c r="A533" s="25"/>
      <c r="C533" s="59"/>
      <c r="D533" s="59"/>
      <c r="J533" s="25"/>
    </row>
    <row r="534" ht="12.75" customHeight="1">
      <c r="A534" s="25"/>
      <c r="C534" s="59"/>
      <c r="D534" s="59"/>
      <c r="J534" s="25"/>
    </row>
    <row r="535" ht="12.75" customHeight="1">
      <c r="A535" s="25"/>
      <c r="C535" s="59"/>
      <c r="D535" s="59"/>
      <c r="J535" s="25"/>
    </row>
    <row r="536" ht="12.75" customHeight="1">
      <c r="A536" s="25"/>
      <c r="C536" s="59"/>
      <c r="D536" s="59"/>
      <c r="J536" s="25"/>
    </row>
    <row r="537" ht="12.75" customHeight="1">
      <c r="A537" s="25"/>
      <c r="C537" s="59"/>
      <c r="D537" s="59"/>
      <c r="J537" s="25"/>
    </row>
    <row r="538" ht="12.75" customHeight="1">
      <c r="A538" s="25"/>
      <c r="C538" s="59"/>
      <c r="D538" s="59"/>
      <c r="J538" s="25"/>
    </row>
    <row r="539" ht="12.75" customHeight="1">
      <c r="A539" s="25"/>
      <c r="C539" s="59"/>
      <c r="D539" s="59"/>
      <c r="J539" s="25"/>
    </row>
    <row r="540" ht="12.75" customHeight="1">
      <c r="A540" s="25"/>
      <c r="C540" s="59"/>
      <c r="D540" s="59"/>
      <c r="J540" s="25"/>
    </row>
    <row r="541" ht="12.75" customHeight="1">
      <c r="A541" s="25"/>
      <c r="C541" s="59"/>
      <c r="D541" s="59"/>
      <c r="J541" s="25"/>
    </row>
    <row r="542" ht="12.75" customHeight="1">
      <c r="A542" s="25"/>
      <c r="C542" s="59"/>
      <c r="D542" s="59"/>
      <c r="J542" s="25"/>
    </row>
    <row r="543" ht="12.75" customHeight="1">
      <c r="A543" s="25"/>
      <c r="C543" s="59"/>
      <c r="D543" s="59"/>
      <c r="J543" s="25"/>
    </row>
    <row r="544" ht="12.75" customHeight="1">
      <c r="A544" s="25"/>
      <c r="C544" s="59"/>
      <c r="D544" s="59"/>
      <c r="J544" s="25"/>
    </row>
    <row r="545" ht="12.75" customHeight="1">
      <c r="A545" s="25"/>
      <c r="C545" s="59"/>
      <c r="D545" s="59"/>
      <c r="J545" s="25"/>
    </row>
    <row r="546" ht="12.75" customHeight="1">
      <c r="A546" s="25"/>
      <c r="C546" s="59"/>
      <c r="D546" s="59"/>
      <c r="J546" s="25"/>
    </row>
    <row r="547" ht="12.75" customHeight="1">
      <c r="A547" s="25"/>
      <c r="C547" s="59"/>
      <c r="D547" s="59"/>
      <c r="J547" s="25"/>
    </row>
    <row r="548" ht="12.75" customHeight="1">
      <c r="A548" s="25"/>
      <c r="C548" s="59"/>
      <c r="D548" s="59"/>
      <c r="J548" s="25"/>
    </row>
    <row r="549" ht="12.75" customHeight="1">
      <c r="A549" s="25"/>
      <c r="C549" s="59"/>
      <c r="D549" s="59"/>
      <c r="J549" s="25"/>
    </row>
    <row r="550" ht="12.75" customHeight="1">
      <c r="A550" s="25"/>
      <c r="C550" s="59"/>
      <c r="D550" s="59"/>
      <c r="J550" s="25"/>
    </row>
    <row r="551" ht="12.75" customHeight="1">
      <c r="A551" s="25"/>
      <c r="C551" s="59"/>
      <c r="D551" s="59"/>
      <c r="J551" s="25"/>
    </row>
    <row r="552" ht="12.75" customHeight="1">
      <c r="A552" s="25"/>
      <c r="C552" s="59"/>
      <c r="D552" s="59"/>
      <c r="J552" s="25"/>
    </row>
    <row r="553" ht="12.75" customHeight="1">
      <c r="A553" s="25"/>
      <c r="C553" s="59"/>
      <c r="D553" s="59"/>
      <c r="J553" s="25"/>
    </row>
    <row r="554" ht="12.75" customHeight="1">
      <c r="A554" s="25"/>
      <c r="C554" s="59"/>
      <c r="D554" s="59"/>
      <c r="J554" s="25"/>
    </row>
    <row r="555" ht="12.75" customHeight="1">
      <c r="A555" s="25"/>
      <c r="C555" s="59"/>
      <c r="D555" s="59"/>
      <c r="J555" s="25"/>
    </row>
    <row r="556" ht="12.75" customHeight="1">
      <c r="A556" s="25"/>
      <c r="C556" s="59"/>
      <c r="D556" s="59"/>
      <c r="J556" s="25"/>
    </row>
    <row r="557" ht="12.75" customHeight="1">
      <c r="A557" s="25"/>
      <c r="C557" s="59"/>
      <c r="D557" s="59"/>
      <c r="J557" s="25"/>
    </row>
    <row r="558" ht="12.75" customHeight="1">
      <c r="A558" s="25"/>
      <c r="C558" s="59"/>
      <c r="D558" s="59"/>
      <c r="J558" s="25"/>
    </row>
    <row r="559" ht="12.75" customHeight="1">
      <c r="A559" s="25"/>
      <c r="C559" s="59"/>
      <c r="D559" s="59"/>
      <c r="J559" s="25"/>
    </row>
    <row r="560" ht="12.75" customHeight="1">
      <c r="A560" s="25"/>
      <c r="C560" s="59"/>
      <c r="D560" s="59"/>
      <c r="J560" s="25"/>
    </row>
    <row r="561" ht="12.75" customHeight="1">
      <c r="A561" s="25"/>
      <c r="C561" s="59"/>
      <c r="D561" s="59"/>
      <c r="J561" s="25"/>
    </row>
    <row r="562" ht="12.75" customHeight="1">
      <c r="A562" s="25"/>
      <c r="C562" s="59"/>
      <c r="D562" s="59"/>
      <c r="J562" s="25"/>
    </row>
    <row r="563" ht="12.75" customHeight="1">
      <c r="A563" s="25"/>
      <c r="C563" s="59"/>
      <c r="D563" s="59"/>
      <c r="J563" s="25"/>
    </row>
    <row r="564" ht="12.75" customHeight="1">
      <c r="A564" s="25"/>
      <c r="C564" s="59"/>
      <c r="D564" s="59"/>
      <c r="J564" s="25"/>
    </row>
    <row r="565" ht="12.75" customHeight="1">
      <c r="A565" s="25"/>
      <c r="C565" s="59"/>
      <c r="D565" s="59"/>
      <c r="J565" s="25"/>
    </row>
    <row r="566" ht="12.75" customHeight="1">
      <c r="A566" s="25"/>
      <c r="C566" s="59"/>
      <c r="D566" s="59"/>
      <c r="J566" s="25"/>
    </row>
    <row r="567" ht="12.75" customHeight="1">
      <c r="A567" s="25"/>
      <c r="C567" s="59"/>
      <c r="D567" s="59"/>
      <c r="J567" s="25"/>
    </row>
    <row r="568" ht="12.75" customHeight="1">
      <c r="A568" s="25"/>
      <c r="C568" s="59"/>
      <c r="D568" s="59"/>
      <c r="J568" s="25"/>
    </row>
    <row r="569" ht="12.75" customHeight="1">
      <c r="A569" s="25"/>
      <c r="C569" s="59"/>
      <c r="D569" s="59"/>
      <c r="J569" s="25"/>
    </row>
    <row r="570" ht="12.75" customHeight="1">
      <c r="A570" s="25"/>
      <c r="C570" s="59"/>
      <c r="D570" s="59"/>
      <c r="J570" s="25"/>
    </row>
    <row r="571" ht="12.75" customHeight="1">
      <c r="A571" s="25"/>
      <c r="C571" s="59"/>
      <c r="D571" s="59"/>
      <c r="J571" s="25"/>
    </row>
    <row r="572" ht="12.75" customHeight="1">
      <c r="A572" s="25"/>
      <c r="C572" s="59"/>
      <c r="D572" s="59"/>
      <c r="J572" s="25"/>
    </row>
    <row r="573" ht="12.75" customHeight="1">
      <c r="A573" s="25"/>
      <c r="C573" s="59"/>
      <c r="D573" s="59"/>
      <c r="J573" s="25"/>
    </row>
    <row r="574" ht="12.75" customHeight="1">
      <c r="A574" s="25"/>
      <c r="C574" s="59"/>
      <c r="D574" s="59"/>
      <c r="J574" s="25"/>
    </row>
    <row r="575" ht="12.75" customHeight="1">
      <c r="A575" s="25"/>
      <c r="C575" s="59"/>
      <c r="D575" s="59"/>
      <c r="J575" s="25"/>
    </row>
    <row r="576" ht="12.75" customHeight="1">
      <c r="A576" s="25"/>
      <c r="C576" s="59"/>
      <c r="D576" s="59"/>
      <c r="J576" s="25"/>
    </row>
    <row r="577" ht="12.75" customHeight="1">
      <c r="A577" s="25"/>
      <c r="C577" s="59"/>
      <c r="D577" s="59"/>
      <c r="J577" s="25"/>
    </row>
    <row r="578" ht="12.75" customHeight="1">
      <c r="A578" s="25"/>
      <c r="C578" s="59"/>
      <c r="D578" s="59"/>
      <c r="J578" s="25"/>
    </row>
    <row r="579" ht="12.75" customHeight="1">
      <c r="A579" s="25"/>
      <c r="C579" s="59"/>
      <c r="D579" s="59"/>
      <c r="J579" s="25"/>
    </row>
    <row r="580" ht="12.75" customHeight="1">
      <c r="A580" s="25"/>
      <c r="C580" s="59"/>
      <c r="D580" s="59"/>
      <c r="J580" s="25"/>
    </row>
    <row r="581" ht="12.75" customHeight="1">
      <c r="A581" s="25"/>
      <c r="C581" s="59"/>
      <c r="D581" s="59"/>
      <c r="J581" s="25"/>
    </row>
    <row r="582" ht="12.75" customHeight="1">
      <c r="A582" s="25"/>
      <c r="C582" s="59"/>
      <c r="D582" s="59"/>
      <c r="J582" s="25"/>
    </row>
    <row r="583" ht="12.75" customHeight="1">
      <c r="A583" s="25"/>
      <c r="C583" s="59"/>
      <c r="D583" s="59"/>
      <c r="J583" s="25"/>
    </row>
    <row r="584" ht="12.75" customHeight="1">
      <c r="A584" s="25"/>
      <c r="C584" s="59"/>
      <c r="D584" s="59"/>
      <c r="J584" s="25"/>
    </row>
    <row r="585" ht="12.75" customHeight="1">
      <c r="A585" s="25"/>
      <c r="C585" s="59"/>
      <c r="D585" s="59"/>
      <c r="J585" s="25"/>
    </row>
    <row r="586" ht="12.75" customHeight="1">
      <c r="A586" s="25"/>
      <c r="C586" s="59"/>
      <c r="D586" s="59"/>
      <c r="J586" s="25"/>
    </row>
    <row r="587" ht="12.75" customHeight="1">
      <c r="A587" s="25"/>
      <c r="C587" s="59"/>
      <c r="D587" s="59"/>
      <c r="J587" s="25"/>
    </row>
    <row r="588" ht="12.75" customHeight="1">
      <c r="A588" s="25"/>
      <c r="C588" s="59"/>
      <c r="D588" s="59"/>
      <c r="J588" s="25"/>
    </row>
    <row r="589" ht="12.75" customHeight="1">
      <c r="A589" s="25"/>
      <c r="C589" s="59"/>
      <c r="D589" s="59"/>
      <c r="J589" s="25"/>
    </row>
    <row r="590" ht="12.75" customHeight="1">
      <c r="A590" s="25"/>
      <c r="C590" s="59"/>
      <c r="D590" s="59"/>
      <c r="J590" s="25"/>
    </row>
    <row r="591" ht="12.75" customHeight="1">
      <c r="A591" s="25"/>
      <c r="C591" s="59"/>
      <c r="D591" s="59"/>
      <c r="J591" s="25"/>
    </row>
    <row r="592" ht="12.75" customHeight="1">
      <c r="A592" s="25"/>
      <c r="C592" s="59"/>
      <c r="D592" s="59"/>
      <c r="J592" s="25"/>
    </row>
    <row r="593" ht="12.75" customHeight="1">
      <c r="A593" s="25"/>
      <c r="C593" s="59"/>
      <c r="D593" s="59"/>
      <c r="J593" s="25"/>
    </row>
    <row r="594" ht="12.75" customHeight="1">
      <c r="A594" s="25"/>
      <c r="C594" s="59"/>
      <c r="D594" s="59"/>
      <c r="J594" s="25"/>
    </row>
    <row r="595" ht="12.75" customHeight="1">
      <c r="A595" s="25"/>
      <c r="C595" s="59"/>
      <c r="D595" s="59"/>
      <c r="J595" s="25"/>
    </row>
    <row r="596" ht="12.75" customHeight="1">
      <c r="A596" s="25"/>
      <c r="C596" s="59"/>
      <c r="D596" s="59"/>
      <c r="J596" s="25"/>
    </row>
    <row r="597" ht="12.75" customHeight="1">
      <c r="A597" s="25"/>
      <c r="C597" s="59"/>
      <c r="D597" s="59"/>
      <c r="J597" s="25"/>
    </row>
    <row r="598" ht="12.75" customHeight="1">
      <c r="A598" s="25"/>
      <c r="C598" s="59"/>
      <c r="D598" s="59"/>
      <c r="J598" s="25"/>
    </row>
    <row r="599" ht="12.75" customHeight="1">
      <c r="A599" s="25"/>
      <c r="C599" s="59"/>
      <c r="D599" s="59"/>
      <c r="J599" s="25"/>
    </row>
    <row r="600" ht="12.75" customHeight="1">
      <c r="A600" s="25"/>
      <c r="C600" s="59"/>
      <c r="D600" s="59"/>
      <c r="J600" s="25"/>
    </row>
    <row r="601" ht="12.75" customHeight="1">
      <c r="A601" s="25"/>
      <c r="C601" s="59"/>
      <c r="D601" s="59"/>
      <c r="J601" s="25"/>
    </row>
    <row r="602" ht="12.75" customHeight="1">
      <c r="A602" s="25"/>
      <c r="C602" s="59"/>
      <c r="D602" s="59"/>
      <c r="J602" s="25"/>
    </row>
    <row r="603" ht="12.75" customHeight="1">
      <c r="A603" s="25"/>
      <c r="C603" s="59"/>
      <c r="D603" s="59"/>
      <c r="J603" s="25"/>
    </row>
    <row r="604" ht="12.75" customHeight="1">
      <c r="A604" s="25"/>
      <c r="C604" s="59"/>
      <c r="D604" s="59"/>
      <c r="J604" s="25"/>
    </row>
    <row r="605" ht="12.75" customHeight="1">
      <c r="A605" s="25"/>
      <c r="C605" s="59"/>
      <c r="D605" s="59"/>
      <c r="J605" s="25"/>
    </row>
    <row r="606" ht="12.75" customHeight="1">
      <c r="A606" s="25"/>
      <c r="C606" s="59"/>
      <c r="D606" s="59"/>
      <c r="J606" s="25"/>
    </row>
    <row r="607" ht="12.75" customHeight="1">
      <c r="A607" s="25"/>
      <c r="C607" s="59"/>
      <c r="D607" s="59"/>
      <c r="J607" s="25"/>
    </row>
    <row r="608" ht="12.75" customHeight="1">
      <c r="A608" s="25"/>
      <c r="C608" s="59"/>
      <c r="D608" s="59"/>
      <c r="J608" s="25"/>
    </row>
    <row r="609" ht="12.75" customHeight="1">
      <c r="A609" s="25"/>
      <c r="C609" s="59"/>
      <c r="D609" s="59"/>
      <c r="J609" s="25"/>
    </row>
    <row r="610" ht="12.75" customHeight="1">
      <c r="A610" s="25"/>
      <c r="C610" s="59"/>
      <c r="D610" s="59"/>
      <c r="J610" s="25"/>
    </row>
    <row r="611" ht="12.75" customHeight="1">
      <c r="A611" s="25"/>
      <c r="C611" s="59"/>
      <c r="D611" s="59"/>
      <c r="J611" s="25"/>
    </row>
    <row r="612" ht="12.75" customHeight="1">
      <c r="A612" s="25"/>
      <c r="C612" s="59"/>
      <c r="D612" s="59"/>
      <c r="J612" s="25"/>
    </row>
    <row r="613" ht="12.75" customHeight="1">
      <c r="A613" s="25"/>
      <c r="C613" s="59"/>
      <c r="D613" s="59"/>
      <c r="J613" s="25"/>
    </row>
    <row r="614" ht="12.75" customHeight="1">
      <c r="A614" s="25"/>
      <c r="C614" s="59"/>
      <c r="D614" s="59"/>
      <c r="J614" s="25"/>
    </row>
    <row r="615" ht="12.75" customHeight="1">
      <c r="A615" s="25"/>
      <c r="C615" s="59"/>
      <c r="D615" s="59"/>
      <c r="J615" s="25"/>
    </row>
    <row r="616" ht="12.75" customHeight="1">
      <c r="A616" s="25"/>
      <c r="C616" s="59"/>
      <c r="D616" s="59"/>
      <c r="J616" s="25"/>
    </row>
    <row r="617" ht="12.75" customHeight="1">
      <c r="A617" s="25"/>
      <c r="C617" s="59"/>
      <c r="D617" s="59"/>
      <c r="J617" s="25"/>
    </row>
    <row r="618" ht="12.75" customHeight="1">
      <c r="A618" s="25"/>
      <c r="C618" s="59"/>
      <c r="D618" s="59"/>
      <c r="J618" s="25"/>
    </row>
    <row r="619" ht="12.75" customHeight="1">
      <c r="A619" s="25"/>
      <c r="C619" s="59"/>
      <c r="D619" s="59"/>
      <c r="J619" s="25"/>
    </row>
    <row r="620" ht="12.75" customHeight="1">
      <c r="A620" s="25"/>
      <c r="C620" s="59"/>
      <c r="D620" s="59"/>
      <c r="J620" s="25"/>
    </row>
    <row r="621" ht="12.75" customHeight="1">
      <c r="A621" s="25"/>
      <c r="C621" s="59"/>
      <c r="D621" s="59"/>
      <c r="J621" s="25"/>
    </row>
    <row r="622" ht="12.75" customHeight="1">
      <c r="A622" s="25"/>
      <c r="C622" s="59"/>
      <c r="D622" s="59"/>
      <c r="J622" s="25"/>
    </row>
    <row r="623" ht="12.75" customHeight="1">
      <c r="A623" s="25"/>
      <c r="C623" s="59"/>
      <c r="D623" s="59"/>
      <c r="J623" s="25"/>
    </row>
    <row r="624" ht="12.75" customHeight="1">
      <c r="A624" s="25"/>
      <c r="C624" s="59"/>
      <c r="D624" s="59"/>
      <c r="J624" s="25"/>
    </row>
    <row r="625" ht="12.75" customHeight="1">
      <c r="A625" s="25"/>
      <c r="C625" s="59"/>
      <c r="D625" s="59"/>
      <c r="J625" s="25"/>
    </row>
    <row r="626" ht="12.75" customHeight="1">
      <c r="A626" s="25"/>
      <c r="C626" s="59"/>
      <c r="D626" s="59"/>
      <c r="J626" s="25"/>
    </row>
    <row r="627" ht="12.75" customHeight="1">
      <c r="A627" s="25"/>
      <c r="C627" s="59"/>
      <c r="D627" s="59"/>
      <c r="J627" s="25"/>
    </row>
    <row r="628" ht="12.75" customHeight="1">
      <c r="A628" s="25"/>
      <c r="C628" s="59"/>
      <c r="D628" s="59"/>
      <c r="J628" s="25"/>
    </row>
    <row r="629" ht="12.75" customHeight="1">
      <c r="A629" s="25"/>
      <c r="C629" s="59"/>
      <c r="D629" s="59"/>
      <c r="J629" s="25"/>
    </row>
    <row r="630" ht="12.75" customHeight="1">
      <c r="A630" s="25"/>
      <c r="C630" s="59"/>
      <c r="D630" s="59"/>
      <c r="J630" s="25"/>
    </row>
    <row r="631" ht="12.75" customHeight="1">
      <c r="A631" s="25"/>
      <c r="C631" s="59"/>
      <c r="D631" s="59"/>
      <c r="J631" s="25"/>
    </row>
    <row r="632" ht="12.75" customHeight="1">
      <c r="A632" s="25"/>
      <c r="C632" s="59"/>
      <c r="D632" s="59"/>
      <c r="J632" s="25"/>
    </row>
    <row r="633" ht="12.75" customHeight="1">
      <c r="A633" s="25"/>
      <c r="C633" s="59"/>
      <c r="D633" s="59"/>
      <c r="J633" s="25"/>
    </row>
    <row r="634" ht="12.75" customHeight="1">
      <c r="A634" s="25"/>
      <c r="C634" s="59"/>
      <c r="D634" s="59"/>
      <c r="J634" s="25"/>
    </row>
    <row r="635" ht="12.75" customHeight="1">
      <c r="A635" s="25"/>
      <c r="C635" s="59"/>
      <c r="D635" s="59"/>
      <c r="J635" s="25"/>
    </row>
    <row r="636" ht="12.75" customHeight="1">
      <c r="A636" s="25"/>
      <c r="C636" s="59"/>
      <c r="D636" s="59"/>
      <c r="J636" s="25"/>
    </row>
    <row r="637" ht="12.75" customHeight="1">
      <c r="A637" s="25"/>
      <c r="C637" s="59"/>
      <c r="D637" s="59"/>
      <c r="J637" s="25"/>
    </row>
    <row r="638" ht="12.75" customHeight="1">
      <c r="A638" s="25"/>
      <c r="C638" s="59"/>
      <c r="D638" s="59"/>
      <c r="J638" s="25"/>
    </row>
    <row r="639" ht="12.75" customHeight="1">
      <c r="A639" s="25"/>
      <c r="C639" s="59"/>
      <c r="D639" s="59"/>
      <c r="J639" s="25"/>
    </row>
    <row r="640" ht="12.75" customHeight="1">
      <c r="A640" s="25"/>
      <c r="C640" s="59"/>
      <c r="D640" s="59"/>
      <c r="J640" s="25"/>
    </row>
    <row r="641" ht="12.75" customHeight="1">
      <c r="A641" s="25"/>
      <c r="C641" s="59"/>
      <c r="D641" s="59"/>
      <c r="J641" s="25"/>
    </row>
    <row r="642" ht="12.75" customHeight="1">
      <c r="A642" s="25"/>
      <c r="C642" s="59"/>
      <c r="D642" s="59"/>
      <c r="J642" s="25"/>
    </row>
    <row r="643" ht="12.75" customHeight="1">
      <c r="A643" s="25"/>
      <c r="C643" s="59"/>
      <c r="D643" s="59"/>
      <c r="J643" s="25"/>
    </row>
    <row r="644" ht="12.75" customHeight="1">
      <c r="A644" s="25"/>
      <c r="C644" s="59"/>
      <c r="D644" s="59"/>
      <c r="J644" s="25"/>
    </row>
    <row r="645" ht="12.75" customHeight="1">
      <c r="A645" s="25"/>
      <c r="C645" s="59"/>
      <c r="D645" s="59"/>
      <c r="J645" s="25"/>
    </row>
    <row r="646" ht="12.75" customHeight="1">
      <c r="A646" s="25"/>
      <c r="C646" s="59"/>
      <c r="D646" s="59"/>
      <c r="J646" s="25"/>
    </row>
    <row r="647" ht="12.75" customHeight="1">
      <c r="A647" s="25"/>
      <c r="C647" s="59"/>
      <c r="D647" s="59"/>
      <c r="J647" s="25"/>
    </row>
    <row r="648" ht="12.75" customHeight="1">
      <c r="A648" s="25"/>
      <c r="C648" s="59"/>
      <c r="D648" s="59"/>
      <c r="J648" s="25"/>
    </row>
    <row r="649" ht="12.75" customHeight="1">
      <c r="A649" s="25"/>
      <c r="C649" s="59"/>
      <c r="D649" s="59"/>
      <c r="J649" s="25"/>
    </row>
    <row r="650" ht="12.75" customHeight="1">
      <c r="A650" s="25"/>
      <c r="C650" s="59"/>
      <c r="D650" s="59"/>
      <c r="J650" s="25"/>
    </row>
    <row r="651" ht="12.75" customHeight="1">
      <c r="A651" s="25"/>
      <c r="C651" s="59"/>
      <c r="D651" s="59"/>
      <c r="J651" s="25"/>
    </row>
    <row r="652" ht="12.75" customHeight="1">
      <c r="A652" s="25"/>
      <c r="C652" s="59"/>
      <c r="D652" s="59"/>
      <c r="J652" s="25"/>
    </row>
    <row r="653" ht="12.75" customHeight="1">
      <c r="A653" s="25"/>
      <c r="C653" s="59"/>
      <c r="D653" s="59"/>
      <c r="J653" s="25"/>
    </row>
    <row r="654" ht="12.75" customHeight="1">
      <c r="A654" s="25"/>
      <c r="C654" s="59"/>
      <c r="D654" s="59"/>
      <c r="J654" s="25"/>
    </row>
    <row r="655" ht="12.75" customHeight="1">
      <c r="A655" s="25"/>
      <c r="C655" s="59"/>
      <c r="D655" s="59"/>
      <c r="J655" s="25"/>
    </row>
    <row r="656" ht="12.75" customHeight="1">
      <c r="A656" s="25"/>
      <c r="C656" s="59"/>
      <c r="D656" s="59"/>
      <c r="J656" s="25"/>
    </row>
    <row r="657" ht="12.75" customHeight="1">
      <c r="A657" s="25"/>
      <c r="C657" s="59"/>
      <c r="D657" s="59"/>
      <c r="J657" s="25"/>
    </row>
    <row r="658" ht="12.75" customHeight="1">
      <c r="A658" s="25"/>
      <c r="C658" s="59"/>
      <c r="D658" s="59"/>
      <c r="J658" s="25"/>
    </row>
    <row r="659" ht="12.75" customHeight="1">
      <c r="A659" s="25"/>
      <c r="C659" s="59"/>
      <c r="D659" s="59"/>
      <c r="J659" s="25"/>
    </row>
    <row r="660" ht="12.75" customHeight="1">
      <c r="A660" s="25"/>
      <c r="C660" s="59"/>
      <c r="D660" s="59"/>
      <c r="J660" s="25"/>
    </row>
    <row r="661" ht="12.75" customHeight="1">
      <c r="A661" s="25"/>
      <c r="C661" s="59"/>
      <c r="D661" s="59"/>
      <c r="J661" s="25"/>
    </row>
    <row r="662" ht="12.75" customHeight="1">
      <c r="A662" s="25"/>
      <c r="C662" s="59"/>
      <c r="D662" s="59"/>
      <c r="J662" s="25"/>
    </row>
    <row r="663" ht="12.75" customHeight="1">
      <c r="A663" s="25"/>
      <c r="C663" s="59"/>
      <c r="D663" s="59"/>
      <c r="J663" s="25"/>
    </row>
    <row r="664" ht="12.75" customHeight="1">
      <c r="A664" s="25"/>
      <c r="C664" s="59"/>
      <c r="D664" s="59"/>
      <c r="J664" s="25"/>
    </row>
    <row r="665" ht="12.75" customHeight="1">
      <c r="A665" s="25"/>
      <c r="C665" s="59"/>
      <c r="D665" s="59"/>
      <c r="J665" s="25"/>
    </row>
    <row r="666" ht="12.75" customHeight="1">
      <c r="A666" s="25"/>
      <c r="C666" s="59"/>
      <c r="D666" s="59"/>
      <c r="J666" s="25"/>
    </row>
    <row r="667" ht="12.75" customHeight="1">
      <c r="A667" s="25"/>
      <c r="C667" s="59"/>
      <c r="D667" s="59"/>
      <c r="J667" s="25"/>
    </row>
    <row r="668" ht="12.75" customHeight="1">
      <c r="A668" s="25"/>
      <c r="C668" s="59"/>
      <c r="D668" s="59"/>
      <c r="J668" s="25"/>
    </row>
    <row r="669" ht="12.75" customHeight="1">
      <c r="A669" s="25"/>
      <c r="C669" s="59"/>
      <c r="D669" s="59"/>
      <c r="J669" s="25"/>
    </row>
    <row r="670" ht="12.75" customHeight="1">
      <c r="A670" s="25"/>
      <c r="C670" s="59"/>
      <c r="D670" s="59"/>
      <c r="J670" s="25"/>
    </row>
    <row r="671" ht="12.75" customHeight="1">
      <c r="A671" s="25"/>
      <c r="C671" s="59"/>
      <c r="D671" s="59"/>
      <c r="J671" s="25"/>
    </row>
    <row r="672" ht="12.75" customHeight="1">
      <c r="A672" s="25"/>
      <c r="C672" s="59"/>
      <c r="D672" s="59"/>
      <c r="J672" s="25"/>
    </row>
    <row r="673" ht="12.75" customHeight="1">
      <c r="A673" s="25"/>
      <c r="C673" s="59"/>
      <c r="D673" s="59"/>
      <c r="J673" s="25"/>
    </row>
    <row r="674" ht="12.75" customHeight="1">
      <c r="A674" s="25"/>
      <c r="C674" s="59"/>
      <c r="D674" s="59"/>
      <c r="J674" s="25"/>
    </row>
    <row r="675" ht="12.75" customHeight="1">
      <c r="A675" s="25"/>
      <c r="C675" s="59"/>
      <c r="D675" s="59"/>
      <c r="J675" s="25"/>
    </row>
    <row r="676" ht="12.75" customHeight="1">
      <c r="A676" s="25"/>
      <c r="C676" s="59"/>
      <c r="D676" s="59"/>
      <c r="J676" s="25"/>
    </row>
    <row r="677" ht="12.75" customHeight="1">
      <c r="A677" s="25"/>
      <c r="C677" s="59"/>
      <c r="D677" s="59"/>
      <c r="J677" s="25"/>
    </row>
    <row r="678" ht="12.75" customHeight="1">
      <c r="A678" s="25"/>
      <c r="C678" s="59"/>
      <c r="D678" s="59"/>
      <c r="J678" s="25"/>
    </row>
    <row r="679" ht="12.75" customHeight="1">
      <c r="A679" s="25"/>
      <c r="C679" s="59"/>
      <c r="D679" s="59"/>
      <c r="J679" s="25"/>
    </row>
    <row r="680" ht="12.75" customHeight="1">
      <c r="A680" s="25"/>
      <c r="C680" s="59"/>
      <c r="D680" s="59"/>
      <c r="J680" s="25"/>
    </row>
    <row r="681" ht="12.75" customHeight="1">
      <c r="A681" s="25"/>
      <c r="C681" s="59"/>
      <c r="D681" s="59"/>
      <c r="J681" s="25"/>
    </row>
    <row r="682" ht="12.75" customHeight="1">
      <c r="A682" s="25"/>
      <c r="C682" s="59"/>
      <c r="D682" s="59"/>
      <c r="J682" s="25"/>
    </row>
    <row r="683" ht="12.75" customHeight="1">
      <c r="A683" s="25"/>
      <c r="C683" s="59"/>
      <c r="D683" s="59"/>
      <c r="J683" s="25"/>
    </row>
    <row r="684" ht="12.75" customHeight="1">
      <c r="A684" s="25"/>
      <c r="C684" s="59"/>
      <c r="D684" s="59"/>
      <c r="J684" s="25"/>
    </row>
    <row r="685" ht="12.75" customHeight="1">
      <c r="A685" s="25"/>
      <c r="C685" s="59"/>
      <c r="D685" s="59"/>
      <c r="J685" s="25"/>
    </row>
    <row r="686" ht="12.75" customHeight="1">
      <c r="A686" s="25"/>
      <c r="C686" s="59"/>
      <c r="D686" s="59"/>
      <c r="J686" s="25"/>
    </row>
    <row r="687" ht="12.75" customHeight="1">
      <c r="A687" s="25"/>
      <c r="C687" s="59"/>
      <c r="D687" s="59"/>
      <c r="J687" s="25"/>
    </row>
    <row r="688" ht="12.75" customHeight="1">
      <c r="A688" s="25"/>
      <c r="C688" s="59"/>
      <c r="D688" s="59"/>
      <c r="J688" s="25"/>
    </row>
    <row r="689" ht="12.75" customHeight="1">
      <c r="A689" s="25"/>
      <c r="C689" s="59"/>
      <c r="D689" s="59"/>
      <c r="J689" s="25"/>
    </row>
    <row r="690" ht="12.75" customHeight="1">
      <c r="A690" s="25"/>
      <c r="C690" s="59"/>
      <c r="D690" s="59"/>
      <c r="J690" s="25"/>
    </row>
    <row r="691" ht="12.75" customHeight="1">
      <c r="A691" s="25"/>
      <c r="C691" s="59"/>
      <c r="D691" s="59"/>
      <c r="J691" s="25"/>
    </row>
    <row r="692" ht="12.75" customHeight="1">
      <c r="A692" s="25"/>
      <c r="C692" s="59"/>
      <c r="D692" s="59"/>
      <c r="J692" s="25"/>
    </row>
    <row r="693" ht="12.75" customHeight="1">
      <c r="A693" s="25"/>
      <c r="C693" s="59"/>
      <c r="D693" s="59"/>
      <c r="J693" s="25"/>
    </row>
    <row r="694" ht="12.75" customHeight="1">
      <c r="A694" s="25"/>
      <c r="C694" s="59"/>
      <c r="D694" s="59"/>
      <c r="J694" s="25"/>
    </row>
    <row r="695" ht="12.75" customHeight="1">
      <c r="A695" s="25"/>
      <c r="C695" s="59"/>
      <c r="D695" s="59"/>
      <c r="J695" s="25"/>
    </row>
    <row r="696" ht="12.75" customHeight="1">
      <c r="A696" s="25"/>
      <c r="C696" s="59"/>
      <c r="D696" s="59"/>
      <c r="J696" s="25"/>
    </row>
    <row r="697" ht="12.75" customHeight="1">
      <c r="A697" s="25"/>
      <c r="C697" s="59"/>
      <c r="D697" s="59"/>
      <c r="J697" s="25"/>
    </row>
    <row r="698" ht="12.75" customHeight="1">
      <c r="A698" s="25"/>
      <c r="C698" s="59"/>
      <c r="D698" s="59"/>
      <c r="J698" s="25"/>
    </row>
    <row r="699" ht="12.75" customHeight="1">
      <c r="A699" s="25"/>
      <c r="C699" s="59"/>
      <c r="D699" s="59"/>
      <c r="J699" s="25"/>
    </row>
    <row r="700" ht="12.75" customHeight="1">
      <c r="A700" s="25"/>
      <c r="C700" s="59"/>
      <c r="D700" s="59"/>
      <c r="J700" s="25"/>
    </row>
    <row r="701" ht="12.75" customHeight="1">
      <c r="A701" s="25"/>
      <c r="C701" s="59"/>
      <c r="D701" s="59"/>
      <c r="J701" s="25"/>
    </row>
    <row r="702" ht="12.75" customHeight="1">
      <c r="A702" s="25"/>
      <c r="C702" s="59"/>
      <c r="D702" s="59"/>
      <c r="J702" s="25"/>
    </row>
    <row r="703" ht="12.75" customHeight="1">
      <c r="A703" s="25"/>
      <c r="C703" s="59"/>
      <c r="D703" s="59"/>
      <c r="J703" s="25"/>
    </row>
    <row r="704" ht="12.75" customHeight="1">
      <c r="A704" s="25"/>
      <c r="C704" s="59"/>
      <c r="D704" s="59"/>
      <c r="J704" s="25"/>
    </row>
    <row r="705" ht="12.75" customHeight="1">
      <c r="A705" s="25"/>
      <c r="C705" s="59"/>
      <c r="D705" s="59"/>
      <c r="J705" s="25"/>
    </row>
    <row r="706" ht="12.75" customHeight="1">
      <c r="A706" s="25"/>
      <c r="C706" s="59"/>
      <c r="D706" s="59"/>
      <c r="J706" s="25"/>
    </row>
    <row r="707" ht="12.75" customHeight="1">
      <c r="A707" s="25"/>
      <c r="C707" s="59"/>
      <c r="D707" s="59"/>
      <c r="J707" s="25"/>
    </row>
    <row r="708" ht="12.75" customHeight="1">
      <c r="A708" s="25"/>
      <c r="C708" s="59"/>
      <c r="D708" s="59"/>
      <c r="J708" s="25"/>
    </row>
    <row r="709" ht="12.75" customHeight="1">
      <c r="A709" s="25"/>
      <c r="C709" s="59"/>
      <c r="D709" s="59"/>
      <c r="J709" s="25"/>
    </row>
    <row r="710" ht="12.75" customHeight="1">
      <c r="A710" s="25"/>
      <c r="C710" s="59"/>
      <c r="D710" s="59"/>
      <c r="J710" s="25"/>
    </row>
    <row r="711" ht="12.75" customHeight="1">
      <c r="A711" s="25"/>
      <c r="C711" s="59"/>
      <c r="D711" s="59"/>
      <c r="J711" s="25"/>
    </row>
    <row r="712" ht="12.75" customHeight="1">
      <c r="A712" s="25"/>
      <c r="C712" s="59"/>
      <c r="D712" s="59"/>
      <c r="J712" s="25"/>
    </row>
    <row r="713" ht="12.75" customHeight="1">
      <c r="A713" s="25"/>
      <c r="C713" s="59"/>
      <c r="D713" s="59"/>
      <c r="J713" s="25"/>
    </row>
    <row r="714" ht="12.75" customHeight="1">
      <c r="A714" s="25"/>
      <c r="C714" s="59"/>
      <c r="D714" s="59"/>
      <c r="J714" s="25"/>
    </row>
    <row r="715" ht="12.75" customHeight="1">
      <c r="A715" s="25"/>
      <c r="C715" s="59"/>
      <c r="D715" s="59"/>
      <c r="J715" s="25"/>
    </row>
    <row r="716" ht="12.75" customHeight="1">
      <c r="A716" s="25"/>
      <c r="C716" s="59"/>
      <c r="D716" s="59"/>
      <c r="J716" s="25"/>
    </row>
    <row r="717" ht="12.75" customHeight="1">
      <c r="A717" s="25"/>
      <c r="C717" s="59"/>
      <c r="D717" s="59"/>
      <c r="J717" s="25"/>
    </row>
    <row r="718" ht="12.75" customHeight="1">
      <c r="A718" s="25"/>
      <c r="C718" s="59"/>
      <c r="D718" s="59"/>
      <c r="J718" s="25"/>
    </row>
    <row r="719" ht="12.75" customHeight="1">
      <c r="A719" s="25"/>
      <c r="C719" s="59"/>
      <c r="D719" s="59"/>
      <c r="J719" s="25"/>
    </row>
    <row r="720" ht="12.75" customHeight="1">
      <c r="A720" s="25"/>
      <c r="C720" s="59"/>
      <c r="D720" s="59"/>
      <c r="J720" s="25"/>
    </row>
    <row r="721" ht="12.75" customHeight="1">
      <c r="A721" s="25"/>
      <c r="C721" s="59"/>
      <c r="D721" s="59"/>
      <c r="J721" s="25"/>
    </row>
    <row r="722" ht="12.75" customHeight="1">
      <c r="A722" s="25"/>
      <c r="C722" s="59"/>
      <c r="D722" s="59"/>
      <c r="J722" s="25"/>
    </row>
    <row r="723" ht="12.75" customHeight="1">
      <c r="A723" s="25"/>
      <c r="C723" s="59"/>
      <c r="D723" s="59"/>
      <c r="J723" s="25"/>
    </row>
    <row r="724" ht="12.75" customHeight="1">
      <c r="A724" s="25"/>
      <c r="C724" s="59"/>
      <c r="D724" s="59"/>
      <c r="J724" s="25"/>
    </row>
    <row r="725" ht="12.75" customHeight="1">
      <c r="A725" s="25"/>
      <c r="C725" s="59"/>
      <c r="D725" s="59"/>
      <c r="J725" s="25"/>
    </row>
    <row r="726" ht="12.75" customHeight="1">
      <c r="A726" s="25"/>
      <c r="C726" s="59"/>
      <c r="D726" s="59"/>
      <c r="J726" s="25"/>
    </row>
    <row r="727" ht="12.75" customHeight="1">
      <c r="A727" s="25"/>
      <c r="C727" s="59"/>
      <c r="D727" s="59"/>
      <c r="J727" s="25"/>
    </row>
    <row r="728" ht="12.75" customHeight="1">
      <c r="A728" s="25"/>
      <c r="C728" s="59"/>
      <c r="D728" s="59"/>
      <c r="J728" s="25"/>
    </row>
    <row r="729" ht="12.75" customHeight="1">
      <c r="A729" s="25"/>
      <c r="C729" s="59"/>
      <c r="D729" s="59"/>
      <c r="J729" s="25"/>
    </row>
    <row r="730" ht="12.75" customHeight="1">
      <c r="A730" s="25"/>
      <c r="C730" s="59"/>
      <c r="D730" s="59"/>
      <c r="J730" s="25"/>
    </row>
    <row r="731" ht="12.75" customHeight="1">
      <c r="A731" s="25"/>
      <c r="C731" s="59"/>
      <c r="D731" s="59"/>
      <c r="J731" s="25"/>
    </row>
    <row r="732" ht="12.75" customHeight="1">
      <c r="A732" s="25"/>
      <c r="C732" s="59"/>
      <c r="D732" s="59"/>
      <c r="J732" s="25"/>
    </row>
    <row r="733" ht="12.75" customHeight="1">
      <c r="A733" s="25"/>
      <c r="C733" s="59"/>
      <c r="D733" s="59"/>
      <c r="J733" s="25"/>
    </row>
    <row r="734" ht="12.75" customHeight="1">
      <c r="A734" s="25"/>
      <c r="C734" s="59"/>
      <c r="D734" s="59"/>
      <c r="J734" s="25"/>
    </row>
    <row r="735" ht="12.75" customHeight="1">
      <c r="A735" s="25"/>
      <c r="C735" s="59"/>
      <c r="D735" s="59"/>
      <c r="J735" s="25"/>
    </row>
    <row r="736" ht="12.75" customHeight="1">
      <c r="A736" s="25"/>
      <c r="C736" s="59"/>
      <c r="D736" s="59"/>
      <c r="J736" s="25"/>
    </row>
    <row r="737" ht="12.75" customHeight="1">
      <c r="A737" s="25"/>
      <c r="C737" s="59"/>
      <c r="D737" s="59"/>
      <c r="J737" s="25"/>
    </row>
    <row r="738" ht="12.75" customHeight="1">
      <c r="A738" s="25"/>
      <c r="C738" s="59"/>
      <c r="D738" s="59"/>
      <c r="J738" s="25"/>
    </row>
    <row r="739" ht="12.75" customHeight="1">
      <c r="A739" s="25"/>
      <c r="C739" s="59"/>
      <c r="D739" s="59"/>
      <c r="J739" s="25"/>
    </row>
    <row r="740" ht="12.75" customHeight="1">
      <c r="A740" s="25"/>
      <c r="C740" s="59"/>
      <c r="D740" s="59"/>
      <c r="J740" s="25"/>
    </row>
    <row r="741" ht="12.75" customHeight="1">
      <c r="A741" s="25"/>
      <c r="C741" s="59"/>
      <c r="D741" s="59"/>
      <c r="J741" s="25"/>
    </row>
    <row r="742" ht="12.75" customHeight="1">
      <c r="A742" s="25"/>
      <c r="C742" s="59"/>
      <c r="D742" s="59"/>
      <c r="J742" s="25"/>
    </row>
    <row r="743" ht="12.75" customHeight="1">
      <c r="A743" s="25"/>
      <c r="C743" s="59"/>
      <c r="D743" s="59"/>
      <c r="J743" s="25"/>
    </row>
    <row r="744" ht="12.75" customHeight="1">
      <c r="A744" s="25"/>
      <c r="C744" s="59"/>
      <c r="D744" s="59"/>
      <c r="J744" s="25"/>
    </row>
    <row r="745" ht="12.75" customHeight="1">
      <c r="A745" s="25"/>
      <c r="C745" s="59"/>
      <c r="D745" s="59"/>
      <c r="J745" s="25"/>
    </row>
    <row r="746" ht="12.75" customHeight="1">
      <c r="A746" s="25"/>
      <c r="C746" s="59"/>
      <c r="D746" s="59"/>
      <c r="J746" s="25"/>
    </row>
    <row r="747" ht="12.75" customHeight="1">
      <c r="A747" s="25"/>
      <c r="C747" s="59"/>
      <c r="D747" s="59"/>
      <c r="J747" s="25"/>
    </row>
    <row r="748" ht="12.75" customHeight="1">
      <c r="A748" s="25"/>
      <c r="C748" s="59"/>
      <c r="D748" s="59"/>
      <c r="J748" s="25"/>
    </row>
    <row r="749" ht="12.75" customHeight="1">
      <c r="A749" s="25"/>
      <c r="C749" s="59"/>
      <c r="D749" s="59"/>
      <c r="J749" s="25"/>
    </row>
    <row r="750" ht="12.75" customHeight="1">
      <c r="A750" s="25"/>
      <c r="C750" s="59"/>
      <c r="D750" s="59"/>
      <c r="J750" s="25"/>
    </row>
    <row r="751" ht="12.75" customHeight="1">
      <c r="A751" s="25"/>
      <c r="C751" s="59"/>
      <c r="D751" s="59"/>
      <c r="J751" s="25"/>
    </row>
    <row r="752" ht="12.75" customHeight="1">
      <c r="A752" s="25"/>
      <c r="C752" s="59"/>
      <c r="D752" s="59"/>
      <c r="J752" s="25"/>
    </row>
    <row r="753" ht="12.75" customHeight="1">
      <c r="A753" s="25"/>
      <c r="C753" s="59"/>
      <c r="D753" s="59"/>
      <c r="J753" s="25"/>
    </row>
    <row r="754" ht="12.75" customHeight="1">
      <c r="A754" s="25"/>
      <c r="C754" s="59"/>
      <c r="D754" s="59"/>
      <c r="J754" s="25"/>
    </row>
    <row r="755" ht="12.75" customHeight="1">
      <c r="A755" s="25"/>
      <c r="C755" s="59"/>
      <c r="D755" s="59"/>
      <c r="J755" s="25"/>
    </row>
    <row r="756" ht="12.75" customHeight="1">
      <c r="A756" s="25"/>
      <c r="C756" s="59"/>
      <c r="D756" s="59"/>
      <c r="J756" s="25"/>
    </row>
    <row r="757" ht="12.75" customHeight="1">
      <c r="A757" s="25"/>
      <c r="C757" s="59"/>
      <c r="D757" s="59"/>
      <c r="J757" s="25"/>
    </row>
    <row r="758" ht="12.75" customHeight="1">
      <c r="A758" s="25"/>
      <c r="C758" s="59"/>
      <c r="D758" s="59"/>
      <c r="J758" s="25"/>
    </row>
    <row r="759" ht="12.75" customHeight="1">
      <c r="A759" s="25"/>
      <c r="C759" s="59"/>
      <c r="D759" s="59"/>
      <c r="J759" s="25"/>
    </row>
    <row r="760" ht="12.75" customHeight="1">
      <c r="A760" s="25"/>
      <c r="C760" s="59"/>
      <c r="D760" s="59"/>
      <c r="J760" s="25"/>
    </row>
    <row r="761" ht="12.75" customHeight="1">
      <c r="A761" s="25"/>
      <c r="C761" s="59"/>
      <c r="D761" s="59"/>
      <c r="J761" s="25"/>
    </row>
    <row r="762" ht="12.75" customHeight="1">
      <c r="A762" s="25"/>
      <c r="C762" s="59"/>
      <c r="D762" s="59"/>
      <c r="J762" s="25"/>
    </row>
    <row r="763" ht="12.75" customHeight="1">
      <c r="A763" s="25"/>
      <c r="C763" s="59"/>
      <c r="D763" s="59"/>
      <c r="J763" s="25"/>
    </row>
    <row r="764" ht="12.75" customHeight="1">
      <c r="A764" s="25"/>
      <c r="C764" s="59"/>
      <c r="D764" s="59"/>
      <c r="J764" s="25"/>
    </row>
    <row r="765" ht="12.75" customHeight="1">
      <c r="A765" s="25"/>
      <c r="C765" s="59"/>
      <c r="D765" s="59"/>
      <c r="J765" s="25"/>
    </row>
    <row r="766" ht="12.75" customHeight="1">
      <c r="A766" s="25"/>
      <c r="C766" s="59"/>
      <c r="D766" s="59"/>
      <c r="J766" s="25"/>
    </row>
    <row r="767" ht="12.75" customHeight="1">
      <c r="A767" s="25"/>
      <c r="C767" s="59"/>
      <c r="D767" s="59"/>
      <c r="J767" s="25"/>
    </row>
    <row r="768" ht="12.75" customHeight="1">
      <c r="A768" s="25"/>
      <c r="C768" s="59"/>
      <c r="D768" s="59"/>
      <c r="J768" s="25"/>
    </row>
    <row r="769" ht="12.75" customHeight="1">
      <c r="A769" s="25"/>
      <c r="C769" s="59"/>
      <c r="D769" s="59"/>
      <c r="J769" s="25"/>
    </row>
    <row r="770" ht="12.75" customHeight="1">
      <c r="A770" s="25"/>
      <c r="C770" s="59"/>
      <c r="D770" s="59"/>
      <c r="J770" s="25"/>
    </row>
    <row r="771" ht="12.75" customHeight="1">
      <c r="A771" s="25"/>
      <c r="C771" s="59"/>
      <c r="D771" s="59"/>
      <c r="J771" s="25"/>
    </row>
    <row r="772" ht="12.75" customHeight="1">
      <c r="A772" s="25"/>
      <c r="C772" s="59"/>
      <c r="D772" s="59"/>
      <c r="J772" s="25"/>
    </row>
    <row r="773" ht="12.75" customHeight="1">
      <c r="A773" s="25"/>
      <c r="C773" s="59"/>
      <c r="D773" s="59"/>
      <c r="J773" s="25"/>
    </row>
    <row r="774" ht="12.75" customHeight="1">
      <c r="A774" s="25"/>
      <c r="C774" s="59"/>
      <c r="D774" s="59"/>
      <c r="J774" s="25"/>
    </row>
    <row r="775" ht="12.75" customHeight="1">
      <c r="A775" s="25"/>
      <c r="C775" s="59"/>
      <c r="D775" s="59"/>
      <c r="J775" s="25"/>
    </row>
    <row r="776" ht="12.75" customHeight="1">
      <c r="A776" s="25"/>
      <c r="C776" s="59"/>
      <c r="D776" s="59"/>
      <c r="J776" s="25"/>
    </row>
    <row r="777" ht="12.75" customHeight="1">
      <c r="A777" s="25"/>
      <c r="C777" s="59"/>
      <c r="D777" s="59"/>
      <c r="J777" s="25"/>
    </row>
    <row r="778" ht="12.75" customHeight="1">
      <c r="A778" s="25"/>
      <c r="C778" s="59"/>
      <c r="D778" s="59"/>
      <c r="J778" s="25"/>
    </row>
    <row r="779" ht="12.75" customHeight="1">
      <c r="A779" s="25"/>
      <c r="C779" s="59"/>
      <c r="D779" s="59"/>
      <c r="J779" s="25"/>
    </row>
    <row r="780" ht="12.75" customHeight="1">
      <c r="A780" s="25"/>
      <c r="C780" s="59"/>
      <c r="D780" s="59"/>
      <c r="J780" s="25"/>
    </row>
    <row r="781" ht="12.75" customHeight="1">
      <c r="A781" s="25"/>
      <c r="C781" s="59"/>
      <c r="D781" s="59"/>
      <c r="J781" s="25"/>
    </row>
    <row r="782" ht="12.75" customHeight="1">
      <c r="A782" s="25"/>
      <c r="C782" s="59"/>
      <c r="D782" s="59"/>
      <c r="J782" s="25"/>
    </row>
    <row r="783" ht="12.75" customHeight="1">
      <c r="A783" s="25"/>
      <c r="C783" s="59"/>
      <c r="D783" s="59"/>
      <c r="J783" s="25"/>
    </row>
    <row r="784" ht="12.75" customHeight="1">
      <c r="A784" s="25"/>
      <c r="C784" s="59"/>
      <c r="D784" s="59"/>
      <c r="J784" s="25"/>
    </row>
    <row r="785" ht="12.75" customHeight="1">
      <c r="A785" s="25"/>
      <c r="C785" s="59"/>
      <c r="D785" s="59"/>
      <c r="J785" s="25"/>
    </row>
    <row r="786" ht="12.75" customHeight="1">
      <c r="A786" s="25"/>
      <c r="C786" s="59"/>
      <c r="D786" s="59"/>
      <c r="J786" s="25"/>
    </row>
    <row r="787" ht="12.75" customHeight="1">
      <c r="A787" s="25"/>
      <c r="C787" s="59"/>
      <c r="D787" s="59"/>
      <c r="J787" s="25"/>
    </row>
    <row r="788" ht="12.75" customHeight="1">
      <c r="A788" s="25"/>
      <c r="C788" s="59"/>
      <c r="D788" s="59"/>
      <c r="J788" s="25"/>
    </row>
    <row r="789" ht="12.75" customHeight="1">
      <c r="A789" s="25"/>
      <c r="C789" s="59"/>
      <c r="D789" s="59"/>
      <c r="J789" s="25"/>
    </row>
    <row r="790" ht="12.75" customHeight="1">
      <c r="A790" s="25"/>
      <c r="C790" s="59"/>
      <c r="D790" s="59"/>
      <c r="J790" s="25"/>
    </row>
    <row r="791" ht="12.75" customHeight="1">
      <c r="A791" s="25"/>
      <c r="C791" s="59"/>
      <c r="D791" s="59"/>
      <c r="J791" s="25"/>
    </row>
    <row r="792" ht="12.75" customHeight="1">
      <c r="A792" s="25"/>
      <c r="C792" s="59"/>
      <c r="D792" s="59"/>
      <c r="J792" s="25"/>
    </row>
    <row r="793" ht="12.75" customHeight="1">
      <c r="A793" s="25"/>
      <c r="C793" s="59"/>
      <c r="D793" s="59"/>
      <c r="J793" s="25"/>
    </row>
    <row r="794" ht="12.75" customHeight="1">
      <c r="A794" s="25"/>
      <c r="C794" s="59"/>
      <c r="D794" s="59"/>
      <c r="J794" s="25"/>
    </row>
    <row r="795" ht="12.75" customHeight="1">
      <c r="A795" s="25"/>
      <c r="C795" s="59"/>
      <c r="D795" s="59"/>
      <c r="J795" s="25"/>
    </row>
    <row r="796" ht="12.75" customHeight="1">
      <c r="A796" s="25"/>
      <c r="C796" s="59"/>
      <c r="D796" s="59"/>
      <c r="J796" s="25"/>
    </row>
    <row r="797" ht="12.75" customHeight="1">
      <c r="A797" s="25"/>
      <c r="C797" s="59"/>
      <c r="D797" s="59"/>
      <c r="J797" s="25"/>
    </row>
    <row r="798" ht="12.75" customHeight="1">
      <c r="A798" s="25"/>
      <c r="C798" s="59"/>
      <c r="D798" s="59"/>
      <c r="J798" s="25"/>
    </row>
    <row r="799" ht="12.75" customHeight="1">
      <c r="A799" s="25"/>
      <c r="C799" s="59"/>
      <c r="D799" s="59"/>
      <c r="J799" s="25"/>
    </row>
    <row r="800" ht="12.75" customHeight="1">
      <c r="A800" s="25"/>
      <c r="C800" s="59"/>
      <c r="D800" s="59"/>
      <c r="J800" s="25"/>
    </row>
    <row r="801" ht="12.75" customHeight="1">
      <c r="A801" s="25"/>
      <c r="C801" s="59"/>
      <c r="D801" s="59"/>
      <c r="J801" s="25"/>
    </row>
    <row r="802" ht="12.75" customHeight="1">
      <c r="A802" s="25"/>
      <c r="C802" s="59"/>
      <c r="D802" s="59"/>
      <c r="J802" s="25"/>
    </row>
    <row r="803" ht="12.75" customHeight="1">
      <c r="A803" s="25"/>
      <c r="C803" s="59"/>
      <c r="D803" s="59"/>
      <c r="J803" s="25"/>
    </row>
    <row r="804" ht="12.75" customHeight="1">
      <c r="A804" s="25"/>
      <c r="C804" s="59"/>
      <c r="D804" s="59"/>
      <c r="J804" s="25"/>
    </row>
    <row r="805" ht="12.75" customHeight="1">
      <c r="A805" s="25"/>
      <c r="C805" s="59"/>
      <c r="D805" s="59"/>
      <c r="J805" s="25"/>
    </row>
    <row r="806" ht="12.75" customHeight="1">
      <c r="A806" s="25"/>
      <c r="C806" s="59"/>
      <c r="D806" s="59"/>
      <c r="J806" s="25"/>
    </row>
    <row r="807" ht="12.75" customHeight="1">
      <c r="A807" s="25"/>
      <c r="C807" s="59"/>
      <c r="D807" s="59"/>
      <c r="J807" s="25"/>
    </row>
    <row r="808" ht="12.75" customHeight="1">
      <c r="A808" s="25"/>
      <c r="C808" s="59"/>
      <c r="D808" s="59"/>
      <c r="J808" s="25"/>
    </row>
    <row r="809" ht="12.75" customHeight="1">
      <c r="A809" s="25"/>
      <c r="C809" s="59"/>
      <c r="D809" s="59"/>
      <c r="J809" s="25"/>
    </row>
    <row r="810" ht="12.75" customHeight="1">
      <c r="A810" s="25"/>
      <c r="C810" s="59"/>
      <c r="D810" s="59"/>
      <c r="J810" s="25"/>
    </row>
    <row r="811" ht="12.75" customHeight="1">
      <c r="A811" s="25"/>
      <c r="C811" s="59"/>
      <c r="D811" s="59"/>
      <c r="J811" s="25"/>
    </row>
    <row r="812" ht="12.75" customHeight="1">
      <c r="A812" s="25"/>
      <c r="C812" s="59"/>
      <c r="D812" s="59"/>
      <c r="J812" s="25"/>
    </row>
    <row r="813" ht="12.75" customHeight="1">
      <c r="A813" s="25"/>
      <c r="C813" s="59"/>
      <c r="D813" s="59"/>
      <c r="J813" s="25"/>
    </row>
    <row r="814" ht="12.75" customHeight="1">
      <c r="A814" s="25"/>
      <c r="C814" s="59"/>
      <c r="D814" s="59"/>
      <c r="J814" s="25"/>
    </row>
    <row r="815" ht="12.75" customHeight="1">
      <c r="A815" s="25"/>
      <c r="C815" s="59"/>
      <c r="D815" s="59"/>
      <c r="J815" s="25"/>
    </row>
    <row r="816" ht="12.75" customHeight="1">
      <c r="A816" s="25"/>
      <c r="C816" s="59"/>
      <c r="D816" s="59"/>
      <c r="J816" s="25"/>
    </row>
    <row r="817" ht="12.75" customHeight="1">
      <c r="A817" s="25"/>
      <c r="C817" s="59"/>
      <c r="D817" s="59"/>
      <c r="J817" s="25"/>
    </row>
    <row r="818" ht="12.75" customHeight="1">
      <c r="A818" s="25"/>
      <c r="C818" s="59"/>
      <c r="D818" s="59"/>
      <c r="J818" s="25"/>
    </row>
    <row r="819" ht="12.75" customHeight="1">
      <c r="A819" s="25"/>
      <c r="C819" s="59"/>
      <c r="D819" s="59"/>
      <c r="J819" s="25"/>
    </row>
    <row r="820" ht="12.75" customHeight="1">
      <c r="A820" s="25"/>
      <c r="C820" s="59"/>
      <c r="D820" s="59"/>
      <c r="J820" s="25"/>
    </row>
    <row r="821" ht="12.75" customHeight="1">
      <c r="A821" s="25"/>
      <c r="C821" s="59"/>
      <c r="D821" s="59"/>
      <c r="J821" s="25"/>
    </row>
    <row r="822" ht="12.75" customHeight="1">
      <c r="A822" s="25"/>
      <c r="C822" s="59"/>
      <c r="D822" s="59"/>
      <c r="J822" s="25"/>
    </row>
    <row r="823" ht="12.75" customHeight="1">
      <c r="A823" s="25"/>
      <c r="C823" s="59"/>
      <c r="D823" s="59"/>
      <c r="J823" s="25"/>
    </row>
    <row r="824" ht="12.75" customHeight="1">
      <c r="A824" s="25"/>
      <c r="C824" s="59"/>
      <c r="D824" s="59"/>
      <c r="J824" s="25"/>
    </row>
    <row r="825" ht="12.75" customHeight="1">
      <c r="A825" s="25"/>
      <c r="C825" s="59"/>
      <c r="D825" s="59"/>
      <c r="J825" s="25"/>
    </row>
    <row r="826" ht="12.75" customHeight="1">
      <c r="A826" s="25"/>
      <c r="C826" s="59"/>
      <c r="D826" s="59"/>
      <c r="J826" s="25"/>
    </row>
    <row r="827" ht="12.75" customHeight="1">
      <c r="A827" s="25"/>
      <c r="C827" s="59"/>
      <c r="D827" s="59"/>
      <c r="J827" s="25"/>
    </row>
    <row r="828" ht="12.75" customHeight="1">
      <c r="A828" s="25"/>
      <c r="C828" s="59"/>
      <c r="D828" s="59"/>
      <c r="J828" s="25"/>
    </row>
    <row r="829" ht="12.75" customHeight="1">
      <c r="A829" s="25"/>
      <c r="C829" s="59"/>
      <c r="D829" s="59"/>
      <c r="J829" s="25"/>
    </row>
    <row r="830" ht="12.75" customHeight="1">
      <c r="A830" s="25"/>
      <c r="C830" s="59"/>
      <c r="D830" s="59"/>
      <c r="J830" s="25"/>
    </row>
    <row r="831" ht="12.75" customHeight="1">
      <c r="A831" s="25"/>
      <c r="C831" s="59"/>
      <c r="D831" s="59"/>
      <c r="J831" s="25"/>
    </row>
    <row r="832" ht="12.75" customHeight="1">
      <c r="A832" s="25"/>
      <c r="C832" s="59"/>
      <c r="D832" s="59"/>
      <c r="J832" s="25"/>
    </row>
    <row r="833" ht="12.75" customHeight="1">
      <c r="A833" s="25"/>
      <c r="C833" s="59"/>
      <c r="D833" s="59"/>
      <c r="J833" s="25"/>
    </row>
    <row r="834" ht="12.75" customHeight="1">
      <c r="A834" s="25"/>
      <c r="C834" s="59"/>
      <c r="D834" s="59"/>
      <c r="J834" s="25"/>
    </row>
    <row r="835" ht="12.75" customHeight="1">
      <c r="A835" s="25"/>
      <c r="C835" s="59"/>
      <c r="D835" s="59"/>
      <c r="J835" s="25"/>
    </row>
    <row r="836" ht="12.75" customHeight="1">
      <c r="A836" s="25"/>
      <c r="C836" s="59"/>
      <c r="D836" s="59"/>
      <c r="J836" s="25"/>
    </row>
    <row r="837" ht="12.75" customHeight="1">
      <c r="A837" s="25"/>
      <c r="C837" s="59"/>
      <c r="D837" s="59"/>
      <c r="J837" s="25"/>
    </row>
    <row r="838" ht="12.75" customHeight="1">
      <c r="A838" s="25"/>
      <c r="C838" s="59"/>
      <c r="D838" s="59"/>
      <c r="J838" s="25"/>
    </row>
    <row r="839" ht="12.75" customHeight="1">
      <c r="A839" s="25"/>
      <c r="C839" s="59"/>
      <c r="D839" s="59"/>
      <c r="J839" s="25"/>
    </row>
    <row r="840" ht="12.75" customHeight="1">
      <c r="A840" s="25"/>
      <c r="C840" s="59"/>
      <c r="D840" s="59"/>
      <c r="J840" s="25"/>
    </row>
    <row r="841" ht="12.75" customHeight="1">
      <c r="A841" s="25"/>
      <c r="C841" s="59"/>
      <c r="D841" s="59"/>
      <c r="J841" s="25"/>
    </row>
    <row r="842" ht="12.75" customHeight="1">
      <c r="A842" s="25"/>
      <c r="C842" s="59"/>
      <c r="D842" s="59"/>
      <c r="J842" s="25"/>
    </row>
    <row r="843" ht="12.75" customHeight="1">
      <c r="A843" s="25"/>
      <c r="C843" s="59"/>
      <c r="D843" s="59"/>
      <c r="J843" s="25"/>
    </row>
    <row r="844" ht="12.75" customHeight="1">
      <c r="A844" s="25"/>
      <c r="C844" s="59"/>
      <c r="D844" s="59"/>
      <c r="J844" s="25"/>
    </row>
    <row r="845" ht="12.75" customHeight="1">
      <c r="A845" s="25"/>
      <c r="C845" s="59"/>
      <c r="D845" s="59"/>
      <c r="J845" s="25"/>
    </row>
    <row r="846" ht="12.75" customHeight="1">
      <c r="A846" s="25"/>
      <c r="C846" s="59"/>
      <c r="D846" s="59"/>
      <c r="J846" s="25"/>
    </row>
    <row r="847" ht="12.75" customHeight="1">
      <c r="A847" s="25"/>
      <c r="C847" s="59"/>
      <c r="D847" s="59"/>
      <c r="J847" s="25"/>
    </row>
    <row r="848" ht="12.75" customHeight="1">
      <c r="A848" s="25"/>
      <c r="C848" s="59"/>
      <c r="D848" s="59"/>
      <c r="J848" s="25"/>
    </row>
    <row r="849" ht="12.75" customHeight="1">
      <c r="A849" s="25"/>
      <c r="C849" s="59"/>
      <c r="D849" s="59"/>
      <c r="J849" s="25"/>
    </row>
    <row r="850" ht="12.75" customHeight="1">
      <c r="A850" s="25"/>
      <c r="C850" s="59"/>
      <c r="D850" s="59"/>
      <c r="J850" s="25"/>
    </row>
    <row r="851" ht="12.75" customHeight="1">
      <c r="A851" s="25"/>
      <c r="C851" s="59"/>
      <c r="D851" s="59"/>
      <c r="J851" s="25"/>
    </row>
    <row r="852" ht="12.75" customHeight="1">
      <c r="A852" s="25"/>
      <c r="C852" s="59"/>
      <c r="D852" s="59"/>
      <c r="J852" s="25"/>
    </row>
    <row r="853" ht="12.75" customHeight="1">
      <c r="A853" s="25"/>
      <c r="C853" s="59"/>
      <c r="D853" s="59"/>
      <c r="J853" s="25"/>
    </row>
    <row r="854" ht="12.75" customHeight="1">
      <c r="A854" s="25"/>
      <c r="C854" s="59"/>
      <c r="D854" s="59"/>
      <c r="J854" s="25"/>
    </row>
    <row r="855" ht="12.75" customHeight="1">
      <c r="A855" s="25"/>
      <c r="C855" s="59"/>
      <c r="D855" s="59"/>
      <c r="J855" s="25"/>
    </row>
    <row r="856" ht="12.75" customHeight="1">
      <c r="A856" s="25"/>
      <c r="C856" s="59"/>
      <c r="D856" s="59"/>
      <c r="J856" s="25"/>
    </row>
    <row r="857" ht="12.75" customHeight="1">
      <c r="A857" s="25"/>
      <c r="C857" s="59"/>
      <c r="D857" s="59"/>
      <c r="J857" s="25"/>
    </row>
    <row r="858" ht="12.75" customHeight="1">
      <c r="A858" s="25"/>
      <c r="C858" s="59"/>
      <c r="D858" s="59"/>
      <c r="J858" s="25"/>
    </row>
    <row r="859" ht="12.75" customHeight="1">
      <c r="A859" s="25"/>
      <c r="C859" s="59"/>
      <c r="D859" s="59"/>
      <c r="J859" s="25"/>
    </row>
    <row r="860" ht="12.75" customHeight="1">
      <c r="A860" s="25"/>
      <c r="C860" s="59"/>
      <c r="D860" s="59"/>
      <c r="J860" s="25"/>
    </row>
    <row r="861" ht="12.75" customHeight="1">
      <c r="A861" s="25"/>
      <c r="C861" s="59"/>
      <c r="D861" s="59"/>
      <c r="J861" s="25"/>
    </row>
    <row r="862" ht="12.75" customHeight="1">
      <c r="A862" s="25"/>
      <c r="C862" s="59"/>
      <c r="D862" s="59"/>
      <c r="J862" s="25"/>
    </row>
    <row r="863" ht="12.75" customHeight="1">
      <c r="A863" s="25"/>
      <c r="C863" s="59"/>
      <c r="D863" s="59"/>
      <c r="J863" s="25"/>
    </row>
    <row r="864" ht="12.75" customHeight="1">
      <c r="A864" s="25"/>
      <c r="C864" s="59"/>
      <c r="D864" s="59"/>
      <c r="J864" s="25"/>
    </row>
    <row r="865" ht="12.75" customHeight="1">
      <c r="A865" s="25"/>
      <c r="C865" s="59"/>
      <c r="D865" s="59"/>
      <c r="J865" s="25"/>
    </row>
    <row r="866" ht="12.75" customHeight="1">
      <c r="A866" s="25"/>
      <c r="C866" s="59"/>
      <c r="D866" s="59"/>
      <c r="J866" s="25"/>
    </row>
    <row r="867" ht="12.75" customHeight="1">
      <c r="A867" s="25"/>
      <c r="C867" s="59"/>
      <c r="D867" s="59"/>
      <c r="J867" s="25"/>
    </row>
    <row r="868" ht="12.75" customHeight="1">
      <c r="A868" s="25"/>
      <c r="C868" s="59"/>
      <c r="D868" s="59"/>
      <c r="J868" s="25"/>
    </row>
    <row r="869" ht="12.75" customHeight="1">
      <c r="A869" s="25"/>
      <c r="C869" s="59"/>
      <c r="D869" s="59"/>
      <c r="J869" s="25"/>
    </row>
    <row r="870" ht="12.75" customHeight="1">
      <c r="A870" s="25"/>
      <c r="C870" s="59"/>
      <c r="D870" s="59"/>
      <c r="J870" s="25"/>
    </row>
    <row r="871" ht="12.75" customHeight="1">
      <c r="A871" s="25"/>
      <c r="C871" s="59"/>
      <c r="D871" s="59"/>
      <c r="J871" s="25"/>
    </row>
    <row r="872" ht="12.75" customHeight="1">
      <c r="A872" s="25"/>
      <c r="C872" s="59"/>
      <c r="D872" s="59"/>
      <c r="J872" s="25"/>
    </row>
    <row r="873" ht="12.75" customHeight="1">
      <c r="A873" s="25"/>
      <c r="C873" s="59"/>
      <c r="D873" s="59"/>
      <c r="J873" s="25"/>
    </row>
    <row r="874" ht="12.75" customHeight="1">
      <c r="A874" s="25"/>
      <c r="C874" s="59"/>
      <c r="D874" s="59"/>
      <c r="J874" s="25"/>
    </row>
    <row r="875" ht="12.75" customHeight="1">
      <c r="A875" s="25"/>
      <c r="C875" s="59"/>
      <c r="D875" s="59"/>
      <c r="J875" s="25"/>
    </row>
    <row r="876" ht="12.75" customHeight="1">
      <c r="A876" s="25"/>
      <c r="C876" s="59"/>
      <c r="D876" s="59"/>
      <c r="J876" s="25"/>
    </row>
    <row r="877" ht="12.75" customHeight="1">
      <c r="A877" s="25"/>
      <c r="C877" s="59"/>
      <c r="D877" s="59"/>
      <c r="J877" s="25"/>
    </row>
    <row r="878" ht="12.75" customHeight="1">
      <c r="A878" s="25"/>
      <c r="C878" s="59"/>
      <c r="D878" s="59"/>
      <c r="J878" s="25"/>
    </row>
    <row r="879" ht="12.75" customHeight="1">
      <c r="A879" s="25"/>
      <c r="C879" s="59"/>
      <c r="D879" s="59"/>
      <c r="J879" s="25"/>
    </row>
    <row r="880" ht="12.75" customHeight="1">
      <c r="A880" s="25"/>
      <c r="C880" s="59"/>
      <c r="D880" s="59"/>
      <c r="J880" s="25"/>
    </row>
    <row r="881" ht="12.75" customHeight="1">
      <c r="A881" s="25"/>
      <c r="C881" s="59"/>
      <c r="D881" s="59"/>
      <c r="J881" s="25"/>
    </row>
    <row r="882" ht="12.75" customHeight="1">
      <c r="A882" s="25"/>
      <c r="C882" s="59"/>
      <c r="D882" s="59"/>
      <c r="J882" s="25"/>
    </row>
    <row r="883" ht="12.75" customHeight="1">
      <c r="A883" s="25"/>
      <c r="C883" s="59"/>
      <c r="D883" s="59"/>
      <c r="J883" s="25"/>
    </row>
    <row r="884" ht="12.75" customHeight="1">
      <c r="A884" s="25"/>
      <c r="C884" s="59"/>
      <c r="D884" s="59"/>
      <c r="J884" s="25"/>
    </row>
    <row r="885" ht="12.75" customHeight="1">
      <c r="A885" s="25"/>
      <c r="C885" s="59"/>
      <c r="D885" s="59"/>
      <c r="J885" s="25"/>
    </row>
    <row r="886" ht="12.75" customHeight="1">
      <c r="A886" s="25"/>
      <c r="C886" s="59"/>
      <c r="D886" s="59"/>
      <c r="J886" s="25"/>
    </row>
    <row r="887" ht="12.75" customHeight="1">
      <c r="A887" s="25"/>
      <c r="C887" s="59"/>
      <c r="D887" s="59"/>
      <c r="J887" s="25"/>
    </row>
    <row r="888" ht="12.75" customHeight="1">
      <c r="A888" s="25"/>
      <c r="C888" s="59"/>
      <c r="D888" s="59"/>
      <c r="J888" s="25"/>
    </row>
    <row r="889" ht="12.75" customHeight="1">
      <c r="A889" s="25"/>
      <c r="C889" s="59"/>
      <c r="D889" s="59"/>
      <c r="J889" s="25"/>
    </row>
    <row r="890" ht="12.75" customHeight="1">
      <c r="A890" s="25"/>
      <c r="C890" s="59"/>
      <c r="D890" s="59"/>
      <c r="J890" s="25"/>
    </row>
    <row r="891" ht="12.75" customHeight="1">
      <c r="A891" s="25"/>
      <c r="C891" s="59"/>
      <c r="D891" s="59"/>
      <c r="J891" s="25"/>
    </row>
    <row r="892" ht="12.75" customHeight="1">
      <c r="A892" s="25"/>
      <c r="C892" s="59"/>
      <c r="D892" s="59"/>
      <c r="J892" s="25"/>
    </row>
    <row r="893" ht="12.75" customHeight="1">
      <c r="A893" s="25"/>
      <c r="C893" s="59"/>
      <c r="D893" s="59"/>
      <c r="J893" s="25"/>
    </row>
    <row r="894" ht="12.75" customHeight="1">
      <c r="A894" s="25"/>
      <c r="C894" s="59"/>
      <c r="D894" s="59"/>
      <c r="J894" s="25"/>
    </row>
    <row r="895" ht="12.75" customHeight="1">
      <c r="A895" s="25"/>
      <c r="C895" s="59"/>
      <c r="D895" s="59"/>
      <c r="J895" s="25"/>
    </row>
    <row r="896" ht="12.75" customHeight="1">
      <c r="A896" s="25"/>
      <c r="C896" s="59"/>
      <c r="D896" s="59"/>
      <c r="J896" s="25"/>
    </row>
    <row r="897" ht="12.75" customHeight="1">
      <c r="A897" s="25"/>
      <c r="C897" s="59"/>
      <c r="D897" s="59"/>
      <c r="J897" s="25"/>
    </row>
    <row r="898" ht="12.75" customHeight="1">
      <c r="A898" s="25"/>
      <c r="C898" s="59"/>
      <c r="D898" s="59"/>
      <c r="J898" s="25"/>
    </row>
    <row r="899" ht="12.75" customHeight="1">
      <c r="A899" s="25"/>
      <c r="C899" s="59"/>
      <c r="D899" s="59"/>
      <c r="J899" s="25"/>
    </row>
    <row r="900" ht="12.75" customHeight="1">
      <c r="A900" s="25"/>
      <c r="C900" s="59"/>
      <c r="D900" s="59"/>
      <c r="J900" s="25"/>
    </row>
    <row r="901" ht="12.75" customHeight="1">
      <c r="A901" s="25"/>
      <c r="C901" s="59"/>
      <c r="D901" s="59"/>
      <c r="J901" s="25"/>
    </row>
    <row r="902" ht="12.75" customHeight="1">
      <c r="A902" s="25"/>
      <c r="C902" s="59"/>
      <c r="D902" s="59"/>
      <c r="J902" s="25"/>
    </row>
    <row r="903" ht="12.75" customHeight="1">
      <c r="A903" s="25"/>
      <c r="C903" s="59"/>
      <c r="D903" s="59"/>
      <c r="J903" s="25"/>
    </row>
    <row r="904" ht="12.75" customHeight="1">
      <c r="A904" s="25"/>
      <c r="C904" s="59"/>
      <c r="D904" s="59"/>
      <c r="J904" s="25"/>
    </row>
    <row r="905" ht="12.75" customHeight="1">
      <c r="A905" s="25"/>
      <c r="C905" s="59"/>
      <c r="D905" s="59"/>
      <c r="J905" s="25"/>
    </row>
    <row r="906" ht="12.75" customHeight="1">
      <c r="A906" s="25"/>
      <c r="C906" s="59"/>
      <c r="D906" s="59"/>
      <c r="J906" s="25"/>
    </row>
    <row r="907" ht="12.75" customHeight="1">
      <c r="A907" s="25"/>
      <c r="C907" s="59"/>
      <c r="D907" s="59"/>
      <c r="J907" s="25"/>
    </row>
    <row r="908" ht="12.75" customHeight="1">
      <c r="A908" s="25"/>
      <c r="C908" s="59"/>
      <c r="D908" s="59"/>
      <c r="J908" s="25"/>
    </row>
    <row r="909" ht="12.75" customHeight="1">
      <c r="A909" s="25"/>
      <c r="C909" s="59"/>
      <c r="D909" s="59"/>
      <c r="J909" s="25"/>
    </row>
    <row r="910" ht="12.75" customHeight="1">
      <c r="A910" s="25"/>
      <c r="C910" s="59"/>
      <c r="D910" s="59"/>
      <c r="J910" s="25"/>
    </row>
    <row r="911" ht="12.75" customHeight="1">
      <c r="A911" s="25"/>
      <c r="C911" s="59"/>
      <c r="D911" s="59"/>
      <c r="J911" s="25"/>
    </row>
    <row r="912" ht="12.75" customHeight="1">
      <c r="A912" s="25"/>
      <c r="C912" s="59"/>
      <c r="D912" s="59"/>
      <c r="J912" s="25"/>
    </row>
    <row r="913" ht="12.75" customHeight="1">
      <c r="A913" s="25"/>
      <c r="C913" s="59"/>
      <c r="D913" s="59"/>
      <c r="J913" s="25"/>
    </row>
    <row r="914" ht="12.75" customHeight="1">
      <c r="A914" s="25"/>
      <c r="C914" s="59"/>
      <c r="D914" s="59"/>
      <c r="J914" s="25"/>
    </row>
    <row r="915" ht="12.75" customHeight="1">
      <c r="A915" s="25"/>
      <c r="C915" s="59"/>
      <c r="D915" s="59"/>
      <c r="J915" s="25"/>
    </row>
    <row r="916" ht="12.75" customHeight="1">
      <c r="A916" s="25"/>
      <c r="C916" s="59"/>
      <c r="D916" s="59"/>
      <c r="J916" s="25"/>
    </row>
    <row r="917" ht="12.75" customHeight="1">
      <c r="A917" s="25"/>
      <c r="C917" s="59"/>
      <c r="D917" s="59"/>
      <c r="J917" s="25"/>
    </row>
    <row r="918" ht="12.75" customHeight="1">
      <c r="A918" s="25"/>
      <c r="C918" s="59"/>
      <c r="D918" s="59"/>
      <c r="J918" s="25"/>
    </row>
    <row r="919" ht="12.75" customHeight="1">
      <c r="A919" s="25"/>
      <c r="C919" s="59"/>
      <c r="D919" s="59"/>
      <c r="J919" s="25"/>
    </row>
    <row r="920" ht="12.75" customHeight="1">
      <c r="A920" s="25"/>
      <c r="C920" s="59"/>
      <c r="D920" s="59"/>
      <c r="J920" s="25"/>
    </row>
    <row r="921" ht="12.75" customHeight="1">
      <c r="A921" s="25"/>
      <c r="C921" s="59"/>
      <c r="D921" s="59"/>
      <c r="J921" s="25"/>
    </row>
    <row r="922" ht="12.75" customHeight="1">
      <c r="A922" s="25"/>
      <c r="C922" s="59"/>
      <c r="D922" s="59"/>
      <c r="J922" s="25"/>
    </row>
    <row r="923" ht="12.75" customHeight="1">
      <c r="A923" s="25"/>
      <c r="C923" s="59"/>
      <c r="D923" s="59"/>
      <c r="J923" s="25"/>
    </row>
    <row r="924" ht="12.75" customHeight="1">
      <c r="A924" s="25"/>
      <c r="C924" s="59"/>
      <c r="D924" s="59"/>
      <c r="J924" s="25"/>
    </row>
    <row r="925" ht="12.75" customHeight="1">
      <c r="A925" s="25"/>
      <c r="C925" s="59"/>
      <c r="D925" s="59"/>
      <c r="J925" s="25"/>
    </row>
    <row r="926" ht="12.75" customHeight="1">
      <c r="A926" s="25"/>
      <c r="C926" s="59"/>
      <c r="D926" s="59"/>
      <c r="J926" s="25"/>
    </row>
    <row r="927" ht="12.75" customHeight="1">
      <c r="A927" s="25"/>
      <c r="C927" s="59"/>
      <c r="D927" s="59"/>
      <c r="J927" s="25"/>
    </row>
    <row r="928" ht="12.75" customHeight="1">
      <c r="A928" s="25"/>
      <c r="C928" s="59"/>
      <c r="D928" s="59"/>
      <c r="J928" s="25"/>
    </row>
    <row r="929" ht="12.75" customHeight="1">
      <c r="A929" s="25"/>
      <c r="C929" s="59"/>
      <c r="D929" s="59"/>
      <c r="J929" s="25"/>
    </row>
    <row r="930" ht="12.75" customHeight="1">
      <c r="A930" s="25"/>
      <c r="C930" s="59"/>
      <c r="D930" s="59"/>
      <c r="J930" s="25"/>
    </row>
    <row r="931" ht="12.75" customHeight="1">
      <c r="A931" s="25"/>
      <c r="C931" s="59"/>
      <c r="D931" s="59"/>
      <c r="J931" s="25"/>
    </row>
    <row r="932" ht="12.75" customHeight="1">
      <c r="A932" s="25"/>
      <c r="C932" s="59"/>
      <c r="D932" s="59"/>
      <c r="J932" s="25"/>
    </row>
    <row r="933" ht="12.75" customHeight="1">
      <c r="A933" s="25"/>
      <c r="C933" s="59"/>
      <c r="D933" s="59"/>
      <c r="J933" s="25"/>
    </row>
    <row r="934" ht="12.75" customHeight="1">
      <c r="A934" s="25"/>
      <c r="C934" s="59"/>
      <c r="D934" s="59"/>
      <c r="J934" s="25"/>
    </row>
    <row r="935" ht="12.75" customHeight="1">
      <c r="A935" s="25"/>
      <c r="C935" s="59"/>
      <c r="D935" s="59"/>
      <c r="J935" s="25"/>
    </row>
    <row r="936" ht="12.75" customHeight="1">
      <c r="A936" s="25"/>
      <c r="C936" s="59"/>
      <c r="D936" s="59"/>
      <c r="J936" s="25"/>
    </row>
    <row r="937" ht="12.75" customHeight="1">
      <c r="A937" s="25"/>
      <c r="C937" s="59"/>
      <c r="D937" s="59"/>
      <c r="J937" s="25"/>
    </row>
    <row r="938" ht="12.75" customHeight="1">
      <c r="A938" s="25"/>
      <c r="C938" s="59"/>
      <c r="D938" s="59"/>
      <c r="J938" s="25"/>
    </row>
    <row r="939" ht="12.75" customHeight="1">
      <c r="A939" s="25"/>
      <c r="C939" s="59"/>
      <c r="D939" s="59"/>
      <c r="J939" s="25"/>
    </row>
    <row r="940" ht="12.75" customHeight="1">
      <c r="A940" s="25"/>
      <c r="C940" s="59"/>
      <c r="D940" s="59"/>
      <c r="J940" s="25"/>
    </row>
    <row r="941" ht="12.75" customHeight="1">
      <c r="A941" s="25"/>
      <c r="C941" s="59"/>
      <c r="D941" s="59"/>
      <c r="J941" s="25"/>
    </row>
    <row r="942" ht="12.75" customHeight="1">
      <c r="A942" s="25"/>
      <c r="C942" s="59"/>
      <c r="D942" s="59"/>
      <c r="J942" s="25"/>
    </row>
    <row r="943" ht="12.75" customHeight="1">
      <c r="A943" s="25"/>
      <c r="C943" s="59"/>
      <c r="D943" s="59"/>
      <c r="J943" s="25"/>
    </row>
    <row r="944" ht="12.75" customHeight="1">
      <c r="A944" s="25"/>
      <c r="C944" s="59"/>
      <c r="D944" s="59"/>
      <c r="J944" s="25"/>
    </row>
    <row r="945" ht="12.75" customHeight="1">
      <c r="A945" s="25"/>
      <c r="C945" s="59"/>
      <c r="D945" s="59"/>
      <c r="J945" s="25"/>
    </row>
    <row r="946" ht="12.75" customHeight="1">
      <c r="A946" s="25"/>
      <c r="C946" s="59"/>
      <c r="D946" s="59"/>
      <c r="J946" s="25"/>
    </row>
    <row r="947" ht="12.75" customHeight="1">
      <c r="A947" s="25"/>
      <c r="C947" s="59"/>
      <c r="D947" s="59"/>
      <c r="J947" s="25"/>
    </row>
    <row r="948" ht="12.75" customHeight="1">
      <c r="A948" s="25"/>
      <c r="C948" s="59"/>
      <c r="D948" s="59"/>
      <c r="J948" s="25"/>
    </row>
    <row r="949" ht="12.75" customHeight="1">
      <c r="A949" s="25"/>
      <c r="C949" s="59"/>
      <c r="D949" s="59"/>
      <c r="J949" s="25"/>
    </row>
    <row r="950" ht="12.75" customHeight="1">
      <c r="A950" s="25"/>
      <c r="C950" s="59"/>
      <c r="D950" s="59"/>
      <c r="J950" s="25"/>
    </row>
    <row r="951" ht="12.75" customHeight="1">
      <c r="A951" s="25"/>
      <c r="C951" s="59"/>
      <c r="D951" s="59"/>
      <c r="J951" s="25"/>
    </row>
    <row r="952" ht="12.75" customHeight="1">
      <c r="A952" s="25"/>
      <c r="C952" s="59"/>
      <c r="D952" s="59"/>
      <c r="J952" s="25"/>
    </row>
    <row r="953" ht="12.75" customHeight="1">
      <c r="A953" s="25"/>
      <c r="C953" s="59"/>
      <c r="D953" s="59"/>
      <c r="J953" s="25"/>
    </row>
    <row r="954" ht="12.75" customHeight="1">
      <c r="A954" s="25"/>
      <c r="C954" s="59"/>
      <c r="D954" s="59"/>
      <c r="J954" s="25"/>
    </row>
    <row r="955" ht="12.75" customHeight="1">
      <c r="A955" s="25"/>
      <c r="C955" s="59"/>
      <c r="D955" s="59"/>
      <c r="J955" s="25"/>
    </row>
    <row r="956" ht="12.75" customHeight="1">
      <c r="A956" s="25"/>
      <c r="C956" s="59"/>
      <c r="D956" s="59"/>
      <c r="J956" s="25"/>
    </row>
    <row r="957" ht="12.75" customHeight="1">
      <c r="A957" s="25"/>
      <c r="C957" s="59"/>
      <c r="D957" s="59"/>
      <c r="J957" s="25"/>
    </row>
    <row r="958" ht="12.75" customHeight="1">
      <c r="A958" s="25"/>
      <c r="C958" s="59"/>
      <c r="D958" s="59"/>
      <c r="J958" s="25"/>
    </row>
    <row r="959" ht="12.75" customHeight="1">
      <c r="A959" s="25"/>
      <c r="C959" s="59"/>
      <c r="D959" s="59"/>
      <c r="J959" s="25"/>
    </row>
    <row r="960" ht="12.75" customHeight="1">
      <c r="A960" s="25"/>
      <c r="C960" s="59"/>
      <c r="D960" s="59"/>
      <c r="J960" s="25"/>
    </row>
    <row r="961" ht="12.75" customHeight="1">
      <c r="A961" s="25"/>
      <c r="C961" s="59"/>
      <c r="D961" s="59"/>
      <c r="J961" s="25"/>
    </row>
    <row r="962" ht="12.75" customHeight="1">
      <c r="A962" s="25"/>
      <c r="C962" s="59"/>
      <c r="D962" s="59"/>
      <c r="J962" s="25"/>
    </row>
    <row r="963" ht="12.75" customHeight="1">
      <c r="A963" s="25"/>
      <c r="C963" s="59"/>
      <c r="D963" s="59"/>
      <c r="J963" s="25"/>
    </row>
    <row r="964" ht="12.75" customHeight="1">
      <c r="A964" s="25"/>
      <c r="C964" s="59"/>
      <c r="D964" s="59"/>
      <c r="J964" s="25"/>
    </row>
    <row r="965" ht="12.75" customHeight="1">
      <c r="A965" s="25"/>
      <c r="C965" s="59"/>
      <c r="D965" s="59"/>
      <c r="J965" s="25"/>
    </row>
    <row r="966" ht="12.75" customHeight="1">
      <c r="A966" s="25"/>
      <c r="C966" s="59"/>
      <c r="D966" s="59"/>
      <c r="J966" s="25"/>
    </row>
    <row r="967" ht="12.75" customHeight="1">
      <c r="A967" s="25"/>
      <c r="C967" s="59"/>
      <c r="D967" s="59"/>
      <c r="J967" s="25"/>
    </row>
    <row r="968" ht="12.75" customHeight="1">
      <c r="A968" s="25"/>
      <c r="C968" s="59"/>
      <c r="D968" s="59"/>
      <c r="J968" s="25"/>
    </row>
    <row r="969" ht="12.75" customHeight="1">
      <c r="A969" s="25"/>
      <c r="C969" s="59"/>
      <c r="D969" s="59"/>
      <c r="J969" s="25"/>
    </row>
    <row r="970" ht="12.75" customHeight="1">
      <c r="A970" s="25"/>
      <c r="C970" s="59"/>
      <c r="D970" s="59"/>
      <c r="J970" s="25"/>
    </row>
    <row r="971" ht="12.75" customHeight="1">
      <c r="A971" s="25"/>
      <c r="C971" s="59"/>
      <c r="D971" s="59"/>
      <c r="J971" s="25"/>
    </row>
    <row r="972" ht="12.75" customHeight="1">
      <c r="A972" s="25"/>
      <c r="C972" s="59"/>
      <c r="D972" s="59"/>
      <c r="J972" s="25"/>
    </row>
    <row r="973" ht="12.75" customHeight="1">
      <c r="A973" s="25"/>
      <c r="C973" s="59"/>
      <c r="D973" s="59"/>
      <c r="J973" s="25"/>
    </row>
    <row r="974" ht="12.75" customHeight="1">
      <c r="A974" s="25"/>
      <c r="C974" s="59"/>
      <c r="D974" s="59"/>
      <c r="J974" s="25"/>
    </row>
    <row r="975" ht="12.75" customHeight="1">
      <c r="A975" s="25"/>
      <c r="C975" s="59"/>
      <c r="D975" s="59"/>
      <c r="J975" s="25"/>
    </row>
    <row r="976" ht="12.75" customHeight="1">
      <c r="A976" s="25"/>
      <c r="C976" s="59"/>
      <c r="D976" s="59"/>
      <c r="J976" s="25"/>
    </row>
    <row r="977" ht="12.75" customHeight="1">
      <c r="A977" s="25"/>
      <c r="C977" s="59"/>
      <c r="D977" s="59"/>
      <c r="J977" s="25"/>
    </row>
    <row r="978" ht="12.75" customHeight="1">
      <c r="A978" s="25"/>
      <c r="C978" s="59"/>
      <c r="D978" s="59"/>
      <c r="J978" s="25"/>
    </row>
    <row r="979" ht="12.75" customHeight="1">
      <c r="A979" s="25"/>
      <c r="C979" s="59"/>
      <c r="D979" s="59"/>
      <c r="J979" s="25"/>
    </row>
    <row r="980" ht="12.75" customHeight="1">
      <c r="A980" s="25"/>
      <c r="C980" s="59"/>
      <c r="D980" s="59"/>
      <c r="J980" s="25"/>
    </row>
    <row r="981" ht="12.75" customHeight="1">
      <c r="A981" s="25"/>
      <c r="C981" s="59"/>
      <c r="D981" s="59"/>
      <c r="J981" s="25"/>
    </row>
    <row r="982" ht="12.75" customHeight="1">
      <c r="A982" s="25"/>
      <c r="C982" s="59"/>
      <c r="D982" s="59"/>
      <c r="J982" s="25"/>
    </row>
    <row r="983" ht="12.75" customHeight="1">
      <c r="A983" s="25"/>
      <c r="C983" s="59"/>
      <c r="D983" s="59"/>
      <c r="J983" s="25"/>
    </row>
    <row r="984" ht="12.75" customHeight="1">
      <c r="A984" s="25"/>
      <c r="C984" s="59"/>
      <c r="D984" s="59"/>
      <c r="J984" s="25"/>
    </row>
    <row r="985" ht="12.75" customHeight="1">
      <c r="A985" s="25"/>
      <c r="C985" s="59"/>
      <c r="D985" s="59"/>
      <c r="J985" s="25"/>
    </row>
    <row r="986" ht="12.75" customHeight="1">
      <c r="A986" s="25"/>
      <c r="C986" s="59"/>
      <c r="D986" s="59"/>
      <c r="J986" s="25"/>
    </row>
    <row r="987" ht="12.75" customHeight="1">
      <c r="A987" s="25"/>
      <c r="C987" s="59"/>
      <c r="D987" s="59"/>
      <c r="J987" s="25"/>
    </row>
    <row r="988" ht="12.75" customHeight="1">
      <c r="A988" s="25"/>
      <c r="C988" s="59"/>
      <c r="D988" s="59"/>
      <c r="J988" s="25"/>
    </row>
    <row r="989" ht="12.75" customHeight="1">
      <c r="A989" s="25"/>
      <c r="C989" s="59"/>
      <c r="D989" s="59"/>
      <c r="J989" s="25"/>
    </row>
    <row r="990" ht="12.75" customHeight="1">
      <c r="A990" s="25"/>
      <c r="C990" s="59"/>
      <c r="D990" s="59"/>
      <c r="J990" s="25"/>
    </row>
    <row r="991" ht="12.75" customHeight="1">
      <c r="A991" s="25"/>
      <c r="C991" s="59"/>
      <c r="D991" s="59"/>
      <c r="J991" s="25"/>
    </row>
    <row r="992" ht="12.75" customHeight="1">
      <c r="A992" s="25"/>
      <c r="C992" s="59"/>
      <c r="D992" s="59"/>
      <c r="J992" s="25"/>
    </row>
    <row r="993" ht="12.75" customHeight="1">
      <c r="A993" s="25"/>
      <c r="C993" s="59"/>
      <c r="D993" s="59"/>
      <c r="J993" s="25"/>
    </row>
    <row r="994" ht="12.75" customHeight="1">
      <c r="A994" s="25"/>
      <c r="C994" s="59"/>
      <c r="D994" s="59"/>
      <c r="J994" s="25"/>
    </row>
    <row r="995" ht="12.75" customHeight="1">
      <c r="A995" s="25"/>
      <c r="C995" s="59"/>
      <c r="D995" s="59"/>
      <c r="J995" s="25"/>
    </row>
    <row r="996" ht="12.75" customHeight="1">
      <c r="A996" s="25"/>
      <c r="C996" s="59"/>
      <c r="D996" s="59"/>
      <c r="J996" s="25"/>
    </row>
    <row r="997" ht="12.75" customHeight="1">
      <c r="A997" s="25"/>
      <c r="C997" s="59"/>
      <c r="D997" s="59"/>
      <c r="J997" s="25"/>
    </row>
    <row r="998" ht="12.75" customHeight="1">
      <c r="A998" s="25"/>
      <c r="C998" s="59"/>
      <c r="D998" s="59"/>
      <c r="J998" s="25"/>
    </row>
    <row r="999" ht="12.75" customHeight="1">
      <c r="A999" s="25"/>
      <c r="C999" s="59"/>
      <c r="D999" s="59"/>
      <c r="J999" s="25"/>
    </row>
    <row r="1000" ht="12.75" customHeight="1">
      <c r="A1000" s="25"/>
      <c r="C1000" s="59"/>
      <c r="D1000" s="59"/>
      <c r="J1000" s="2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9" width="10.63"/>
    <col customWidth="1" min="10" max="11" width="4.75"/>
    <col customWidth="1" min="12" max="26" width="10.63"/>
  </cols>
  <sheetData>
    <row r="1" ht="12.75" customHeight="1">
      <c r="A1" s="41">
        <v>5.0</v>
      </c>
      <c r="B1" s="59">
        <f t="shared" ref="B1:B31" si="1">D1-C1</f>
        <v>22269</v>
      </c>
      <c r="C1" s="59">
        <f>319+479+1517+910+1006</f>
        <v>4231</v>
      </c>
      <c r="D1" s="59">
        <f>2000+3000+9500+5700+6300</f>
        <v>26500</v>
      </c>
      <c r="E1" s="59">
        <f t="shared" ref="E1:E31" si="2">D1*2.3681%</f>
        <v>627.5465</v>
      </c>
      <c r="F1" s="59">
        <f t="shared" ref="F1:F31" si="3">D1-E1</f>
        <v>25872.4535</v>
      </c>
      <c r="J1" s="41">
        <v>1.0</v>
      </c>
      <c r="K1" s="41">
        <v>5.0</v>
      </c>
      <c r="L1" s="59">
        <f>2000+3000+9500+5700+6300</f>
        <v>26500</v>
      </c>
    </row>
    <row r="2" ht="12.75" customHeight="1">
      <c r="A2" s="41">
        <v>5.0</v>
      </c>
      <c r="B2" s="59">
        <f t="shared" si="1"/>
        <v>18782</v>
      </c>
      <c r="C2" s="59">
        <f>239+239+1589+1118+383</f>
        <v>3568</v>
      </c>
      <c r="D2" s="59">
        <f>1500+1500+9950+7000+2400</f>
        <v>22350</v>
      </c>
      <c r="E2" s="59">
        <f t="shared" si="2"/>
        <v>529.27035</v>
      </c>
      <c r="F2" s="59">
        <f t="shared" si="3"/>
        <v>21820.72965</v>
      </c>
      <c r="J2" s="41">
        <v>2.0</v>
      </c>
      <c r="K2" s="41">
        <v>5.0</v>
      </c>
      <c r="L2" s="59">
        <f>1500+1500+9950+7000+2400</f>
        <v>22350</v>
      </c>
    </row>
    <row r="3" ht="12.75" customHeight="1">
      <c r="A3" s="41">
        <v>6.0</v>
      </c>
      <c r="B3" s="59">
        <f t="shared" si="1"/>
        <v>24329</v>
      </c>
      <c r="C3" s="59">
        <f>1549+718+255+1118+718+263</f>
        <v>4621</v>
      </c>
      <c r="D3" s="59">
        <f>9700+4500+1600+7000+4500+1650</f>
        <v>28950</v>
      </c>
      <c r="E3" s="59">
        <f t="shared" si="2"/>
        <v>685.56495</v>
      </c>
      <c r="F3" s="59">
        <f t="shared" si="3"/>
        <v>28264.43505</v>
      </c>
      <c r="J3" s="41">
        <v>3.0</v>
      </c>
      <c r="K3" s="41">
        <v>6.0</v>
      </c>
      <c r="L3" s="59">
        <f>9700+4500+1600+7000+4500+1650</f>
        <v>28950</v>
      </c>
    </row>
    <row r="4" ht="12.75" customHeight="1">
      <c r="A4" s="41">
        <v>4.0</v>
      </c>
      <c r="B4" s="59">
        <f t="shared" si="1"/>
        <v>24034</v>
      </c>
      <c r="C4" s="59">
        <f>303+1070+798+2395</f>
        <v>4566</v>
      </c>
      <c r="D4" s="59">
        <f>1900+6700+5000+15000</f>
        <v>28600</v>
      </c>
      <c r="E4" s="59">
        <f t="shared" si="2"/>
        <v>677.2766</v>
      </c>
      <c r="F4" s="59">
        <f t="shared" si="3"/>
        <v>27922.7234</v>
      </c>
      <c r="J4" s="41">
        <v>4.0</v>
      </c>
      <c r="K4" s="41">
        <v>4.0</v>
      </c>
      <c r="L4" s="59">
        <f>1900+6700+5000+15000</f>
        <v>28600</v>
      </c>
    </row>
    <row r="5" ht="12.75" customHeight="1">
      <c r="A5" s="41">
        <v>6.0</v>
      </c>
      <c r="B5" s="59">
        <f t="shared" si="1"/>
        <v>28488</v>
      </c>
      <c r="C5" s="59">
        <f>742+1277+846+1102+200+1245</f>
        <v>5412</v>
      </c>
      <c r="D5" s="59">
        <f>4650+8000+5300+6900+1250+7800</f>
        <v>33900</v>
      </c>
      <c r="E5" s="59">
        <f t="shared" si="2"/>
        <v>802.7859</v>
      </c>
      <c r="F5" s="59">
        <f t="shared" si="3"/>
        <v>33097.2141</v>
      </c>
      <c r="J5" s="41">
        <v>5.0</v>
      </c>
      <c r="K5" s="41">
        <v>6.0</v>
      </c>
      <c r="L5" s="59">
        <f>4650+8000+5300+6900+1250+7800</f>
        <v>33900</v>
      </c>
    </row>
    <row r="6" ht="12.75" customHeight="1">
      <c r="A6" s="41">
        <v>3.0</v>
      </c>
      <c r="B6" s="59">
        <f t="shared" si="1"/>
        <v>8067</v>
      </c>
      <c r="C6" s="59">
        <f>112+1197+224</f>
        <v>1533</v>
      </c>
      <c r="D6" s="59">
        <f>700+7500+1400</f>
        <v>9600</v>
      </c>
      <c r="E6" s="59">
        <f t="shared" si="2"/>
        <v>227.3376</v>
      </c>
      <c r="F6" s="59">
        <f t="shared" si="3"/>
        <v>9372.6624</v>
      </c>
      <c r="J6" s="41">
        <v>6.0</v>
      </c>
      <c r="K6" s="41">
        <v>3.0</v>
      </c>
      <c r="L6" s="59">
        <f>700+7500+1400</f>
        <v>9600</v>
      </c>
    </row>
    <row r="7" ht="12.75" customHeight="1">
      <c r="A7" s="41">
        <v>3.0</v>
      </c>
      <c r="B7" s="59">
        <f t="shared" si="1"/>
        <v>10084</v>
      </c>
      <c r="C7" s="59">
        <f>367+1389+160</f>
        <v>1916</v>
      </c>
      <c r="D7" s="59">
        <f>2300+8700+1000</f>
        <v>12000</v>
      </c>
      <c r="E7" s="59">
        <f t="shared" si="2"/>
        <v>284.172</v>
      </c>
      <c r="F7" s="59">
        <f t="shared" si="3"/>
        <v>11715.828</v>
      </c>
      <c r="J7" s="41">
        <v>7.0</v>
      </c>
      <c r="K7" s="41">
        <v>3.0</v>
      </c>
      <c r="L7" s="59">
        <f>2300+8700+1000</f>
        <v>12000</v>
      </c>
    </row>
    <row r="8" ht="12.75" customHeight="1">
      <c r="A8" s="41">
        <v>0.0</v>
      </c>
      <c r="B8" s="59">
        <f t="shared" si="1"/>
        <v>0</v>
      </c>
      <c r="C8" s="59">
        <v>0.0</v>
      </c>
      <c r="D8" s="59">
        <v>0.0</v>
      </c>
      <c r="E8" s="59">
        <f t="shared" si="2"/>
        <v>0</v>
      </c>
      <c r="F8" s="59">
        <f t="shared" si="3"/>
        <v>0</v>
      </c>
      <c r="J8" s="41">
        <v>8.0</v>
      </c>
      <c r="K8" s="41">
        <v>0.0</v>
      </c>
      <c r="L8" s="59">
        <v>0.0</v>
      </c>
    </row>
    <row r="9" ht="12.75" customHeight="1">
      <c r="A9" s="41">
        <v>3.0</v>
      </c>
      <c r="B9" s="59">
        <f t="shared" si="1"/>
        <v>4033</v>
      </c>
      <c r="C9" s="59">
        <f>192+351+224</f>
        <v>767</v>
      </c>
      <c r="D9" s="59">
        <f>1200+2200+1400</f>
        <v>4800</v>
      </c>
      <c r="E9" s="59">
        <f t="shared" si="2"/>
        <v>113.6688</v>
      </c>
      <c r="F9" s="59">
        <f t="shared" si="3"/>
        <v>4686.3312</v>
      </c>
      <c r="J9" s="41">
        <v>9.0</v>
      </c>
      <c r="K9" s="41">
        <v>3.0</v>
      </c>
      <c r="L9" s="59">
        <f>1200+2200+1400</f>
        <v>4800</v>
      </c>
    </row>
    <row r="10" ht="12.75" customHeight="1">
      <c r="A10" s="41">
        <v>1.0</v>
      </c>
      <c r="B10" s="59">
        <f t="shared" si="1"/>
        <v>2311</v>
      </c>
      <c r="C10" s="59">
        <v>439.0</v>
      </c>
      <c r="D10" s="59">
        <v>2750.0</v>
      </c>
      <c r="E10" s="59">
        <f t="shared" si="2"/>
        <v>65.12275</v>
      </c>
      <c r="F10" s="59">
        <f t="shared" si="3"/>
        <v>2684.87725</v>
      </c>
      <c r="J10" s="41">
        <v>10.0</v>
      </c>
      <c r="K10" s="41">
        <v>1.0</v>
      </c>
      <c r="L10" s="59">
        <v>2750.0</v>
      </c>
    </row>
    <row r="11" ht="12.75" customHeight="1">
      <c r="A11" s="41">
        <v>4.0</v>
      </c>
      <c r="B11" s="59">
        <f t="shared" si="1"/>
        <v>9832</v>
      </c>
      <c r="C11" s="59">
        <f>878+287+224+479</f>
        <v>1868</v>
      </c>
      <c r="D11" s="59">
        <f>5500+1800+1400+3000</f>
        <v>11700</v>
      </c>
      <c r="E11" s="59">
        <f t="shared" si="2"/>
        <v>277.0677</v>
      </c>
      <c r="F11" s="59">
        <f t="shared" si="3"/>
        <v>11422.9323</v>
      </c>
      <c r="J11" s="41">
        <v>11.0</v>
      </c>
      <c r="K11" s="41">
        <v>4.0</v>
      </c>
      <c r="L11" s="59">
        <f>5500+1800+1400+3000</f>
        <v>11700</v>
      </c>
    </row>
    <row r="12" ht="12.75" customHeight="1">
      <c r="A12" s="41">
        <v>0.0</v>
      </c>
      <c r="B12" s="59">
        <f t="shared" si="1"/>
        <v>0</v>
      </c>
      <c r="C12" s="59">
        <v>0.0</v>
      </c>
      <c r="D12" s="59">
        <v>0.0</v>
      </c>
      <c r="E12" s="59">
        <f t="shared" si="2"/>
        <v>0</v>
      </c>
      <c r="F12" s="59">
        <f t="shared" si="3"/>
        <v>0</v>
      </c>
      <c r="J12" s="41">
        <v>12.0</v>
      </c>
      <c r="K12" s="41">
        <v>0.0</v>
      </c>
      <c r="L12" s="59">
        <v>0.0</v>
      </c>
    </row>
    <row r="13" ht="12.75" customHeight="1">
      <c r="A13" s="41">
        <v>3.0</v>
      </c>
      <c r="B13" s="59">
        <f t="shared" si="1"/>
        <v>11009</v>
      </c>
      <c r="C13" s="59">
        <f>1277+335+479</f>
        <v>2091</v>
      </c>
      <c r="D13" s="59">
        <f>8000+2100+3000</f>
        <v>13100</v>
      </c>
      <c r="E13" s="59">
        <f t="shared" si="2"/>
        <v>310.2211</v>
      </c>
      <c r="F13" s="59">
        <f t="shared" si="3"/>
        <v>12789.7789</v>
      </c>
      <c r="J13" s="41">
        <v>13.0</v>
      </c>
      <c r="K13" s="41">
        <v>3.0</v>
      </c>
      <c r="L13" s="59">
        <f>8000+2100+3000</f>
        <v>13100</v>
      </c>
    </row>
    <row r="14" ht="12.75" customHeight="1">
      <c r="A14" s="41">
        <v>3.0</v>
      </c>
      <c r="B14" s="59">
        <f t="shared" si="1"/>
        <v>2942</v>
      </c>
      <c r="C14" s="59">
        <f>247+255+56</f>
        <v>558</v>
      </c>
      <c r="D14" s="59">
        <f>1550+1600+350</f>
        <v>3500</v>
      </c>
      <c r="E14" s="59">
        <f t="shared" si="2"/>
        <v>82.8835</v>
      </c>
      <c r="F14" s="59">
        <f t="shared" si="3"/>
        <v>3417.1165</v>
      </c>
      <c r="J14" s="41">
        <v>14.0</v>
      </c>
      <c r="K14" s="41">
        <v>3.0</v>
      </c>
      <c r="L14" s="59">
        <f>1550+1600+350</f>
        <v>3500</v>
      </c>
    </row>
    <row r="15" ht="12.75" customHeight="1">
      <c r="A15" s="41">
        <v>5.0</v>
      </c>
      <c r="B15" s="59">
        <f t="shared" si="1"/>
        <v>32605</v>
      </c>
      <c r="C15" s="59">
        <f>1118+3193+479+1118+287</f>
        <v>6195</v>
      </c>
      <c r="D15" s="59">
        <f>7000+20000+3000+7000+1800</f>
        <v>38800</v>
      </c>
      <c r="E15" s="59">
        <f t="shared" si="2"/>
        <v>918.8228</v>
      </c>
      <c r="F15" s="59">
        <f t="shared" si="3"/>
        <v>37881.1772</v>
      </c>
      <c r="J15" s="41">
        <v>15.0</v>
      </c>
      <c r="K15" s="41">
        <v>5.0</v>
      </c>
      <c r="L15" s="59">
        <f>7000+20000+3000+7000+1800</f>
        <v>38800</v>
      </c>
    </row>
    <row r="16" ht="12.75" customHeight="1">
      <c r="A16" s="41">
        <v>6.0</v>
      </c>
      <c r="B16" s="59">
        <f t="shared" si="1"/>
        <v>27521</v>
      </c>
      <c r="C16" s="59">
        <f>958+1437+455+703+718+958</f>
        <v>5229</v>
      </c>
      <c r="D16" s="59">
        <f>6000+9000+2850+4400+4500+6000</f>
        <v>32750</v>
      </c>
      <c r="E16" s="59">
        <f t="shared" si="2"/>
        <v>775.55275</v>
      </c>
      <c r="F16" s="59">
        <f t="shared" si="3"/>
        <v>31974.44725</v>
      </c>
      <c r="J16" s="41">
        <v>16.0</v>
      </c>
      <c r="K16" s="41">
        <v>6.0</v>
      </c>
      <c r="L16" s="59">
        <f>6000+9000+2850+4400+4500+6000</f>
        <v>32750</v>
      </c>
    </row>
    <row r="17" ht="12.75" customHeight="1">
      <c r="A17" s="41">
        <v>4.0</v>
      </c>
      <c r="B17" s="59">
        <f t="shared" si="1"/>
        <v>17605</v>
      </c>
      <c r="C17" s="59">
        <f>1357+160+160+1668</f>
        <v>3345</v>
      </c>
      <c r="D17" s="59">
        <f>8500+1000+1000+10450</f>
        <v>20950</v>
      </c>
      <c r="E17" s="59">
        <f t="shared" si="2"/>
        <v>496.11695</v>
      </c>
      <c r="F17" s="59">
        <f t="shared" si="3"/>
        <v>20453.88305</v>
      </c>
      <c r="J17" s="41">
        <v>17.0</v>
      </c>
      <c r="K17" s="41">
        <v>4.0</v>
      </c>
      <c r="L17" s="59">
        <f>8500+1000+1000+10450</f>
        <v>20950</v>
      </c>
    </row>
    <row r="18" ht="12.75" customHeight="1">
      <c r="A18" s="41">
        <v>5.0</v>
      </c>
      <c r="B18" s="59">
        <f t="shared" si="1"/>
        <v>19371</v>
      </c>
      <c r="C18" s="59">
        <f>2650+72+239+319+399</f>
        <v>3679</v>
      </c>
      <c r="D18" s="59">
        <f>16600+450+1500+2000+2500</f>
        <v>23050</v>
      </c>
      <c r="E18" s="59">
        <f t="shared" si="2"/>
        <v>545.84705</v>
      </c>
      <c r="F18" s="59">
        <f t="shared" si="3"/>
        <v>22504.15295</v>
      </c>
      <c r="J18" s="41">
        <v>18.0</v>
      </c>
      <c r="K18" s="41">
        <v>5.0</v>
      </c>
      <c r="L18" s="59">
        <f>16600+450+1500+2000+2500</f>
        <v>23050</v>
      </c>
    </row>
    <row r="19" ht="12.75" customHeight="1">
      <c r="A19" s="41">
        <v>2.0</v>
      </c>
      <c r="B19" s="59">
        <f t="shared" si="1"/>
        <v>14958</v>
      </c>
      <c r="C19" s="59">
        <f>2203+639</f>
        <v>2842</v>
      </c>
      <c r="D19" s="59">
        <f>13800+4000</f>
        <v>17800</v>
      </c>
      <c r="E19" s="59">
        <f t="shared" si="2"/>
        <v>421.5218</v>
      </c>
      <c r="F19" s="59">
        <f t="shared" si="3"/>
        <v>17378.4782</v>
      </c>
      <c r="J19" s="41">
        <v>19.0</v>
      </c>
      <c r="K19" s="41">
        <v>2.0</v>
      </c>
      <c r="L19" s="59">
        <f>13800+4000</f>
        <v>17800</v>
      </c>
    </row>
    <row r="20" ht="12.75" customHeight="1">
      <c r="A20" s="41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J20" s="41">
        <v>20.0</v>
      </c>
      <c r="K20" s="41">
        <v>0.0</v>
      </c>
      <c r="L20" s="59">
        <v>0.0</v>
      </c>
    </row>
    <row r="21" ht="12.75" customHeight="1">
      <c r="A21" s="41">
        <v>0.0</v>
      </c>
      <c r="B21" s="59">
        <f t="shared" si="1"/>
        <v>0</v>
      </c>
      <c r="C21" s="59">
        <v>0.0</v>
      </c>
      <c r="D21" s="59">
        <v>0.0</v>
      </c>
      <c r="E21" s="59">
        <f t="shared" si="2"/>
        <v>0</v>
      </c>
      <c r="F21" s="59">
        <f t="shared" si="3"/>
        <v>0</v>
      </c>
      <c r="J21" s="41">
        <v>21.0</v>
      </c>
      <c r="K21" s="41">
        <v>0.0</v>
      </c>
      <c r="L21" s="59">
        <v>0.0</v>
      </c>
    </row>
    <row r="22" ht="12.75" customHeight="1">
      <c r="A22" s="41">
        <v>0.0</v>
      </c>
      <c r="B22" s="59">
        <f t="shared" si="1"/>
        <v>0</v>
      </c>
      <c r="C22" s="59">
        <v>0.0</v>
      </c>
      <c r="D22" s="59">
        <v>0.0</v>
      </c>
      <c r="E22" s="59">
        <f t="shared" si="2"/>
        <v>0</v>
      </c>
      <c r="F22" s="59">
        <f t="shared" si="3"/>
        <v>0</v>
      </c>
      <c r="J22" s="41">
        <v>22.0</v>
      </c>
      <c r="K22" s="41">
        <v>0.0</v>
      </c>
      <c r="L22" s="59">
        <v>0.0</v>
      </c>
    </row>
    <row r="23" ht="12.75" customHeight="1">
      <c r="A23" s="41">
        <v>0.0</v>
      </c>
      <c r="B23" s="59">
        <f t="shared" si="1"/>
        <v>0</v>
      </c>
      <c r="C23" s="59">
        <v>0.0</v>
      </c>
      <c r="D23" s="59">
        <v>0.0</v>
      </c>
      <c r="E23" s="59">
        <f t="shared" si="2"/>
        <v>0</v>
      </c>
      <c r="F23" s="59">
        <f t="shared" si="3"/>
        <v>0</v>
      </c>
      <c r="J23" s="41">
        <v>23.0</v>
      </c>
      <c r="K23" s="41">
        <v>0.0</v>
      </c>
      <c r="L23" s="59">
        <v>0.0</v>
      </c>
    </row>
    <row r="24" ht="12.75" customHeight="1">
      <c r="A24" s="41">
        <v>0.0</v>
      </c>
      <c r="B24" s="59">
        <f t="shared" si="1"/>
        <v>0</v>
      </c>
      <c r="C24" s="59">
        <v>0.0</v>
      </c>
      <c r="D24" s="59">
        <v>0.0</v>
      </c>
      <c r="E24" s="59">
        <f t="shared" si="2"/>
        <v>0</v>
      </c>
      <c r="F24" s="59">
        <f t="shared" si="3"/>
        <v>0</v>
      </c>
      <c r="J24" s="41">
        <v>24.0</v>
      </c>
      <c r="K24" s="41">
        <v>0.0</v>
      </c>
      <c r="L24" s="59">
        <v>0.0</v>
      </c>
    </row>
    <row r="25" ht="12.75" customHeight="1">
      <c r="A25" s="41">
        <v>4.0</v>
      </c>
      <c r="B25" s="59">
        <f t="shared" si="1"/>
        <v>16974</v>
      </c>
      <c r="C25" s="59">
        <f>479+623+1597+527</f>
        <v>3226</v>
      </c>
      <c r="D25" s="59">
        <f>3000+3900+10000+3300</f>
        <v>20200</v>
      </c>
      <c r="E25" s="59">
        <f t="shared" si="2"/>
        <v>478.3562</v>
      </c>
      <c r="F25" s="59">
        <f t="shared" si="3"/>
        <v>19721.6438</v>
      </c>
      <c r="J25" s="41">
        <v>25.0</v>
      </c>
      <c r="K25" s="41">
        <v>4.0</v>
      </c>
      <c r="L25" s="59">
        <f>3000+3900+10000+3300</f>
        <v>20200</v>
      </c>
    </row>
    <row r="26" ht="12.75" customHeight="1">
      <c r="A26" s="41">
        <v>6.0</v>
      </c>
      <c r="B26" s="59">
        <f t="shared" si="1"/>
        <v>24411</v>
      </c>
      <c r="C26" s="59">
        <f>902+990+687+367+639+1054</f>
        <v>4639</v>
      </c>
      <c r="D26" s="59">
        <f>5650+6200+4300+2300+4000+6600</f>
        <v>29050</v>
      </c>
      <c r="E26" s="59">
        <f t="shared" si="2"/>
        <v>687.93305</v>
      </c>
      <c r="F26" s="59">
        <f t="shared" si="3"/>
        <v>28362.06695</v>
      </c>
      <c r="J26" s="41">
        <v>26.0</v>
      </c>
      <c r="K26" s="41">
        <v>6.0</v>
      </c>
      <c r="L26" s="59">
        <f>5650+6200+4300+2300+4000+6600</f>
        <v>29050</v>
      </c>
    </row>
    <row r="27" ht="12.75" customHeight="1">
      <c r="A27" s="41">
        <v>5.0</v>
      </c>
      <c r="B27" s="59">
        <f t="shared" si="1"/>
        <v>8781</v>
      </c>
      <c r="C27" s="59">
        <f>319+192+623+136+399</f>
        <v>1669</v>
      </c>
      <c r="D27" s="59">
        <f>2000+1200+3900+850+2500</f>
        <v>10450</v>
      </c>
      <c r="E27" s="59">
        <f t="shared" si="2"/>
        <v>247.46645</v>
      </c>
      <c r="F27" s="59">
        <f t="shared" si="3"/>
        <v>10202.53355</v>
      </c>
      <c r="J27" s="41">
        <v>27.0</v>
      </c>
      <c r="K27" s="41">
        <v>5.0</v>
      </c>
      <c r="L27" s="59">
        <f>2000+1200+3900+850+2500</f>
        <v>10450</v>
      </c>
    </row>
    <row r="28" ht="12.75" customHeight="1">
      <c r="A28" s="41">
        <v>4.0</v>
      </c>
      <c r="B28" s="59">
        <f t="shared" si="1"/>
        <v>9664</v>
      </c>
      <c r="C28" s="59">
        <f>160+319+1197+160</f>
        <v>1836</v>
      </c>
      <c r="D28" s="59">
        <f>1000+2000+7500+1000</f>
        <v>11500</v>
      </c>
      <c r="E28" s="59">
        <f t="shared" si="2"/>
        <v>272.3315</v>
      </c>
      <c r="F28" s="59">
        <f t="shared" si="3"/>
        <v>11227.6685</v>
      </c>
      <c r="J28" s="41">
        <v>28.0</v>
      </c>
      <c r="K28" s="41">
        <v>4.0</v>
      </c>
      <c r="L28" s="59">
        <f>1000+2000+7500+1000</f>
        <v>11500</v>
      </c>
    </row>
    <row r="29" ht="12.75" customHeight="1">
      <c r="A29" s="41">
        <v>4.0</v>
      </c>
      <c r="B29" s="59">
        <f t="shared" si="1"/>
        <v>10169</v>
      </c>
      <c r="C29" s="59">
        <f>399+798+367+367</f>
        <v>1931</v>
      </c>
      <c r="D29" s="59">
        <f>2500+5000+2300+2300</f>
        <v>12100</v>
      </c>
      <c r="E29" s="59">
        <f t="shared" si="2"/>
        <v>286.5401</v>
      </c>
      <c r="F29" s="59">
        <f t="shared" si="3"/>
        <v>11813.4599</v>
      </c>
      <c r="J29" s="41">
        <v>29.0</v>
      </c>
      <c r="K29" s="41">
        <v>4.0</v>
      </c>
      <c r="L29" s="59">
        <f>2500+5000+2300+2300</f>
        <v>12100</v>
      </c>
    </row>
    <row r="30" ht="12.75" customHeight="1">
      <c r="A30" s="41">
        <v>3.0</v>
      </c>
      <c r="B30" s="59">
        <f t="shared" si="1"/>
        <v>24538</v>
      </c>
      <c r="C30" s="59">
        <f>639+766+3257</f>
        <v>4662</v>
      </c>
      <c r="D30" s="59">
        <f>4000+4800+20400</f>
        <v>29200</v>
      </c>
      <c r="E30" s="59">
        <f t="shared" si="2"/>
        <v>691.4852</v>
      </c>
      <c r="F30" s="59">
        <f t="shared" si="3"/>
        <v>28508.5148</v>
      </c>
      <c r="J30" s="41">
        <v>30.0</v>
      </c>
      <c r="K30" s="41">
        <v>3.0</v>
      </c>
      <c r="L30" s="59">
        <f>4000+4800+20400</f>
        <v>29200</v>
      </c>
    </row>
    <row r="31" ht="12.75" customHeight="1">
      <c r="A31" s="41">
        <v>5.0</v>
      </c>
      <c r="B31" s="59">
        <f t="shared" si="1"/>
        <v>32059</v>
      </c>
      <c r="C31" s="59">
        <f>599+559+1932+1724+1277</f>
        <v>6091</v>
      </c>
      <c r="D31" s="59">
        <f>3750+3500+12100+10800+8000</f>
        <v>38150</v>
      </c>
      <c r="E31" s="59">
        <f t="shared" si="2"/>
        <v>903.43015</v>
      </c>
      <c r="F31" s="59">
        <f t="shared" si="3"/>
        <v>37246.56985</v>
      </c>
      <c r="J31" s="41">
        <v>31.0</v>
      </c>
      <c r="K31" s="41">
        <v>5.0</v>
      </c>
      <c r="L31" s="59">
        <f>3750+3500+12100+10800+8000</f>
        <v>38150</v>
      </c>
    </row>
    <row r="32" ht="12.75" customHeight="1">
      <c r="A32" s="65">
        <f t="shared" ref="A32:F32" si="4">SUM(A1:A31)</f>
        <v>99</v>
      </c>
      <c r="B32" s="66">
        <f t="shared" si="4"/>
        <v>404836</v>
      </c>
      <c r="C32" s="66">
        <f t="shared" si="4"/>
        <v>76914</v>
      </c>
      <c r="D32" s="66">
        <f t="shared" si="4"/>
        <v>481750</v>
      </c>
      <c r="E32" s="67">
        <f t="shared" si="4"/>
        <v>11408.32175</v>
      </c>
      <c r="F32" s="67">
        <f t="shared" si="4"/>
        <v>470341.6783</v>
      </c>
      <c r="K32" s="41">
        <f t="shared" ref="K32:L32" si="5">SUM(K1:K31)</f>
        <v>99</v>
      </c>
      <c r="L32" s="59">
        <f t="shared" si="5"/>
        <v>481750</v>
      </c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59"/>
      <c r="D34" s="59"/>
      <c r="E34" s="59"/>
      <c r="F34" s="59"/>
    </row>
    <row r="35" ht="12.75" customHeight="1">
      <c r="B35" s="59"/>
      <c r="C35" s="59"/>
      <c r="D35" s="59"/>
      <c r="E35" s="59"/>
      <c r="F35" s="59"/>
    </row>
    <row r="36" ht="12.75" customHeight="1">
      <c r="B36" s="59"/>
      <c r="C36" s="59"/>
      <c r="D36" s="59"/>
      <c r="E36" s="59"/>
      <c r="F36" s="59"/>
    </row>
    <row r="37" ht="12.75" customHeight="1">
      <c r="B37" s="59"/>
      <c r="C37" s="59"/>
      <c r="D37" s="59"/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9" width="10.63"/>
    <col customWidth="1" min="10" max="10" width="4.0"/>
    <col customWidth="1" min="11" max="11" width="4.75"/>
    <col customWidth="1" min="12" max="12" width="11.38"/>
    <col customWidth="1" min="13" max="26" width="10.63"/>
  </cols>
  <sheetData>
    <row r="1" ht="12.75" customHeight="1">
      <c r="A1" s="68">
        <v>5.0</v>
      </c>
      <c r="B1" s="59">
        <f t="shared" ref="B1:B30" si="1">D1-C1</f>
        <v>13697</v>
      </c>
      <c r="C1" s="59">
        <f>878+287+160+663+615</f>
        <v>2603</v>
      </c>
      <c r="D1" s="59">
        <f>5500+1800+1000+4150+3850</f>
        <v>16300</v>
      </c>
      <c r="E1" s="59">
        <f t="shared" ref="E1:E30" si="2">D1*2.3681%</f>
        <v>386.0003</v>
      </c>
      <c r="F1" s="59">
        <f t="shared" ref="F1:F30" si="3">D1-E1</f>
        <v>15913.9997</v>
      </c>
      <c r="J1" s="41">
        <v>1.0</v>
      </c>
      <c r="K1" s="68">
        <v>5.0</v>
      </c>
      <c r="L1" s="59">
        <f>5500+1800+1000+4150+3850</f>
        <v>16300</v>
      </c>
    </row>
    <row r="2" ht="12.75" customHeight="1">
      <c r="A2" s="68">
        <v>2.0</v>
      </c>
      <c r="B2" s="59">
        <f t="shared" si="1"/>
        <v>5462</v>
      </c>
      <c r="C2" s="59">
        <f>479+559</f>
        <v>1038</v>
      </c>
      <c r="D2" s="59">
        <f>3000+3500</f>
        <v>6500</v>
      </c>
      <c r="E2" s="59">
        <f t="shared" si="2"/>
        <v>153.9265</v>
      </c>
      <c r="F2" s="59">
        <f t="shared" si="3"/>
        <v>6346.0735</v>
      </c>
      <c r="J2" s="41">
        <v>2.0</v>
      </c>
      <c r="K2" s="68">
        <v>2.0</v>
      </c>
      <c r="L2" s="59">
        <f>3000+3500</f>
        <v>6500</v>
      </c>
    </row>
    <row r="3" ht="12.75" customHeight="1">
      <c r="A3" s="68">
        <v>5.0</v>
      </c>
      <c r="B3" s="59">
        <f t="shared" si="1"/>
        <v>15715</v>
      </c>
      <c r="C3" s="59">
        <f>463+543+447+798+734</f>
        <v>2985</v>
      </c>
      <c r="D3" s="59">
        <f>2900+3400+2800+5000+4600</f>
        <v>18700</v>
      </c>
      <c r="E3" s="59">
        <f t="shared" si="2"/>
        <v>442.8347</v>
      </c>
      <c r="F3" s="59">
        <f t="shared" si="3"/>
        <v>18257.1653</v>
      </c>
      <c r="J3" s="41">
        <v>3.0</v>
      </c>
      <c r="K3" s="68">
        <v>5.0</v>
      </c>
      <c r="L3" s="59">
        <f>2900+3400+2800+5000+4600</f>
        <v>18700</v>
      </c>
    </row>
    <row r="4" ht="12.75" customHeight="1">
      <c r="A4" s="68">
        <v>7.0</v>
      </c>
      <c r="B4" s="59">
        <f t="shared" si="1"/>
        <v>17353</v>
      </c>
      <c r="C4" s="59">
        <f>192+447+910+958+279+351+160</f>
        <v>3297</v>
      </c>
      <c r="D4" s="59">
        <f>1200+2800+5700+6000+1750+2200+1000</f>
        <v>20650</v>
      </c>
      <c r="E4" s="59">
        <f t="shared" si="2"/>
        <v>489.01265</v>
      </c>
      <c r="F4" s="59">
        <f t="shared" si="3"/>
        <v>20160.98735</v>
      </c>
      <c r="J4" s="41">
        <v>4.0</v>
      </c>
      <c r="K4" s="68">
        <v>7.0</v>
      </c>
      <c r="L4" s="59">
        <f>1200+2800+5700+6000+1750+2200+1000</f>
        <v>20650</v>
      </c>
    </row>
    <row r="5" ht="12.75" customHeight="1">
      <c r="A5" s="68">
        <v>3.0</v>
      </c>
      <c r="B5" s="59">
        <f t="shared" si="1"/>
        <v>13320</v>
      </c>
      <c r="C5" s="59">
        <f>718+319+1493</f>
        <v>2530</v>
      </c>
      <c r="D5" s="59">
        <f>4500+2000+9350</f>
        <v>15850</v>
      </c>
      <c r="E5" s="59">
        <f t="shared" si="2"/>
        <v>375.34385</v>
      </c>
      <c r="F5" s="59">
        <f t="shared" si="3"/>
        <v>15474.65615</v>
      </c>
      <c r="J5" s="41">
        <v>5.0</v>
      </c>
      <c r="K5" s="68">
        <v>3.0</v>
      </c>
      <c r="L5" s="59">
        <f>4500+2000+9350</f>
        <v>15850</v>
      </c>
    </row>
    <row r="6" ht="12.75" customHeight="1">
      <c r="A6" s="68">
        <v>4.0</v>
      </c>
      <c r="B6" s="59">
        <f t="shared" si="1"/>
        <v>9245</v>
      </c>
      <c r="C6" s="59">
        <f>782+255+479+239</f>
        <v>1755</v>
      </c>
      <c r="D6" s="59">
        <f>4900+1600+3000+1500</f>
        <v>11000</v>
      </c>
      <c r="E6" s="59">
        <f t="shared" si="2"/>
        <v>260.491</v>
      </c>
      <c r="F6" s="59">
        <f t="shared" si="3"/>
        <v>10739.509</v>
      </c>
      <c r="J6" s="41">
        <v>6.0</v>
      </c>
      <c r="K6" s="68">
        <v>4.0</v>
      </c>
      <c r="L6" s="59">
        <f>4900+1600+3000+1500</f>
        <v>11000</v>
      </c>
    </row>
    <row r="7" ht="12.75" customHeight="1">
      <c r="A7" s="68">
        <v>6.0</v>
      </c>
      <c r="B7" s="59">
        <f t="shared" si="1"/>
        <v>38151</v>
      </c>
      <c r="C7" s="59">
        <f>2219+112+742+559+1956+1661</f>
        <v>7249</v>
      </c>
      <c r="D7" s="59">
        <f>13900+700+4650+3500+12250+10400</f>
        <v>45400</v>
      </c>
      <c r="E7" s="59">
        <f t="shared" si="2"/>
        <v>1075.1174</v>
      </c>
      <c r="F7" s="59">
        <f t="shared" si="3"/>
        <v>44324.8826</v>
      </c>
      <c r="J7" s="41">
        <v>7.0</v>
      </c>
      <c r="K7" s="68">
        <v>6.0</v>
      </c>
      <c r="L7" s="59">
        <f>13900+700+4650+3500+12250+10400</f>
        <v>45400</v>
      </c>
    </row>
    <row r="8" ht="12.75" customHeight="1">
      <c r="A8" s="68">
        <v>10.0</v>
      </c>
      <c r="B8" s="59">
        <f t="shared" si="1"/>
        <v>52437</v>
      </c>
      <c r="C8" s="59">
        <f>1996+878+1038+383+1589+1772+958+479+726+144</f>
        <v>9963</v>
      </c>
      <c r="D8" s="59">
        <f>12500+5500+6500+2400+9950+11100+6000+3000+4550+900</f>
        <v>62400</v>
      </c>
      <c r="E8" s="59">
        <f t="shared" si="2"/>
        <v>1477.6944</v>
      </c>
      <c r="F8" s="59">
        <f t="shared" si="3"/>
        <v>60922.3056</v>
      </c>
      <c r="J8" s="41">
        <v>8.0</v>
      </c>
      <c r="K8" s="68">
        <v>10.0</v>
      </c>
      <c r="L8" s="59">
        <f>12500+5500+6500+2400+9950+11100+6000+3000+4550+900</f>
        <v>62400</v>
      </c>
    </row>
    <row r="9" ht="12.75" customHeight="1">
      <c r="A9" s="68">
        <v>3.0</v>
      </c>
      <c r="B9" s="59">
        <f t="shared" si="1"/>
        <v>5966</v>
      </c>
      <c r="C9" s="59">
        <f>479+527+128</f>
        <v>1134</v>
      </c>
      <c r="D9" s="59">
        <f>3000+3300+800</f>
        <v>7100</v>
      </c>
      <c r="E9" s="59">
        <f t="shared" si="2"/>
        <v>168.1351</v>
      </c>
      <c r="F9" s="59">
        <f t="shared" si="3"/>
        <v>6931.8649</v>
      </c>
      <c r="J9" s="41">
        <v>9.0</v>
      </c>
      <c r="K9" s="68">
        <v>3.0</v>
      </c>
      <c r="L9" s="59">
        <f>3000+3300+800</f>
        <v>7100</v>
      </c>
    </row>
    <row r="10" ht="12.75" customHeight="1">
      <c r="A10" s="68">
        <v>7.0</v>
      </c>
      <c r="B10" s="59">
        <f t="shared" si="1"/>
        <v>35612</v>
      </c>
      <c r="C10" s="59">
        <f>1062+615+200+3313+623+160+795</f>
        <v>6768</v>
      </c>
      <c r="D10" s="59">
        <f>6650+3850+1250+20750+3900+1000+4980</f>
        <v>42380</v>
      </c>
      <c r="E10" s="59">
        <f t="shared" si="2"/>
        <v>1003.60078</v>
      </c>
      <c r="F10" s="59">
        <f t="shared" si="3"/>
        <v>41376.39922</v>
      </c>
      <c r="J10" s="41">
        <v>10.0</v>
      </c>
      <c r="K10" s="68">
        <v>7.0</v>
      </c>
      <c r="L10" s="59">
        <f>6650+3850+1250+20750+3900+1000+4980</f>
        <v>42380</v>
      </c>
    </row>
    <row r="11" ht="12.75" customHeight="1">
      <c r="A11" s="68">
        <v>1.0</v>
      </c>
      <c r="B11" s="59">
        <f t="shared" si="1"/>
        <v>4706</v>
      </c>
      <c r="C11" s="59">
        <v>894.0</v>
      </c>
      <c r="D11" s="59">
        <v>5600.0</v>
      </c>
      <c r="E11" s="59">
        <f t="shared" si="2"/>
        <v>132.6136</v>
      </c>
      <c r="F11" s="59">
        <f t="shared" si="3"/>
        <v>5467.3864</v>
      </c>
      <c r="J11" s="41">
        <v>11.0</v>
      </c>
      <c r="K11" s="68">
        <v>1.0</v>
      </c>
      <c r="L11" s="59">
        <v>5600.0</v>
      </c>
    </row>
    <row r="12" ht="12.75" customHeight="1">
      <c r="A12" s="68">
        <v>4.0</v>
      </c>
      <c r="B12" s="59">
        <f t="shared" si="1"/>
        <v>13571</v>
      </c>
      <c r="C12" s="59">
        <f>319+423+224+1613</f>
        <v>2579</v>
      </c>
      <c r="D12" s="59">
        <f>2000+2650+1400+10100</f>
        <v>16150</v>
      </c>
      <c r="E12" s="59">
        <f t="shared" si="2"/>
        <v>382.44815</v>
      </c>
      <c r="F12" s="59">
        <f t="shared" si="3"/>
        <v>15767.55185</v>
      </c>
      <c r="J12" s="41">
        <v>12.0</v>
      </c>
      <c r="K12" s="68">
        <v>4.0</v>
      </c>
      <c r="L12" s="59">
        <f>2000+2650+1400+10100</f>
        <v>16150</v>
      </c>
    </row>
    <row r="13" ht="12.75" customHeight="1">
      <c r="A13" s="68">
        <v>8.0</v>
      </c>
      <c r="B13" s="59">
        <f t="shared" si="1"/>
        <v>51472</v>
      </c>
      <c r="C13" s="59">
        <f>1309+5109+766+375+479+271+1150+319</f>
        <v>9778</v>
      </c>
      <c r="D13" s="59">
        <f>8200+32000+4800+2350+3000+1700+7200+2000</f>
        <v>61250</v>
      </c>
      <c r="E13" s="59">
        <f t="shared" si="2"/>
        <v>1450.46125</v>
      </c>
      <c r="F13" s="59">
        <f t="shared" si="3"/>
        <v>59799.53875</v>
      </c>
      <c r="J13" s="41">
        <v>13.0</v>
      </c>
      <c r="K13" s="68">
        <v>8.0</v>
      </c>
      <c r="L13" s="59">
        <f>8200+32000+4800+2350+3000+1700+7200+2000</f>
        <v>61250</v>
      </c>
    </row>
    <row r="14" ht="12.75" customHeight="1">
      <c r="A14" s="68">
        <v>7.0</v>
      </c>
      <c r="B14" s="59">
        <f t="shared" si="1"/>
        <v>16176</v>
      </c>
      <c r="C14" s="59">
        <f>479+208+319+631+160+958+319</f>
        <v>3074</v>
      </c>
      <c r="D14" s="59">
        <f>3000+1300+2000+3950+1000+6000+2000</f>
        <v>19250</v>
      </c>
      <c r="E14" s="59">
        <f t="shared" si="2"/>
        <v>455.85925</v>
      </c>
      <c r="F14" s="59">
        <f t="shared" si="3"/>
        <v>18794.14075</v>
      </c>
      <c r="J14" s="41">
        <v>14.0</v>
      </c>
      <c r="K14" s="68">
        <v>7.0</v>
      </c>
      <c r="L14" s="59">
        <f>3000+1300+2000+3950+1000+6000+2000</f>
        <v>19250</v>
      </c>
    </row>
    <row r="15" ht="12.75" customHeight="1">
      <c r="A15" s="68">
        <v>10.0</v>
      </c>
      <c r="B15" s="59">
        <f t="shared" si="1"/>
        <v>84705</v>
      </c>
      <c r="C15" s="59">
        <f>463+990+1796+3561+239+4311+2100+2044+431+160</f>
        <v>16095</v>
      </c>
      <c r="D15" s="59">
        <f>2900+6200+11250+22300+1500+27000+13150+12800+2700+1000</f>
        <v>100800</v>
      </c>
      <c r="E15" s="59">
        <f t="shared" si="2"/>
        <v>2387.0448</v>
      </c>
      <c r="F15" s="59">
        <f t="shared" si="3"/>
        <v>98412.9552</v>
      </c>
      <c r="J15" s="41">
        <v>15.0</v>
      </c>
      <c r="K15" s="68">
        <v>10.0</v>
      </c>
      <c r="L15" s="59">
        <f>2900+6200+11250+22300+1500+27000+13150+12800+2700+1000</f>
        <v>100800</v>
      </c>
    </row>
    <row r="16" ht="12.75" customHeight="1">
      <c r="A16" s="68">
        <v>5.0</v>
      </c>
      <c r="B16" s="59">
        <f t="shared" si="1"/>
        <v>17312</v>
      </c>
      <c r="C16" s="59">
        <f>575+319+798+319+1277</f>
        <v>3288</v>
      </c>
      <c r="D16" s="59">
        <f>3600+2000+5000+2000+8000</f>
        <v>20600</v>
      </c>
      <c r="E16" s="59">
        <f t="shared" si="2"/>
        <v>487.8286</v>
      </c>
      <c r="F16" s="59">
        <f t="shared" si="3"/>
        <v>20112.1714</v>
      </c>
      <c r="J16" s="41">
        <v>16.0</v>
      </c>
      <c r="K16" s="68">
        <v>5.0</v>
      </c>
      <c r="L16" s="59">
        <f>3600+2000+5000+2000+8000</f>
        <v>20600</v>
      </c>
    </row>
    <row r="17" ht="12.75" customHeight="1">
      <c r="A17" s="68">
        <v>6.0</v>
      </c>
      <c r="B17" s="59">
        <f t="shared" si="1"/>
        <v>33235</v>
      </c>
      <c r="C17" s="59">
        <f>447+2922+535+160+1836+415</f>
        <v>6315</v>
      </c>
      <c r="D17" s="59">
        <f>2800+18300+3350+1000+11500+2600</f>
        <v>39550</v>
      </c>
      <c r="E17" s="59">
        <f t="shared" si="2"/>
        <v>936.58355</v>
      </c>
      <c r="F17" s="59">
        <f t="shared" si="3"/>
        <v>38613.41645</v>
      </c>
      <c r="J17" s="41">
        <v>17.0</v>
      </c>
      <c r="K17" s="68">
        <v>6.0</v>
      </c>
      <c r="L17" s="59">
        <f>2800+18300+3350+1000+11500+2600</f>
        <v>39550</v>
      </c>
    </row>
    <row r="18" ht="12.75" customHeight="1">
      <c r="A18" s="68">
        <v>0.0</v>
      </c>
      <c r="B18" s="59">
        <f t="shared" si="1"/>
        <v>0</v>
      </c>
      <c r="C18" s="59">
        <v>0.0</v>
      </c>
      <c r="D18" s="59">
        <v>0.0</v>
      </c>
      <c r="E18" s="59">
        <f t="shared" si="2"/>
        <v>0</v>
      </c>
      <c r="F18" s="59">
        <f t="shared" si="3"/>
        <v>0</v>
      </c>
      <c r="J18" s="41">
        <v>18.0</v>
      </c>
      <c r="K18" s="68">
        <v>0.0</v>
      </c>
      <c r="L18" s="59">
        <v>0.0</v>
      </c>
    </row>
    <row r="19" ht="12.75" customHeight="1">
      <c r="A19" s="68">
        <v>0.0</v>
      </c>
      <c r="B19" s="59">
        <f t="shared" si="1"/>
        <v>0</v>
      </c>
      <c r="C19" s="59">
        <v>0.0</v>
      </c>
      <c r="D19" s="59">
        <v>0.0</v>
      </c>
      <c r="E19" s="59">
        <f t="shared" si="2"/>
        <v>0</v>
      </c>
      <c r="F19" s="59">
        <f t="shared" si="3"/>
        <v>0</v>
      </c>
      <c r="J19" s="41">
        <v>19.0</v>
      </c>
      <c r="K19" s="68">
        <v>0.0</v>
      </c>
      <c r="L19" s="59">
        <v>0.0</v>
      </c>
    </row>
    <row r="20" ht="12.75" customHeight="1">
      <c r="A20" s="68">
        <v>5.0</v>
      </c>
      <c r="B20" s="59">
        <f t="shared" si="1"/>
        <v>15925</v>
      </c>
      <c r="C20" s="59">
        <f>255+375+479+1118+798</f>
        <v>3025</v>
      </c>
      <c r="D20" s="59">
        <f>1600+2350+3000+7000+5000</f>
        <v>18950</v>
      </c>
      <c r="E20" s="59">
        <f t="shared" si="2"/>
        <v>448.75495</v>
      </c>
      <c r="F20" s="59">
        <f t="shared" si="3"/>
        <v>18501.24505</v>
      </c>
      <c r="J20" s="41">
        <v>20.0</v>
      </c>
      <c r="K20" s="68">
        <v>5.0</v>
      </c>
      <c r="L20" s="59">
        <f>1600+2350+3000+7000+5000</f>
        <v>18950</v>
      </c>
    </row>
    <row r="21" ht="12.75" customHeight="1">
      <c r="A21" s="68">
        <v>6.0</v>
      </c>
      <c r="B21" s="59">
        <f t="shared" si="1"/>
        <v>21134</v>
      </c>
      <c r="C21" s="59">
        <f>1357+192+239+224+1365+639</f>
        <v>4016</v>
      </c>
      <c r="D21" s="59">
        <f>8500+1200+1500+1400+8550+4000</f>
        <v>25150</v>
      </c>
      <c r="E21" s="59">
        <f t="shared" si="2"/>
        <v>595.57715</v>
      </c>
      <c r="F21" s="59">
        <f t="shared" si="3"/>
        <v>24554.42285</v>
      </c>
      <c r="J21" s="41">
        <v>21.0</v>
      </c>
      <c r="K21" s="68">
        <v>6.0</v>
      </c>
      <c r="L21" s="59">
        <f>8500+1200+1500+1400+8550+4000</f>
        <v>25150</v>
      </c>
    </row>
    <row r="22" ht="12.75" customHeight="1">
      <c r="A22" s="68">
        <v>5.0</v>
      </c>
      <c r="B22" s="59">
        <f t="shared" si="1"/>
        <v>15758</v>
      </c>
      <c r="C22" s="59">
        <f>271+798+423+287+1213</f>
        <v>2992</v>
      </c>
      <c r="D22" s="59">
        <f>1700+5000+2650+1800+7600</f>
        <v>18750</v>
      </c>
      <c r="E22" s="59">
        <f t="shared" si="2"/>
        <v>444.01875</v>
      </c>
      <c r="F22" s="59">
        <f t="shared" si="3"/>
        <v>18305.98125</v>
      </c>
      <c r="J22" s="41">
        <v>22.0</v>
      </c>
      <c r="K22" s="68">
        <v>5.0</v>
      </c>
      <c r="L22" s="59">
        <f>1700+5000+2650+1800+7600</f>
        <v>18750</v>
      </c>
    </row>
    <row r="23" ht="12.75" customHeight="1">
      <c r="A23" s="68">
        <v>6.0</v>
      </c>
      <c r="B23" s="59">
        <f t="shared" si="1"/>
        <v>19074</v>
      </c>
      <c r="C23" s="59">
        <f>679+671+615+942+543+176</f>
        <v>3626</v>
      </c>
      <c r="D23" s="59">
        <f>4250+4200+3850+5900+3400+1100</f>
        <v>22700</v>
      </c>
      <c r="E23" s="59">
        <f t="shared" si="2"/>
        <v>537.5587</v>
      </c>
      <c r="F23" s="59">
        <f t="shared" si="3"/>
        <v>22162.4413</v>
      </c>
      <c r="J23" s="41">
        <v>23.0</v>
      </c>
      <c r="K23" s="68">
        <v>6.0</v>
      </c>
      <c r="L23" s="59">
        <f>4250+4200+3850+5900+3400+1100</f>
        <v>22700</v>
      </c>
    </row>
    <row r="24" ht="12.75" customHeight="1">
      <c r="A24" s="68">
        <v>3.0</v>
      </c>
      <c r="B24" s="59">
        <f t="shared" si="1"/>
        <v>6555</v>
      </c>
      <c r="C24" s="59">
        <f>303+383+559</f>
        <v>1245</v>
      </c>
      <c r="D24" s="59">
        <f>1900+2400+3500</f>
        <v>7800</v>
      </c>
      <c r="E24" s="59">
        <f t="shared" si="2"/>
        <v>184.7118</v>
      </c>
      <c r="F24" s="59">
        <f t="shared" si="3"/>
        <v>7615.2882</v>
      </c>
      <c r="J24" s="41">
        <v>24.0</v>
      </c>
      <c r="K24" s="68">
        <v>3.0</v>
      </c>
      <c r="L24" s="59">
        <f>1900+2400+3500</f>
        <v>7800</v>
      </c>
    </row>
    <row r="25" ht="12.75" customHeight="1">
      <c r="A25" s="68">
        <v>6.0</v>
      </c>
      <c r="B25" s="59">
        <f t="shared" si="1"/>
        <v>25043</v>
      </c>
      <c r="C25" s="59">
        <f>1852+1046+479+279+718+383</f>
        <v>4757</v>
      </c>
      <c r="D25" s="59">
        <f>11600+6550+3000+1750+4500+2400</f>
        <v>29800</v>
      </c>
      <c r="E25" s="59">
        <f t="shared" si="2"/>
        <v>705.6938</v>
      </c>
      <c r="F25" s="59">
        <f t="shared" si="3"/>
        <v>29094.3062</v>
      </c>
      <c r="J25" s="41">
        <v>25.0</v>
      </c>
      <c r="K25" s="68">
        <v>6.0</v>
      </c>
      <c r="L25" s="59">
        <f>11600+6550+3000+1750+4500+2400</f>
        <v>29800</v>
      </c>
    </row>
    <row r="26" ht="12.75" customHeight="1">
      <c r="A26" s="68">
        <v>4.0</v>
      </c>
      <c r="B26" s="59">
        <f t="shared" si="1"/>
        <v>10713</v>
      </c>
      <c r="C26" s="59">
        <f>176+639+200+1022</f>
        <v>2037</v>
      </c>
      <c r="D26" s="59">
        <f>1100+4000+1250+6400</f>
        <v>12750</v>
      </c>
      <c r="E26" s="59">
        <f t="shared" si="2"/>
        <v>301.93275</v>
      </c>
      <c r="F26" s="59">
        <f t="shared" si="3"/>
        <v>12448.06725</v>
      </c>
      <c r="J26" s="41">
        <v>26.0</v>
      </c>
      <c r="K26" s="68">
        <v>4.0</v>
      </c>
      <c r="L26" s="59">
        <f>1100+4000+1250+6400</f>
        <v>12750</v>
      </c>
    </row>
    <row r="27" ht="12.75" customHeight="1">
      <c r="A27" s="68">
        <v>3.0</v>
      </c>
      <c r="B27" s="59">
        <f t="shared" si="1"/>
        <v>16302</v>
      </c>
      <c r="C27" s="59">
        <f>543+1437+1118</f>
        <v>3098</v>
      </c>
      <c r="D27" s="59">
        <f>3400+9000+7000</f>
        <v>19400</v>
      </c>
      <c r="E27" s="59">
        <f t="shared" si="2"/>
        <v>459.4114</v>
      </c>
      <c r="F27" s="59">
        <f t="shared" si="3"/>
        <v>18940.5886</v>
      </c>
      <c r="J27" s="41">
        <v>27.0</v>
      </c>
      <c r="K27" s="68">
        <v>3.0</v>
      </c>
      <c r="L27" s="59">
        <f>3400+9000+7000</f>
        <v>19400</v>
      </c>
    </row>
    <row r="28" ht="12.75" customHeight="1">
      <c r="A28" s="68">
        <v>3.0</v>
      </c>
      <c r="B28" s="59">
        <f t="shared" si="1"/>
        <v>13488</v>
      </c>
      <c r="C28" s="59">
        <f>255+1261+1046</f>
        <v>2562</v>
      </c>
      <c r="D28" s="59">
        <f>1600+7900+6550</f>
        <v>16050</v>
      </c>
      <c r="E28" s="59">
        <f t="shared" si="2"/>
        <v>380.08005</v>
      </c>
      <c r="F28" s="59">
        <f t="shared" si="3"/>
        <v>15669.91995</v>
      </c>
      <c r="J28" s="41">
        <v>28.0</v>
      </c>
      <c r="K28" s="68">
        <v>3.0</v>
      </c>
      <c r="L28" s="59">
        <f>1600+7900+6550</f>
        <v>16050</v>
      </c>
    </row>
    <row r="29" ht="12.75" customHeight="1">
      <c r="A29" s="68">
        <v>4.0</v>
      </c>
      <c r="B29" s="59">
        <f t="shared" si="1"/>
        <v>7563</v>
      </c>
      <c r="C29" s="59">
        <f>511+160+319+447</f>
        <v>1437</v>
      </c>
      <c r="D29" s="59">
        <f>3200+1000+2000+2800</f>
        <v>9000</v>
      </c>
      <c r="E29" s="59">
        <f t="shared" si="2"/>
        <v>213.129</v>
      </c>
      <c r="F29" s="59">
        <f t="shared" si="3"/>
        <v>8786.871</v>
      </c>
      <c r="J29" s="41">
        <v>29.0</v>
      </c>
      <c r="K29" s="68">
        <v>4.0</v>
      </c>
      <c r="L29" s="59">
        <f>3200+1000+2000+2800</f>
        <v>9000</v>
      </c>
    </row>
    <row r="30" ht="12.75" customHeight="1">
      <c r="A30" s="68">
        <v>4.0</v>
      </c>
      <c r="B30" s="59">
        <f t="shared" si="1"/>
        <v>20420</v>
      </c>
      <c r="C30" s="59">
        <f>2108+239+1118+415</f>
        <v>3880</v>
      </c>
      <c r="D30" s="59">
        <f>13200+1500+7000+2600</f>
        <v>24300</v>
      </c>
      <c r="E30" s="59">
        <f t="shared" si="2"/>
        <v>575.4483</v>
      </c>
      <c r="F30" s="59">
        <f t="shared" si="3"/>
        <v>23724.5517</v>
      </c>
      <c r="J30" s="41">
        <v>30.0</v>
      </c>
      <c r="K30" s="68">
        <v>4.0</v>
      </c>
      <c r="L30" s="59">
        <f>13200+1500+7000+2600</f>
        <v>24300</v>
      </c>
    </row>
    <row r="31" ht="12.75" customHeight="1">
      <c r="A31" s="69">
        <f t="shared" ref="A31:F31" si="4">SUM(A1:A30)</f>
        <v>142</v>
      </c>
      <c r="B31" s="66">
        <f t="shared" si="4"/>
        <v>600110</v>
      </c>
      <c r="C31" s="66">
        <f t="shared" si="4"/>
        <v>114020</v>
      </c>
      <c r="D31" s="66">
        <f t="shared" si="4"/>
        <v>714130</v>
      </c>
      <c r="E31" s="67">
        <f t="shared" si="4"/>
        <v>16911.31253</v>
      </c>
      <c r="F31" s="67">
        <f t="shared" si="4"/>
        <v>697218.6875</v>
      </c>
      <c r="K31" s="69">
        <f t="shared" ref="K31:L31" si="5">SUM(K1:K30)</f>
        <v>142</v>
      </c>
      <c r="L31" s="67">
        <f t="shared" si="5"/>
        <v>714130</v>
      </c>
    </row>
    <row r="32" ht="12.75" customHeight="1">
      <c r="A32" s="68"/>
      <c r="B32" s="59"/>
      <c r="C32" s="59"/>
      <c r="D32" s="59"/>
      <c r="E32" s="59"/>
      <c r="F32" s="59"/>
      <c r="L32" s="59"/>
    </row>
    <row r="33" ht="12.75" customHeight="1">
      <c r="A33" s="68"/>
      <c r="B33" s="59"/>
      <c r="C33" s="59"/>
      <c r="D33" s="59"/>
      <c r="E33" s="59"/>
      <c r="F33" s="59"/>
      <c r="L33" s="59"/>
    </row>
    <row r="34" ht="12.75" customHeight="1">
      <c r="A34" s="68"/>
      <c r="B34" s="59"/>
      <c r="C34" s="59"/>
      <c r="D34" s="59"/>
      <c r="E34" s="59"/>
      <c r="F34" s="59"/>
      <c r="L34" s="59"/>
    </row>
    <row r="35" ht="12.75" customHeight="1">
      <c r="A35" s="68"/>
      <c r="B35" s="59"/>
      <c r="C35" s="59"/>
      <c r="D35" s="59"/>
      <c r="E35" s="59"/>
      <c r="F35" s="59"/>
      <c r="L35" s="59"/>
    </row>
    <row r="36" ht="12.75" customHeight="1">
      <c r="A36" s="68"/>
      <c r="B36" s="59"/>
      <c r="C36" s="59"/>
      <c r="D36" s="59"/>
      <c r="E36" s="59"/>
      <c r="F36" s="59"/>
      <c r="L36" s="59"/>
    </row>
    <row r="37" ht="12.75" customHeight="1">
      <c r="A37" s="68"/>
      <c r="B37" s="59"/>
      <c r="C37" s="59"/>
      <c r="D37" s="59"/>
      <c r="E37" s="59"/>
      <c r="F37" s="59"/>
      <c r="L37" s="59"/>
    </row>
    <row r="38" ht="12.75" customHeight="1">
      <c r="A38" s="68"/>
      <c r="B38" s="59"/>
      <c r="C38" s="59"/>
      <c r="D38" s="59"/>
      <c r="E38" s="59"/>
      <c r="F38" s="59"/>
      <c r="L38" s="59"/>
    </row>
    <row r="39" ht="12.75" customHeight="1">
      <c r="A39" s="68"/>
      <c r="B39" s="59"/>
      <c r="C39" s="59"/>
      <c r="D39" s="59"/>
      <c r="E39" s="59"/>
      <c r="F39" s="59"/>
      <c r="L39" s="59"/>
    </row>
    <row r="40" ht="12.75" customHeight="1">
      <c r="A40" s="68"/>
      <c r="B40" s="59"/>
      <c r="C40" s="59"/>
      <c r="D40" s="59"/>
      <c r="E40" s="59"/>
      <c r="F40" s="59"/>
      <c r="L40" s="59"/>
    </row>
    <row r="41" ht="12.75" customHeight="1">
      <c r="A41" s="68"/>
      <c r="B41" s="59"/>
      <c r="C41" s="59"/>
      <c r="D41" s="59"/>
      <c r="E41" s="59"/>
      <c r="F41" s="59"/>
      <c r="L41" s="59"/>
    </row>
    <row r="42" ht="12.75" customHeight="1">
      <c r="A42" s="68"/>
      <c r="B42" s="59"/>
      <c r="C42" s="59"/>
      <c r="D42" s="59"/>
      <c r="E42" s="59"/>
      <c r="F42" s="59"/>
      <c r="L42" s="59"/>
    </row>
    <row r="43" ht="12.75" customHeight="1">
      <c r="A43" s="68"/>
      <c r="B43" s="59"/>
      <c r="C43" s="59"/>
      <c r="D43" s="59"/>
      <c r="E43" s="59"/>
      <c r="F43" s="59"/>
      <c r="L43" s="59"/>
    </row>
    <row r="44" ht="12.75" customHeight="1">
      <c r="A44" s="68"/>
      <c r="B44" s="59"/>
      <c r="C44" s="59"/>
      <c r="D44" s="59"/>
      <c r="E44" s="59"/>
      <c r="F44" s="59"/>
      <c r="L44" s="59"/>
    </row>
    <row r="45" ht="12.75" customHeight="1">
      <c r="A45" s="68"/>
      <c r="B45" s="59"/>
      <c r="C45" s="59"/>
      <c r="D45" s="59"/>
      <c r="E45" s="59"/>
      <c r="F45" s="59"/>
      <c r="L45" s="59"/>
    </row>
    <row r="46" ht="12.75" customHeight="1">
      <c r="A46" s="68"/>
      <c r="B46" s="59"/>
      <c r="C46" s="59"/>
      <c r="D46" s="59"/>
      <c r="E46" s="59"/>
      <c r="F46" s="59"/>
      <c r="L46" s="59"/>
    </row>
    <row r="47" ht="12.75" customHeight="1">
      <c r="A47" s="68"/>
      <c r="B47" s="59"/>
      <c r="C47" s="59"/>
      <c r="D47" s="59"/>
      <c r="E47" s="59"/>
      <c r="F47" s="59"/>
      <c r="L47" s="59"/>
    </row>
    <row r="48" ht="12.75" customHeight="1">
      <c r="A48" s="68"/>
      <c r="B48" s="59"/>
      <c r="C48" s="59"/>
      <c r="D48" s="59"/>
      <c r="E48" s="59"/>
      <c r="F48" s="59"/>
      <c r="L48" s="59"/>
    </row>
    <row r="49" ht="12.75" customHeight="1">
      <c r="A49" s="68"/>
      <c r="B49" s="59"/>
      <c r="C49" s="59"/>
      <c r="D49" s="59"/>
      <c r="E49" s="59"/>
      <c r="F49" s="59"/>
      <c r="L49" s="59"/>
    </row>
    <row r="50" ht="12.75" customHeight="1">
      <c r="A50" s="68"/>
      <c r="B50" s="59"/>
      <c r="C50" s="59"/>
      <c r="D50" s="59"/>
      <c r="E50" s="59"/>
      <c r="F50" s="59"/>
      <c r="L50" s="59"/>
    </row>
    <row r="51" ht="12.75" customHeight="1">
      <c r="A51" s="68"/>
      <c r="B51" s="59"/>
      <c r="C51" s="59"/>
      <c r="D51" s="59"/>
      <c r="E51" s="59"/>
      <c r="F51" s="59"/>
      <c r="L51" s="59"/>
    </row>
    <row r="52" ht="12.75" customHeight="1">
      <c r="A52" s="68"/>
      <c r="B52" s="59"/>
      <c r="C52" s="59"/>
      <c r="D52" s="59"/>
      <c r="E52" s="59"/>
      <c r="F52" s="59"/>
      <c r="L52" s="59"/>
    </row>
    <row r="53" ht="12.75" customHeight="1">
      <c r="A53" s="68"/>
      <c r="B53" s="59"/>
      <c r="C53" s="59"/>
      <c r="D53" s="59"/>
      <c r="E53" s="59"/>
      <c r="F53" s="59"/>
      <c r="L53" s="59"/>
    </row>
    <row r="54" ht="12.75" customHeight="1">
      <c r="A54" s="68"/>
      <c r="B54" s="59"/>
      <c r="C54" s="59"/>
      <c r="D54" s="59"/>
      <c r="E54" s="59"/>
      <c r="F54" s="59"/>
      <c r="L54" s="59"/>
    </row>
    <row r="55" ht="12.75" customHeight="1">
      <c r="A55" s="68"/>
      <c r="B55" s="59"/>
      <c r="C55" s="59"/>
      <c r="D55" s="59"/>
      <c r="E55" s="59"/>
      <c r="F55" s="59"/>
      <c r="L55" s="59"/>
    </row>
    <row r="56" ht="12.75" customHeight="1">
      <c r="A56" s="68"/>
      <c r="B56" s="59"/>
      <c r="C56" s="59"/>
      <c r="D56" s="59"/>
      <c r="E56" s="59"/>
      <c r="F56" s="59"/>
      <c r="L56" s="59"/>
    </row>
    <row r="57" ht="12.75" customHeight="1">
      <c r="A57" s="68"/>
      <c r="B57" s="59"/>
      <c r="C57" s="59"/>
      <c r="D57" s="59"/>
      <c r="E57" s="59"/>
      <c r="F57" s="59"/>
      <c r="L57" s="59"/>
    </row>
    <row r="58" ht="12.75" customHeight="1">
      <c r="A58" s="68"/>
      <c r="B58" s="59"/>
      <c r="C58" s="59"/>
      <c r="D58" s="59"/>
      <c r="E58" s="59"/>
      <c r="F58" s="59"/>
      <c r="L58" s="59"/>
    </row>
    <row r="59" ht="12.75" customHeight="1">
      <c r="A59" s="68"/>
      <c r="B59" s="59"/>
      <c r="C59" s="59"/>
      <c r="D59" s="59"/>
      <c r="E59" s="59"/>
      <c r="F59" s="59"/>
      <c r="L59" s="59"/>
    </row>
    <row r="60" ht="12.75" customHeight="1">
      <c r="A60" s="68"/>
      <c r="B60" s="59"/>
      <c r="C60" s="59"/>
      <c r="D60" s="59"/>
      <c r="E60" s="59"/>
      <c r="F60" s="59"/>
      <c r="L60" s="59"/>
    </row>
    <row r="61" ht="12.75" customHeight="1">
      <c r="A61" s="68"/>
      <c r="B61" s="59"/>
      <c r="C61" s="59"/>
      <c r="D61" s="59"/>
      <c r="E61" s="59"/>
      <c r="F61" s="59"/>
      <c r="L61" s="59"/>
    </row>
    <row r="62" ht="12.75" customHeight="1">
      <c r="A62" s="68"/>
      <c r="B62" s="59"/>
      <c r="C62" s="59"/>
      <c r="D62" s="59"/>
      <c r="E62" s="59"/>
      <c r="F62" s="59"/>
      <c r="L62" s="59"/>
    </row>
    <row r="63" ht="12.75" customHeight="1">
      <c r="A63" s="68"/>
      <c r="B63" s="59"/>
      <c r="C63" s="59"/>
      <c r="D63" s="59"/>
      <c r="E63" s="59"/>
      <c r="F63" s="59"/>
      <c r="L63" s="59"/>
    </row>
    <row r="64" ht="12.75" customHeight="1">
      <c r="A64" s="68"/>
      <c r="B64" s="59"/>
      <c r="C64" s="59"/>
      <c r="D64" s="59"/>
      <c r="E64" s="59"/>
      <c r="F64" s="59"/>
      <c r="L64" s="59"/>
    </row>
    <row r="65" ht="12.75" customHeight="1">
      <c r="A65" s="68"/>
      <c r="B65" s="59"/>
      <c r="C65" s="59"/>
      <c r="D65" s="59"/>
      <c r="E65" s="59"/>
      <c r="F65" s="59"/>
      <c r="L65" s="59"/>
    </row>
    <row r="66" ht="12.75" customHeight="1">
      <c r="A66" s="68"/>
      <c r="B66" s="59"/>
      <c r="C66" s="59"/>
      <c r="D66" s="59"/>
      <c r="E66" s="59"/>
      <c r="F66" s="59"/>
      <c r="L66" s="59"/>
    </row>
    <row r="67" ht="12.75" customHeight="1">
      <c r="A67" s="68"/>
      <c r="B67" s="59"/>
      <c r="C67" s="59"/>
      <c r="D67" s="59"/>
      <c r="E67" s="59"/>
      <c r="F67" s="59"/>
      <c r="L67" s="59"/>
    </row>
    <row r="68" ht="12.75" customHeight="1">
      <c r="A68" s="68"/>
      <c r="B68" s="59"/>
      <c r="C68" s="59"/>
      <c r="D68" s="59"/>
      <c r="E68" s="59"/>
      <c r="F68" s="59"/>
      <c r="L68" s="59"/>
    </row>
    <row r="69" ht="12.75" customHeight="1">
      <c r="A69" s="68"/>
      <c r="B69" s="59"/>
      <c r="C69" s="59"/>
      <c r="D69" s="59"/>
      <c r="E69" s="59"/>
      <c r="F69" s="59"/>
      <c r="L69" s="59"/>
    </row>
    <row r="70" ht="12.75" customHeight="1">
      <c r="A70" s="68"/>
      <c r="B70" s="59"/>
      <c r="C70" s="59"/>
      <c r="D70" s="59"/>
      <c r="E70" s="59"/>
      <c r="F70" s="59"/>
      <c r="L70" s="59"/>
    </row>
    <row r="71" ht="12.75" customHeight="1">
      <c r="A71" s="68"/>
      <c r="B71" s="59"/>
      <c r="C71" s="59"/>
      <c r="D71" s="59"/>
      <c r="E71" s="59"/>
      <c r="F71" s="59"/>
      <c r="L71" s="59"/>
    </row>
    <row r="72" ht="12.75" customHeight="1">
      <c r="A72" s="68"/>
      <c r="B72" s="59"/>
      <c r="C72" s="59"/>
      <c r="D72" s="59"/>
      <c r="E72" s="59"/>
      <c r="F72" s="59"/>
      <c r="L72" s="59"/>
    </row>
    <row r="73" ht="12.75" customHeight="1">
      <c r="A73" s="68"/>
      <c r="B73" s="59"/>
      <c r="C73" s="59"/>
      <c r="D73" s="59"/>
      <c r="E73" s="59"/>
      <c r="F73" s="59"/>
      <c r="L73" s="59"/>
    </row>
    <row r="74" ht="12.75" customHeight="1">
      <c r="A74" s="68"/>
      <c r="B74" s="59"/>
      <c r="C74" s="59"/>
      <c r="D74" s="59"/>
      <c r="E74" s="59"/>
      <c r="F74" s="59"/>
      <c r="L74" s="59"/>
    </row>
    <row r="75" ht="12.75" customHeight="1">
      <c r="A75" s="68"/>
      <c r="B75" s="59"/>
      <c r="C75" s="59"/>
      <c r="D75" s="59"/>
      <c r="E75" s="59"/>
      <c r="F75" s="59"/>
      <c r="L75" s="59"/>
    </row>
    <row r="76" ht="12.75" customHeight="1">
      <c r="A76" s="68"/>
      <c r="B76" s="59"/>
      <c r="C76" s="59"/>
      <c r="D76" s="59"/>
      <c r="E76" s="59"/>
      <c r="F76" s="59"/>
      <c r="L76" s="59"/>
    </row>
    <row r="77" ht="12.75" customHeight="1">
      <c r="A77" s="68"/>
      <c r="B77" s="59"/>
      <c r="C77" s="59"/>
      <c r="D77" s="59"/>
      <c r="E77" s="59"/>
      <c r="F77" s="59"/>
      <c r="L77" s="59"/>
    </row>
    <row r="78" ht="12.75" customHeight="1">
      <c r="A78" s="68"/>
      <c r="B78" s="59"/>
      <c r="C78" s="59"/>
      <c r="D78" s="59"/>
      <c r="E78" s="59"/>
      <c r="F78" s="59"/>
      <c r="L78" s="59"/>
    </row>
    <row r="79" ht="12.75" customHeight="1">
      <c r="A79" s="68"/>
      <c r="B79" s="59"/>
      <c r="C79" s="59"/>
      <c r="D79" s="59"/>
      <c r="E79" s="59"/>
      <c r="F79" s="59"/>
      <c r="L79" s="59"/>
    </row>
    <row r="80" ht="12.75" customHeight="1">
      <c r="A80" s="68"/>
      <c r="B80" s="59"/>
      <c r="C80" s="59"/>
      <c r="D80" s="59"/>
      <c r="E80" s="59"/>
      <c r="F80" s="59"/>
      <c r="L80" s="59"/>
    </row>
    <row r="81" ht="12.75" customHeight="1">
      <c r="A81" s="68"/>
      <c r="B81" s="59"/>
      <c r="C81" s="59"/>
      <c r="D81" s="59"/>
      <c r="E81" s="59"/>
      <c r="F81" s="59"/>
      <c r="L81" s="59"/>
    </row>
    <row r="82" ht="12.75" customHeight="1">
      <c r="A82" s="68"/>
      <c r="B82" s="59"/>
      <c r="C82" s="59"/>
      <c r="D82" s="59"/>
      <c r="E82" s="59"/>
      <c r="F82" s="59"/>
      <c r="L82" s="59"/>
    </row>
    <row r="83" ht="12.75" customHeight="1">
      <c r="A83" s="68"/>
      <c r="B83" s="59"/>
      <c r="C83" s="59"/>
      <c r="D83" s="59"/>
      <c r="E83" s="59"/>
      <c r="F83" s="59"/>
      <c r="L83" s="59"/>
    </row>
    <row r="84" ht="12.75" customHeight="1">
      <c r="A84" s="68"/>
      <c r="B84" s="59"/>
      <c r="C84" s="59"/>
      <c r="D84" s="59"/>
      <c r="E84" s="59"/>
      <c r="F84" s="59"/>
      <c r="L84" s="59"/>
    </row>
    <row r="85" ht="12.75" customHeight="1">
      <c r="A85" s="68"/>
      <c r="B85" s="59"/>
      <c r="C85" s="59"/>
      <c r="D85" s="59"/>
      <c r="E85" s="59"/>
      <c r="F85" s="59"/>
      <c r="L85" s="59"/>
    </row>
    <row r="86" ht="12.75" customHeight="1">
      <c r="A86" s="68"/>
      <c r="B86" s="59"/>
      <c r="C86" s="59"/>
      <c r="D86" s="59"/>
      <c r="E86" s="59"/>
      <c r="F86" s="59"/>
      <c r="L86" s="59"/>
    </row>
    <row r="87" ht="12.75" customHeight="1">
      <c r="A87" s="68"/>
      <c r="B87" s="59"/>
      <c r="C87" s="59"/>
      <c r="D87" s="59"/>
      <c r="E87" s="59"/>
      <c r="F87" s="59"/>
      <c r="L87" s="59"/>
    </row>
    <row r="88" ht="12.75" customHeight="1">
      <c r="A88" s="68"/>
      <c r="B88" s="59"/>
      <c r="C88" s="59"/>
      <c r="D88" s="59"/>
      <c r="E88" s="59"/>
      <c r="F88" s="59"/>
      <c r="L88" s="59"/>
    </row>
    <row r="89" ht="12.75" customHeight="1">
      <c r="A89" s="68"/>
      <c r="B89" s="59"/>
      <c r="C89" s="59"/>
      <c r="D89" s="59"/>
      <c r="E89" s="59"/>
      <c r="F89" s="59"/>
      <c r="L89" s="59"/>
    </row>
    <row r="90" ht="12.75" customHeight="1">
      <c r="A90" s="68"/>
      <c r="B90" s="59"/>
      <c r="C90" s="59"/>
      <c r="D90" s="59"/>
      <c r="E90" s="59"/>
      <c r="F90" s="59"/>
      <c r="L90" s="59"/>
    </row>
    <row r="91" ht="12.75" customHeight="1">
      <c r="A91" s="68"/>
      <c r="B91" s="59"/>
      <c r="C91" s="59"/>
      <c r="D91" s="59"/>
      <c r="E91" s="59"/>
      <c r="F91" s="59"/>
      <c r="L91" s="59"/>
    </row>
    <row r="92" ht="12.75" customHeight="1">
      <c r="A92" s="68"/>
      <c r="B92" s="59"/>
      <c r="C92" s="59"/>
      <c r="D92" s="59"/>
      <c r="E92" s="59"/>
      <c r="F92" s="59"/>
      <c r="L92" s="59"/>
    </row>
    <row r="93" ht="12.75" customHeight="1">
      <c r="A93" s="68"/>
      <c r="B93" s="59"/>
      <c r="C93" s="59"/>
      <c r="D93" s="59"/>
      <c r="E93" s="59"/>
      <c r="F93" s="59"/>
      <c r="L93" s="59"/>
    </row>
    <row r="94" ht="12.75" customHeight="1">
      <c r="A94" s="68"/>
      <c r="B94" s="59"/>
      <c r="C94" s="59"/>
      <c r="D94" s="59"/>
      <c r="E94" s="59"/>
      <c r="F94" s="59"/>
      <c r="L94" s="59"/>
    </row>
    <row r="95" ht="12.75" customHeight="1">
      <c r="A95" s="68"/>
      <c r="B95" s="59"/>
      <c r="C95" s="59"/>
      <c r="D95" s="59"/>
      <c r="E95" s="59"/>
      <c r="F95" s="59"/>
      <c r="L95" s="59"/>
    </row>
    <row r="96" ht="12.75" customHeight="1">
      <c r="A96" s="68"/>
      <c r="B96" s="59"/>
      <c r="C96" s="59"/>
      <c r="D96" s="59"/>
      <c r="E96" s="59"/>
      <c r="F96" s="59"/>
      <c r="L96" s="59"/>
    </row>
    <row r="97" ht="12.75" customHeight="1">
      <c r="A97" s="68"/>
      <c r="B97" s="59"/>
      <c r="C97" s="59"/>
      <c r="D97" s="59"/>
      <c r="E97" s="59"/>
      <c r="F97" s="59"/>
      <c r="L97" s="59"/>
    </row>
    <row r="98" ht="12.75" customHeight="1">
      <c r="A98" s="68"/>
      <c r="B98" s="59"/>
      <c r="C98" s="59"/>
      <c r="D98" s="59"/>
      <c r="E98" s="59"/>
      <c r="F98" s="59"/>
      <c r="L98" s="59"/>
    </row>
    <row r="99" ht="12.75" customHeight="1">
      <c r="A99" s="68"/>
      <c r="B99" s="59"/>
      <c r="C99" s="59"/>
      <c r="D99" s="59"/>
      <c r="E99" s="59"/>
      <c r="F99" s="59"/>
      <c r="L99" s="59"/>
    </row>
    <row r="100" ht="12.75" customHeight="1">
      <c r="A100" s="68"/>
      <c r="B100" s="59"/>
      <c r="C100" s="59"/>
      <c r="D100" s="59"/>
      <c r="E100" s="59"/>
      <c r="F100" s="59"/>
      <c r="L100" s="59"/>
    </row>
    <row r="101" ht="12.75" customHeight="1">
      <c r="A101" s="68"/>
      <c r="B101" s="59"/>
      <c r="C101" s="59"/>
      <c r="D101" s="59"/>
      <c r="E101" s="59"/>
      <c r="F101" s="59"/>
      <c r="L101" s="59"/>
    </row>
    <row r="102" ht="12.75" customHeight="1">
      <c r="A102" s="68"/>
      <c r="B102" s="59"/>
      <c r="C102" s="59"/>
      <c r="D102" s="59"/>
      <c r="E102" s="59"/>
      <c r="F102" s="59"/>
      <c r="L102" s="59"/>
    </row>
    <row r="103" ht="12.75" customHeight="1">
      <c r="A103" s="68"/>
      <c r="B103" s="59"/>
      <c r="C103" s="59"/>
      <c r="D103" s="59"/>
      <c r="E103" s="59"/>
      <c r="F103" s="59"/>
      <c r="L103" s="59"/>
    </row>
    <row r="104" ht="12.75" customHeight="1">
      <c r="A104" s="68"/>
      <c r="B104" s="59"/>
      <c r="C104" s="59"/>
      <c r="D104" s="59"/>
      <c r="E104" s="59"/>
      <c r="F104" s="59"/>
      <c r="L104" s="59"/>
    </row>
    <row r="105" ht="12.75" customHeight="1">
      <c r="A105" s="68"/>
      <c r="B105" s="59"/>
      <c r="C105" s="59"/>
      <c r="D105" s="59"/>
      <c r="E105" s="59"/>
      <c r="F105" s="59"/>
      <c r="L105" s="59"/>
    </row>
    <row r="106" ht="12.75" customHeight="1">
      <c r="A106" s="68"/>
      <c r="B106" s="59"/>
      <c r="C106" s="59"/>
      <c r="D106" s="59"/>
      <c r="E106" s="59"/>
      <c r="F106" s="59"/>
      <c r="L106" s="59"/>
    </row>
    <row r="107" ht="12.75" customHeight="1">
      <c r="A107" s="68"/>
      <c r="B107" s="59"/>
      <c r="C107" s="59"/>
      <c r="D107" s="59"/>
      <c r="E107" s="59"/>
      <c r="F107" s="59"/>
      <c r="L107" s="59"/>
    </row>
    <row r="108" ht="12.75" customHeight="1">
      <c r="A108" s="68"/>
      <c r="B108" s="59"/>
      <c r="C108" s="59"/>
      <c r="D108" s="59"/>
      <c r="E108" s="59"/>
      <c r="F108" s="59"/>
      <c r="L108" s="59"/>
    </row>
    <row r="109" ht="12.75" customHeight="1">
      <c r="A109" s="68"/>
      <c r="B109" s="59"/>
      <c r="C109" s="59"/>
      <c r="D109" s="59"/>
      <c r="E109" s="59"/>
      <c r="F109" s="59"/>
      <c r="L109" s="59"/>
    </row>
    <row r="110" ht="12.75" customHeight="1">
      <c r="A110" s="68"/>
      <c r="B110" s="59"/>
      <c r="C110" s="59"/>
      <c r="D110" s="59"/>
      <c r="E110" s="59"/>
      <c r="F110" s="59"/>
      <c r="L110" s="59"/>
    </row>
    <row r="111" ht="12.75" customHeight="1">
      <c r="A111" s="68"/>
      <c r="B111" s="59"/>
      <c r="C111" s="59"/>
      <c r="D111" s="59"/>
      <c r="E111" s="59"/>
      <c r="F111" s="59"/>
      <c r="L111" s="59"/>
    </row>
    <row r="112" ht="12.75" customHeight="1">
      <c r="A112" s="68"/>
      <c r="B112" s="59"/>
      <c r="C112" s="59"/>
      <c r="D112" s="59"/>
      <c r="E112" s="59"/>
      <c r="F112" s="59"/>
      <c r="L112" s="59"/>
    </row>
    <row r="113" ht="12.75" customHeight="1">
      <c r="A113" s="68"/>
      <c r="B113" s="59"/>
      <c r="C113" s="59"/>
      <c r="D113" s="59"/>
      <c r="E113" s="59"/>
      <c r="F113" s="59"/>
      <c r="L113" s="59"/>
    </row>
    <row r="114" ht="12.75" customHeight="1">
      <c r="A114" s="68"/>
      <c r="B114" s="59"/>
      <c r="C114" s="59"/>
      <c r="D114" s="59"/>
      <c r="E114" s="59"/>
      <c r="F114" s="59"/>
      <c r="L114" s="59"/>
    </row>
    <row r="115" ht="12.75" customHeight="1">
      <c r="A115" s="68"/>
      <c r="B115" s="59"/>
      <c r="C115" s="59"/>
      <c r="D115" s="59"/>
      <c r="E115" s="59"/>
      <c r="F115" s="59"/>
      <c r="L115" s="59"/>
    </row>
    <row r="116" ht="12.75" customHeight="1">
      <c r="A116" s="68"/>
      <c r="B116" s="59"/>
      <c r="C116" s="59"/>
      <c r="D116" s="59"/>
      <c r="E116" s="59"/>
      <c r="F116" s="59"/>
      <c r="L116" s="59"/>
    </row>
    <row r="117" ht="12.75" customHeight="1">
      <c r="A117" s="68"/>
      <c r="B117" s="59"/>
      <c r="C117" s="59"/>
      <c r="D117" s="59"/>
      <c r="E117" s="59"/>
      <c r="F117" s="59"/>
      <c r="L117" s="59"/>
    </row>
    <row r="118" ht="12.75" customHeight="1">
      <c r="A118" s="68"/>
      <c r="B118" s="59"/>
      <c r="C118" s="59"/>
      <c r="D118" s="59"/>
      <c r="E118" s="59"/>
      <c r="F118" s="59"/>
      <c r="L118" s="59"/>
    </row>
    <row r="119" ht="12.75" customHeight="1">
      <c r="A119" s="68"/>
      <c r="B119" s="59"/>
      <c r="C119" s="59"/>
      <c r="D119" s="59"/>
      <c r="E119" s="59"/>
      <c r="F119" s="59"/>
      <c r="L119" s="59"/>
    </row>
    <row r="120" ht="12.75" customHeight="1">
      <c r="A120" s="68"/>
      <c r="B120" s="59"/>
      <c r="C120" s="59"/>
      <c r="D120" s="59"/>
      <c r="E120" s="59"/>
      <c r="F120" s="59"/>
      <c r="L120" s="59"/>
    </row>
    <row r="121" ht="12.75" customHeight="1">
      <c r="A121" s="68"/>
      <c r="B121" s="59"/>
      <c r="C121" s="59"/>
      <c r="D121" s="59"/>
      <c r="E121" s="59"/>
      <c r="F121" s="59"/>
      <c r="L121" s="59"/>
    </row>
    <row r="122" ht="12.75" customHeight="1">
      <c r="A122" s="68"/>
      <c r="B122" s="59"/>
      <c r="C122" s="59"/>
      <c r="D122" s="59"/>
      <c r="E122" s="59"/>
      <c r="F122" s="59"/>
      <c r="L122" s="59"/>
    </row>
    <row r="123" ht="12.75" customHeight="1">
      <c r="A123" s="68"/>
      <c r="B123" s="59"/>
      <c r="C123" s="59"/>
      <c r="D123" s="59"/>
      <c r="E123" s="59"/>
      <c r="F123" s="59"/>
      <c r="L123" s="59"/>
    </row>
    <row r="124" ht="12.75" customHeight="1">
      <c r="A124" s="68"/>
      <c r="B124" s="59"/>
      <c r="C124" s="59"/>
      <c r="D124" s="59"/>
      <c r="E124" s="59"/>
      <c r="F124" s="59"/>
      <c r="L124" s="59"/>
    </row>
    <row r="125" ht="12.75" customHeight="1">
      <c r="A125" s="68"/>
      <c r="B125" s="59"/>
      <c r="C125" s="59"/>
      <c r="D125" s="59"/>
      <c r="E125" s="59"/>
      <c r="F125" s="59"/>
      <c r="L125" s="59"/>
    </row>
    <row r="126" ht="12.75" customHeight="1">
      <c r="A126" s="68"/>
      <c r="B126" s="59"/>
      <c r="C126" s="59"/>
      <c r="D126" s="59"/>
      <c r="E126" s="59"/>
      <c r="F126" s="59"/>
      <c r="L126" s="59"/>
    </row>
    <row r="127" ht="12.75" customHeight="1">
      <c r="A127" s="68"/>
      <c r="B127" s="59"/>
      <c r="C127" s="59"/>
      <c r="D127" s="59"/>
      <c r="E127" s="59"/>
      <c r="F127" s="59"/>
      <c r="L127" s="59"/>
    </row>
    <row r="128" ht="12.75" customHeight="1">
      <c r="A128" s="68"/>
      <c r="B128" s="59"/>
      <c r="C128" s="59"/>
      <c r="D128" s="59"/>
      <c r="E128" s="59"/>
      <c r="F128" s="59"/>
      <c r="L128" s="59"/>
    </row>
    <row r="129" ht="12.75" customHeight="1">
      <c r="A129" s="68"/>
      <c r="B129" s="59"/>
      <c r="C129" s="59"/>
      <c r="D129" s="59"/>
      <c r="E129" s="59"/>
      <c r="F129" s="59"/>
      <c r="L129" s="59"/>
    </row>
    <row r="130" ht="12.75" customHeight="1">
      <c r="A130" s="68"/>
      <c r="B130" s="59"/>
      <c r="C130" s="59"/>
      <c r="D130" s="59"/>
      <c r="E130" s="59"/>
      <c r="F130" s="59"/>
      <c r="L130" s="59"/>
    </row>
    <row r="131" ht="12.75" customHeight="1">
      <c r="A131" s="68"/>
      <c r="B131" s="59"/>
      <c r="C131" s="59"/>
      <c r="D131" s="59"/>
      <c r="E131" s="59"/>
      <c r="F131" s="59"/>
      <c r="L131" s="59"/>
    </row>
    <row r="132" ht="12.75" customHeight="1">
      <c r="A132" s="68"/>
      <c r="B132" s="59"/>
      <c r="C132" s="59"/>
      <c r="D132" s="59"/>
      <c r="E132" s="59"/>
      <c r="F132" s="59"/>
      <c r="L132" s="59"/>
    </row>
    <row r="133" ht="12.75" customHeight="1">
      <c r="A133" s="68"/>
      <c r="B133" s="59"/>
      <c r="C133" s="59"/>
      <c r="D133" s="59"/>
      <c r="E133" s="59"/>
      <c r="F133" s="59"/>
      <c r="L133" s="59"/>
    </row>
    <row r="134" ht="12.75" customHeight="1">
      <c r="A134" s="68"/>
      <c r="B134" s="59"/>
      <c r="C134" s="59"/>
      <c r="D134" s="59"/>
      <c r="E134" s="59"/>
      <c r="F134" s="59"/>
      <c r="L134" s="59"/>
    </row>
    <row r="135" ht="12.75" customHeight="1">
      <c r="A135" s="68"/>
      <c r="B135" s="59"/>
      <c r="C135" s="59"/>
      <c r="D135" s="59"/>
      <c r="E135" s="59"/>
      <c r="F135" s="59"/>
      <c r="L135" s="59"/>
    </row>
    <row r="136" ht="12.75" customHeight="1">
      <c r="A136" s="68"/>
      <c r="B136" s="59"/>
      <c r="C136" s="59"/>
      <c r="D136" s="59"/>
      <c r="E136" s="59"/>
      <c r="F136" s="59"/>
      <c r="L136" s="59"/>
    </row>
    <row r="137" ht="12.75" customHeight="1">
      <c r="A137" s="68"/>
      <c r="B137" s="59"/>
      <c r="C137" s="59"/>
      <c r="D137" s="59"/>
      <c r="E137" s="59"/>
      <c r="F137" s="59"/>
      <c r="L137" s="59"/>
    </row>
    <row r="138" ht="12.75" customHeight="1">
      <c r="A138" s="68"/>
      <c r="B138" s="59"/>
      <c r="C138" s="59"/>
      <c r="D138" s="59"/>
      <c r="E138" s="59"/>
      <c r="F138" s="59"/>
      <c r="L138" s="59"/>
    </row>
    <row r="139" ht="12.75" customHeight="1">
      <c r="A139" s="68"/>
      <c r="B139" s="59"/>
      <c r="C139" s="59"/>
      <c r="D139" s="59"/>
      <c r="E139" s="59"/>
      <c r="F139" s="59"/>
      <c r="L139" s="59"/>
    </row>
    <row r="140" ht="12.75" customHeight="1">
      <c r="A140" s="68"/>
      <c r="B140" s="59"/>
      <c r="C140" s="59"/>
      <c r="D140" s="59"/>
      <c r="E140" s="59"/>
      <c r="F140" s="59"/>
      <c r="L140" s="59"/>
    </row>
    <row r="141" ht="12.75" customHeight="1">
      <c r="A141" s="68"/>
      <c r="B141" s="59"/>
      <c r="C141" s="59"/>
      <c r="D141" s="59"/>
      <c r="E141" s="59"/>
      <c r="F141" s="59"/>
      <c r="L141" s="59"/>
    </row>
    <row r="142" ht="12.75" customHeight="1">
      <c r="A142" s="68"/>
      <c r="B142" s="59"/>
      <c r="C142" s="59"/>
      <c r="D142" s="59"/>
      <c r="E142" s="59"/>
      <c r="F142" s="59"/>
      <c r="L142" s="59"/>
    </row>
    <row r="143" ht="12.75" customHeight="1">
      <c r="A143" s="68"/>
      <c r="B143" s="59"/>
      <c r="C143" s="59"/>
      <c r="D143" s="59"/>
      <c r="E143" s="59"/>
      <c r="F143" s="59"/>
      <c r="L143" s="59"/>
    </row>
    <row r="144" ht="12.75" customHeight="1">
      <c r="A144" s="68"/>
      <c r="B144" s="59"/>
      <c r="C144" s="59"/>
      <c r="D144" s="59"/>
      <c r="E144" s="59"/>
      <c r="F144" s="59"/>
      <c r="L144" s="59"/>
    </row>
    <row r="145" ht="12.75" customHeight="1">
      <c r="A145" s="68"/>
      <c r="B145" s="59"/>
      <c r="C145" s="59"/>
      <c r="D145" s="59"/>
      <c r="E145" s="59"/>
      <c r="F145" s="59"/>
      <c r="L145" s="59"/>
    </row>
    <row r="146" ht="12.75" customHeight="1">
      <c r="A146" s="68"/>
      <c r="B146" s="59"/>
      <c r="C146" s="59"/>
      <c r="D146" s="59"/>
      <c r="E146" s="59"/>
      <c r="F146" s="59"/>
      <c r="L146" s="59"/>
    </row>
    <row r="147" ht="12.75" customHeight="1">
      <c r="A147" s="68"/>
      <c r="B147" s="59"/>
      <c r="C147" s="59"/>
      <c r="D147" s="59"/>
      <c r="E147" s="59"/>
      <c r="F147" s="59"/>
      <c r="L147" s="59"/>
    </row>
    <row r="148" ht="12.75" customHeight="1">
      <c r="A148" s="68"/>
      <c r="B148" s="59"/>
      <c r="C148" s="59"/>
      <c r="D148" s="59"/>
      <c r="E148" s="59"/>
      <c r="F148" s="59"/>
      <c r="L148" s="59"/>
    </row>
    <row r="149" ht="12.75" customHeight="1">
      <c r="A149" s="68"/>
      <c r="B149" s="59"/>
      <c r="C149" s="59"/>
      <c r="D149" s="59"/>
      <c r="E149" s="59"/>
      <c r="F149" s="59"/>
      <c r="L149" s="59"/>
    </row>
    <row r="150" ht="12.75" customHeight="1">
      <c r="A150" s="68"/>
      <c r="B150" s="59"/>
      <c r="C150" s="59"/>
      <c r="D150" s="59"/>
      <c r="E150" s="59"/>
      <c r="F150" s="59"/>
      <c r="L150" s="59"/>
    </row>
    <row r="151" ht="12.75" customHeight="1">
      <c r="A151" s="68"/>
      <c r="B151" s="59"/>
      <c r="C151" s="59"/>
      <c r="D151" s="59"/>
      <c r="E151" s="59"/>
      <c r="F151" s="59"/>
      <c r="L151" s="59"/>
    </row>
    <row r="152" ht="12.75" customHeight="1">
      <c r="A152" s="68"/>
      <c r="B152" s="59"/>
      <c r="C152" s="59"/>
      <c r="D152" s="59"/>
      <c r="E152" s="59"/>
      <c r="F152" s="59"/>
      <c r="L152" s="59"/>
    </row>
    <row r="153" ht="12.75" customHeight="1">
      <c r="A153" s="68"/>
      <c r="B153" s="59"/>
      <c r="C153" s="59"/>
      <c r="D153" s="59"/>
      <c r="E153" s="59"/>
      <c r="F153" s="59"/>
      <c r="L153" s="59"/>
    </row>
    <row r="154" ht="12.75" customHeight="1">
      <c r="A154" s="68"/>
      <c r="B154" s="59"/>
      <c r="C154" s="59"/>
      <c r="D154" s="59"/>
      <c r="E154" s="59"/>
      <c r="F154" s="59"/>
      <c r="L154" s="59"/>
    </row>
    <row r="155" ht="12.75" customHeight="1">
      <c r="A155" s="68"/>
      <c r="B155" s="59"/>
      <c r="C155" s="59"/>
      <c r="D155" s="59"/>
      <c r="E155" s="59"/>
      <c r="F155" s="59"/>
      <c r="L155" s="59"/>
    </row>
    <row r="156" ht="12.75" customHeight="1">
      <c r="A156" s="68"/>
      <c r="B156" s="59"/>
      <c r="C156" s="59"/>
      <c r="D156" s="59"/>
      <c r="E156" s="59"/>
      <c r="F156" s="59"/>
      <c r="L156" s="59"/>
    </row>
    <row r="157" ht="12.75" customHeight="1">
      <c r="A157" s="68"/>
      <c r="B157" s="59"/>
      <c r="C157" s="59"/>
      <c r="D157" s="59"/>
      <c r="E157" s="59"/>
      <c r="F157" s="59"/>
      <c r="L157" s="59"/>
    </row>
    <row r="158" ht="12.75" customHeight="1">
      <c r="A158" s="68"/>
      <c r="B158" s="59"/>
      <c r="C158" s="59"/>
      <c r="D158" s="59"/>
      <c r="E158" s="59"/>
      <c r="F158" s="59"/>
      <c r="L158" s="59"/>
    </row>
    <row r="159" ht="12.75" customHeight="1">
      <c r="A159" s="68"/>
      <c r="B159" s="59"/>
      <c r="C159" s="59"/>
      <c r="D159" s="59"/>
      <c r="E159" s="59"/>
      <c r="F159" s="59"/>
      <c r="L159" s="59"/>
    </row>
    <row r="160" ht="12.75" customHeight="1">
      <c r="A160" s="68"/>
      <c r="B160" s="59"/>
      <c r="C160" s="59"/>
      <c r="D160" s="59"/>
      <c r="E160" s="59"/>
      <c r="F160" s="59"/>
      <c r="L160" s="59"/>
    </row>
    <row r="161" ht="12.75" customHeight="1">
      <c r="A161" s="68"/>
      <c r="B161" s="59"/>
      <c r="C161" s="59"/>
      <c r="D161" s="59"/>
      <c r="E161" s="59"/>
      <c r="F161" s="59"/>
      <c r="L161" s="59"/>
    </row>
    <row r="162" ht="12.75" customHeight="1">
      <c r="A162" s="68"/>
      <c r="B162" s="59"/>
      <c r="C162" s="59"/>
      <c r="D162" s="59"/>
      <c r="E162" s="59"/>
      <c r="F162" s="59"/>
      <c r="L162" s="59"/>
    </row>
    <row r="163" ht="12.75" customHeight="1">
      <c r="A163" s="68"/>
      <c r="B163" s="59"/>
      <c r="C163" s="59"/>
      <c r="D163" s="59"/>
      <c r="E163" s="59"/>
      <c r="F163" s="59"/>
      <c r="L163" s="59"/>
    </row>
    <row r="164" ht="12.75" customHeight="1">
      <c r="A164" s="68"/>
      <c r="B164" s="59"/>
      <c r="C164" s="59"/>
      <c r="D164" s="59"/>
      <c r="E164" s="59"/>
      <c r="F164" s="59"/>
      <c r="L164" s="59"/>
    </row>
    <row r="165" ht="12.75" customHeight="1">
      <c r="A165" s="68"/>
      <c r="B165" s="59"/>
      <c r="C165" s="59"/>
      <c r="D165" s="59"/>
      <c r="E165" s="59"/>
      <c r="F165" s="59"/>
      <c r="L165" s="59"/>
    </row>
    <row r="166" ht="12.75" customHeight="1">
      <c r="A166" s="68"/>
      <c r="B166" s="59"/>
      <c r="C166" s="59"/>
      <c r="D166" s="59"/>
      <c r="E166" s="59"/>
      <c r="F166" s="59"/>
      <c r="L166" s="59"/>
    </row>
    <row r="167" ht="12.75" customHeight="1">
      <c r="A167" s="68"/>
      <c r="B167" s="59"/>
      <c r="C167" s="59"/>
      <c r="D167" s="59"/>
      <c r="E167" s="59"/>
      <c r="F167" s="59"/>
      <c r="L167" s="59"/>
    </row>
    <row r="168" ht="12.75" customHeight="1">
      <c r="A168" s="68"/>
      <c r="B168" s="59"/>
      <c r="C168" s="59"/>
      <c r="D168" s="59"/>
      <c r="E168" s="59"/>
      <c r="F168" s="59"/>
      <c r="L168" s="59"/>
    </row>
    <row r="169" ht="12.75" customHeight="1">
      <c r="A169" s="68"/>
      <c r="B169" s="59"/>
      <c r="C169" s="59"/>
      <c r="D169" s="59"/>
      <c r="E169" s="59"/>
      <c r="F169" s="59"/>
      <c r="L169" s="59"/>
    </row>
    <row r="170" ht="12.75" customHeight="1">
      <c r="A170" s="68"/>
      <c r="B170" s="59"/>
      <c r="C170" s="59"/>
      <c r="D170" s="59"/>
      <c r="E170" s="59"/>
      <c r="F170" s="59"/>
      <c r="L170" s="59"/>
    </row>
    <row r="171" ht="12.75" customHeight="1">
      <c r="A171" s="68"/>
      <c r="B171" s="59"/>
      <c r="C171" s="59"/>
      <c r="D171" s="59"/>
      <c r="E171" s="59"/>
      <c r="F171" s="59"/>
      <c r="L171" s="59"/>
    </row>
    <row r="172" ht="12.75" customHeight="1">
      <c r="A172" s="68"/>
      <c r="B172" s="59"/>
      <c r="C172" s="59"/>
      <c r="D172" s="59"/>
      <c r="E172" s="59"/>
      <c r="F172" s="59"/>
      <c r="L172" s="59"/>
    </row>
    <row r="173" ht="12.75" customHeight="1">
      <c r="A173" s="68"/>
      <c r="B173" s="59"/>
      <c r="C173" s="59"/>
      <c r="D173" s="59"/>
      <c r="E173" s="59"/>
      <c r="F173" s="59"/>
      <c r="L173" s="59"/>
    </row>
    <row r="174" ht="12.75" customHeight="1">
      <c r="A174" s="68"/>
      <c r="B174" s="59"/>
      <c r="C174" s="59"/>
      <c r="D174" s="59"/>
      <c r="E174" s="59"/>
      <c r="F174" s="59"/>
      <c r="L174" s="59"/>
    </row>
    <row r="175" ht="12.75" customHeight="1">
      <c r="A175" s="68"/>
      <c r="B175" s="59"/>
      <c r="C175" s="59"/>
      <c r="D175" s="59"/>
      <c r="E175" s="59"/>
      <c r="F175" s="59"/>
      <c r="L175" s="59"/>
    </row>
    <row r="176" ht="12.75" customHeight="1">
      <c r="A176" s="68"/>
      <c r="B176" s="59"/>
      <c r="C176" s="59"/>
      <c r="D176" s="59"/>
      <c r="E176" s="59"/>
      <c r="F176" s="59"/>
      <c r="L176" s="59"/>
    </row>
    <row r="177" ht="12.75" customHeight="1">
      <c r="A177" s="68"/>
      <c r="B177" s="59"/>
      <c r="C177" s="59"/>
      <c r="D177" s="59"/>
      <c r="E177" s="59"/>
      <c r="F177" s="59"/>
      <c r="L177" s="59"/>
    </row>
    <row r="178" ht="12.75" customHeight="1">
      <c r="A178" s="68"/>
      <c r="B178" s="59"/>
      <c r="C178" s="59"/>
      <c r="D178" s="59"/>
      <c r="E178" s="59"/>
      <c r="F178" s="59"/>
      <c r="L178" s="59"/>
    </row>
    <row r="179" ht="12.75" customHeight="1">
      <c r="A179" s="68"/>
      <c r="B179" s="59"/>
      <c r="C179" s="59"/>
      <c r="D179" s="59"/>
      <c r="E179" s="59"/>
      <c r="F179" s="59"/>
      <c r="L179" s="59"/>
    </row>
    <row r="180" ht="12.75" customHeight="1">
      <c r="A180" s="68"/>
      <c r="B180" s="59"/>
      <c r="C180" s="59"/>
      <c r="D180" s="59"/>
      <c r="E180" s="59"/>
      <c r="F180" s="59"/>
      <c r="L180" s="59"/>
    </row>
    <row r="181" ht="12.75" customHeight="1">
      <c r="A181" s="68"/>
      <c r="B181" s="59"/>
      <c r="C181" s="59"/>
      <c r="D181" s="59"/>
      <c r="E181" s="59"/>
      <c r="F181" s="59"/>
      <c r="L181" s="59"/>
    </row>
    <row r="182" ht="12.75" customHeight="1">
      <c r="A182" s="68"/>
      <c r="B182" s="59"/>
      <c r="C182" s="59"/>
      <c r="D182" s="59"/>
      <c r="E182" s="59"/>
      <c r="F182" s="59"/>
      <c r="L182" s="59"/>
    </row>
    <row r="183" ht="12.75" customHeight="1">
      <c r="A183" s="68"/>
      <c r="B183" s="59"/>
      <c r="C183" s="59"/>
      <c r="D183" s="59"/>
      <c r="E183" s="59"/>
      <c r="F183" s="59"/>
      <c r="L183" s="59"/>
    </row>
    <row r="184" ht="12.75" customHeight="1">
      <c r="A184" s="68"/>
      <c r="B184" s="59"/>
      <c r="C184" s="59"/>
      <c r="D184" s="59"/>
      <c r="E184" s="59"/>
      <c r="F184" s="59"/>
      <c r="L184" s="59"/>
    </row>
    <row r="185" ht="12.75" customHeight="1">
      <c r="A185" s="68"/>
      <c r="B185" s="59"/>
      <c r="C185" s="59"/>
      <c r="D185" s="59"/>
      <c r="E185" s="59"/>
      <c r="F185" s="59"/>
      <c r="L185" s="59"/>
    </row>
    <row r="186" ht="12.75" customHeight="1">
      <c r="A186" s="68"/>
      <c r="B186" s="59"/>
      <c r="C186" s="59"/>
      <c r="D186" s="59"/>
      <c r="E186" s="59"/>
      <c r="F186" s="59"/>
      <c r="L186" s="59"/>
    </row>
    <row r="187" ht="12.75" customHeight="1">
      <c r="A187" s="68"/>
      <c r="B187" s="59"/>
      <c r="C187" s="59"/>
      <c r="D187" s="59"/>
      <c r="E187" s="59"/>
      <c r="F187" s="59"/>
      <c r="L187" s="59"/>
    </row>
    <row r="188" ht="12.75" customHeight="1">
      <c r="A188" s="68"/>
      <c r="B188" s="59"/>
      <c r="C188" s="59"/>
      <c r="D188" s="59"/>
      <c r="E188" s="59"/>
      <c r="F188" s="59"/>
      <c r="L188" s="59"/>
    </row>
    <row r="189" ht="12.75" customHeight="1">
      <c r="A189" s="68"/>
      <c r="B189" s="59"/>
      <c r="C189" s="59"/>
      <c r="D189" s="59"/>
      <c r="E189" s="59"/>
      <c r="F189" s="59"/>
      <c r="L189" s="59"/>
    </row>
    <row r="190" ht="12.75" customHeight="1">
      <c r="A190" s="68"/>
      <c r="B190" s="59"/>
      <c r="C190" s="59"/>
      <c r="D190" s="59"/>
      <c r="E190" s="59"/>
      <c r="F190" s="59"/>
      <c r="L190" s="59"/>
    </row>
    <row r="191" ht="12.75" customHeight="1">
      <c r="A191" s="68"/>
      <c r="B191" s="59"/>
      <c r="C191" s="59"/>
      <c r="D191" s="59"/>
      <c r="E191" s="59"/>
      <c r="F191" s="59"/>
      <c r="L191" s="59"/>
    </row>
    <row r="192" ht="12.75" customHeight="1">
      <c r="A192" s="68"/>
      <c r="B192" s="59"/>
      <c r="C192" s="59"/>
      <c r="D192" s="59"/>
      <c r="E192" s="59"/>
      <c r="F192" s="59"/>
      <c r="L192" s="59"/>
    </row>
    <row r="193" ht="12.75" customHeight="1">
      <c r="A193" s="68"/>
      <c r="B193" s="59"/>
      <c r="C193" s="59"/>
      <c r="D193" s="59"/>
      <c r="E193" s="59"/>
      <c r="F193" s="59"/>
      <c r="L193" s="59"/>
    </row>
    <row r="194" ht="12.75" customHeight="1">
      <c r="A194" s="68"/>
      <c r="B194" s="59"/>
      <c r="C194" s="59"/>
      <c r="D194" s="59"/>
      <c r="E194" s="59"/>
      <c r="F194" s="59"/>
      <c r="L194" s="59"/>
    </row>
    <row r="195" ht="12.75" customHeight="1">
      <c r="A195" s="68"/>
      <c r="B195" s="59"/>
      <c r="C195" s="59"/>
      <c r="D195" s="59"/>
      <c r="E195" s="59"/>
      <c r="F195" s="59"/>
      <c r="L195" s="59"/>
    </row>
    <row r="196" ht="12.75" customHeight="1">
      <c r="A196" s="68"/>
      <c r="B196" s="59"/>
      <c r="C196" s="59"/>
      <c r="D196" s="59"/>
      <c r="E196" s="59"/>
      <c r="F196" s="59"/>
      <c r="L196" s="59"/>
    </row>
    <row r="197" ht="12.75" customHeight="1">
      <c r="A197" s="68"/>
      <c r="B197" s="59"/>
      <c r="C197" s="59"/>
      <c r="D197" s="59"/>
      <c r="E197" s="59"/>
      <c r="F197" s="59"/>
      <c r="L197" s="59"/>
    </row>
    <row r="198" ht="12.75" customHeight="1">
      <c r="A198" s="68"/>
      <c r="B198" s="59"/>
      <c r="C198" s="59"/>
      <c r="D198" s="59"/>
      <c r="E198" s="59"/>
      <c r="F198" s="59"/>
      <c r="L198" s="59"/>
    </row>
    <row r="199" ht="12.75" customHeight="1">
      <c r="A199" s="68"/>
      <c r="B199" s="59"/>
      <c r="C199" s="59"/>
      <c r="D199" s="59"/>
      <c r="E199" s="59"/>
      <c r="F199" s="59"/>
      <c r="L199" s="59"/>
    </row>
    <row r="200" ht="12.75" customHeight="1">
      <c r="A200" s="68"/>
      <c r="B200" s="59"/>
      <c r="C200" s="59"/>
      <c r="D200" s="59"/>
      <c r="E200" s="59"/>
      <c r="F200" s="59"/>
      <c r="L200" s="59"/>
    </row>
    <row r="201" ht="12.75" customHeight="1">
      <c r="A201" s="68"/>
      <c r="B201" s="59"/>
      <c r="C201" s="59"/>
      <c r="D201" s="59"/>
      <c r="E201" s="59"/>
      <c r="F201" s="59"/>
      <c r="L201" s="59"/>
    </row>
    <row r="202" ht="12.75" customHeight="1">
      <c r="A202" s="68"/>
      <c r="B202" s="59"/>
      <c r="C202" s="59"/>
      <c r="D202" s="59"/>
      <c r="E202" s="59"/>
      <c r="F202" s="59"/>
      <c r="L202" s="59"/>
    </row>
    <row r="203" ht="12.75" customHeight="1">
      <c r="A203" s="68"/>
      <c r="B203" s="59"/>
      <c r="C203" s="59"/>
      <c r="D203" s="59"/>
      <c r="E203" s="59"/>
      <c r="F203" s="59"/>
      <c r="L203" s="59"/>
    </row>
    <row r="204" ht="12.75" customHeight="1">
      <c r="A204" s="68"/>
      <c r="B204" s="59"/>
      <c r="C204" s="59"/>
      <c r="D204" s="59"/>
      <c r="E204" s="59"/>
      <c r="F204" s="59"/>
      <c r="L204" s="59"/>
    </row>
    <row r="205" ht="12.75" customHeight="1">
      <c r="A205" s="68"/>
      <c r="B205" s="59"/>
      <c r="C205" s="59"/>
      <c r="D205" s="59"/>
      <c r="E205" s="59"/>
      <c r="F205" s="59"/>
      <c r="L205" s="59"/>
    </row>
    <row r="206" ht="12.75" customHeight="1">
      <c r="A206" s="68"/>
      <c r="B206" s="59"/>
      <c r="C206" s="59"/>
      <c r="D206" s="59"/>
      <c r="E206" s="59"/>
      <c r="F206" s="59"/>
      <c r="L206" s="59"/>
    </row>
    <row r="207" ht="12.75" customHeight="1">
      <c r="A207" s="68"/>
      <c r="B207" s="59"/>
      <c r="C207" s="59"/>
      <c r="D207" s="59"/>
      <c r="E207" s="59"/>
      <c r="F207" s="59"/>
      <c r="L207" s="59"/>
    </row>
    <row r="208" ht="12.75" customHeight="1">
      <c r="A208" s="68"/>
      <c r="B208" s="59"/>
      <c r="C208" s="59"/>
      <c r="D208" s="59"/>
      <c r="E208" s="59"/>
      <c r="F208" s="59"/>
      <c r="L208" s="59"/>
    </row>
    <row r="209" ht="12.75" customHeight="1">
      <c r="A209" s="68"/>
      <c r="B209" s="59"/>
      <c r="C209" s="59"/>
      <c r="D209" s="59"/>
      <c r="E209" s="59"/>
      <c r="F209" s="59"/>
      <c r="L209" s="59"/>
    </row>
    <row r="210" ht="12.75" customHeight="1">
      <c r="A210" s="68"/>
      <c r="B210" s="59"/>
      <c r="C210" s="59"/>
      <c r="D210" s="59"/>
      <c r="E210" s="59"/>
      <c r="F210" s="59"/>
      <c r="L210" s="59"/>
    </row>
    <row r="211" ht="12.75" customHeight="1">
      <c r="A211" s="68"/>
      <c r="B211" s="59"/>
      <c r="C211" s="59"/>
      <c r="D211" s="59"/>
      <c r="E211" s="59"/>
      <c r="F211" s="59"/>
      <c r="L211" s="59"/>
    </row>
    <row r="212" ht="12.75" customHeight="1">
      <c r="A212" s="68"/>
      <c r="B212" s="59"/>
      <c r="C212" s="59"/>
      <c r="D212" s="59"/>
      <c r="E212" s="59"/>
      <c r="F212" s="59"/>
      <c r="L212" s="59"/>
    </row>
    <row r="213" ht="12.75" customHeight="1">
      <c r="A213" s="68"/>
      <c r="B213" s="59"/>
      <c r="C213" s="59"/>
      <c r="D213" s="59"/>
      <c r="E213" s="59"/>
      <c r="F213" s="59"/>
      <c r="L213" s="59"/>
    </row>
    <row r="214" ht="12.75" customHeight="1">
      <c r="A214" s="68"/>
      <c r="B214" s="59"/>
      <c r="C214" s="59"/>
      <c r="D214" s="59"/>
      <c r="E214" s="59"/>
      <c r="F214" s="59"/>
      <c r="L214" s="59"/>
    </row>
    <row r="215" ht="12.75" customHeight="1">
      <c r="A215" s="68"/>
      <c r="B215" s="59"/>
      <c r="C215" s="59"/>
      <c r="D215" s="59"/>
      <c r="E215" s="59"/>
      <c r="F215" s="59"/>
      <c r="L215" s="59"/>
    </row>
    <row r="216" ht="12.75" customHeight="1">
      <c r="A216" s="68"/>
      <c r="B216" s="59"/>
      <c r="C216" s="59"/>
      <c r="D216" s="59"/>
      <c r="E216" s="59"/>
      <c r="F216" s="59"/>
      <c r="L216" s="59"/>
    </row>
    <row r="217" ht="12.75" customHeight="1">
      <c r="A217" s="68"/>
      <c r="B217" s="59"/>
      <c r="C217" s="59"/>
      <c r="D217" s="59"/>
      <c r="E217" s="59"/>
      <c r="F217" s="59"/>
      <c r="L217" s="59"/>
    </row>
    <row r="218" ht="12.75" customHeight="1">
      <c r="A218" s="68"/>
      <c r="B218" s="59"/>
      <c r="C218" s="59"/>
      <c r="D218" s="59"/>
      <c r="E218" s="59"/>
      <c r="F218" s="59"/>
      <c r="L218" s="59"/>
    </row>
    <row r="219" ht="12.75" customHeight="1">
      <c r="A219" s="68"/>
      <c r="B219" s="59"/>
      <c r="C219" s="59"/>
      <c r="D219" s="59"/>
      <c r="E219" s="59"/>
      <c r="F219" s="59"/>
      <c r="L219" s="59"/>
    </row>
    <row r="220" ht="12.75" customHeight="1">
      <c r="A220" s="68"/>
      <c r="B220" s="59"/>
      <c r="C220" s="59"/>
      <c r="D220" s="59"/>
      <c r="E220" s="59"/>
      <c r="F220" s="59"/>
      <c r="L220" s="59"/>
    </row>
    <row r="221" ht="12.75" customHeight="1">
      <c r="A221" s="68"/>
      <c r="B221" s="59"/>
      <c r="C221" s="59"/>
      <c r="D221" s="59"/>
      <c r="E221" s="59"/>
      <c r="F221" s="59"/>
      <c r="L221" s="59"/>
    </row>
    <row r="222" ht="12.75" customHeight="1">
      <c r="A222" s="68"/>
      <c r="B222" s="59"/>
      <c r="C222" s="59"/>
      <c r="D222" s="59"/>
      <c r="E222" s="59"/>
      <c r="F222" s="59"/>
      <c r="L222" s="59"/>
    </row>
    <row r="223" ht="12.75" customHeight="1">
      <c r="A223" s="68"/>
      <c r="B223" s="59"/>
      <c r="C223" s="59"/>
      <c r="D223" s="59"/>
      <c r="E223" s="59"/>
      <c r="F223" s="59"/>
      <c r="L223" s="59"/>
    </row>
    <row r="224" ht="12.75" customHeight="1">
      <c r="A224" s="68"/>
      <c r="B224" s="59"/>
      <c r="C224" s="59"/>
      <c r="D224" s="59"/>
      <c r="E224" s="59"/>
      <c r="F224" s="59"/>
      <c r="L224" s="59"/>
    </row>
    <row r="225" ht="12.75" customHeight="1">
      <c r="A225" s="68"/>
      <c r="B225" s="59"/>
      <c r="C225" s="59"/>
      <c r="D225" s="59"/>
      <c r="E225" s="59"/>
      <c r="F225" s="59"/>
      <c r="L225" s="59"/>
    </row>
    <row r="226" ht="12.75" customHeight="1">
      <c r="A226" s="68"/>
      <c r="B226" s="59"/>
      <c r="C226" s="59"/>
      <c r="D226" s="59"/>
      <c r="E226" s="59"/>
      <c r="F226" s="59"/>
      <c r="L226" s="59"/>
    </row>
    <row r="227" ht="12.75" customHeight="1">
      <c r="A227" s="68"/>
      <c r="B227" s="59"/>
      <c r="C227" s="59"/>
      <c r="D227" s="59"/>
      <c r="E227" s="59"/>
      <c r="F227" s="59"/>
      <c r="L227" s="59"/>
    </row>
    <row r="228" ht="12.75" customHeight="1">
      <c r="A228" s="68"/>
      <c r="B228" s="59"/>
      <c r="C228" s="59"/>
      <c r="D228" s="59"/>
      <c r="E228" s="59"/>
      <c r="F228" s="59"/>
      <c r="L228" s="59"/>
    </row>
    <row r="229" ht="12.75" customHeight="1">
      <c r="A229" s="68"/>
      <c r="B229" s="59"/>
      <c r="C229" s="59"/>
      <c r="D229" s="59"/>
      <c r="E229" s="59"/>
      <c r="F229" s="59"/>
      <c r="L229" s="59"/>
    </row>
    <row r="230" ht="12.75" customHeight="1">
      <c r="A230" s="68"/>
      <c r="B230" s="59"/>
      <c r="C230" s="59"/>
      <c r="D230" s="59"/>
      <c r="E230" s="59"/>
      <c r="F230" s="59"/>
      <c r="L230" s="59"/>
    </row>
    <row r="231" ht="12.75" customHeight="1">
      <c r="A231" s="68"/>
      <c r="B231" s="59"/>
      <c r="C231" s="59"/>
      <c r="D231" s="59"/>
      <c r="E231" s="59"/>
      <c r="F231" s="59"/>
      <c r="L231" s="59"/>
    </row>
    <row r="232" ht="12.75" customHeight="1">
      <c r="A232" s="68"/>
      <c r="B232" s="59"/>
      <c r="C232" s="59"/>
      <c r="D232" s="59"/>
      <c r="E232" s="59"/>
      <c r="F232" s="59"/>
      <c r="L232" s="59"/>
    </row>
    <row r="233" ht="12.75" customHeight="1">
      <c r="A233" s="68"/>
      <c r="B233" s="59"/>
      <c r="C233" s="59"/>
      <c r="D233" s="59"/>
      <c r="E233" s="59"/>
      <c r="F233" s="59"/>
      <c r="L233" s="59"/>
    </row>
    <row r="234" ht="12.75" customHeight="1">
      <c r="A234" s="68"/>
      <c r="B234" s="59"/>
      <c r="C234" s="59"/>
      <c r="D234" s="59"/>
      <c r="E234" s="59"/>
      <c r="F234" s="59"/>
      <c r="L234" s="59"/>
    </row>
    <row r="235" ht="12.75" customHeight="1">
      <c r="A235" s="68"/>
      <c r="B235" s="59"/>
      <c r="C235" s="59"/>
      <c r="D235" s="59"/>
      <c r="E235" s="59"/>
      <c r="F235" s="59"/>
      <c r="L235" s="59"/>
    </row>
    <row r="236" ht="12.75" customHeight="1">
      <c r="A236" s="68"/>
      <c r="B236" s="59"/>
      <c r="C236" s="59"/>
      <c r="D236" s="59"/>
      <c r="E236" s="59"/>
      <c r="F236" s="59"/>
      <c r="L236" s="59"/>
    </row>
    <row r="237" ht="12.75" customHeight="1">
      <c r="A237" s="68"/>
      <c r="B237" s="59"/>
      <c r="C237" s="59"/>
      <c r="D237" s="59"/>
      <c r="E237" s="59"/>
      <c r="F237" s="59"/>
      <c r="L237" s="59"/>
    </row>
    <row r="238" ht="12.75" customHeight="1">
      <c r="A238" s="68"/>
      <c r="B238" s="59"/>
      <c r="C238" s="59"/>
      <c r="D238" s="59"/>
      <c r="E238" s="59"/>
      <c r="F238" s="59"/>
      <c r="L238" s="59"/>
    </row>
    <row r="239" ht="12.75" customHeight="1">
      <c r="A239" s="68"/>
      <c r="B239" s="59"/>
      <c r="C239" s="59"/>
      <c r="D239" s="59"/>
      <c r="E239" s="59"/>
      <c r="F239" s="59"/>
      <c r="L239" s="59"/>
    </row>
    <row r="240" ht="12.75" customHeight="1">
      <c r="A240" s="68"/>
      <c r="B240" s="59"/>
      <c r="C240" s="59"/>
      <c r="D240" s="59"/>
      <c r="E240" s="59"/>
      <c r="F240" s="59"/>
      <c r="L240" s="59"/>
    </row>
    <row r="241" ht="12.75" customHeight="1">
      <c r="A241" s="68"/>
      <c r="B241" s="59"/>
      <c r="C241" s="59"/>
      <c r="D241" s="59"/>
      <c r="E241" s="59"/>
      <c r="F241" s="59"/>
      <c r="L241" s="59"/>
    </row>
    <row r="242" ht="12.75" customHeight="1">
      <c r="A242" s="68"/>
      <c r="B242" s="59"/>
      <c r="C242" s="59"/>
      <c r="D242" s="59"/>
      <c r="E242" s="59"/>
      <c r="F242" s="59"/>
      <c r="L242" s="59"/>
    </row>
    <row r="243" ht="12.75" customHeight="1">
      <c r="A243" s="68"/>
      <c r="B243" s="59"/>
      <c r="C243" s="59"/>
      <c r="D243" s="59"/>
      <c r="E243" s="59"/>
      <c r="F243" s="59"/>
      <c r="L243" s="59"/>
    </row>
    <row r="244" ht="12.75" customHeight="1">
      <c r="A244" s="68"/>
      <c r="B244" s="59"/>
      <c r="C244" s="59"/>
      <c r="D244" s="59"/>
      <c r="E244" s="59"/>
      <c r="F244" s="59"/>
      <c r="L244" s="59"/>
    </row>
    <row r="245" ht="12.75" customHeight="1">
      <c r="A245" s="68"/>
      <c r="B245" s="59"/>
      <c r="C245" s="59"/>
      <c r="D245" s="59"/>
      <c r="E245" s="59"/>
      <c r="F245" s="59"/>
      <c r="L245" s="59"/>
    </row>
    <row r="246" ht="12.75" customHeight="1">
      <c r="A246" s="68"/>
      <c r="B246" s="59"/>
      <c r="C246" s="59"/>
      <c r="D246" s="59"/>
      <c r="E246" s="59"/>
      <c r="F246" s="59"/>
      <c r="L246" s="59"/>
    </row>
    <row r="247" ht="12.75" customHeight="1">
      <c r="A247" s="68"/>
      <c r="B247" s="59"/>
      <c r="C247" s="59"/>
      <c r="D247" s="59"/>
      <c r="E247" s="59"/>
      <c r="F247" s="59"/>
      <c r="L247" s="59"/>
    </row>
    <row r="248" ht="12.75" customHeight="1">
      <c r="A248" s="68"/>
      <c r="B248" s="59"/>
      <c r="C248" s="59"/>
      <c r="D248" s="59"/>
      <c r="E248" s="59"/>
      <c r="F248" s="59"/>
      <c r="L248" s="59"/>
    </row>
    <row r="249" ht="12.75" customHeight="1">
      <c r="A249" s="68"/>
      <c r="B249" s="59"/>
      <c r="C249" s="59"/>
      <c r="D249" s="59"/>
      <c r="E249" s="59"/>
      <c r="F249" s="59"/>
      <c r="L249" s="59"/>
    </row>
    <row r="250" ht="12.75" customHeight="1">
      <c r="A250" s="68"/>
      <c r="B250" s="59"/>
      <c r="C250" s="59"/>
      <c r="D250" s="59"/>
      <c r="E250" s="59"/>
      <c r="F250" s="59"/>
      <c r="L250" s="59"/>
    </row>
    <row r="251" ht="12.75" customHeight="1">
      <c r="A251" s="68"/>
      <c r="B251" s="59"/>
      <c r="C251" s="59"/>
      <c r="D251" s="59"/>
      <c r="E251" s="59"/>
      <c r="F251" s="59"/>
      <c r="L251" s="59"/>
    </row>
    <row r="252" ht="12.75" customHeight="1">
      <c r="A252" s="68"/>
      <c r="B252" s="59"/>
      <c r="C252" s="59"/>
      <c r="D252" s="59"/>
      <c r="E252" s="59"/>
      <c r="F252" s="59"/>
      <c r="L252" s="59"/>
    </row>
    <row r="253" ht="12.75" customHeight="1">
      <c r="A253" s="68"/>
      <c r="B253" s="59"/>
      <c r="C253" s="59"/>
      <c r="D253" s="59"/>
      <c r="E253" s="59"/>
      <c r="F253" s="59"/>
      <c r="L253" s="59"/>
    </row>
    <row r="254" ht="12.75" customHeight="1">
      <c r="A254" s="68"/>
      <c r="B254" s="59"/>
      <c r="C254" s="59"/>
      <c r="D254" s="59"/>
      <c r="E254" s="59"/>
      <c r="F254" s="59"/>
      <c r="L254" s="59"/>
    </row>
    <row r="255" ht="12.75" customHeight="1">
      <c r="A255" s="68"/>
      <c r="B255" s="59"/>
      <c r="C255" s="59"/>
      <c r="D255" s="59"/>
      <c r="E255" s="59"/>
      <c r="F255" s="59"/>
      <c r="L255" s="59"/>
    </row>
    <row r="256" ht="12.75" customHeight="1">
      <c r="A256" s="68"/>
      <c r="B256" s="59"/>
      <c r="C256" s="59"/>
      <c r="D256" s="59"/>
      <c r="E256" s="59"/>
      <c r="F256" s="59"/>
      <c r="L256" s="59"/>
    </row>
    <row r="257" ht="12.75" customHeight="1">
      <c r="A257" s="68"/>
      <c r="B257" s="59"/>
      <c r="C257" s="59"/>
      <c r="D257" s="59"/>
      <c r="E257" s="59"/>
      <c r="F257" s="59"/>
      <c r="L257" s="59"/>
    </row>
    <row r="258" ht="12.75" customHeight="1">
      <c r="A258" s="68"/>
      <c r="B258" s="59"/>
      <c r="C258" s="59"/>
      <c r="D258" s="59"/>
      <c r="E258" s="59"/>
      <c r="F258" s="59"/>
      <c r="L258" s="59"/>
    </row>
    <row r="259" ht="12.75" customHeight="1">
      <c r="A259" s="68"/>
      <c r="B259" s="59"/>
      <c r="C259" s="59"/>
      <c r="D259" s="59"/>
      <c r="E259" s="59"/>
      <c r="F259" s="59"/>
      <c r="L259" s="59"/>
    </row>
    <row r="260" ht="12.75" customHeight="1">
      <c r="A260" s="68"/>
      <c r="B260" s="59"/>
      <c r="C260" s="59"/>
      <c r="D260" s="59"/>
      <c r="E260" s="59"/>
      <c r="F260" s="59"/>
      <c r="L260" s="59"/>
    </row>
    <row r="261" ht="12.75" customHeight="1">
      <c r="A261" s="68"/>
      <c r="B261" s="59"/>
      <c r="C261" s="59"/>
      <c r="D261" s="59"/>
      <c r="E261" s="59"/>
      <c r="F261" s="59"/>
      <c r="L261" s="59"/>
    </row>
    <row r="262" ht="12.75" customHeight="1">
      <c r="A262" s="68"/>
      <c r="B262" s="59"/>
      <c r="C262" s="59"/>
      <c r="D262" s="59"/>
      <c r="E262" s="59"/>
      <c r="F262" s="59"/>
      <c r="L262" s="59"/>
    </row>
    <row r="263" ht="12.75" customHeight="1">
      <c r="A263" s="68"/>
      <c r="B263" s="59"/>
      <c r="C263" s="59"/>
      <c r="D263" s="59"/>
      <c r="E263" s="59"/>
      <c r="F263" s="59"/>
      <c r="L263" s="59"/>
    </row>
    <row r="264" ht="12.75" customHeight="1">
      <c r="A264" s="68"/>
      <c r="B264" s="59"/>
      <c r="C264" s="59"/>
      <c r="D264" s="59"/>
      <c r="E264" s="59"/>
      <c r="F264" s="59"/>
      <c r="L264" s="59"/>
    </row>
    <row r="265" ht="12.75" customHeight="1">
      <c r="A265" s="68"/>
      <c r="B265" s="59"/>
      <c r="C265" s="59"/>
      <c r="D265" s="59"/>
      <c r="E265" s="59"/>
      <c r="F265" s="59"/>
      <c r="L265" s="59"/>
    </row>
    <row r="266" ht="12.75" customHeight="1">
      <c r="A266" s="68"/>
      <c r="B266" s="59"/>
      <c r="C266" s="59"/>
      <c r="D266" s="59"/>
      <c r="E266" s="59"/>
      <c r="F266" s="59"/>
      <c r="L266" s="59"/>
    </row>
    <row r="267" ht="12.75" customHeight="1">
      <c r="A267" s="68"/>
      <c r="B267" s="59"/>
      <c r="C267" s="59"/>
      <c r="D267" s="59"/>
      <c r="E267" s="59"/>
      <c r="F267" s="59"/>
      <c r="L267" s="59"/>
    </row>
    <row r="268" ht="12.75" customHeight="1">
      <c r="A268" s="68"/>
      <c r="B268" s="59"/>
      <c r="C268" s="59"/>
      <c r="D268" s="59"/>
      <c r="E268" s="59"/>
      <c r="F268" s="59"/>
      <c r="L268" s="59"/>
    </row>
    <row r="269" ht="12.75" customHeight="1">
      <c r="A269" s="68"/>
      <c r="B269" s="59"/>
      <c r="C269" s="59"/>
      <c r="D269" s="59"/>
      <c r="E269" s="59"/>
      <c r="F269" s="59"/>
      <c r="L269" s="59"/>
    </row>
    <row r="270" ht="12.75" customHeight="1">
      <c r="A270" s="68"/>
      <c r="B270" s="59"/>
      <c r="C270" s="59"/>
      <c r="D270" s="59"/>
      <c r="E270" s="59"/>
      <c r="F270" s="59"/>
      <c r="L270" s="59"/>
    </row>
    <row r="271" ht="12.75" customHeight="1">
      <c r="A271" s="68"/>
      <c r="B271" s="59"/>
      <c r="C271" s="59"/>
      <c r="D271" s="59"/>
      <c r="E271" s="59"/>
      <c r="F271" s="59"/>
      <c r="L271" s="59"/>
    </row>
    <row r="272" ht="12.75" customHeight="1">
      <c r="A272" s="68"/>
      <c r="B272" s="59"/>
      <c r="C272" s="59"/>
      <c r="D272" s="59"/>
      <c r="E272" s="59"/>
      <c r="F272" s="59"/>
      <c r="L272" s="59"/>
    </row>
    <row r="273" ht="12.75" customHeight="1">
      <c r="A273" s="68"/>
      <c r="B273" s="59"/>
      <c r="C273" s="59"/>
      <c r="D273" s="59"/>
      <c r="E273" s="59"/>
      <c r="F273" s="59"/>
      <c r="L273" s="59"/>
    </row>
    <row r="274" ht="12.75" customHeight="1">
      <c r="A274" s="68"/>
      <c r="B274" s="59"/>
      <c r="C274" s="59"/>
      <c r="D274" s="59"/>
      <c r="E274" s="59"/>
      <c r="F274" s="59"/>
      <c r="L274" s="59"/>
    </row>
    <row r="275" ht="12.75" customHeight="1">
      <c r="A275" s="68"/>
      <c r="B275" s="59"/>
      <c r="C275" s="59"/>
      <c r="D275" s="59"/>
      <c r="E275" s="59"/>
      <c r="F275" s="59"/>
      <c r="L275" s="59"/>
    </row>
    <row r="276" ht="12.75" customHeight="1">
      <c r="A276" s="68"/>
      <c r="B276" s="59"/>
      <c r="C276" s="59"/>
      <c r="D276" s="59"/>
      <c r="E276" s="59"/>
      <c r="F276" s="59"/>
      <c r="L276" s="59"/>
    </row>
    <row r="277" ht="12.75" customHeight="1">
      <c r="A277" s="68"/>
      <c r="B277" s="59"/>
      <c r="C277" s="59"/>
      <c r="D277" s="59"/>
      <c r="E277" s="59"/>
      <c r="F277" s="59"/>
      <c r="L277" s="59"/>
    </row>
    <row r="278" ht="12.75" customHeight="1">
      <c r="A278" s="68"/>
      <c r="B278" s="59"/>
      <c r="C278" s="59"/>
      <c r="D278" s="59"/>
      <c r="E278" s="59"/>
      <c r="F278" s="59"/>
      <c r="L278" s="59"/>
    </row>
    <row r="279" ht="12.75" customHeight="1">
      <c r="A279" s="68"/>
      <c r="B279" s="59"/>
      <c r="C279" s="59"/>
      <c r="D279" s="59"/>
      <c r="E279" s="59"/>
      <c r="F279" s="59"/>
      <c r="L279" s="59"/>
    </row>
    <row r="280" ht="12.75" customHeight="1">
      <c r="A280" s="68"/>
      <c r="B280" s="59"/>
      <c r="C280" s="59"/>
      <c r="D280" s="59"/>
      <c r="E280" s="59"/>
      <c r="F280" s="59"/>
      <c r="L280" s="59"/>
    </row>
    <row r="281" ht="12.75" customHeight="1">
      <c r="A281" s="68"/>
      <c r="B281" s="59"/>
      <c r="C281" s="59"/>
      <c r="D281" s="59"/>
      <c r="E281" s="59"/>
      <c r="F281" s="59"/>
      <c r="L281" s="59"/>
    </row>
    <row r="282" ht="12.75" customHeight="1">
      <c r="A282" s="68"/>
      <c r="B282" s="59"/>
      <c r="C282" s="59"/>
      <c r="D282" s="59"/>
      <c r="E282" s="59"/>
      <c r="F282" s="59"/>
      <c r="L282" s="59"/>
    </row>
    <row r="283" ht="12.75" customHeight="1">
      <c r="A283" s="68"/>
      <c r="B283" s="59"/>
      <c r="C283" s="59"/>
      <c r="D283" s="59"/>
      <c r="E283" s="59"/>
      <c r="F283" s="59"/>
      <c r="L283" s="59"/>
    </row>
    <row r="284" ht="12.75" customHeight="1">
      <c r="A284" s="68"/>
      <c r="B284" s="59"/>
      <c r="C284" s="59"/>
      <c r="D284" s="59"/>
      <c r="E284" s="59"/>
      <c r="F284" s="59"/>
      <c r="L284" s="59"/>
    </row>
    <row r="285" ht="12.75" customHeight="1">
      <c r="A285" s="68"/>
      <c r="B285" s="59"/>
      <c r="C285" s="59"/>
      <c r="D285" s="59"/>
      <c r="E285" s="59"/>
      <c r="F285" s="59"/>
      <c r="L285" s="59"/>
    </row>
    <row r="286" ht="12.75" customHeight="1">
      <c r="A286" s="68"/>
      <c r="B286" s="59"/>
      <c r="C286" s="59"/>
      <c r="D286" s="59"/>
      <c r="E286" s="59"/>
      <c r="F286" s="59"/>
      <c r="L286" s="59"/>
    </row>
    <row r="287" ht="12.75" customHeight="1">
      <c r="A287" s="68"/>
      <c r="B287" s="59"/>
      <c r="C287" s="59"/>
      <c r="D287" s="59"/>
      <c r="E287" s="59"/>
      <c r="F287" s="59"/>
      <c r="L287" s="59"/>
    </row>
    <row r="288" ht="12.75" customHeight="1">
      <c r="A288" s="68"/>
      <c r="B288" s="59"/>
      <c r="C288" s="59"/>
      <c r="D288" s="59"/>
      <c r="E288" s="59"/>
      <c r="F288" s="59"/>
      <c r="L288" s="59"/>
    </row>
    <row r="289" ht="12.75" customHeight="1">
      <c r="A289" s="68"/>
      <c r="B289" s="59"/>
      <c r="C289" s="59"/>
      <c r="D289" s="59"/>
      <c r="E289" s="59"/>
      <c r="F289" s="59"/>
      <c r="L289" s="59"/>
    </row>
    <row r="290" ht="12.75" customHeight="1">
      <c r="A290" s="68"/>
      <c r="B290" s="59"/>
      <c r="C290" s="59"/>
      <c r="D290" s="59"/>
      <c r="E290" s="59"/>
      <c r="F290" s="59"/>
      <c r="L290" s="59"/>
    </row>
    <row r="291" ht="12.75" customHeight="1">
      <c r="A291" s="68"/>
      <c r="B291" s="59"/>
      <c r="C291" s="59"/>
      <c r="D291" s="59"/>
      <c r="E291" s="59"/>
      <c r="F291" s="59"/>
      <c r="L291" s="59"/>
    </row>
    <row r="292" ht="12.75" customHeight="1">
      <c r="A292" s="68"/>
      <c r="B292" s="59"/>
      <c r="C292" s="59"/>
      <c r="D292" s="59"/>
      <c r="E292" s="59"/>
      <c r="F292" s="59"/>
      <c r="L292" s="59"/>
    </row>
    <row r="293" ht="12.75" customHeight="1">
      <c r="A293" s="68"/>
      <c r="B293" s="59"/>
      <c r="C293" s="59"/>
      <c r="D293" s="59"/>
      <c r="E293" s="59"/>
      <c r="F293" s="59"/>
      <c r="L293" s="59"/>
    </row>
    <row r="294" ht="12.75" customHeight="1">
      <c r="A294" s="68"/>
      <c r="B294" s="59"/>
      <c r="C294" s="59"/>
      <c r="D294" s="59"/>
      <c r="E294" s="59"/>
      <c r="F294" s="59"/>
      <c r="L294" s="59"/>
    </row>
    <row r="295" ht="12.75" customHeight="1">
      <c r="A295" s="68"/>
      <c r="B295" s="59"/>
      <c r="C295" s="59"/>
      <c r="D295" s="59"/>
      <c r="E295" s="59"/>
      <c r="F295" s="59"/>
      <c r="L295" s="59"/>
    </row>
    <row r="296" ht="12.75" customHeight="1">
      <c r="A296" s="68"/>
      <c r="B296" s="59"/>
      <c r="C296" s="59"/>
      <c r="D296" s="59"/>
      <c r="E296" s="59"/>
      <c r="F296" s="59"/>
      <c r="L296" s="59"/>
    </row>
    <row r="297" ht="12.75" customHeight="1">
      <c r="A297" s="68"/>
      <c r="B297" s="59"/>
      <c r="C297" s="59"/>
      <c r="D297" s="59"/>
      <c r="E297" s="59"/>
      <c r="F297" s="59"/>
      <c r="L297" s="59"/>
    </row>
    <row r="298" ht="12.75" customHeight="1">
      <c r="A298" s="68"/>
      <c r="B298" s="59"/>
      <c r="C298" s="59"/>
      <c r="D298" s="59"/>
      <c r="E298" s="59"/>
      <c r="F298" s="59"/>
      <c r="L298" s="59"/>
    </row>
    <row r="299" ht="12.75" customHeight="1">
      <c r="A299" s="68"/>
      <c r="B299" s="59"/>
      <c r="C299" s="59"/>
      <c r="D299" s="59"/>
      <c r="E299" s="59"/>
      <c r="F299" s="59"/>
      <c r="L299" s="59"/>
    </row>
    <row r="300" ht="12.75" customHeight="1">
      <c r="A300" s="68"/>
      <c r="B300" s="59"/>
      <c r="C300" s="59"/>
      <c r="D300" s="59"/>
      <c r="E300" s="59"/>
      <c r="F300" s="59"/>
      <c r="L300" s="59"/>
    </row>
    <row r="301" ht="12.75" customHeight="1">
      <c r="A301" s="68"/>
      <c r="B301" s="59"/>
      <c r="C301" s="59"/>
      <c r="D301" s="59"/>
      <c r="E301" s="59"/>
      <c r="F301" s="59"/>
      <c r="L301" s="59"/>
    </row>
    <row r="302" ht="12.75" customHeight="1">
      <c r="A302" s="68"/>
      <c r="B302" s="59"/>
      <c r="C302" s="59"/>
      <c r="D302" s="59"/>
      <c r="E302" s="59"/>
      <c r="F302" s="59"/>
      <c r="L302" s="59"/>
    </row>
    <row r="303" ht="12.75" customHeight="1">
      <c r="A303" s="68"/>
      <c r="B303" s="59"/>
      <c r="C303" s="59"/>
      <c r="D303" s="59"/>
      <c r="E303" s="59"/>
      <c r="F303" s="59"/>
      <c r="L303" s="59"/>
    </row>
    <row r="304" ht="12.75" customHeight="1">
      <c r="A304" s="68"/>
      <c r="B304" s="59"/>
      <c r="C304" s="59"/>
      <c r="D304" s="59"/>
      <c r="E304" s="59"/>
      <c r="F304" s="59"/>
      <c r="L304" s="59"/>
    </row>
    <row r="305" ht="12.75" customHeight="1">
      <c r="A305" s="68"/>
      <c r="B305" s="59"/>
      <c r="C305" s="59"/>
      <c r="D305" s="59"/>
      <c r="E305" s="59"/>
      <c r="F305" s="59"/>
      <c r="L305" s="59"/>
    </row>
    <row r="306" ht="12.75" customHeight="1">
      <c r="A306" s="68"/>
      <c r="B306" s="59"/>
      <c r="C306" s="59"/>
      <c r="D306" s="59"/>
      <c r="E306" s="59"/>
      <c r="F306" s="59"/>
      <c r="L306" s="59"/>
    </row>
    <row r="307" ht="12.75" customHeight="1">
      <c r="A307" s="68"/>
      <c r="B307" s="59"/>
      <c r="C307" s="59"/>
      <c r="D307" s="59"/>
      <c r="E307" s="59"/>
      <c r="F307" s="59"/>
      <c r="L307" s="59"/>
    </row>
    <row r="308" ht="12.75" customHeight="1">
      <c r="A308" s="68"/>
      <c r="B308" s="59"/>
      <c r="C308" s="59"/>
      <c r="D308" s="59"/>
      <c r="E308" s="59"/>
      <c r="F308" s="59"/>
      <c r="L308" s="59"/>
    </row>
    <row r="309" ht="12.75" customHeight="1">
      <c r="A309" s="68"/>
      <c r="B309" s="59"/>
      <c r="C309" s="59"/>
      <c r="D309" s="59"/>
      <c r="E309" s="59"/>
      <c r="F309" s="59"/>
      <c r="L309" s="59"/>
    </row>
    <row r="310" ht="12.75" customHeight="1">
      <c r="A310" s="68"/>
      <c r="B310" s="59"/>
      <c r="C310" s="59"/>
      <c r="D310" s="59"/>
      <c r="E310" s="59"/>
      <c r="F310" s="59"/>
      <c r="L310" s="59"/>
    </row>
    <row r="311" ht="12.75" customHeight="1">
      <c r="A311" s="68"/>
      <c r="B311" s="59"/>
      <c r="C311" s="59"/>
      <c r="D311" s="59"/>
      <c r="E311" s="59"/>
      <c r="F311" s="59"/>
      <c r="L311" s="59"/>
    </row>
    <row r="312" ht="12.75" customHeight="1">
      <c r="A312" s="68"/>
      <c r="B312" s="59"/>
      <c r="C312" s="59"/>
      <c r="D312" s="59"/>
      <c r="E312" s="59"/>
      <c r="F312" s="59"/>
      <c r="L312" s="59"/>
    </row>
    <row r="313" ht="12.75" customHeight="1">
      <c r="A313" s="68"/>
      <c r="B313" s="59"/>
      <c r="C313" s="59"/>
      <c r="D313" s="59"/>
      <c r="E313" s="59"/>
      <c r="F313" s="59"/>
      <c r="L313" s="59"/>
    </row>
    <row r="314" ht="12.75" customHeight="1">
      <c r="A314" s="68"/>
      <c r="B314" s="59"/>
      <c r="C314" s="59"/>
      <c r="D314" s="59"/>
      <c r="E314" s="59"/>
      <c r="F314" s="59"/>
      <c r="L314" s="59"/>
    </row>
    <row r="315" ht="12.75" customHeight="1">
      <c r="A315" s="68"/>
      <c r="B315" s="59"/>
      <c r="C315" s="59"/>
      <c r="D315" s="59"/>
      <c r="E315" s="59"/>
      <c r="F315" s="59"/>
      <c r="L315" s="59"/>
    </row>
    <row r="316" ht="12.75" customHeight="1">
      <c r="A316" s="68"/>
      <c r="B316" s="59"/>
      <c r="C316" s="59"/>
      <c r="D316" s="59"/>
      <c r="E316" s="59"/>
      <c r="F316" s="59"/>
      <c r="L316" s="59"/>
    </row>
    <row r="317" ht="12.75" customHeight="1">
      <c r="A317" s="68"/>
      <c r="B317" s="59"/>
      <c r="C317" s="59"/>
      <c r="D317" s="59"/>
      <c r="E317" s="59"/>
      <c r="F317" s="59"/>
      <c r="L317" s="59"/>
    </row>
    <row r="318" ht="12.75" customHeight="1">
      <c r="A318" s="68"/>
      <c r="B318" s="59"/>
      <c r="C318" s="59"/>
      <c r="D318" s="59"/>
      <c r="E318" s="59"/>
      <c r="F318" s="59"/>
      <c r="L318" s="59"/>
    </row>
    <row r="319" ht="12.75" customHeight="1">
      <c r="A319" s="68"/>
      <c r="B319" s="59"/>
      <c r="C319" s="59"/>
      <c r="D319" s="59"/>
      <c r="E319" s="59"/>
      <c r="F319" s="59"/>
      <c r="L319" s="59"/>
    </row>
    <row r="320" ht="12.75" customHeight="1">
      <c r="A320" s="68"/>
      <c r="B320" s="59"/>
      <c r="C320" s="59"/>
      <c r="D320" s="59"/>
      <c r="E320" s="59"/>
      <c r="F320" s="59"/>
      <c r="L320" s="59"/>
    </row>
    <row r="321" ht="12.75" customHeight="1">
      <c r="A321" s="68"/>
      <c r="B321" s="59"/>
      <c r="C321" s="59"/>
      <c r="D321" s="59"/>
      <c r="E321" s="59"/>
      <c r="F321" s="59"/>
      <c r="L321" s="59"/>
    </row>
    <row r="322" ht="12.75" customHeight="1">
      <c r="A322" s="68"/>
      <c r="B322" s="59"/>
      <c r="C322" s="59"/>
      <c r="D322" s="59"/>
      <c r="E322" s="59"/>
      <c r="F322" s="59"/>
      <c r="L322" s="59"/>
    </row>
    <row r="323" ht="12.75" customHeight="1">
      <c r="A323" s="68"/>
      <c r="B323" s="59"/>
      <c r="C323" s="59"/>
      <c r="D323" s="59"/>
      <c r="E323" s="59"/>
      <c r="F323" s="59"/>
      <c r="L323" s="59"/>
    </row>
    <row r="324" ht="12.75" customHeight="1">
      <c r="A324" s="68"/>
      <c r="B324" s="59"/>
      <c r="C324" s="59"/>
      <c r="D324" s="59"/>
      <c r="E324" s="59"/>
      <c r="F324" s="59"/>
      <c r="L324" s="59"/>
    </row>
    <row r="325" ht="12.75" customHeight="1">
      <c r="A325" s="68"/>
      <c r="B325" s="59"/>
      <c r="C325" s="59"/>
      <c r="D325" s="59"/>
      <c r="E325" s="59"/>
      <c r="F325" s="59"/>
      <c r="L325" s="59"/>
    </row>
    <row r="326" ht="12.75" customHeight="1">
      <c r="A326" s="68"/>
      <c r="B326" s="59"/>
      <c r="C326" s="59"/>
      <c r="D326" s="59"/>
      <c r="E326" s="59"/>
      <c r="F326" s="59"/>
      <c r="L326" s="59"/>
    </row>
    <row r="327" ht="12.75" customHeight="1">
      <c r="A327" s="68"/>
      <c r="B327" s="59"/>
      <c r="C327" s="59"/>
      <c r="D327" s="59"/>
      <c r="E327" s="59"/>
      <c r="F327" s="59"/>
      <c r="L327" s="59"/>
    </row>
    <row r="328" ht="12.75" customHeight="1">
      <c r="A328" s="68"/>
      <c r="B328" s="59"/>
      <c r="C328" s="59"/>
      <c r="D328" s="59"/>
      <c r="E328" s="59"/>
      <c r="F328" s="59"/>
      <c r="L328" s="59"/>
    </row>
    <row r="329" ht="12.75" customHeight="1">
      <c r="A329" s="68"/>
      <c r="B329" s="59"/>
      <c r="C329" s="59"/>
      <c r="D329" s="59"/>
      <c r="E329" s="59"/>
      <c r="F329" s="59"/>
      <c r="L329" s="59"/>
    </row>
    <row r="330" ht="12.75" customHeight="1">
      <c r="A330" s="68"/>
      <c r="B330" s="59"/>
      <c r="C330" s="59"/>
      <c r="D330" s="59"/>
      <c r="E330" s="59"/>
      <c r="F330" s="59"/>
      <c r="L330" s="59"/>
    </row>
    <row r="331" ht="12.75" customHeight="1">
      <c r="A331" s="68"/>
      <c r="B331" s="59"/>
      <c r="C331" s="59"/>
      <c r="D331" s="59"/>
      <c r="E331" s="59"/>
      <c r="F331" s="59"/>
      <c r="L331" s="59"/>
    </row>
    <row r="332" ht="12.75" customHeight="1">
      <c r="A332" s="68"/>
      <c r="B332" s="59"/>
      <c r="C332" s="59"/>
      <c r="D332" s="59"/>
      <c r="E332" s="59"/>
      <c r="F332" s="59"/>
      <c r="L332" s="59"/>
    </row>
    <row r="333" ht="12.75" customHeight="1">
      <c r="A333" s="68"/>
      <c r="B333" s="59"/>
      <c r="C333" s="59"/>
      <c r="D333" s="59"/>
      <c r="E333" s="59"/>
      <c r="F333" s="59"/>
      <c r="L333" s="59"/>
    </row>
    <row r="334" ht="12.75" customHeight="1">
      <c r="A334" s="68"/>
      <c r="B334" s="59"/>
      <c r="C334" s="59"/>
      <c r="D334" s="59"/>
      <c r="E334" s="59"/>
      <c r="F334" s="59"/>
      <c r="L334" s="59"/>
    </row>
    <row r="335" ht="12.75" customHeight="1">
      <c r="A335" s="68"/>
      <c r="B335" s="59"/>
      <c r="C335" s="59"/>
      <c r="D335" s="59"/>
      <c r="E335" s="59"/>
      <c r="F335" s="59"/>
      <c r="L335" s="59"/>
    </row>
    <row r="336" ht="12.75" customHeight="1">
      <c r="A336" s="68"/>
      <c r="B336" s="59"/>
      <c r="C336" s="59"/>
      <c r="D336" s="59"/>
      <c r="E336" s="59"/>
      <c r="F336" s="59"/>
      <c r="L336" s="59"/>
    </row>
    <row r="337" ht="12.75" customHeight="1">
      <c r="A337" s="68"/>
      <c r="B337" s="59"/>
      <c r="C337" s="59"/>
      <c r="D337" s="59"/>
      <c r="E337" s="59"/>
      <c r="F337" s="59"/>
      <c r="L337" s="59"/>
    </row>
    <row r="338" ht="12.75" customHeight="1">
      <c r="A338" s="68"/>
      <c r="B338" s="59"/>
      <c r="C338" s="59"/>
      <c r="D338" s="59"/>
      <c r="E338" s="59"/>
      <c r="F338" s="59"/>
      <c r="L338" s="59"/>
    </row>
    <row r="339" ht="12.75" customHeight="1">
      <c r="A339" s="68"/>
      <c r="B339" s="59"/>
      <c r="C339" s="59"/>
      <c r="D339" s="59"/>
      <c r="E339" s="59"/>
      <c r="F339" s="59"/>
      <c r="L339" s="59"/>
    </row>
    <row r="340" ht="12.75" customHeight="1">
      <c r="A340" s="68"/>
      <c r="B340" s="59"/>
      <c r="C340" s="59"/>
      <c r="D340" s="59"/>
      <c r="E340" s="59"/>
      <c r="F340" s="59"/>
      <c r="L340" s="59"/>
    </row>
    <row r="341" ht="12.75" customHeight="1">
      <c r="A341" s="68"/>
      <c r="B341" s="59"/>
      <c r="C341" s="59"/>
      <c r="D341" s="59"/>
      <c r="E341" s="59"/>
      <c r="F341" s="59"/>
      <c r="L341" s="59"/>
    </row>
    <row r="342" ht="12.75" customHeight="1">
      <c r="A342" s="68"/>
      <c r="B342" s="59"/>
      <c r="C342" s="59"/>
      <c r="D342" s="59"/>
      <c r="E342" s="59"/>
      <c r="F342" s="59"/>
      <c r="L342" s="59"/>
    </row>
    <row r="343" ht="12.75" customHeight="1">
      <c r="A343" s="68"/>
      <c r="B343" s="59"/>
      <c r="C343" s="59"/>
      <c r="D343" s="59"/>
      <c r="E343" s="59"/>
      <c r="F343" s="59"/>
      <c r="L343" s="59"/>
    </row>
    <row r="344" ht="12.75" customHeight="1">
      <c r="A344" s="68"/>
      <c r="B344" s="59"/>
      <c r="C344" s="59"/>
      <c r="D344" s="59"/>
      <c r="E344" s="59"/>
      <c r="F344" s="59"/>
      <c r="L344" s="59"/>
    </row>
    <row r="345" ht="12.75" customHeight="1">
      <c r="A345" s="68"/>
      <c r="B345" s="59"/>
      <c r="C345" s="59"/>
      <c r="D345" s="59"/>
      <c r="E345" s="59"/>
      <c r="F345" s="59"/>
      <c r="L345" s="59"/>
    </row>
    <row r="346" ht="12.75" customHeight="1">
      <c r="A346" s="68"/>
      <c r="B346" s="59"/>
      <c r="C346" s="59"/>
      <c r="D346" s="59"/>
      <c r="E346" s="59"/>
      <c r="F346" s="59"/>
      <c r="L346" s="59"/>
    </row>
    <row r="347" ht="12.75" customHeight="1">
      <c r="A347" s="68"/>
      <c r="B347" s="59"/>
      <c r="C347" s="59"/>
      <c r="D347" s="59"/>
      <c r="E347" s="59"/>
      <c r="F347" s="59"/>
      <c r="L347" s="59"/>
    </row>
    <row r="348" ht="12.75" customHeight="1">
      <c r="A348" s="68"/>
      <c r="B348" s="59"/>
      <c r="C348" s="59"/>
      <c r="D348" s="59"/>
      <c r="E348" s="59"/>
      <c r="F348" s="59"/>
      <c r="L348" s="59"/>
    </row>
    <row r="349" ht="12.75" customHeight="1">
      <c r="A349" s="68"/>
      <c r="B349" s="59"/>
      <c r="C349" s="59"/>
      <c r="D349" s="59"/>
      <c r="E349" s="59"/>
      <c r="F349" s="59"/>
      <c r="L349" s="59"/>
    </row>
    <row r="350" ht="12.75" customHeight="1">
      <c r="A350" s="68"/>
      <c r="B350" s="59"/>
      <c r="C350" s="59"/>
      <c r="D350" s="59"/>
      <c r="E350" s="59"/>
      <c r="F350" s="59"/>
      <c r="L350" s="59"/>
    </row>
    <row r="351" ht="12.75" customHeight="1">
      <c r="A351" s="68"/>
      <c r="B351" s="59"/>
      <c r="C351" s="59"/>
      <c r="D351" s="59"/>
      <c r="E351" s="59"/>
      <c r="F351" s="59"/>
      <c r="L351" s="59"/>
    </row>
    <row r="352" ht="12.75" customHeight="1">
      <c r="A352" s="68"/>
      <c r="B352" s="59"/>
      <c r="C352" s="59"/>
      <c r="D352" s="59"/>
      <c r="E352" s="59"/>
      <c r="F352" s="59"/>
      <c r="L352" s="59"/>
    </row>
    <row r="353" ht="12.75" customHeight="1">
      <c r="A353" s="68"/>
      <c r="B353" s="59"/>
      <c r="C353" s="59"/>
      <c r="D353" s="59"/>
      <c r="E353" s="59"/>
      <c r="F353" s="59"/>
      <c r="L353" s="59"/>
    </row>
    <row r="354" ht="12.75" customHeight="1">
      <c r="A354" s="68"/>
      <c r="B354" s="59"/>
      <c r="C354" s="59"/>
      <c r="D354" s="59"/>
      <c r="E354" s="59"/>
      <c r="F354" s="59"/>
      <c r="L354" s="59"/>
    </row>
    <row r="355" ht="12.75" customHeight="1">
      <c r="A355" s="68"/>
      <c r="B355" s="59"/>
      <c r="C355" s="59"/>
      <c r="D355" s="59"/>
      <c r="E355" s="59"/>
      <c r="F355" s="59"/>
      <c r="L355" s="59"/>
    </row>
    <row r="356" ht="12.75" customHeight="1">
      <c r="A356" s="68"/>
      <c r="B356" s="59"/>
      <c r="C356" s="59"/>
      <c r="D356" s="59"/>
      <c r="E356" s="59"/>
      <c r="F356" s="59"/>
      <c r="L356" s="59"/>
    </row>
    <row r="357" ht="12.75" customHeight="1">
      <c r="A357" s="68"/>
      <c r="B357" s="59"/>
      <c r="C357" s="59"/>
      <c r="D357" s="59"/>
      <c r="E357" s="59"/>
      <c r="F357" s="59"/>
      <c r="L357" s="59"/>
    </row>
    <row r="358" ht="12.75" customHeight="1">
      <c r="A358" s="68"/>
      <c r="B358" s="59"/>
      <c r="C358" s="59"/>
      <c r="D358" s="59"/>
      <c r="E358" s="59"/>
      <c r="F358" s="59"/>
      <c r="L358" s="59"/>
    </row>
    <row r="359" ht="12.75" customHeight="1">
      <c r="A359" s="68"/>
      <c r="B359" s="59"/>
      <c r="C359" s="59"/>
      <c r="D359" s="59"/>
      <c r="E359" s="59"/>
      <c r="F359" s="59"/>
      <c r="L359" s="59"/>
    </row>
    <row r="360" ht="12.75" customHeight="1">
      <c r="A360" s="68"/>
      <c r="B360" s="59"/>
      <c r="C360" s="59"/>
      <c r="D360" s="59"/>
      <c r="E360" s="59"/>
      <c r="F360" s="59"/>
      <c r="L360" s="59"/>
    </row>
    <row r="361" ht="12.75" customHeight="1">
      <c r="A361" s="68"/>
      <c r="B361" s="59"/>
      <c r="C361" s="59"/>
      <c r="D361" s="59"/>
      <c r="E361" s="59"/>
      <c r="F361" s="59"/>
      <c r="L361" s="59"/>
    </row>
    <row r="362" ht="12.75" customHeight="1">
      <c r="A362" s="68"/>
      <c r="B362" s="59"/>
      <c r="C362" s="59"/>
      <c r="D362" s="59"/>
      <c r="E362" s="59"/>
      <c r="F362" s="59"/>
      <c r="L362" s="59"/>
    </row>
    <row r="363" ht="12.75" customHeight="1">
      <c r="A363" s="68"/>
      <c r="B363" s="59"/>
      <c r="C363" s="59"/>
      <c r="D363" s="59"/>
      <c r="E363" s="59"/>
      <c r="F363" s="59"/>
      <c r="L363" s="59"/>
    </row>
    <row r="364" ht="12.75" customHeight="1">
      <c r="A364" s="68"/>
      <c r="B364" s="59"/>
      <c r="C364" s="59"/>
      <c r="D364" s="59"/>
      <c r="E364" s="59"/>
      <c r="F364" s="59"/>
      <c r="L364" s="59"/>
    </row>
    <row r="365" ht="12.75" customHeight="1">
      <c r="A365" s="68"/>
      <c r="B365" s="59"/>
      <c r="C365" s="59"/>
      <c r="D365" s="59"/>
      <c r="E365" s="59"/>
      <c r="F365" s="59"/>
      <c r="L365" s="59"/>
    </row>
    <row r="366" ht="12.75" customHeight="1">
      <c r="A366" s="68"/>
      <c r="B366" s="59"/>
      <c r="C366" s="59"/>
      <c r="D366" s="59"/>
      <c r="E366" s="59"/>
      <c r="F366" s="59"/>
      <c r="L366" s="59"/>
    </row>
    <row r="367" ht="12.75" customHeight="1">
      <c r="A367" s="68"/>
      <c r="B367" s="59"/>
      <c r="C367" s="59"/>
      <c r="D367" s="59"/>
      <c r="E367" s="59"/>
      <c r="F367" s="59"/>
      <c r="L367" s="59"/>
    </row>
    <row r="368" ht="12.75" customHeight="1">
      <c r="A368" s="68"/>
      <c r="B368" s="59"/>
      <c r="C368" s="59"/>
      <c r="D368" s="59"/>
      <c r="E368" s="59"/>
      <c r="F368" s="59"/>
      <c r="L368" s="59"/>
    </row>
    <row r="369" ht="12.75" customHeight="1">
      <c r="A369" s="68"/>
      <c r="B369" s="59"/>
      <c r="C369" s="59"/>
      <c r="D369" s="59"/>
      <c r="E369" s="59"/>
      <c r="F369" s="59"/>
      <c r="L369" s="59"/>
    </row>
    <row r="370" ht="12.75" customHeight="1">
      <c r="A370" s="68"/>
      <c r="B370" s="59"/>
      <c r="C370" s="59"/>
      <c r="D370" s="59"/>
      <c r="E370" s="59"/>
      <c r="F370" s="59"/>
      <c r="L370" s="59"/>
    </row>
    <row r="371" ht="12.75" customHeight="1">
      <c r="A371" s="68"/>
      <c r="B371" s="59"/>
      <c r="C371" s="59"/>
      <c r="D371" s="59"/>
      <c r="E371" s="59"/>
      <c r="F371" s="59"/>
      <c r="L371" s="59"/>
    </row>
    <row r="372" ht="12.75" customHeight="1">
      <c r="A372" s="68"/>
      <c r="B372" s="59"/>
      <c r="C372" s="59"/>
      <c r="D372" s="59"/>
      <c r="E372" s="59"/>
      <c r="F372" s="59"/>
      <c r="L372" s="59"/>
    </row>
    <row r="373" ht="12.75" customHeight="1">
      <c r="A373" s="68"/>
      <c r="B373" s="59"/>
      <c r="C373" s="59"/>
      <c r="D373" s="59"/>
      <c r="E373" s="59"/>
      <c r="F373" s="59"/>
      <c r="L373" s="59"/>
    </row>
    <row r="374" ht="12.75" customHeight="1">
      <c r="A374" s="68"/>
      <c r="B374" s="59"/>
      <c r="C374" s="59"/>
      <c r="D374" s="59"/>
      <c r="E374" s="59"/>
      <c r="F374" s="59"/>
      <c r="L374" s="59"/>
    </row>
    <row r="375" ht="12.75" customHeight="1">
      <c r="A375" s="68"/>
      <c r="B375" s="59"/>
      <c r="C375" s="59"/>
      <c r="D375" s="59"/>
      <c r="E375" s="59"/>
      <c r="F375" s="59"/>
      <c r="L375" s="59"/>
    </row>
    <row r="376" ht="12.75" customHeight="1">
      <c r="A376" s="68"/>
      <c r="B376" s="59"/>
      <c r="C376" s="59"/>
      <c r="D376" s="59"/>
      <c r="E376" s="59"/>
      <c r="F376" s="59"/>
      <c r="L376" s="59"/>
    </row>
    <row r="377" ht="12.75" customHeight="1">
      <c r="A377" s="68"/>
      <c r="B377" s="59"/>
      <c r="C377" s="59"/>
      <c r="D377" s="59"/>
      <c r="E377" s="59"/>
      <c r="F377" s="59"/>
      <c r="L377" s="59"/>
    </row>
    <row r="378" ht="12.75" customHeight="1">
      <c r="A378" s="68"/>
      <c r="B378" s="59"/>
      <c r="C378" s="59"/>
      <c r="D378" s="59"/>
      <c r="E378" s="59"/>
      <c r="F378" s="59"/>
      <c r="L378" s="59"/>
    </row>
    <row r="379" ht="12.75" customHeight="1">
      <c r="A379" s="68"/>
      <c r="B379" s="59"/>
      <c r="C379" s="59"/>
      <c r="D379" s="59"/>
      <c r="E379" s="59"/>
      <c r="F379" s="59"/>
      <c r="L379" s="59"/>
    </row>
    <row r="380" ht="12.75" customHeight="1">
      <c r="A380" s="68"/>
      <c r="B380" s="59"/>
      <c r="C380" s="59"/>
      <c r="D380" s="59"/>
      <c r="E380" s="59"/>
      <c r="F380" s="59"/>
      <c r="L380" s="59"/>
    </row>
    <row r="381" ht="12.75" customHeight="1">
      <c r="A381" s="68"/>
      <c r="B381" s="59"/>
      <c r="C381" s="59"/>
      <c r="D381" s="59"/>
      <c r="E381" s="59"/>
      <c r="F381" s="59"/>
      <c r="L381" s="59"/>
    </row>
    <row r="382" ht="12.75" customHeight="1">
      <c r="A382" s="68"/>
      <c r="B382" s="59"/>
      <c r="C382" s="59"/>
      <c r="D382" s="59"/>
      <c r="E382" s="59"/>
      <c r="F382" s="59"/>
      <c r="L382" s="59"/>
    </row>
    <row r="383" ht="12.75" customHeight="1">
      <c r="A383" s="68"/>
      <c r="B383" s="59"/>
      <c r="C383" s="59"/>
      <c r="D383" s="59"/>
      <c r="E383" s="59"/>
      <c r="F383" s="59"/>
      <c r="L383" s="59"/>
    </row>
    <row r="384" ht="12.75" customHeight="1">
      <c r="A384" s="68"/>
      <c r="B384" s="59"/>
      <c r="C384" s="59"/>
      <c r="D384" s="59"/>
      <c r="E384" s="59"/>
      <c r="F384" s="59"/>
      <c r="L384" s="59"/>
    </row>
    <row r="385" ht="12.75" customHeight="1">
      <c r="A385" s="68"/>
      <c r="B385" s="59"/>
      <c r="C385" s="59"/>
      <c r="D385" s="59"/>
      <c r="E385" s="59"/>
      <c r="F385" s="59"/>
      <c r="L385" s="59"/>
    </row>
    <row r="386" ht="12.75" customHeight="1">
      <c r="A386" s="68"/>
      <c r="B386" s="59"/>
      <c r="C386" s="59"/>
      <c r="D386" s="59"/>
      <c r="E386" s="59"/>
      <c r="F386" s="59"/>
      <c r="L386" s="59"/>
    </row>
    <row r="387" ht="12.75" customHeight="1">
      <c r="A387" s="68"/>
      <c r="B387" s="59"/>
      <c r="C387" s="59"/>
      <c r="D387" s="59"/>
      <c r="E387" s="59"/>
      <c r="F387" s="59"/>
      <c r="L387" s="59"/>
    </row>
    <row r="388" ht="12.75" customHeight="1">
      <c r="A388" s="68"/>
      <c r="B388" s="59"/>
      <c r="C388" s="59"/>
      <c r="D388" s="59"/>
      <c r="E388" s="59"/>
      <c r="F388" s="59"/>
      <c r="L388" s="59"/>
    </row>
    <row r="389" ht="12.75" customHeight="1">
      <c r="A389" s="68"/>
      <c r="B389" s="59"/>
      <c r="C389" s="59"/>
      <c r="D389" s="59"/>
      <c r="E389" s="59"/>
      <c r="F389" s="59"/>
      <c r="L389" s="59"/>
    </row>
    <row r="390" ht="12.75" customHeight="1">
      <c r="A390" s="68"/>
      <c r="B390" s="59"/>
      <c r="C390" s="59"/>
      <c r="D390" s="59"/>
      <c r="E390" s="59"/>
      <c r="F390" s="59"/>
      <c r="L390" s="59"/>
    </row>
    <row r="391" ht="12.75" customHeight="1">
      <c r="A391" s="68"/>
      <c r="B391" s="59"/>
      <c r="C391" s="59"/>
      <c r="D391" s="59"/>
      <c r="E391" s="59"/>
      <c r="F391" s="59"/>
      <c r="L391" s="59"/>
    </row>
    <row r="392" ht="12.75" customHeight="1">
      <c r="A392" s="68"/>
      <c r="B392" s="59"/>
      <c r="C392" s="59"/>
      <c r="D392" s="59"/>
      <c r="E392" s="59"/>
      <c r="F392" s="59"/>
      <c r="L392" s="59"/>
    </row>
    <row r="393" ht="12.75" customHeight="1">
      <c r="A393" s="68"/>
      <c r="B393" s="59"/>
      <c r="C393" s="59"/>
      <c r="D393" s="59"/>
      <c r="E393" s="59"/>
      <c r="F393" s="59"/>
      <c r="L393" s="59"/>
    </row>
    <row r="394" ht="12.75" customHeight="1">
      <c r="A394" s="68"/>
      <c r="B394" s="59"/>
      <c r="C394" s="59"/>
      <c r="D394" s="59"/>
      <c r="E394" s="59"/>
      <c r="F394" s="59"/>
      <c r="L394" s="59"/>
    </row>
    <row r="395" ht="12.75" customHeight="1">
      <c r="A395" s="68"/>
      <c r="B395" s="59"/>
      <c r="C395" s="59"/>
      <c r="D395" s="59"/>
      <c r="E395" s="59"/>
      <c r="F395" s="59"/>
      <c r="L395" s="59"/>
    </row>
    <row r="396" ht="12.75" customHeight="1">
      <c r="A396" s="68"/>
      <c r="B396" s="59"/>
      <c r="C396" s="59"/>
      <c r="D396" s="59"/>
      <c r="E396" s="59"/>
      <c r="F396" s="59"/>
      <c r="L396" s="59"/>
    </row>
    <row r="397" ht="12.75" customHeight="1">
      <c r="A397" s="68"/>
      <c r="B397" s="59"/>
      <c r="C397" s="59"/>
      <c r="D397" s="59"/>
      <c r="E397" s="59"/>
      <c r="F397" s="59"/>
      <c r="L397" s="59"/>
    </row>
    <row r="398" ht="12.75" customHeight="1">
      <c r="A398" s="68"/>
      <c r="B398" s="59"/>
      <c r="C398" s="59"/>
      <c r="D398" s="59"/>
      <c r="E398" s="59"/>
      <c r="F398" s="59"/>
      <c r="L398" s="59"/>
    </row>
    <row r="399" ht="12.75" customHeight="1">
      <c r="A399" s="68"/>
      <c r="B399" s="59"/>
      <c r="C399" s="59"/>
      <c r="D399" s="59"/>
      <c r="E399" s="59"/>
      <c r="F399" s="59"/>
      <c r="L399" s="59"/>
    </row>
    <row r="400" ht="12.75" customHeight="1">
      <c r="A400" s="68"/>
      <c r="B400" s="59"/>
      <c r="C400" s="59"/>
      <c r="D400" s="59"/>
      <c r="E400" s="59"/>
      <c r="F400" s="59"/>
      <c r="L400" s="59"/>
    </row>
    <row r="401" ht="12.75" customHeight="1">
      <c r="A401" s="68"/>
      <c r="B401" s="59"/>
      <c r="C401" s="59"/>
      <c r="D401" s="59"/>
      <c r="E401" s="59"/>
      <c r="F401" s="59"/>
      <c r="L401" s="59"/>
    </row>
    <row r="402" ht="12.75" customHeight="1">
      <c r="A402" s="68"/>
      <c r="B402" s="59"/>
      <c r="C402" s="59"/>
      <c r="D402" s="59"/>
      <c r="E402" s="59"/>
      <c r="F402" s="59"/>
      <c r="L402" s="59"/>
    </row>
    <row r="403" ht="12.75" customHeight="1">
      <c r="A403" s="68"/>
      <c r="B403" s="59"/>
      <c r="C403" s="59"/>
      <c r="D403" s="59"/>
      <c r="E403" s="59"/>
      <c r="F403" s="59"/>
      <c r="L403" s="59"/>
    </row>
    <row r="404" ht="12.75" customHeight="1">
      <c r="A404" s="68"/>
      <c r="B404" s="59"/>
      <c r="C404" s="59"/>
      <c r="D404" s="59"/>
      <c r="E404" s="59"/>
      <c r="F404" s="59"/>
      <c r="L404" s="59"/>
    </row>
    <row r="405" ht="12.75" customHeight="1">
      <c r="A405" s="68"/>
      <c r="B405" s="59"/>
      <c r="C405" s="59"/>
      <c r="D405" s="59"/>
      <c r="E405" s="59"/>
      <c r="F405" s="59"/>
      <c r="L405" s="59"/>
    </row>
    <row r="406" ht="12.75" customHeight="1">
      <c r="A406" s="68"/>
      <c r="B406" s="59"/>
      <c r="C406" s="59"/>
      <c r="D406" s="59"/>
      <c r="E406" s="59"/>
      <c r="F406" s="59"/>
      <c r="L406" s="59"/>
    </row>
    <row r="407" ht="12.75" customHeight="1">
      <c r="A407" s="68"/>
      <c r="B407" s="59"/>
      <c r="C407" s="59"/>
      <c r="D407" s="59"/>
      <c r="E407" s="59"/>
      <c r="F407" s="59"/>
      <c r="L407" s="59"/>
    </row>
    <row r="408" ht="12.75" customHeight="1">
      <c r="A408" s="68"/>
      <c r="B408" s="59"/>
      <c r="C408" s="59"/>
      <c r="D408" s="59"/>
      <c r="E408" s="59"/>
      <c r="F408" s="59"/>
      <c r="L408" s="59"/>
    </row>
    <row r="409" ht="12.75" customHeight="1">
      <c r="A409" s="68"/>
      <c r="B409" s="59"/>
      <c r="C409" s="59"/>
      <c r="D409" s="59"/>
      <c r="E409" s="59"/>
      <c r="F409" s="59"/>
      <c r="L409" s="59"/>
    </row>
    <row r="410" ht="12.75" customHeight="1">
      <c r="A410" s="68"/>
      <c r="B410" s="59"/>
      <c r="C410" s="59"/>
      <c r="D410" s="59"/>
      <c r="E410" s="59"/>
      <c r="F410" s="59"/>
      <c r="L410" s="59"/>
    </row>
    <row r="411" ht="12.75" customHeight="1">
      <c r="A411" s="68"/>
      <c r="B411" s="59"/>
      <c r="C411" s="59"/>
      <c r="D411" s="59"/>
      <c r="E411" s="59"/>
      <c r="F411" s="59"/>
      <c r="L411" s="59"/>
    </row>
    <row r="412" ht="12.75" customHeight="1">
      <c r="A412" s="68"/>
      <c r="B412" s="59"/>
      <c r="C412" s="59"/>
      <c r="D412" s="59"/>
      <c r="E412" s="59"/>
      <c r="F412" s="59"/>
      <c r="L412" s="59"/>
    </row>
    <row r="413" ht="12.75" customHeight="1">
      <c r="A413" s="68"/>
      <c r="B413" s="59"/>
      <c r="C413" s="59"/>
      <c r="D413" s="59"/>
      <c r="E413" s="59"/>
      <c r="F413" s="59"/>
      <c r="L413" s="59"/>
    </row>
    <row r="414" ht="12.75" customHeight="1">
      <c r="A414" s="68"/>
      <c r="B414" s="59"/>
      <c r="C414" s="59"/>
      <c r="D414" s="59"/>
      <c r="E414" s="59"/>
      <c r="F414" s="59"/>
      <c r="L414" s="59"/>
    </row>
    <row r="415" ht="12.75" customHeight="1">
      <c r="A415" s="68"/>
      <c r="B415" s="59"/>
      <c r="C415" s="59"/>
      <c r="D415" s="59"/>
      <c r="E415" s="59"/>
      <c r="F415" s="59"/>
      <c r="L415" s="59"/>
    </row>
    <row r="416" ht="12.75" customHeight="1">
      <c r="A416" s="68"/>
      <c r="B416" s="59"/>
      <c r="C416" s="59"/>
      <c r="D416" s="59"/>
      <c r="E416" s="59"/>
      <c r="F416" s="59"/>
      <c r="L416" s="59"/>
    </row>
    <row r="417" ht="12.75" customHeight="1">
      <c r="A417" s="68"/>
      <c r="B417" s="59"/>
      <c r="C417" s="59"/>
      <c r="D417" s="59"/>
      <c r="E417" s="59"/>
      <c r="F417" s="59"/>
      <c r="L417" s="59"/>
    </row>
    <row r="418" ht="12.75" customHeight="1">
      <c r="A418" s="68"/>
      <c r="B418" s="59"/>
      <c r="C418" s="59"/>
      <c r="D418" s="59"/>
      <c r="E418" s="59"/>
      <c r="F418" s="59"/>
      <c r="L418" s="59"/>
    </row>
    <row r="419" ht="12.75" customHeight="1">
      <c r="A419" s="68"/>
      <c r="B419" s="59"/>
      <c r="C419" s="59"/>
      <c r="D419" s="59"/>
      <c r="E419" s="59"/>
      <c r="F419" s="59"/>
      <c r="L419" s="59"/>
    </row>
    <row r="420" ht="12.75" customHeight="1">
      <c r="A420" s="68"/>
      <c r="B420" s="59"/>
      <c r="C420" s="59"/>
      <c r="D420" s="59"/>
      <c r="E420" s="59"/>
      <c r="F420" s="59"/>
      <c r="L420" s="59"/>
    </row>
    <row r="421" ht="12.75" customHeight="1">
      <c r="A421" s="68"/>
      <c r="B421" s="59"/>
      <c r="C421" s="59"/>
      <c r="D421" s="59"/>
      <c r="E421" s="59"/>
      <c r="F421" s="59"/>
      <c r="L421" s="59"/>
    </row>
    <row r="422" ht="12.75" customHeight="1">
      <c r="A422" s="68"/>
      <c r="B422" s="59"/>
      <c r="C422" s="59"/>
      <c r="D422" s="59"/>
      <c r="E422" s="59"/>
      <c r="F422" s="59"/>
      <c r="L422" s="59"/>
    </row>
    <row r="423" ht="12.75" customHeight="1">
      <c r="A423" s="68"/>
      <c r="B423" s="59"/>
      <c r="C423" s="59"/>
      <c r="D423" s="59"/>
      <c r="E423" s="59"/>
      <c r="F423" s="59"/>
      <c r="L423" s="59"/>
    </row>
    <row r="424" ht="12.75" customHeight="1">
      <c r="A424" s="68"/>
      <c r="B424" s="59"/>
      <c r="C424" s="59"/>
      <c r="D424" s="59"/>
      <c r="E424" s="59"/>
      <c r="F424" s="59"/>
      <c r="L424" s="59"/>
    </row>
    <row r="425" ht="12.75" customHeight="1">
      <c r="A425" s="68"/>
      <c r="B425" s="59"/>
      <c r="C425" s="59"/>
      <c r="D425" s="59"/>
      <c r="E425" s="59"/>
      <c r="F425" s="59"/>
      <c r="L425" s="59"/>
    </row>
    <row r="426" ht="12.75" customHeight="1">
      <c r="A426" s="68"/>
      <c r="B426" s="59"/>
      <c r="C426" s="59"/>
      <c r="D426" s="59"/>
      <c r="E426" s="59"/>
      <c r="F426" s="59"/>
      <c r="L426" s="59"/>
    </row>
    <row r="427" ht="12.75" customHeight="1">
      <c r="A427" s="68"/>
      <c r="B427" s="59"/>
      <c r="C427" s="59"/>
      <c r="D427" s="59"/>
      <c r="E427" s="59"/>
      <c r="F427" s="59"/>
      <c r="L427" s="59"/>
    </row>
    <row r="428" ht="12.75" customHeight="1">
      <c r="A428" s="68"/>
      <c r="B428" s="59"/>
      <c r="C428" s="59"/>
      <c r="D428" s="59"/>
      <c r="E428" s="59"/>
      <c r="F428" s="59"/>
      <c r="L428" s="59"/>
    </row>
    <row r="429" ht="12.75" customHeight="1">
      <c r="A429" s="68"/>
      <c r="B429" s="59"/>
      <c r="C429" s="59"/>
      <c r="D429" s="59"/>
      <c r="E429" s="59"/>
      <c r="F429" s="59"/>
      <c r="L429" s="59"/>
    </row>
    <row r="430" ht="12.75" customHeight="1">
      <c r="A430" s="68"/>
      <c r="B430" s="59"/>
      <c r="C430" s="59"/>
      <c r="D430" s="59"/>
      <c r="E430" s="59"/>
      <c r="F430" s="59"/>
      <c r="L430" s="59"/>
    </row>
    <row r="431" ht="12.75" customHeight="1">
      <c r="A431" s="68"/>
      <c r="B431" s="59"/>
      <c r="C431" s="59"/>
      <c r="D431" s="59"/>
      <c r="E431" s="59"/>
      <c r="F431" s="59"/>
      <c r="L431" s="59"/>
    </row>
    <row r="432" ht="12.75" customHeight="1">
      <c r="A432" s="68"/>
      <c r="B432" s="59"/>
      <c r="C432" s="59"/>
      <c r="D432" s="59"/>
      <c r="E432" s="59"/>
      <c r="F432" s="59"/>
      <c r="L432" s="59"/>
    </row>
    <row r="433" ht="12.75" customHeight="1">
      <c r="A433" s="68"/>
      <c r="B433" s="59"/>
      <c r="C433" s="59"/>
      <c r="D433" s="59"/>
      <c r="E433" s="59"/>
      <c r="F433" s="59"/>
      <c r="L433" s="59"/>
    </row>
    <row r="434" ht="12.75" customHeight="1">
      <c r="A434" s="68"/>
      <c r="B434" s="59"/>
      <c r="C434" s="59"/>
      <c r="D434" s="59"/>
      <c r="E434" s="59"/>
      <c r="F434" s="59"/>
      <c r="L434" s="59"/>
    </row>
    <row r="435" ht="12.75" customHeight="1">
      <c r="A435" s="68"/>
      <c r="B435" s="59"/>
      <c r="C435" s="59"/>
      <c r="D435" s="59"/>
      <c r="E435" s="59"/>
      <c r="F435" s="59"/>
      <c r="L435" s="59"/>
    </row>
    <row r="436" ht="12.75" customHeight="1">
      <c r="A436" s="68"/>
      <c r="B436" s="59"/>
      <c r="C436" s="59"/>
      <c r="D436" s="59"/>
      <c r="E436" s="59"/>
      <c r="F436" s="59"/>
      <c r="L436" s="59"/>
    </row>
    <row r="437" ht="12.75" customHeight="1">
      <c r="A437" s="68"/>
      <c r="B437" s="59"/>
      <c r="C437" s="59"/>
      <c r="D437" s="59"/>
      <c r="E437" s="59"/>
      <c r="F437" s="59"/>
      <c r="L437" s="59"/>
    </row>
    <row r="438" ht="12.75" customHeight="1">
      <c r="A438" s="68"/>
      <c r="B438" s="59"/>
      <c r="C438" s="59"/>
      <c r="D438" s="59"/>
      <c r="E438" s="59"/>
      <c r="F438" s="59"/>
      <c r="L438" s="59"/>
    </row>
    <row r="439" ht="12.75" customHeight="1">
      <c r="A439" s="68"/>
      <c r="B439" s="59"/>
      <c r="C439" s="59"/>
      <c r="D439" s="59"/>
      <c r="E439" s="59"/>
      <c r="F439" s="59"/>
      <c r="L439" s="59"/>
    </row>
    <row r="440" ht="12.75" customHeight="1">
      <c r="A440" s="68"/>
      <c r="B440" s="59"/>
      <c r="C440" s="59"/>
      <c r="D440" s="59"/>
      <c r="E440" s="59"/>
      <c r="F440" s="59"/>
      <c r="L440" s="59"/>
    </row>
    <row r="441" ht="12.75" customHeight="1">
      <c r="A441" s="68"/>
      <c r="B441" s="59"/>
      <c r="C441" s="59"/>
      <c r="D441" s="59"/>
      <c r="E441" s="59"/>
      <c r="F441" s="59"/>
      <c r="L441" s="59"/>
    </row>
    <row r="442" ht="12.75" customHeight="1">
      <c r="A442" s="68"/>
      <c r="B442" s="59"/>
      <c r="C442" s="59"/>
      <c r="D442" s="59"/>
      <c r="E442" s="59"/>
      <c r="F442" s="59"/>
      <c r="L442" s="59"/>
    </row>
    <row r="443" ht="12.75" customHeight="1">
      <c r="A443" s="68"/>
      <c r="B443" s="59"/>
      <c r="C443" s="59"/>
      <c r="D443" s="59"/>
      <c r="E443" s="59"/>
      <c r="F443" s="59"/>
      <c r="L443" s="59"/>
    </row>
    <row r="444" ht="12.75" customHeight="1">
      <c r="A444" s="68"/>
      <c r="B444" s="59"/>
      <c r="C444" s="59"/>
      <c r="D444" s="59"/>
      <c r="E444" s="59"/>
      <c r="F444" s="59"/>
      <c r="L444" s="59"/>
    </row>
    <row r="445" ht="12.75" customHeight="1">
      <c r="A445" s="68"/>
      <c r="B445" s="59"/>
      <c r="C445" s="59"/>
      <c r="D445" s="59"/>
      <c r="E445" s="59"/>
      <c r="F445" s="59"/>
      <c r="L445" s="59"/>
    </row>
    <row r="446" ht="12.75" customHeight="1">
      <c r="A446" s="68"/>
      <c r="B446" s="59"/>
      <c r="C446" s="59"/>
      <c r="D446" s="59"/>
      <c r="E446" s="59"/>
      <c r="F446" s="59"/>
      <c r="L446" s="59"/>
    </row>
    <row r="447" ht="12.75" customHeight="1">
      <c r="A447" s="68"/>
      <c r="B447" s="59"/>
      <c r="C447" s="59"/>
      <c r="D447" s="59"/>
      <c r="E447" s="59"/>
      <c r="F447" s="59"/>
      <c r="L447" s="59"/>
    </row>
    <row r="448" ht="12.75" customHeight="1">
      <c r="A448" s="68"/>
      <c r="B448" s="59"/>
      <c r="C448" s="59"/>
      <c r="D448" s="59"/>
      <c r="E448" s="59"/>
      <c r="F448" s="59"/>
      <c r="L448" s="59"/>
    </row>
    <row r="449" ht="12.75" customHeight="1">
      <c r="A449" s="68"/>
      <c r="B449" s="59"/>
      <c r="C449" s="59"/>
      <c r="D449" s="59"/>
      <c r="E449" s="59"/>
      <c r="F449" s="59"/>
      <c r="L449" s="59"/>
    </row>
    <row r="450" ht="12.75" customHeight="1">
      <c r="A450" s="68"/>
      <c r="B450" s="59"/>
      <c r="C450" s="59"/>
      <c r="D450" s="59"/>
      <c r="E450" s="59"/>
      <c r="F450" s="59"/>
      <c r="L450" s="59"/>
    </row>
    <row r="451" ht="12.75" customHeight="1">
      <c r="A451" s="68"/>
      <c r="B451" s="59"/>
      <c r="C451" s="59"/>
      <c r="D451" s="59"/>
      <c r="E451" s="59"/>
      <c r="F451" s="59"/>
      <c r="L451" s="59"/>
    </row>
    <row r="452" ht="12.75" customHeight="1">
      <c r="A452" s="68"/>
      <c r="B452" s="59"/>
      <c r="C452" s="59"/>
      <c r="D452" s="59"/>
      <c r="E452" s="59"/>
      <c r="F452" s="59"/>
      <c r="L452" s="59"/>
    </row>
    <row r="453" ht="12.75" customHeight="1">
      <c r="A453" s="68"/>
      <c r="B453" s="59"/>
      <c r="C453" s="59"/>
      <c r="D453" s="59"/>
      <c r="E453" s="59"/>
      <c r="F453" s="59"/>
      <c r="L453" s="59"/>
    </row>
    <row r="454" ht="12.75" customHeight="1">
      <c r="A454" s="68"/>
      <c r="B454" s="59"/>
      <c r="C454" s="59"/>
      <c r="D454" s="59"/>
      <c r="E454" s="59"/>
      <c r="F454" s="59"/>
      <c r="L454" s="59"/>
    </row>
    <row r="455" ht="12.75" customHeight="1">
      <c r="A455" s="68"/>
      <c r="B455" s="59"/>
      <c r="C455" s="59"/>
      <c r="D455" s="59"/>
      <c r="E455" s="59"/>
      <c r="F455" s="59"/>
      <c r="L455" s="59"/>
    </row>
    <row r="456" ht="12.75" customHeight="1">
      <c r="A456" s="68"/>
      <c r="B456" s="59"/>
      <c r="C456" s="59"/>
      <c r="D456" s="59"/>
      <c r="E456" s="59"/>
      <c r="F456" s="59"/>
      <c r="L456" s="59"/>
    </row>
    <row r="457" ht="12.75" customHeight="1">
      <c r="A457" s="68"/>
      <c r="B457" s="59"/>
      <c r="C457" s="59"/>
      <c r="D457" s="59"/>
      <c r="E457" s="59"/>
      <c r="F457" s="59"/>
      <c r="L457" s="59"/>
    </row>
    <row r="458" ht="12.75" customHeight="1">
      <c r="A458" s="68"/>
      <c r="B458" s="59"/>
      <c r="C458" s="59"/>
      <c r="D458" s="59"/>
      <c r="E458" s="59"/>
      <c r="F458" s="59"/>
      <c r="L458" s="59"/>
    </row>
    <row r="459" ht="12.75" customHeight="1">
      <c r="A459" s="68"/>
      <c r="B459" s="59"/>
      <c r="C459" s="59"/>
      <c r="D459" s="59"/>
      <c r="E459" s="59"/>
      <c r="F459" s="59"/>
      <c r="L459" s="59"/>
    </row>
    <row r="460" ht="12.75" customHeight="1">
      <c r="A460" s="68"/>
      <c r="B460" s="59"/>
      <c r="C460" s="59"/>
      <c r="D460" s="59"/>
      <c r="E460" s="59"/>
      <c r="F460" s="59"/>
      <c r="L460" s="59"/>
    </row>
    <row r="461" ht="12.75" customHeight="1">
      <c r="A461" s="68"/>
      <c r="B461" s="59"/>
      <c r="C461" s="59"/>
      <c r="D461" s="59"/>
      <c r="E461" s="59"/>
      <c r="F461" s="59"/>
      <c r="L461" s="59"/>
    </row>
    <row r="462" ht="12.75" customHeight="1">
      <c r="A462" s="68"/>
      <c r="B462" s="59"/>
      <c r="C462" s="59"/>
      <c r="D462" s="59"/>
      <c r="E462" s="59"/>
      <c r="F462" s="59"/>
      <c r="L462" s="59"/>
    </row>
    <row r="463" ht="12.75" customHeight="1">
      <c r="A463" s="68"/>
      <c r="B463" s="59"/>
      <c r="C463" s="59"/>
      <c r="D463" s="59"/>
      <c r="E463" s="59"/>
      <c r="F463" s="59"/>
      <c r="L463" s="59"/>
    </row>
    <row r="464" ht="12.75" customHeight="1">
      <c r="A464" s="68"/>
      <c r="B464" s="59"/>
      <c r="C464" s="59"/>
      <c r="D464" s="59"/>
      <c r="E464" s="59"/>
      <c r="F464" s="59"/>
      <c r="L464" s="59"/>
    </row>
    <row r="465" ht="12.75" customHeight="1">
      <c r="A465" s="68"/>
      <c r="B465" s="59"/>
      <c r="C465" s="59"/>
      <c r="D465" s="59"/>
      <c r="E465" s="59"/>
      <c r="F465" s="59"/>
      <c r="L465" s="59"/>
    </row>
    <row r="466" ht="12.75" customHeight="1">
      <c r="A466" s="68"/>
      <c r="B466" s="59"/>
      <c r="C466" s="59"/>
      <c r="D466" s="59"/>
      <c r="E466" s="59"/>
      <c r="F466" s="59"/>
      <c r="L466" s="59"/>
    </row>
    <row r="467" ht="12.75" customHeight="1">
      <c r="A467" s="68"/>
      <c r="B467" s="59"/>
      <c r="C467" s="59"/>
      <c r="D467" s="59"/>
      <c r="E467" s="59"/>
      <c r="F467" s="59"/>
      <c r="L467" s="59"/>
    </row>
    <row r="468" ht="12.75" customHeight="1">
      <c r="A468" s="68"/>
      <c r="B468" s="59"/>
      <c r="C468" s="59"/>
      <c r="D468" s="59"/>
      <c r="E468" s="59"/>
      <c r="F468" s="59"/>
      <c r="L468" s="59"/>
    </row>
    <row r="469" ht="12.75" customHeight="1">
      <c r="A469" s="68"/>
      <c r="B469" s="59"/>
      <c r="C469" s="59"/>
      <c r="D469" s="59"/>
      <c r="E469" s="59"/>
      <c r="F469" s="59"/>
      <c r="L469" s="59"/>
    </row>
    <row r="470" ht="12.75" customHeight="1">
      <c r="A470" s="68"/>
      <c r="B470" s="59"/>
      <c r="C470" s="59"/>
      <c r="D470" s="59"/>
      <c r="E470" s="59"/>
      <c r="F470" s="59"/>
      <c r="L470" s="59"/>
    </row>
    <row r="471" ht="12.75" customHeight="1">
      <c r="A471" s="68"/>
      <c r="B471" s="59"/>
      <c r="C471" s="59"/>
      <c r="D471" s="59"/>
      <c r="E471" s="59"/>
      <c r="F471" s="59"/>
      <c r="L471" s="59"/>
    </row>
    <row r="472" ht="12.75" customHeight="1">
      <c r="A472" s="68"/>
      <c r="B472" s="59"/>
      <c r="C472" s="59"/>
      <c r="D472" s="59"/>
      <c r="E472" s="59"/>
      <c r="F472" s="59"/>
      <c r="L472" s="59"/>
    </row>
    <row r="473" ht="12.75" customHeight="1">
      <c r="A473" s="68"/>
      <c r="B473" s="59"/>
      <c r="C473" s="59"/>
      <c r="D473" s="59"/>
      <c r="E473" s="59"/>
      <c r="F473" s="59"/>
      <c r="L473" s="59"/>
    </row>
    <row r="474" ht="12.75" customHeight="1">
      <c r="A474" s="68"/>
      <c r="B474" s="59"/>
      <c r="C474" s="59"/>
      <c r="D474" s="59"/>
      <c r="E474" s="59"/>
      <c r="F474" s="59"/>
      <c r="L474" s="59"/>
    </row>
    <row r="475" ht="12.75" customHeight="1">
      <c r="A475" s="68"/>
      <c r="B475" s="59"/>
      <c r="C475" s="59"/>
      <c r="D475" s="59"/>
      <c r="E475" s="59"/>
      <c r="F475" s="59"/>
      <c r="L475" s="59"/>
    </row>
    <row r="476" ht="12.75" customHeight="1">
      <c r="A476" s="68"/>
      <c r="B476" s="59"/>
      <c r="C476" s="59"/>
      <c r="D476" s="59"/>
      <c r="E476" s="59"/>
      <c r="F476" s="59"/>
      <c r="L476" s="59"/>
    </row>
    <row r="477" ht="12.75" customHeight="1">
      <c r="A477" s="68"/>
      <c r="B477" s="59"/>
      <c r="C477" s="59"/>
      <c r="D477" s="59"/>
      <c r="E477" s="59"/>
      <c r="F477" s="59"/>
      <c r="L477" s="59"/>
    </row>
    <row r="478" ht="12.75" customHeight="1">
      <c r="A478" s="68"/>
      <c r="B478" s="59"/>
      <c r="C478" s="59"/>
      <c r="D478" s="59"/>
      <c r="E478" s="59"/>
      <c r="F478" s="59"/>
      <c r="L478" s="59"/>
    </row>
    <row r="479" ht="12.75" customHeight="1">
      <c r="A479" s="68"/>
      <c r="B479" s="59"/>
      <c r="C479" s="59"/>
      <c r="D479" s="59"/>
      <c r="E479" s="59"/>
      <c r="F479" s="59"/>
      <c r="L479" s="59"/>
    </row>
    <row r="480" ht="12.75" customHeight="1">
      <c r="A480" s="68"/>
      <c r="B480" s="59"/>
      <c r="C480" s="59"/>
      <c r="D480" s="59"/>
      <c r="E480" s="59"/>
      <c r="F480" s="59"/>
      <c r="L480" s="59"/>
    </row>
    <row r="481" ht="12.75" customHeight="1">
      <c r="A481" s="68"/>
      <c r="B481" s="59"/>
      <c r="C481" s="59"/>
      <c r="D481" s="59"/>
      <c r="E481" s="59"/>
      <c r="F481" s="59"/>
      <c r="L481" s="59"/>
    </row>
    <row r="482" ht="12.75" customHeight="1">
      <c r="A482" s="68"/>
      <c r="B482" s="59"/>
      <c r="C482" s="59"/>
      <c r="D482" s="59"/>
      <c r="E482" s="59"/>
      <c r="F482" s="59"/>
      <c r="L482" s="59"/>
    </row>
    <row r="483" ht="12.75" customHeight="1">
      <c r="A483" s="68"/>
      <c r="B483" s="59"/>
      <c r="C483" s="59"/>
      <c r="D483" s="59"/>
      <c r="E483" s="59"/>
      <c r="F483" s="59"/>
      <c r="L483" s="59"/>
    </row>
    <row r="484" ht="12.75" customHeight="1">
      <c r="A484" s="68"/>
      <c r="B484" s="59"/>
      <c r="C484" s="59"/>
      <c r="D484" s="59"/>
      <c r="E484" s="59"/>
      <c r="F484" s="59"/>
      <c r="L484" s="59"/>
    </row>
    <row r="485" ht="12.75" customHeight="1">
      <c r="A485" s="68"/>
      <c r="B485" s="59"/>
      <c r="C485" s="59"/>
      <c r="D485" s="59"/>
      <c r="E485" s="59"/>
      <c r="F485" s="59"/>
      <c r="L485" s="59"/>
    </row>
    <row r="486" ht="12.75" customHeight="1">
      <c r="A486" s="68"/>
      <c r="B486" s="59"/>
      <c r="C486" s="59"/>
      <c r="D486" s="59"/>
      <c r="E486" s="59"/>
      <c r="F486" s="59"/>
      <c r="L486" s="59"/>
    </row>
    <row r="487" ht="12.75" customHeight="1">
      <c r="A487" s="68"/>
      <c r="B487" s="59"/>
      <c r="C487" s="59"/>
      <c r="D487" s="59"/>
      <c r="E487" s="59"/>
      <c r="F487" s="59"/>
      <c r="L487" s="59"/>
    </row>
    <row r="488" ht="12.75" customHeight="1">
      <c r="A488" s="68"/>
      <c r="B488" s="59"/>
      <c r="C488" s="59"/>
      <c r="D488" s="59"/>
      <c r="E488" s="59"/>
      <c r="F488" s="59"/>
      <c r="L488" s="59"/>
    </row>
    <row r="489" ht="12.75" customHeight="1">
      <c r="A489" s="68"/>
      <c r="B489" s="59"/>
      <c r="C489" s="59"/>
      <c r="D489" s="59"/>
      <c r="E489" s="59"/>
      <c r="F489" s="59"/>
      <c r="L489" s="59"/>
    </row>
    <row r="490" ht="12.75" customHeight="1">
      <c r="A490" s="68"/>
      <c r="B490" s="59"/>
      <c r="C490" s="59"/>
      <c r="D490" s="59"/>
      <c r="E490" s="59"/>
      <c r="F490" s="59"/>
      <c r="L490" s="59"/>
    </row>
    <row r="491" ht="12.75" customHeight="1">
      <c r="A491" s="68"/>
      <c r="B491" s="59"/>
      <c r="C491" s="59"/>
      <c r="D491" s="59"/>
      <c r="E491" s="59"/>
      <c r="F491" s="59"/>
      <c r="L491" s="59"/>
    </row>
    <row r="492" ht="12.75" customHeight="1">
      <c r="A492" s="68"/>
      <c r="B492" s="59"/>
      <c r="C492" s="59"/>
      <c r="D492" s="59"/>
      <c r="E492" s="59"/>
      <c r="F492" s="59"/>
      <c r="L492" s="59"/>
    </row>
    <row r="493" ht="12.75" customHeight="1">
      <c r="A493" s="68"/>
      <c r="B493" s="59"/>
      <c r="C493" s="59"/>
      <c r="D493" s="59"/>
      <c r="E493" s="59"/>
      <c r="F493" s="59"/>
      <c r="L493" s="59"/>
    </row>
    <row r="494" ht="12.75" customHeight="1">
      <c r="A494" s="68"/>
      <c r="B494" s="59"/>
      <c r="C494" s="59"/>
      <c r="D494" s="59"/>
      <c r="E494" s="59"/>
      <c r="F494" s="59"/>
      <c r="L494" s="59"/>
    </row>
    <row r="495" ht="12.75" customHeight="1">
      <c r="A495" s="68"/>
      <c r="B495" s="59"/>
      <c r="C495" s="59"/>
      <c r="D495" s="59"/>
      <c r="E495" s="59"/>
      <c r="F495" s="59"/>
      <c r="L495" s="59"/>
    </row>
    <row r="496" ht="12.75" customHeight="1">
      <c r="A496" s="68"/>
      <c r="B496" s="59"/>
      <c r="C496" s="59"/>
      <c r="D496" s="59"/>
      <c r="E496" s="59"/>
      <c r="F496" s="59"/>
      <c r="L496" s="59"/>
    </row>
    <row r="497" ht="12.75" customHeight="1">
      <c r="A497" s="68"/>
      <c r="B497" s="59"/>
      <c r="C497" s="59"/>
      <c r="D497" s="59"/>
      <c r="E497" s="59"/>
      <c r="F497" s="59"/>
      <c r="L497" s="59"/>
    </row>
    <row r="498" ht="12.75" customHeight="1">
      <c r="A498" s="68"/>
      <c r="B498" s="59"/>
      <c r="C498" s="59"/>
      <c r="D498" s="59"/>
      <c r="E498" s="59"/>
      <c r="F498" s="59"/>
      <c r="L498" s="59"/>
    </row>
    <row r="499" ht="12.75" customHeight="1">
      <c r="A499" s="68"/>
      <c r="B499" s="59"/>
      <c r="C499" s="59"/>
      <c r="D499" s="59"/>
      <c r="E499" s="59"/>
      <c r="F499" s="59"/>
      <c r="L499" s="59"/>
    </row>
    <row r="500" ht="12.75" customHeight="1">
      <c r="A500" s="68"/>
      <c r="B500" s="59"/>
      <c r="C500" s="59"/>
      <c r="D500" s="59"/>
      <c r="E500" s="59"/>
      <c r="F500" s="59"/>
      <c r="L500" s="59"/>
    </row>
    <row r="501" ht="12.75" customHeight="1">
      <c r="A501" s="68"/>
      <c r="B501" s="59"/>
      <c r="C501" s="59"/>
      <c r="D501" s="59"/>
      <c r="E501" s="59"/>
      <c r="F501" s="59"/>
      <c r="L501" s="59"/>
    </row>
    <row r="502" ht="12.75" customHeight="1">
      <c r="A502" s="68"/>
      <c r="B502" s="59"/>
      <c r="C502" s="59"/>
      <c r="D502" s="59"/>
      <c r="E502" s="59"/>
      <c r="F502" s="59"/>
      <c r="L502" s="59"/>
    </row>
    <row r="503" ht="12.75" customHeight="1">
      <c r="A503" s="68"/>
      <c r="B503" s="59"/>
      <c r="C503" s="59"/>
      <c r="D503" s="59"/>
      <c r="E503" s="59"/>
      <c r="F503" s="59"/>
      <c r="L503" s="59"/>
    </row>
    <row r="504" ht="12.75" customHeight="1">
      <c r="A504" s="68"/>
      <c r="B504" s="59"/>
      <c r="C504" s="59"/>
      <c r="D504" s="59"/>
      <c r="E504" s="59"/>
      <c r="F504" s="59"/>
      <c r="L504" s="59"/>
    </row>
    <row r="505" ht="12.75" customHeight="1">
      <c r="A505" s="68"/>
      <c r="B505" s="59"/>
      <c r="C505" s="59"/>
      <c r="D505" s="59"/>
      <c r="E505" s="59"/>
      <c r="F505" s="59"/>
      <c r="L505" s="59"/>
    </row>
    <row r="506" ht="12.75" customHeight="1">
      <c r="A506" s="68"/>
      <c r="B506" s="59"/>
      <c r="C506" s="59"/>
      <c r="D506" s="59"/>
      <c r="E506" s="59"/>
      <c r="F506" s="59"/>
      <c r="L506" s="59"/>
    </row>
    <row r="507" ht="12.75" customHeight="1">
      <c r="A507" s="68"/>
      <c r="B507" s="59"/>
      <c r="C507" s="59"/>
      <c r="D507" s="59"/>
      <c r="E507" s="59"/>
      <c r="F507" s="59"/>
      <c r="L507" s="59"/>
    </row>
    <row r="508" ht="12.75" customHeight="1">
      <c r="A508" s="68"/>
      <c r="B508" s="59"/>
      <c r="C508" s="59"/>
      <c r="D508" s="59"/>
      <c r="E508" s="59"/>
      <c r="F508" s="59"/>
      <c r="L508" s="59"/>
    </row>
    <row r="509" ht="12.75" customHeight="1">
      <c r="A509" s="68"/>
      <c r="B509" s="59"/>
      <c r="C509" s="59"/>
      <c r="D509" s="59"/>
      <c r="E509" s="59"/>
      <c r="F509" s="59"/>
      <c r="L509" s="59"/>
    </row>
    <row r="510" ht="12.75" customHeight="1">
      <c r="A510" s="68"/>
      <c r="B510" s="59"/>
      <c r="C510" s="59"/>
      <c r="D510" s="59"/>
      <c r="E510" s="59"/>
      <c r="F510" s="59"/>
      <c r="L510" s="59"/>
    </row>
    <row r="511" ht="12.75" customHeight="1">
      <c r="A511" s="68"/>
      <c r="B511" s="59"/>
      <c r="C511" s="59"/>
      <c r="D511" s="59"/>
      <c r="E511" s="59"/>
      <c r="F511" s="59"/>
      <c r="L511" s="59"/>
    </row>
    <row r="512" ht="12.75" customHeight="1">
      <c r="A512" s="68"/>
      <c r="B512" s="59"/>
      <c r="C512" s="59"/>
      <c r="D512" s="59"/>
      <c r="E512" s="59"/>
      <c r="F512" s="59"/>
      <c r="L512" s="59"/>
    </row>
    <row r="513" ht="12.75" customHeight="1">
      <c r="A513" s="68"/>
      <c r="B513" s="59"/>
      <c r="C513" s="59"/>
      <c r="D513" s="59"/>
      <c r="E513" s="59"/>
      <c r="F513" s="59"/>
      <c r="L513" s="59"/>
    </row>
    <row r="514" ht="12.75" customHeight="1">
      <c r="A514" s="68"/>
      <c r="B514" s="59"/>
      <c r="C514" s="59"/>
      <c r="D514" s="59"/>
      <c r="E514" s="59"/>
      <c r="F514" s="59"/>
      <c r="L514" s="59"/>
    </row>
    <row r="515" ht="12.75" customHeight="1">
      <c r="A515" s="68"/>
      <c r="B515" s="59"/>
      <c r="C515" s="59"/>
      <c r="D515" s="59"/>
      <c r="E515" s="59"/>
      <c r="F515" s="59"/>
      <c r="L515" s="59"/>
    </row>
    <row r="516" ht="12.75" customHeight="1">
      <c r="A516" s="68"/>
      <c r="B516" s="59"/>
      <c r="C516" s="59"/>
      <c r="D516" s="59"/>
      <c r="E516" s="59"/>
      <c r="F516" s="59"/>
      <c r="L516" s="59"/>
    </row>
    <row r="517" ht="12.75" customHeight="1">
      <c r="A517" s="68"/>
      <c r="B517" s="59"/>
      <c r="C517" s="59"/>
      <c r="D517" s="59"/>
      <c r="E517" s="59"/>
      <c r="F517" s="59"/>
      <c r="L517" s="59"/>
    </row>
    <row r="518" ht="12.75" customHeight="1">
      <c r="A518" s="68"/>
      <c r="B518" s="59"/>
      <c r="C518" s="59"/>
      <c r="D518" s="59"/>
      <c r="E518" s="59"/>
      <c r="F518" s="59"/>
      <c r="L518" s="59"/>
    </row>
    <row r="519" ht="12.75" customHeight="1">
      <c r="A519" s="68"/>
      <c r="B519" s="59"/>
      <c r="C519" s="59"/>
      <c r="D519" s="59"/>
      <c r="E519" s="59"/>
      <c r="F519" s="59"/>
      <c r="L519" s="59"/>
    </row>
    <row r="520" ht="12.75" customHeight="1">
      <c r="A520" s="68"/>
      <c r="B520" s="59"/>
      <c r="C520" s="59"/>
      <c r="D520" s="59"/>
      <c r="E520" s="59"/>
      <c r="F520" s="59"/>
      <c r="L520" s="59"/>
    </row>
    <row r="521" ht="12.75" customHeight="1">
      <c r="A521" s="68"/>
      <c r="B521" s="59"/>
      <c r="C521" s="59"/>
      <c r="D521" s="59"/>
      <c r="E521" s="59"/>
      <c r="F521" s="59"/>
      <c r="L521" s="59"/>
    </row>
    <row r="522" ht="12.75" customHeight="1">
      <c r="A522" s="68"/>
      <c r="B522" s="59"/>
      <c r="C522" s="59"/>
      <c r="D522" s="59"/>
      <c r="E522" s="59"/>
      <c r="F522" s="59"/>
      <c r="L522" s="59"/>
    </row>
    <row r="523" ht="12.75" customHeight="1">
      <c r="A523" s="68"/>
      <c r="B523" s="59"/>
      <c r="C523" s="59"/>
      <c r="D523" s="59"/>
      <c r="E523" s="59"/>
      <c r="F523" s="59"/>
      <c r="L523" s="59"/>
    </row>
    <row r="524" ht="12.75" customHeight="1">
      <c r="A524" s="68"/>
      <c r="B524" s="59"/>
      <c r="C524" s="59"/>
      <c r="D524" s="59"/>
      <c r="E524" s="59"/>
      <c r="F524" s="59"/>
      <c r="L524" s="59"/>
    </row>
    <row r="525" ht="12.75" customHeight="1">
      <c r="A525" s="68"/>
      <c r="B525" s="59"/>
      <c r="C525" s="59"/>
      <c r="D525" s="59"/>
      <c r="E525" s="59"/>
      <c r="F525" s="59"/>
      <c r="L525" s="59"/>
    </row>
    <row r="526" ht="12.75" customHeight="1">
      <c r="A526" s="68"/>
      <c r="B526" s="59"/>
      <c r="C526" s="59"/>
      <c r="D526" s="59"/>
      <c r="E526" s="59"/>
      <c r="F526" s="59"/>
      <c r="L526" s="59"/>
    </row>
    <row r="527" ht="12.75" customHeight="1">
      <c r="A527" s="68"/>
      <c r="B527" s="59"/>
      <c r="C527" s="59"/>
      <c r="D527" s="59"/>
      <c r="E527" s="59"/>
      <c r="F527" s="59"/>
      <c r="L527" s="59"/>
    </row>
    <row r="528" ht="12.75" customHeight="1">
      <c r="A528" s="68"/>
      <c r="B528" s="59"/>
      <c r="C528" s="59"/>
      <c r="D528" s="59"/>
      <c r="E528" s="59"/>
      <c r="F528" s="59"/>
      <c r="L528" s="59"/>
    </row>
    <row r="529" ht="12.75" customHeight="1">
      <c r="A529" s="68"/>
      <c r="B529" s="59"/>
      <c r="C529" s="59"/>
      <c r="D529" s="59"/>
      <c r="E529" s="59"/>
      <c r="F529" s="59"/>
      <c r="L529" s="59"/>
    </row>
    <row r="530" ht="12.75" customHeight="1">
      <c r="A530" s="68"/>
      <c r="B530" s="59"/>
      <c r="C530" s="59"/>
      <c r="D530" s="59"/>
      <c r="E530" s="59"/>
      <c r="F530" s="59"/>
      <c r="L530" s="59"/>
    </row>
    <row r="531" ht="12.75" customHeight="1">
      <c r="A531" s="68"/>
      <c r="B531" s="59"/>
      <c r="C531" s="59"/>
      <c r="D531" s="59"/>
      <c r="E531" s="59"/>
      <c r="F531" s="59"/>
      <c r="L531" s="59"/>
    </row>
    <row r="532" ht="12.75" customHeight="1">
      <c r="A532" s="68"/>
      <c r="B532" s="59"/>
      <c r="C532" s="59"/>
      <c r="D532" s="59"/>
      <c r="E532" s="59"/>
      <c r="F532" s="59"/>
      <c r="L532" s="59"/>
    </row>
    <row r="533" ht="12.75" customHeight="1">
      <c r="A533" s="68"/>
      <c r="B533" s="59"/>
      <c r="C533" s="59"/>
      <c r="D533" s="59"/>
      <c r="E533" s="59"/>
      <c r="F533" s="59"/>
      <c r="L533" s="59"/>
    </row>
    <row r="534" ht="12.75" customHeight="1">
      <c r="A534" s="68"/>
      <c r="B534" s="59"/>
      <c r="C534" s="59"/>
      <c r="D534" s="59"/>
      <c r="E534" s="59"/>
      <c r="F534" s="59"/>
      <c r="L534" s="59"/>
    </row>
    <row r="535" ht="12.75" customHeight="1">
      <c r="A535" s="68"/>
      <c r="B535" s="59"/>
      <c r="C535" s="59"/>
      <c r="D535" s="59"/>
      <c r="E535" s="59"/>
      <c r="F535" s="59"/>
      <c r="L535" s="59"/>
    </row>
    <row r="536" ht="12.75" customHeight="1">
      <c r="A536" s="68"/>
      <c r="B536" s="59"/>
      <c r="C536" s="59"/>
      <c r="D536" s="59"/>
      <c r="E536" s="59"/>
      <c r="F536" s="59"/>
      <c r="L536" s="59"/>
    </row>
    <row r="537" ht="12.75" customHeight="1">
      <c r="A537" s="68"/>
      <c r="B537" s="59"/>
      <c r="C537" s="59"/>
      <c r="D537" s="59"/>
      <c r="E537" s="59"/>
      <c r="F537" s="59"/>
      <c r="L537" s="59"/>
    </row>
    <row r="538" ht="12.75" customHeight="1">
      <c r="A538" s="68"/>
      <c r="B538" s="59"/>
      <c r="C538" s="59"/>
      <c r="D538" s="59"/>
      <c r="E538" s="59"/>
      <c r="F538" s="59"/>
      <c r="L538" s="59"/>
    </row>
    <row r="539" ht="12.75" customHeight="1">
      <c r="A539" s="68"/>
      <c r="B539" s="59"/>
      <c r="C539" s="59"/>
      <c r="D539" s="59"/>
      <c r="E539" s="59"/>
      <c r="F539" s="59"/>
      <c r="L539" s="59"/>
    </row>
    <row r="540" ht="12.75" customHeight="1">
      <c r="A540" s="68"/>
      <c r="B540" s="59"/>
      <c r="C540" s="59"/>
      <c r="D540" s="59"/>
      <c r="E540" s="59"/>
      <c r="F540" s="59"/>
      <c r="L540" s="59"/>
    </row>
    <row r="541" ht="12.75" customHeight="1">
      <c r="A541" s="68"/>
      <c r="B541" s="59"/>
      <c r="C541" s="59"/>
      <c r="D541" s="59"/>
      <c r="E541" s="59"/>
      <c r="F541" s="59"/>
      <c r="L541" s="59"/>
    </row>
    <row r="542" ht="12.75" customHeight="1">
      <c r="A542" s="68"/>
      <c r="B542" s="59"/>
      <c r="C542" s="59"/>
      <c r="D542" s="59"/>
      <c r="E542" s="59"/>
      <c r="F542" s="59"/>
      <c r="L542" s="59"/>
    </row>
    <row r="543" ht="12.75" customHeight="1">
      <c r="A543" s="68"/>
      <c r="B543" s="59"/>
      <c r="C543" s="59"/>
      <c r="D543" s="59"/>
      <c r="E543" s="59"/>
      <c r="F543" s="59"/>
      <c r="L543" s="59"/>
    </row>
    <row r="544" ht="12.75" customHeight="1">
      <c r="A544" s="68"/>
      <c r="B544" s="59"/>
      <c r="C544" s="59"/>
      <c r="D544" s="59"/>
      <c r="E544" s="59"/>
      <c r="F544" s="59"/>
      <c r="L544" s="59"/>
    </row>
    <row r="545" ht="12.75" customHeight="1">
      <c r="A545" s="68"/>
      <c r="B545" s="59"/>
      <c r="C545" s="59"/>
      <c r="D545" s="59"/>
      <c r="E545" s="59"/>
      <c r="F545" s="59"/>
      <c r="L545" s="59"/>
    </row>
    <row r="546" ht="12.75" customHeight="1">
      <c r="A546" s="68"/>
      <c r="B546" s="59"/>
      <c r="C546" s="59"/>
      <c r="D546" s="59"/>
      <c r="E546" s="59"/>
      <c r="F546" s="59"/>
      <c r="L546" s="59"/>
    </row>
    <row r="547" ht="12.75" customHeight="1">
      <c r="A547" s="68"/>
      <c r="B547" s="59"/>
      <c r="C547" s="59"/>
      <c r="D547" s="59"/>
      <c r="E547" s="59"/>
      <c r="F547" s="59"/>
      <c r="L547" s="59"/>
    </row>
    <row r="548" ht="12.75" customHeight="1">
      <c r="A548" s="68"/>
      <c r="B548" s="59"/>
      <c r="C548" s="59"/>
      <c r="D548" s="59"/>
      <c r="E548" s="59"/>
      <c r="F548" s="59"/>
      <c r="L548" s="59"/>
    </row>
    <row r="549" ht="12.75" customHeight="1">
      <c r="A549" s="68"/>
      <c r="B549" s="59"/>
      <c r="C549" s="59"/>
      <c r="D549" s="59"/>
      <c r="E549" s="59"/>
      <c r="F549" s="59"/>
      <c r="L549" s="59"/>
    </row>
    <row r="550" ht="12.75" customHeight="1">
      <c r="A550" s="68"/>
      <c r="B550" s="59"/>
      <c r="C550" s="59"/>
      <c r="D550" s="59"/>
      <c r="E550" s="59"/>
      <c r="F550" s="59"/>
      <c r="L550" s="59"/>
    </row>
    <row r="551" ht="12.75" customHeight="1">
      <c r="A551" s="68"/>
      <c r="B551" s="59"/>
      <c r="C551" s="59"/>
      <c r="D551" s="59"/>
      <c r="E551" s="59"/>
      <c r="F551" s="59"/>
      <c r="L551" s="59"/>
    </row>
    <row r="552" ht="12.75" customHeight="1">
      <c r="A552" s="68"/>
      <c r="B552" s="59"/>
      <c r="C552" s="59"/>
      <c r="D552" s="59"/>
      <c r="E552" s="59"/>
      <c r="F552" s="59"/>
      <c r="L552" s="59"/>
    </row>
    <row r="553" ht="12.75" customHeight="1">
      <c r="A553" s="68"/>
      <c r="B553" s="59"/>
      <c r="C553" s="59"/>
      <c r="D553" s="59"/>
      <c r="E553" s="59"/>
      <c r="F553" s="59"/>
      <c r="L553" s="59"/>
    </row>
    <row r="554" ht="12.75" customHeight="1">
      <c r="A554" s="68"/>
      <c r="B554" s="59"/>
      <c r="C554" s="59"/>
      <c r="D554" s="59"/>
      <c r="E554" s="59"/>
      <c r="F554" s="59"/>
      <c r="L554" s="59"/>
    </row>
    <row r="555" ht="12.75" customHeight="1">
      <c r="A555" s="68"/>
      <c r="B555" s="59"/>
      <c r="C555" s="59"/>
      <c r="D555" s="59"/>
      <c r="E555" s="59"/>
      <c r="F555" s="59"/>
      <c r="L555" s="59"/>
    </row>
    <row r="556" ht="12.75" customHeight="1">
      <c r="A556" s="68"/>
      <c r="B556" s="59"/>
      <c r="C556" s="59"/>
      <c r="D556" s="59"/>
      <c r="E556" s="59"/>
      <c r="F556" s="59"/>
      <c r="L556" s="59"/>
    </row>
    <row r="557" ht="12.75" customHeight="1">
      <c r="A557" s="68"/>
      <c r="B557" s="59"/>
      <c r="C557" s="59"/>
      <c r="D557" s="59"/>
      <c r="E557" s="59"/>
      <c r="F557" s="59"/>
      <c r="L557" s="59"/>
    </row>
    <row r="558" ht="12.75" customHeight="1">
      <c r="A558" s="68"/>
      <c r="B558" s="59"/>
      <c r="C558" s="59"/>
      <c r="D558" s="59"/>
      <c r="E558" s="59"/>
      <c r="F558" s="59"/>
      <c r="L558" s="59"/>
    </row>
    <row r="559" ht="12.75" customHeight="1">
      <c r="A559" s="68"/>
      <c r="B559" s="59"/>
      <c r="C559" s="59"/>
      <c r="D559" s="59"/>
      <c r="E559" s="59"/>
      <c r="F559" s="59"/>
      <c r="L559" s="59"/>
    </row>
    <row r="560" ht="12.75" customHeight="1">
      <c r="A560" s="68"/>
      <c r="B560" s="59"/>
      <c r="C560" s="59"/>
      <c r="D560" s="59"/>
      <c r="E560" s="59"/>
      <c r="F560" s="59"/>
      <c r="L560" s="59"/>
    </row>
    <row r="561" ht="12.75" customHeight="1">
      <c r="A561" s="68"/>
      <c r="B561" s="59"/>
      <c r="C561" s="59"/>
      <c r="D561" s="59"/>
      <c r="E561" s="59"/>
      <c r="F561" s="59"/>
      <c r="L561" s="59"/>
    </row>
    <row r="562" ht="12.75" customHeight="1">
      <c r="A562" s="68"/>
      <c r="B562" s="59"/>
      <c r="C562" s="59"/>
      <c r="D562" s="59"/>
      <c r="E562" s="59"/>
      <c r="F562" s="59"/>
      <c r="L562" s="59"/>
    </row>
    <row r="563" ht="12.75" customHeight="1">
      <c r="A563" s="68"/>
      <c r="B563" s="59"/>
      <c r="C563" s="59"/>
      <c r="D563" s="59"/>
      <c r="E563" s="59"/>
      <c r="F563" s="59"/>
      <c r="L563" s="59"/>
    </row>
    <row r="564" ht="12.75" customHeight="1">
      <c r="A564" s="68"/>
      <c r="B564" s="59"/>
      <c r="C564" s="59"/>
      <c r="D564" s="59"/>
      <c r="E564" s="59"/>
      <c r="F564" s="59"/>
      <c r="L564" s="59"/>
    </row>
    <row r="565" ht="12.75" customHeight="1">
      <c r="A565" s="68"/>
      <c r="B565" s="59"/>
      <c r="C565" s="59"/>
      <c r="D565" s="59"/>
      <c r="E565" s="59"/>
      <c r="F565" s="59"/>
      <c r="L565" s="59"/>
    </row>
    <row r="566" ht="12.75" customHeight="1">
      <c r="A566" s="68"/>
      <c r="B566" s="59"/>
      <c r="C566" s="59"/>
      <c r="D566" s="59"/>
      <c r="E566" s="59"/>
      <c r="F566" s="59"/>
      <c r="L566" s="59"/>
    </row>
    <row r="567" ht="12.75" customHeight="1">
      <c r="A567" s="68"/>
      <c r="B567" s="59"/>
      <c r="C567" s="59"/>
      <c r="D567" s="59"/>
      <c r="E567" s="59"/>
      <c r="F567" s="59"/>
      <c r="L567" s="59"/>
    </row>
    <row r="568" ht="12.75" customHeight="1">
      <c r="A568" s="68"/>
      <c r="B568" s="59"/>
      <c r="C568" s="59"/>
      <c r="D568" s="59"/>
      <c r="E568" s="59"/>
      <c r="F568" s="59"/>
      <c r="L568" s="59"/>
    </row>
    <row r="569" ht="12.75" customHeight="1">
      <c r="A569" s="68"/>
      <c r="B569" s="59"/>
      <c r="C569" s="59"/>
      <c r="D569" s="59"/>
      <c r="E569" s="59"/>
      <c r="F569" s="59"/>
      <c r="L569" s="59"/>
    </row>
    <row r="570" ht="12.75" customHeight="1">
      <c r="A570" s="68"/>
      <c r="B570" s="59"/>
      <c r="C570" s="59"/>
      <c r="D570" s="59"/>
      <c r="E570" s="59"/>
      <c r="F570" s="59"/>
      <c r="L570" s="59"/>
    </row>
    <row r="571" ht="12.75" customHeight="1">
      <c r="A571" s="68"/>
      <c r="B571" s="59"/>
      <c r="C571" s="59"/>
      <c r="D571" s="59"/>
      <c r="E571" s="59"/>
      <c r="F571" s="59"/>
      <c r="L571" s="59"/>
    </row>
    <row r="572" ht="12.75" customHeight="1">
      <c r="A572" s="68"/>
      <c r="B572" s="59"/>
      <c r="C572" s="59"/>
      <c r="D572" s="59"/>
      <c r="E572" s="59"/>
      <c r="F572" s="59"/>
      <c r="L572" s="59"/>
    </row>
    <row r="573" ht="12.75" customHeight="1">
      <c r="A573" s="68"/>
      <c r="B573" s="59"/>
      <c r="C573" s="59"/>
      <c r="D573" s="59"/>
      <c r="E573" s="59"/>
      <c r="F573" s="59"/>
      <c r="L573" s="59"/>
    </row>
    <row r="574" ht="12.75" customHeight="1">
      <c r="A574" s="68"/>
      <c r="B574" s="59"/>
      <c r="C574" s="59"/>
      <c r="D574" s="59"/>
      <c r="E574" s="59"/>
      <c r="F574" s="59"/>
      <c r="L574" s="59"/>
    </row>
    <row r="575" ht="12.75" customHeight="1">
      <c r="A575" s="68"/>
      <c r="B575" s="59"/>
      <c r="C575" s="59"/>
      <c r="D575" s="59"/>
      <c r="E575" s="59"/>
      <c r="F575" s="59"/>
      <c r="L575" s="59"/>
    </row>
    <row r="576" ht="12.75" customHeight="1">
      <c r="A576" s="68"/>
      <c r="B576" s="59"/>
      <c r="C576" s="59"/>
      <c r="D576" s="59"/>
      <c r="E576" s="59"/>
      <c r="F576" s="59"/>
      <c r="L576" s="59"/>
    </row>
    <row r="577" ht="12.75" customHeight="1">
      <c r="A577" s="68"/>
      <c r="B577" s="59"/>
      <c r="C577" s="59"/>
      <c r="D577" s="59"/>
      <c r="E577" s="59"/>
      <c r="F577" s="59"/>
      <c r="L577" s="59"/>
    </row>
    <row r="578" ht="12.75" customHeight="1">
      <c r="A578" s="68"/>
      <c r="B578" s="59"/>
      <c r="C578" s="59"/>
      <c r="D578" s="59"/>
      <c r="E578" s="59"/>
      <c r="F578" s="59"/>
      <c r="L578" s="59"/>
    </row>
    <row r="579" ht="12.75" customHeight="1">
      <c r="A579" s="68"/>
      <c r="B579" s="59"/>
      <c r="C579" s="59"/>
      <c r="D579" s="59"/>
      <c r="E579" s="59"/>
      <c r="F579" s="59"/>
      <c r="L579" s="59"/>
    </row>
    <row r="580" ht="12.75" customHeight="1">
      <c r="A580" s="68"/>
      <c r="B580" s="59"/>
      <c r="C580" s="59"/>
      <c r="D580" s="59"/>
      <c r="E580" s="59"/>
      <c r="F580" s="59"/>
      <c r="L580" s="59"/>
    </row>
    <row r="581" ht="12.75" customHeight="1">
      <c r="A581" s="68"/>
      <c r="B581" s="59"/>
      <c r="C581" s="59"/>
      <c r="D581" s="59"/>
      <c r="E581" s="59"/>
      <c r="F581" s="59"/>
      <c r="L581" s="59"/>
    </row>
    <row r="582" ht="12.75" customHeight="1">
      <c r="A582" s="68"/>
      <c r="B582" s="59"/>
      <c r="C582" s="59"/>
      <c r="D582" s="59"/>
      <c r="E582" s="59"/>
      <c r="F582" s="59"/>
      <c r="L582" s="59"/>
    </row>
    <row r="583" ht="12.75" customHeight="1">
      <c r="A583" s="68"/>
      <c r="B583" s="59"/>
      <c r="C583" s="59"/>
      <c r="D583" s="59"/>
      <c r="E583" s="59"/>
      <c r="F583" s="59"/>
      <c r="L583" s="59"/>
    </row>
    <row r="584" ht="12.75" customHeight="1">
      <c r="A584" s="68"/>
      <c r="B584" s="59"/>
      <c r="C584" s="59"/>
      <c r="D584" s="59"/>
      <c r="E584" s="59"/>
      <c r="F584" s="59"/>
      <c r="L584" s="59"/>
    </row>
    <row r="585" ht="12.75" customHeight="1">
      <c r="A585" s="68"/>
      <c r="B585" s="59"/>
      <c r="C585" s="59"/>
      <c r="D585" s="59"/>
      <c r="E585" s="59"/>
      <c r="F585" s="59"/>
      <c r="L585" s="59"/>
    </row>
    <row r="586" ht="12.75" customHeight="1">
      <c r="A586" s="68"/>
      <c r="B586" s="59"/>
      <c r="C586" s="59"/>
      <c r="D586" s="59"/>
      <c r="E586" s="59"/>
      <c r="F586" s="59"/>
      <c r="L586" s="59"/>
    </row>
    <row r="587" ht="12.75" customHeight="1">
      <c r="A587" s="68"/>
      <c r="B587" s="59"/>
      <c r="C587" s="59"/>
      <c r="D587" s="59"/>
      <c r="E587" s="59"/>
      <c r="F587" s="59"/>
      <c r="L587" s="59"/>
    </row>
    <row r="588" ht="12.75" customHeight="1">
      <c r="A588" s="68"/>
      <c r="B588" s="59"/>
      <c r="C588" s="59"/>
      <c r="D588" s="59"/>
      <c r="E588" s="59"/>
      <c r="F588" s="59"/>
      <c r="L588" s="59"/>
    </row>
    <row r="589" ht="12.75" customHeight="1">
      <c r="A589" s="68"/>
      <c r="B589" s="59"/>
      <c r="C589" s="59"/>
      <c r="D589" s="59"/>
      <c r="E589" s="59"/>
      <c r="F589" s="59"/>
      <c r="L589" s="59"/>
    </row>
    <row r="590" ht="12.75" customHeight="1">
      <c r="A590" s="68"/>
      <c r="B590" s="59"/>
      <c r="C590" s="59"/>
      <c r="D590" s="59"/>
      <c r="E590" s="59"/>
      <c r="F590" s="59"/>
      <c r="L590" s="59"/>
    </row>
    <row r="591" ht="12.75" customHeight="1">
      <c r="A591" s="68"/>
      <c r="B591" s="59"/>
      <c r="C591" s="59"/>
      <c r="D591" s="59"/>
      <c r="E591" s="59"/>
      <c r="F591" s="59"/>
      <c r="L591" s="59"/>
    </row>
    <row r="592" ht="12.75" customHeight="1">
      <c r="A592" s="68"/>
      <c r="B592" s="59"/>
      <c r="C592" s="59"/>
      <c r="D592" s="59"/>
      <c r="E592" s="59"/>
      <c r="F592" s="59"/>
      <c r="L592" s="59"/>
    </row>
    <row r="593" ht="12.75" customHeight="1">
      <c r="A593" s="68"/>
      <c r="B593" s="59"/>
      <c r="C593" s="59"/>
      <c r="D593" s="59"/>
      <c r="E593" s="59"/>
      <c r="F593" s="59"/>
      <c r="L593" s="59"/>
    </row>
    <row r="594" ht="12.75" customHeight="1">
      <c r="A594" s="68"/>
      <c r="B594" s="59"/>
      <c r="C594" s="59"/>
      <c r="D594" s="59"/>
      <c r="E594" s="59"/>
      <c r="F594" s="59"/>
      <c r="L594" s="59"/>
    </row>
    <row r="595" ht="12.75" customHeight="1">
      <c r="A595" s="68"/>
      <c r="B595" s="59"/>
      <c r="C595" s="59"/>
      <c r="D595" s="59"/>
      <c r="E595" s="59"/>
      <c r="F595" s="59"/>
      <c r="L595" s="59"/>
    </row>
    <row r="596" ht="12.75" customHeight="1">
      <c r="A596" s="68"/>
      <c r="B596" s="59"/>
      <c r="C596" s="59"/>
      <c r="D596" s="59"/>
      <c r="E596" s="59"/>
      <c r="F596" s="59"/>
      <c r="L596" s="59"/>
    </row>
    <row r="597" ht="12.75" customHeight="1">
      <c r="A597" s="68"/>
      <c r="B597" s="59"/>
      <c r="C597" s="59"/>
      <c r="D597" s="59"/>
      <c r="E597" s="59"/>
      <c r="F597" s="59"/>
      <c r="L597" s="59"/>
    </row>
    <row r="598" ht="12.75" customHeight="1">
      <c r="A598" s="68"/>
      <c r="B598" s="59"/>
      <c r="C598" s="59"/>
      <c r="D598" s="59"/>
      <c r="E598" s="59"/>
      <c r="F598" s="59"/>
      <c r="L598" s="59"/>
    </row>
    <row r="599" ht="12.75" customHeight="1">
      <c r="A599" s="68"/>
      <c r="B599" s="59"/>
      <c r="C599" s="59"/>
      <c r="D599" s="59"/>
      <c r="E599" s="59"/>
      <c r="F599" s="59"/>
      <c r="L599" s="59"/>
    </row>
    <row r="600" ht="12.75" customHeight="1">
      <c r="A600" s="68"/>
      <c r="B600" s="59"/>
      <c r="C600" s="59"/>
      <c r="D600" s="59"/>
      <c r="E600" s="59"/>
      <c r="F600" s="59"/>
      <c r="L600" s="59"/>
    </row>
    <row r="601" ht="12.75" customHeight="1">
      <c r="A601" s="68"/>
      <c r="B601" s="59"/>
      <c r="C601" s="59"/>
      <c r="D601" s="59"/>
      <c r="E601" s="59"/>
      <c r="F601" s="59"/>
      <c r="L601" s="59"/>
    </row>
    <row r="602" ht="12.75" customHeight="1">
      <c r="A602" s="68"/>
      <c r="B602" s="59"/>
      <c r="C602" s="59"/>
      <c r="D602" s="59"/>
      <c r="E602" s="59"/>
      <c r="F602" s="59"/>
      <c r="L602" s="59"/>
    </row>
    <row r="603" ht="12.75" customHeight="1">
      <c r="A603" s="68"/>
      <c r="B603" s="59"/>
      <c r="C603" s="59"/>
      <c r="D603" s="59"/>
      <c r="E603" s="59"/>
      <c r="F603" s="59"/>
      <c r="L603" s="59"/>
    </row>
    <row r="604" ht="12.75" customHeight="1">
      <c r="A604" s="68"/>
      <c r="B604" s="59"/>
      <c r="C604" s="59"/>
      <c r="D604" s="59"/>
      <c r="E604" s="59"/>
      <c r="F604" s="59"/>
      <c r="L604" s="59"/>
    </row>
    <row r="605" ht="12.75" customHeight="1">
      <c r="A605" s="68"/>
      <c r="B605" s="59"/>
      <c r="C605" s="59"/>
      <c r="D605" s="59"/>
      <c r="E605" s="59"/>
      <c r="F605" s="59"/>
      <c r="L605" s="59"/>
    </row>
    <row r="606" ht="12.75" customHeight="1">
      <c r="A606" s="68"/>
      <c r="B606" s="59"/>
      <c r="C606" s="59"/>
      <c r="D606" s="59"/>
      <c r="E606" s="59"/>
      <c r="F606" s="59"/>
      <c r="L606" s="59"/>
    </row>
    <row r="607" ht="12.75" customHeight="1">
      <c r="A607" s="68"/>
      <c r="B607" s="59"/>
      <c r="C607" s="59"/>
      <c r="D607" s="59"/>
      <c r="E607" s="59"/>
      <c r="F607" s="59"/>
      <c r="L607" s="59"/>
    </row>
    <row r="608" ht="12.75" customHeight="1">
      <c r="A608" s="68"/>
      <c r="B608" s="59"/>
      <c r="C608" s="59"/>
      <c r="D608" s="59"/>
      <c r="E608" s="59"/>
      <c r="F608" s="59"/>
      <c r="L608" s="59"/>
    </row>
    <row r="609" ht="12.75" customHeight="1">
      <c r="A609" s="68"/>
      <c r="B609" s="59"/>
      <c r="C609" s="59"/>
      <c r="D609" s="59"/>
      <c r="E609" s="59"/>
      <c r="F609" s="59"/>
      <c r="L609" s="59"/>
    </row>
    <row r="610" ht="12.75" customHeight="1">
      <c r="A610" s="68"/>
      <c r="B610" s="59"/>
      <c r="C610" s="59"/>
      <c r="D610" s="59"/>
      <c r="E610" s="59"/>
      <c r="F610" s="59"/>
      <c r="L610" s="59"/>
    </row>
    <row r="611" ht="12.75" customHeight="1">
      <c r="A611" s="68"/>
      <c r="B611" s="59"/>
      <c r="C611" s="59"/>
      <c r="D611" s="59"/>
      <c r="E611" s="59"/>
      <c r="F611" s="59"/>
      <c r="L611" s="59"/>
    </row>
    <row r="612" ht="12.75" customHeight="1">
      <c r="A612" s="68"/>
      <c r="B612" s="59"/>
      <c r="C612" s="59"/>
      <c r="D612" s="59"/>
      <c r="E612" s="59"/>
      <c r="F612" s="59"/>
      <c r="L612" s="59"/>
    </row>
    <row r="613" ht="12.75" customHeight="1">
      <c r="A613" s="68"/>
      <c r="B613" s="59"/>
      <c r="C613" s="59"/>
      <c r="D613" s="59"/>
      <c r="E613" s="59"/>
      <c r="F613" s="59"/>
      <c r="L613" s="59"/>
    </row>
    <row r="614" ht="12.75" customHeight="1">
      <c r="A614" s="68"/>
      <c r="B614" s="59"/>
      <c r="C614" s="59"/>
      <c r="D614" s="59"/>
      <c r="E614" s="59"/>
      <c r="F614" s="59"/>
      <c r="L614" s="59"/>
    </row>
    <row r="615" ht="12.75" customHeight="1">
      <c r="A615" s="68"/>
      <c r="B615" s="59"/>
      <c r="C615" s="59"/>
      <c r="D615" s="59"/>
      <c r="E615" s="59"/>
      <c r="F615" s="59"/>
      <c r="L615" s="59"/>
    </row>
    <row r="616" ht="12.75" customHeight="1">
      <c r="A616" s="68"/>
      <c r="B616" s="59"/>
      <c r="C616" s="59"/>
      <c r="D616" s="59"/>
      <c r="E616" s="59"/>
      <c r="F616" s="59"/>
      <c r="L616" s="59"/>
    </row>
    <row r="617" ht="12.75" customHeight="1">
      <c r="A617" s="68"/>
      <c r="B617" s="59"/>
      <c r="C617" s="59"/>
      <c r="D617" s="59"/>
      <c r="E617" s="59"/>
      <c r="F617" s="59"/>
      <c r="L617" s="59"/>
    </row>
    <row r="618" ht="12.75" customHeight="1">
      <c r="A618" s="68"/>
      <c r="B618" s="59"/>
      <c r="C618" s="59"/>
      <c r="D618" s="59"/>
      <c r="E618" s="59"/>
      <c r="F618" s="59"/>
      <c r="L618" s="59"/>
    </row>
    <row r="619" ht="12.75" customHeight="1">
      <c r="A619" s="68"/>
      <c r="B619" s="59"/>
      <c r="C619" s="59"/>
      <c r="D619" s="59"/>
      <c r="E619" s="59"/>
      <c r="F619" s="59"/>
      <c r="L619" s="59"/>
    </row>
    <row r="620" ht="12.75" customHeight="1">
      <c r="A620" s="68"/>
      <c r="B620" s="59"/>
      <c r="C620" s="59"/>
      <c r="D620" s="59"/>
      <c r="E620" s="59"/>
      <c r="F620" s="59"/>
      <c r="L620" s="59"/>
    </row>
    <row r="621" ht="12.75" customHeight="1">
      <c r="A621" s="68"/>
      <c r="B621" s="59"/>
      <c r="C621" s="59"/>
      <c r="D621" s="59"/>
      <c r="E621" s="59"/>
      <c r="F621" s="59"/>
      <c r="L621" s="59"/>
    </row>
    <row r="622" ht="12.75" customHeight="1">
      <c r="A622" s="68"/>
      <c r="B622" s="59"/>
      <c r="C622" s="59"/>
      <c r="D622" s="59"/>
      <c r="E622" s="59"/>
      <c r="F622" s="59"/>
      <c r="L622" s="59"/>
    </row>
    <row r="623" ht="12.75" customHeight="1">
      <c r="A623" s="68"/>
      <c r="B623" s="59"/>
      <c r="C623" s="59"/>
      <c r="D623" s="59"/>
      <c r="E623" s="59"/>
      <c r="F623" s="59"/>
      <c r="L623" s="59"/>
    </row>
    <row r="624" ht="12.75" customHeight="1">
      <c r="A624" s="68"/>
      <c r="B624" s="59"/>
      <c r="C624" s="59"/>
      <c r="D624" s="59"/>
      <c r="E624" s="59"/>
      <c r="F624" s="59"/>
      <c r="L624" s="59"/>
    </row>
    <row r="625" ht="12.75" customHeight="1">
      <c r="A625" s="68"/>
      <c r="B625" s="59"/>
      <c r="C625" s="59"/>
      <c r="D625" s="59"/>
      <c r="E625" s="59"/>
      <c r="F625" s="59"/>
      <c r="L625" s="59"/>
    </row>
    <row r="626" ht="12.75" customHeight="1">
      <c r="A626" s="68"/>
      <c r="B626" s="59"/>
      <c r="C626" s="59"/>
      <c r="D626" s="59"/>
      <c r="E626" s="59"/>
      <c r="F626" s="59"/>
      <c r="L626" s="59"/>
    </row>
    <row r="627" ht="12.75" customHeight="1">
      <c r="A627" s="68"/>
      <c r="B627" s="59"/>
      <c r="C627" s="59"/>
      <c r="D627" s="59"/>
      <c r="E627" s="59"/>
      <c r="F627" s="59"/>
      <c r="L627" s="59"/>
    </row>
    <row r="628" ht="12.75" customHeight="1">
      <c r="A628" s="68"/>
      <c r="B628" s="59"/>
      <c r="C628" s="59"/>
      <c r="D628" s="59"/>
      <c r="E628" s="59"/>
      <c r="F628" s="59"/>
      <c r="L628" s="59"/>
    </row>
    <row r="629" ht="12.75" customHeight="1">
      <c r="A629" s="68"/>
      <c r="B629" s="59"/>
      <c r="C629" s="59"/>
      <c r="D629" s="59"/>
      <c r="E629" s="59"/>
      <c r="F629" s="59"/>
      <c r="L629" s="59"/>
    </row>
    <row r="630" ht="12.75" customHeight="1">
      <c r="A630" s="68"/>
      <c r="B630" s="59"/>
      <c r="C630" s="59"/>
      <c r="D630" s="59"/>
      <c r="E630" s="59"/>
      <c r="F630" s="59"/>
      <c r="L630" s="59"/>
    </row>
    <row r="631" ht="12.75" customHeight="1">
      <c r="A631" s="68"/>
      <c r="B631" s="59"/>
      <c r="C631" s="59"/>
      <c r="D631" s="59"/>
      <c r="E631" s="59"/>
      <c r="F631" s="59"/>
      <c r="L631" s="59"/>
    </row>
    <row r="632" ht="12.75" customHeight="1">
      <c r="A632" s="68"/>
      <c r="B632" s="59"/>
      <c r="C632" s="59"/>
      <c r="D632" s="59"/>
      <c r="E632" s="59"/>
      <c r="F632" s="59"/>
      <c r="L632" s="59"/>
    </row>
    <row r="633" ht="12.75" customHeight="1">
      <c r="A633" s="68"/>
      <c r="B633" s="59"/>
      <c r="C633" s="59"/>
      <c r="D633" s="59"/>
      <c r="E633" s="59"/>
      <c r="F633" s="59"/>
      <c r="L633" s="59"/>
    </row>
    <row r="634" ht="12.75" customHeight="1">
      <c r="A634" s="68"/>
      <c r="B634" s="59"/>
      <c r="C634" s="59"/>
      <c r="D634" s="59"/>
      <c r="E634" s="59"/>
      <c r="F634" s="59"/>
      <c r="L634" s="59"/>
    </row>
    <row r="635" ht="12.75" customHeight="1">
      <c r="A635" s="68"/>
      <c r="B635" s="59"/>
      <c r="C635" s="59"/>
      <c r="D635" s="59"/>
      <c r="E635" s="59"/>
      <c r="F635" s="59"/>
      <c r="L635" s="59"/>
    </row>
    <row r="636" ht="12.75" customHeight="1">
      <c r="A636" s="68"/>
      <c r="B636" s="59"/>
      <c r="C636" s="59"/>
      <c r="D636" s="59"/>
      <c r="E636" s="59"/>
      <c r="F636" s="59"/>
      <c r="L636" s="59"/>
    </row>
    <row r="637" ht="12.75" customHeight="1">
      <c r="A637" s="68"/>
      <c r="B637" s="59"/>
      <c r="C637" s="59"/>
      <c r="D637" s="59"/>
      <c r="E637" s="59"/>
      <c r="F637" s="59"/>
      <c r="L637" s="59"/>
    </row>
    <row r="638" ht="12.75" customHeight="1">
      <c r="A638" s="68"/>
      <c r="B638" s="59"/>
      <c r="C638" s="59"/>
      <c r="D638" s="59"/>
      <c r="E638" s="59"/>
      <c r="F638" s="59"/>
      <c r="L638" s="59"/>
    </row>
    <row r="639" ht="12.75" customHeight="1">
      <c r="A639" s="68"/>
      <c r="B639" s="59"/>
      <c r="C639" s="59"/>
      <c r="D639" s="59"/>
      <c r="E639" s="59"/>
      <c r="F639" s="59"/>
      <c r="L639" s="59"/>
    </row>
    <row r="640" ht="12.75" customHeight="1">
      <c r="A640" s="68"/>
      <c r="B640" s="59"/>
      <c r="C640" s="59"/>
      <c r="D640" s="59"/>
      <c r="E640" s="59"/>
      <c r="F640" s="59"/>
      <c r="L640" s="59"/>
    </row>
    <row r="641" ht="12.75" customHeight="1">
      <c r="A641" s="68"/>
      <c r="B641" s="59"/>
      <c r="C641" s="59"/>
      <c r="D641" s="59"/>
      <c r="E641" s="59"/>
      <c r="F641" s="59"/>
      <c r="L641" s="59"/>
    </row>
    <row r="642" ht="12.75" customHeight="1">
      <c r="A642" s="68"/>
      <c r="B642" s="59"/>
      <c r="C642" s="59"/>
      <c r="D642" s="59"/>
      <c r="E642" s="59"/>
      <c r="F642" s="59"/>
      <c r="L642" s="59"/>
    </row>
    <row r="643" ht="12.75" customHeight="1">
      <c r="A643" s="68"/>
      <c r="B643" s="59"/>
      <c r="C643" s="59"/>
      <c r="D643" s="59"/>
      <c r="E643" s="59"/>
      <c r="F643" s="59"/>
      <c r="L643" s="59"/>
    </row>
    <row r="644" ht="12.75" customHeight="1">
      <c r="A644" s="68"/>
      <c r="B644" s="59"/>
      <c r="C644" s="59"/>
      <c r="D644" s="59"/>
      <c r="E644" s="59"/>
      <c r="F644" s="59"/>
      <c r="L644" s="59"/>
    </row>
    <row r="645" ht="12.75" customHeight="1">
      <c r="A645" s="68"/>
      <c r="B645" s="59"/>
      <c r="C645" s="59"/>
      <c r="D645" s="59"/>
      <c r="E645" s="59"/>
      <c r="F645" s="59"/>
      <c r="L645" s="59"/>
    </row>
    <row r="646" ht="12.75" customHeight="1">
      <c r="A646" s="68"/>
      <c r="B646" s="59"/>
      <c r="C646" s="59"/>
      <c r="D646" s="59"/>
      <c r="E646" s="59"/>
      <c r="F646" s="59"/>
      <c r="L646" s="59"/>
    </row>
    <row r="647" ht="12.75" customHeight="1">
      <c r="A647" s="68"/>
      <c r="B647" s="59"/>
      <c r="C647" s="59"/>
      <c r="D647" s="59"/>
      <c r="E647" s="59"/>
      <c r="F647" s="59"/>
      <c r="L647" s="59"/>
    </row>
    <row r="648" ht="12.75" customHeight="1">
      <c r="A648" s="68"/>
      <c r="B648" s="59"/>
      <c r="C648" s="59"/>
      <c r="D648" s="59"/>
      <c r="E648" s="59"/>
      <c r="F648" s="59"/>
      <c r="L648" s="59"/>
    </row>
    <row r="649" ht="12.75" customHeight="1">
      <c r="A649" s="68"/>
      <c r="B649" s="59"/>
      <c r="C649" s="59"/>
      <c r="D649" s="59"/>
      <c r="E649" s="59"/>
      <c r="F649" s="59"/>
      <c r="L649" s="59"/>
    </row>
    <row r="650" ht="12.75" customHeight="1">
      <c r="A650" s="68"/>
      <c r="B650" s="59"/>
      <c r="C650" s="59"/>
      <c r="D650" s="59"/>
      <c r="E650" s="59"/>
      <c r="F650" s="59"/>
      <c r="L650" s="59"/>
    </row>
    <row r="651" ht="12.75" customHeight="1">
      <c r="A651" s="68"/>
      <c r="B651" s="59"/>
      <c r="C651" s="59"/>
      <c r="D651" s="59"/>
      <c r="E651" s="59"/>
      <c r="F651" s="59"/>
      <c r="L651" s="59"/>
    </row>
    <row r="652" ht="12.75" customHeight="1">
      <c r="A652" s="68"/>
      <c r="B652" s="59"/>
      <c r="C652" s="59"/>
      <c r="D652" s="59"/>
      <c r="E652" s="59"/>
      <c r="F652" s="59"/>
      <c r="L652" s="59"/>
    </row>
    <row r="653" ht="12.75" customHeight="1">
      <c r="A653" s="68"/>
      <c r="B653" s="59"/>
      <c r="C653" s="59"/>
      <c r="D653" s="59"/>
      <c r="E653" s="59"/>
      <c r="F653" s="59"/>
      <c r="L653" s="59"/>
    </row>
    <row r="654" ht="12.75" customHeight="1">
      <c r="A654" s="68"/>
      <c r="B654" s="59"/>
      <c r="C654" s="59"/>
      <c r="D654" s="59"/>
      <c r="E654" s="59"/>
      <c r="F654" s="59"/>
      <c r="L654" s="59"/>
    </row>
    <row r="655" ht="12.75" customHeight="1">
      <c r="A655" s="68"/>
      <c r="B655" s="59"/>
      <c r="C655" s="59"/>
      <c r="D655" s="59"/>
      <c r="E655" s="59"/>
      <c r="F655" s="59"/>
      <c r="L655" s="59"/>
    </row>
    <row r="656" ht="12.75" customHeight="1">
      <c r="A656" s="68"/>
      <c r="B656" s="59"/>
      <c r="C656" s="59"/>
      <c r="D656" s="59"/>
      <c r="E656" s="59"/>
      <c r="F656" s="59"/>
      <c r="L656" s="59"/>
    </row>
    <row r="657" ht="12.75" customHeight="1">
      <c r="A657" s="68"/>
      <c r="B657" s="59"/>
      <c r="C657" s="59"/>
      <c r="D657" s="59"/>
      <c r="E657" s="59"/>
      <c r="F657" s="59"/>
      <c r="L657" s="59"/>
    </row>
    <row r="658" ht="12.75" customHeight="1">
      <c r="A658" s="68"/>
      <c r="B658" s="59"/>
      <c r="C658" s="59"/>
      <c r="D658" s="59"/>
      <c r="E658" s="59"/>
      <c r="F658" s="59"/>
      <c r="L658" s="59"/>
    </row>
    <row r="659" ht="12.75" customHeight="1">
      <c r="A659" s="68"/>
      <c r="B659" s="59"/>
      <c r="C659" s="59"/>
      <c r="D659" s="59"/>
      <c r="E659" s="59"/>
      <c r="F659" s="59"/>
      <c r="L659" s="59"/>
    </row>
    <row r="660" ht="12.75" customHeight="1">
      <c r="A660" s="68"/>
      <c r="B660" s="59"/>
      <c r="C660" s="59"/>
      <c r="D660" s="59"/>
      <c r="E660" s="59"/>
      <c r="F660" s="59"/>
      <c r="L660" s="59"/>
    </row>
    <row r="661" ht="12.75" customHeight="1">
      <c r="A661" s="68"/>
      <c r="B661" s="59"/>
      <c r="C661" s="59"/>
      <c r="D661" s="59"/>
      <c r="E661" s="59"/>
      <c r="F661" s="59"/>
      <c r="L661" s="59"/>
    </row>
    <row r="662" ht="12.75" customHeight="1">
      <c r="A662" s="68"/>
      <c r="B662" s="59"/>
      <c r="C662" s="59"/>
      <c r="D662" s="59"/>
      <c r="E662" s="59"/>
      <c r="F662" s="59"/>
      <c r="L662" s="59"/>
    </row>
    <row r="663" ht="12.75" customHeight="1">
      <c r="A663" s="68"/>
      <c r="B663" s="59"/>
      <c r="C663" s="59"/>
      <c r="D663" s="59"/>
      <c r="E663" s="59"/>
      <c r="F663" s="59"/>
      <c r="L663" s="59"/>
    </row>
    <row r="664" ht="12.75" customHeight="1">
      <c r="A664" s="68"/>
      <c r="B664" s="59"/>
      <c r="C664" s="59"/>
      <c r="D664" s="59"/>
      <c r="E664" s="59"/>
      <c r="F664" s="59"/>
      <c r="L664" s="59"/>
    </row>
    <row r="665" ht="12.75" customHeight="1">
      <c r="A665" s="68"/>
      <c r="B665" s="59"/>
      <c r="C665" s="59"/>
      <c r="D665" s="59"/>
      <c r="E665" s="59"/>
      <c r="F665" s="59"/>
      <c r="L665" s="59"/>
    </row>
    <row r="666" ht="12.75" customHeight="1">
      <c r="A666" s="68"/>
      <c r="B666" s="59"/>
      <c r="C666" s="59"/>
      <c r="D666" s="59"/>
      <c r="E666" s="59"/>
      <c r="F666" s="59"/>
      <c r="L666" s="59"/>
    </row>
    <row r="667" ht="12.75" customHeight="1">
      <c r="A667" s="68"/>
      <c r="B667" s="59"/>
      <c r="C667" s="59"/>
      <c r="D667" s="59"/>
      <c r="E667" s="59"/>
      <c r="F667" s="59"/>
      <c r="L667" s="59"/>
    </row>
    <row r="668" ht="12.75" customHeight="1">
      <c r="A668" s="68"/>
      <c r="B668" s="59"/>
      <c r="C668" s="59"/>
      <c r="D668" s="59"/>
      <c r="E668" s="59"/>
      <c r="F668" s="59"/>
      <c r="L668" s="59"/>
    </row>
    <row r="669" ht="12.75" customHeight="1">
      <c r="A669" s="68"/>
      <c r="B669" s="59"/>
      <c r="C669" s="59"/>
      <c r="D669" s="59"/>
      <c r="E669" s="59"/>
      <c r="F669" s="59"/>
      <c r="L669" s="59"/>
    </row>
    <row r="670" ht="12.75" customHeight="1">
      <c r="A670" s="68"/>
      <c r="B670" s="59"/>
      <c r="C670" s="59"/>
      <c r="D670" s="59"/>
      <c r="E670" s="59"/>
      <c r="F670" s="59"/>
      <c r="L670" s="59"/>
    </row>
    <row r="671" ht="12.75" customHeight="1">
      <c r="A671" s="68"/>
      <c r="B671" s="59"/>
      <c r="C671" s="59"/>
      <c r="D671" s="59"/>
      <c r="E671" s="59"/>
      <c r="F671" s="59"/>
      <c r="L671" s="59"/>
    </row>
    <row r="672" ht="12.75" customHeight="1">
      <c r="A672" s="68"/>
      <c r="B672" s="59"/>
      <c r="C672" s="59"/>
      <c r="D672" s="59"/>
      <c r="E672" s="59"/>
      <c r="F672" s="59"/>
      <c r="L672" s="59"/>
    </row>
    <row r="673" ht="12.75" customHeight="1">
      <c r="A673" s="68"/>
      <c r="B673" s="59"/>
      <c r="C673" s="59"/>
      <c r="D673" s="59"/>
      <c r="E673" s="59"/>
      <c r="F673" s="59"/>
      <c r="L673" s="59"/>
    </row>
    <row r="674" ht="12.75" customHeight="1">
      <c r="A674" s="68"/>
      <c r="B674" s="59"/>
      <c r="C674" s="59"/>
      <c r="D674" s="59"/>
      <c r="E674" s="59"/>
      <c r="F674" s="59"/>
      <c r="L674" s="59"/>
    </row>
    <row r="675" ht="12.75" customHeight="1">
      <c r="A675" s="68"/>
      <c r="B675" s="59"/>
      <c r="C675" s="59"/>
      <c r="D675" s="59"/>
      <c r="E675" s="59"/>
      <c r="F675" s="59"/>
      <c r="L675" s="59"/>
    </row>
    <row r="676" ht="12.75" customHeight="1">
      <c r="A676" s="68"/>
      <c r="B676" s="59"/>
      <c r="C676" s="59"/>
      <c r="D676" s="59"/>
      <c r="E676" s="59"/>
      <c r="F676" s="59"/>
      <c r="L676" s="59"/>
    </row>
    <row r="677" ht="12.75" customHeight="1">
      <c r="A677" s="68"/>
      <c r="B677" s="59"/>
      <c r="C677" s="59"/>
      <c r="D677" s="59"/>
      <c r="E677" s="59"/>
      <c r="F677" s="59"/>
      <c r="L677" s="59"/>
    </row>
    <row r="678" ht="12.75" customHeight="1">
      <c r="A678" s="68"/>
      <c r="B678" s="59"/>
      <c r="C678" s="59"/>
      <c r="D678" s="59"/>
      <c r="E678" s="59"/>
      <c r="F678" s="59"/>
      <c r="L678" s="59"/>
    </row>
    <row r="679" ht="12.75" customHeight="1">
      <c r="A679" s="68"/>
      <c r="B679" s="59"/>
      <c r="C679" s="59"/>
      <c r="D679" s="59"/>
      <c r="E679" s="59"/>
      <c r="F679" s="59"/>
      <c r="L679" s="59"/>
    </row>
    <row r="680" ht="12.75" customHeight="1">
      <c r="A680" s="68"/>
      <c r="B680" s="59"/>
      <c r="C680" s="59"/>
      <c r="D680" s="59"/>
      <c r="E680" s="59"/>
      <c r="F680" s="59"/>
      <c r="L680" s="59"/>
    </row>
    <row r="681" ht="12.75" customHeight="1">
      <c r="A681" s="68"/>
      <c r="B681" s="59"/>
      <c r="C681" s="59"/>
      <c r="D681" s="59"/>
      <c r="E681" s="59"/>
      <c r="F681" s="59"/>
      <c r="L681" s="59"/>
    </row>
    <row r="682" ht="12.75" customHeight="1">
      <c r="A682" s="68"/>
      <c r="B682" s="59"/>
      <c r="C682" s="59"/>
      <c r="D682" s="59"/>
      <c r="E682" s="59"/>
      <c r="F682" s="59"/>
      <c r="L682" s="59"/>
    </row>
    <row r="683" ht="12.75" customHeight="1">
      <c r="A683" s="68"/>
      <c r="B683" s="59"/>
      <c r="C683" s="59"/>
      <c r="D683" s="59"/>
      <c r="E683" s="59"/>
      <c r="F683" s="59"/>
      <c r="L683" s="59"/>
    </row>
    <row r="684" ht="12.75" customHeight="1">
      <c r="A684" s="68"/>
      <c r="B684" s="59"/>
      <c r="C684" s="59"/>
      <c r="D684" s="59"/>
      <c r="E684" s="59"/>
      <c r="F684" s="59"/>
      <c r="L684" s="59"/>
    </row>
    <row r="685" ht="12.75" customHeight="1">
      <c r="A685" s="68"/>
      <c r="B685" s="59"/>
      <c r="C685" s="59"/>
      <c r="D685" s="59"/>
      <c r="E685" s="59"/>
      <c r="F685" s="59"/>
      <c r="L685" s="59"/>
    </row>
    <row r="686" ht="12.75" customHeight="1">
      <c r="A686" s="68"/>
      <c r="B686" s="59"/>
      <c r="C686" s="59"/>
      <c r="D686" s="59"/>
      <c r="E686" s="59"/>
      <c r="F686" s="59"/>
      <c r="L686" s="59"/>
    </row>
    <row r="687" ht="12.75" customHeight="1">
      <c r="A687" s="68"/>
      <c r="B687" s="59"/>
      <c r="C687" s="59"/>
      <c r="D687" s="59"/>
      <c r="E687" s="59"/>
      <c r="F687" s="59"/>
      <c r="L687" s="59"/>
    </row>
    <row r="688" ht="12.75" customHeight="1">
      <c r="A688" s="68"/>
      <c r="B688" s="59"/>
      <c r="C688" s="59"/>
      <c r="D688" s="59"/>
      <c r="E688" s="59"/>
      <c r="F688" s="59"/>
      <c r="L688" s="59"/>
    </row>
    <row r="689" ht="12.75" customHeight="1">
      <c r="A689" s="68"/>
      <c r="B689" s="59"/>
      <c r="C689" s="59"/>
      <c r="D689" s="59"/>
      <c r="E689" s="59"/>
      <c r="F689" s="59"/>
      <c r="L689" s="59"/>
    </row>
    <row r="690" ht="12.75" customHeight="1">
      <c r="A690" s="68"/>
      <c r="B690" s="59"/>
      <c r="C690" s="59"/>
      <c r="D690" s="59"/>
      <c r="E690" s="59"/>
      <c r="F690" s="59"/>
      <c r="L690" s="59"/>
    </row>
    <row r="691" ht="12.75" customHeight="1">
      <c r="A691" s="68"/>
      <c r="B691" s="59"/>
      <c r="C691" s="59"/>
      <c r="D691" s="59"/>
      <c r="E691" s="59"/>
      <c r="F691" s="59"/>
      <c r="L691" s="59"/>
    </row>
    <row r="692" ht="12.75" customHeight="1">
      <c r="A692" s="68"/>
      <c r="B692" s="59"/>
      <c r="C692" s="59"/>
      <c r="D692" s="59"/>
      <c r="E692" s="59"/>
      <c r="F692" s="59"/>
      <c r="L692" s="59"/>
    </row>
    <row r="693" ht="12.75" customHeight="1">
      <c r="A693" s="68"/>
      <c r="B693" s="59"/>
      <c r="C693" s="59"/>
      <c r="D693" s="59"/>
      <c r="E693" s="59"/>
      <c r="F693" s="59"/>
      <c r="L693" s="59"/>
    </row>
    <row r="694" ht="12.75" customHeight="1">
      <c r="A694" s="68"/>
      <c r="B694" s="59"/>
      <c r="C694" s="59"/>
      <c r="D694" s="59"/>
      <c r="E694" s="59"/>
      <c r="F694" s="59"/>
      <c r="L694" s="59"/>
    </row>
    <row r="695" ht="12.75" customHeight="1">
      <c r="A695" s="68"/>
      <c r="B695" s="59"/>
      <c r="C695" s="59"/>
      <c r="D695" s="59"/>
      <c r="E695" s="59"/>
      <c r="F695" s="59"/>
      <c r="L695" s="59"/>
    </row>
    <row r="696" ht="12.75" customHeight="1">
      <c r="A696" s="68"/>
      <c r="B696" s="59"/>
      <c r="C696" s="59"/>
      <c r="D696" s="59"/>
      <c r="E696" s="59"/>
      <c r="F696" s="59"/>
      <c r="L696" s="59"/>
    </row>
    <row r="697" ht="12.75" customHeight="1">
      <c r="A697" s="68"/>
      <c r="B697" s="59"/>
      <c r="C697" s="59"/>
      <c r="D697" s="59"/>
      <c r="E697" s="59"/>
      <c r="F697" s="59"/>
      <c r="L697" s="59"/>
    </row>
    <row r="698" ht="12.75" customHeight="1">
      <c r="A698" s="68"/>
      <c r="B698" s="59"/>
      <c r="C698" s="59"/>
      <c r="D698" s="59"/>
      <c r="E698" s="59"/>
      <c r="F698" s="59"/>
      <c r="L698" s="59"/>
    </row>
    <row r="699" ht="12.75" customHeight="1">
      <c r="A699" s="68"/>
      <c r="B699" s="59"/>
      <c r="C699" s="59"/>
      <c r="D699" s="59"/>
      <c r="E699" s="59"/>
      <c r="F699" s="59"/>
      <c r="L699" s="59"/>
    </row>
    <row r="700" ht="12.75" customHeight="1">
      <c r="A700" s="68"/>
      <c r="B700" s="59"/>
      <c r="C700" s="59"/>
      <c r="D700" s="59"/>
      <c r="E700" s="59"/>
      <c r="F700" s="59"/>
      <c r="L700" s="59"/>
    </row>
    <row r="701" ht="12.75" customHeight="1">
      <c r="A701" s="68"/>
      <c r="B701" s="59"/>
      <c r="C701" s="59"/>
      <c r="D701" s="59"/>
      <c r="E701" s="59"/>
      <c r="F701" s="59"/>
      <c r="L701" s="59"/>
    </row>
    <row r="702" ht="12.75" customHeight="1">
      <c r="A702" s="68"/>
      <c r="B702" s="59"/>
      <c r="C702" s="59"/>
      <c r="D702" s="59"/>
      <c r="E702" s="59"/>
      <c r="F702" s="59"/>
      <c r="L702" s="59"/>
    </row>
    <row r="703" ht="12.75" customHeight="1">
      <c r="A703" s="68"/>
      <c r="B703" s="59"/>
      <c r="C703" s="59"/>
      <c r="D703" s="59"/>
      <c r="E703" s="59"/>
      <c r="F703" s="59"/>
      <c r="L703" s="59"/>
    </row>
    <row r="704" ht="12.75" customHeight="1">
      <c r="A704" s="68"/>
      <c r="B704" s="59"/>
      <c r="C704" s="59"/>
      <c r="D704" s="59"/>
      <c r="E704" s="59"/>
      <c r="F704" s="59"/>
      <c r="L704" s="59"/>
    </row>
    <row r="705" ht="12.75" customHeight="1">
      <c r="A705" s="68"/>
      <c r="B705" s="59"/>
      <c r="C705" s="59"/>
      <c r="D705" s="59"/>
      <c r="E705" s="59"/>
      <c r="F705" s="59"/>
      <c r="L705" s="59"/>
    </row>
    <row r="706" ht="12.75" customHeight="1">
      <c r="A706" s="68"/>
      <c r="B706" s="59"/>
      <c r="C706" s="59"/>
      <c r="D706" s="59"/>
      <c r="E706" s="59"/>
      <c r="F706" s="59"/>
      <c r="L706" s="59"/>
    </row>
    <row r="707" ht="12.75" customHeight="1">
      <c r="A707" s="68"/>
      <c r="B707" s="59"/>
      <c r="C707" s="59"/>
      <c r="D707" s="59"/>
      <c r="E707" s="59"/>
      <c r="F707" s="59"/>
      <c r="L707" s="59"/>
    </row>
    <row r="708" ht="12.75" customHeight="1">
      <c r="A708" s="68"/>
      <c r="B708" s="59"/>
      <c r="C708" s="59"/>
      <c r="D708" s="59"/>
      <c r="E708" s="59"/>
      <c r="F708" s="59"/>
      <c r="L708" s="59"/>
    </row>
    <row r="709" ht="12.75" customHeight="1">
      <c r="A709" s="68"/>
      <c r="B709" s="59"/>
      <c r="C709" s="59"/>
      <c r="D709" s="59"/>
      <c r="E709" s="59"/>
      <c r="F709" s="59"/>
      <c r="L709" s="59"/>
    </row>
    <row r="710" ht="12.75" customHeight="1">
      <c r="A710" s="68"/>
      <c r="B710" s="59"/>
      <c r="C710" s="59"/>
      <c r="D710" s="59"/>
      <c r="E710" s="59"/>
      <c r="F710" s="59"/>
      <c r="L710" s="59"/>
    </row>
    <row r="711" ht="12.75" customHeight="1">
      <c r="A711" s="68"/>
      <c r="B711" s="59"/>
      <c r="C711" s="59"/>
      <c r="D711" s="59"/>
      <c r="E711" s="59"/>
      <c r="F711" s="59"/>
      <c r="L711" s="59"/>
    </row>
    <row r="712" ht="12.75" customHeight="1">
      <c r="A712" s="68"/>
      <c r="B712" s="59"/>
      <c r="C712" s="59"/>
      <c r="D712" s="59"/>
      <c r="E712" s="59"/>
      <c r="F712" s="59"/>
      <c r="L712" s="59"/>
    </row>
    <row r="713" ht="12.75" customHeight="1">
      <c r="A713" s="68"/>
      <c r="B713" s="59"/>
      <c r="C713" s="59"/>
      <c r="D713" s="59"/>
      <c r="E713" s="59"/>
      <c r="F713" s="59"/>
      <c r="L713" s="59"/>
    </row>
    <row r="714" ht="12.75" customHeight="1">
      <c r="A714" s="68"/>
      <c r="B714" s="59"/>
      <c r="C714" s="59"/>
      <c r="D714" s="59"/>
      <c r="E714" s="59"/>
      <c r="F714" s="59"/>
      <c r="L714" s="59"/>
    </row>
    <row r="715" ht="12.75" customHeight="1">
      <c r="A715" s="68"/>
      <c r="B715" s="59"/>
      <c r="C715" s="59"/>
      <c r="D715" s="59"/>
      <c r="E715" s="59"/>
      <c r="F715" s="59"/>
      <c r="L715" s="59"/>
    </row>
    <row r="716" ht="12.75" customHeight="1">
      <c r="A716" s="68"/>
      <c r="B716" s="59"/>
      <c r="C716" s="59"/>
      <c r="D716" s="59"/>
      <c r="E716" s="59"/>
      <c r="F716" s="59"/>
      <c r="L716" s="59"/>
    </row>
    <row r="717" ht="12.75" customHeight="1">
      <c r="A717" s="68"/>
      <c r="B717" s="59"/>
      <c r="C717" s="59"/>
      <c r="D717" s="59"/>
      <c r="E717" s="59"/>
      <c r="F717" s="59"/>
      <c r="L717" s="59"/>
    </row>
    <row r="718" ht="12.75" customHeight="1">
      <c r="A718" s="68"/>
      <c r="B718" s="59"/>
      <c r="C718" s="59"/>
      <c r="D718" s="59"/>
      <c r="E718" s="59"/>
      <c r="F718" s="59"/>
      <c r="L718" s="59"/>
    </row>
    <row r="719" ht="12.75" customHeight="1">
      <c r="A719" s="68"/>
      <c r="B719" s="59"/>
      <c r="C719" s="59"/>
      <c r="D719" s="59"/>
      <c r="E719" s="59"/>
      <c r="F719" s="59"/>
      <c r="L719" s="59"/>
    </row>
    <row r="720" ht="12.75" customHeight="1">
      <c r="A720" s="68"/>
      <c r="B720" s="59"/>
      <c r="C720" s="59"/>
      <c r="D720" s="59"/>
      <c r="E720" s="59"/>
      <c r="F720" s="59"/>
      <c r="L720" s="59"/>
    </row>
    <row r="721" ht="12.75" customHeight="1">
      <c r="A721" s="68"/>
      <c r="B721" s="59"/>
      <c r="C721" s="59"/>
      <c r="D721" s="59"/>
      <c r="E721" s="59"/>
      <c r="F721" s="59"/>
      <c r="L721" s="59"/>
    </row>
    <row r="722" ht="12.75" customHeight="1">
      <c r="A722" s="68"/>
      <c r="B722" s="59"/>
      <c r="C722" s="59"/>
      <c r="D722" s="59"/>
      <c r="E722" s="59"/>
      <c r="F722" s="59"/>
      <c r="L722" s="59"/>
    </row>
    <row r="723" ht="12.75" customHeight="1">
      <c r="A723" s="68"/>
      <c r="B723" s="59"/>
      <c r="C723" s="59"/>
      <c r="D723" s="59"/>
      <c r="E723" s="59"/>
      <c r="F723" s="59"/>
      <c r="L723" s="59"/>
    </row>
    <row r="724" ht="12.75" customHeight="1">
      <c r="A724" s="68"/>
      <c r="B724" s="59"/>
      <c r="C724" s="59"/>
      <c r="D724" s="59"/>
      <c r="E724" s="59"/>
      <c r="F724" s="59"/>
      <c r="L724" s="59"/>
    </row>
    <row r="725" ht="12.75" customHeight="1">
      <c r="A725" s="68"/>
      <c r="B725" s="59"/>
      <c r="C725" s="59"/>
      <c r="D725" s="59"/>
      <c r="E725" s="59"/>
      <c r="F725" s="59"/>
      <c r="L725" s="59"/>
    </row>
    <row r="726" ht="12.75" customHeight="1">
      <c r="A726" s="68"/>
      <c r="B726" s="59"/>
      <c r="C726" s="59"/>
      <c r="D726" s="59"/>
      <c r="E726" s="59"/>
      <c r="F726" s="59"/>
      <c r="L726" s="59"/>
    </row>
    <row r="727" ht="12.75" customHeight="1">
      <c r="A727" s="68"/>
      <c r="B727" s="59"/>
      <c r="C727" s="59"/>
      <c r="D727" s="59"/>
      <c r="E727" s="59"/>
      <c r="F727" s="59"/>
      <c r="L727" s="59"/>
    </row>
    <row r="728" ht="12.75" customHeight="1">
      <c r="A728" s="68"/>
      <c r="B728" s="59"/>
      <c r="C728" s="59"/>
      <c r="D728" s="59"/>
      <c r="E728" s="59"/>
      <c r="F728" s="59"/>
      <c r="L728" s="59"/>
    </row>
    <row r="729" ht="12.75" customHeight="1">
      <c r="A729" s="68"/>
      <c r="B729" s="59"/>
      <c r="C729" s="59"/>
      <c r="D729" s="59"/>
      <c r="E729" s="59"/>
      <c r="F729" s="59"/>
      <c r="L729" s="59"/>
    </row>
    <row r="730" ht="12.75" customHeight="1">
      <c r="A730" s="68"/>
      <c r="B730" s="59"/>
      <c r="C730" s="59"/>
      <c r="D730" s="59"/>
      <c r="E730" s="59"/>
      <c r="F730" s="59"/>
      <c r="L730" s="59"/>
    </row>
    <row r="731" ht="12.75" customHeight="1">
      <c r="A731" s="68"/>
      <c r="B731" s="59"/>
      <c r="C731" s="59"/>
      <c r="D731" s="59"/>
      <c r="E731" s="59"/>
      <c r="F731" s="59"/>
      <c r="L731" s="59"/>
    </row>
    <row r="732" ht="12.75" customHeight="1">
      <c r="A732" s="68"/>
      <c r="B732" s="59"/>
      <c r="C732" s="59"/>
      <c r="D732" s="59"/>
      <c r="E732" s="59"/>
      <c r="F732" s="59"/>
      <c r="L732" s="59"/>
    </row>
    <row r="733" ht="12.75" customHeight="1">
      <c r="A733" s="68"/>
      <c r="B733" s="59"/>
      <c r="C733" s="59"/>
      <c r="D733" s="59"/>
      <c r="E733" s="59"/>
      <c r="F733" s="59"/>
      <c r="L733" s="59"/>
    </row>
    <row r="734" ht="12.75" customHeight="1">
      <c r="A734" s="68"/>
      <c r="B734" s="59"/>
      <c r="C734" s="59"/>
      <c r="D734" s="59"/>
      <c r="E734" s="59"/>
      <c r="F734" s="59"/>
      <c r="L734" s="59"/>
    </row>
    <row r="735" ht="12.75" customHeight="1">
      <c r="A735" s="68"/>
      <c r="B735" s="59"/>
      <c r="C735" s="59"/>
      <c r="D735" s="59"/>
      <c r="E735" s="59"/>
      <c r="F735" s="59"/>
      <c r="L735" s="59"/>
    </row>
    <row r="736" ht="12.75" customHeight="1">
      <c r="A736" s="68"/>
      <c r="B736" s="59"/>
      <c r="C736" s="59"/>
      <c r="D736" s="59"/>
      <c r="E736" s="59"/>
      <c r="F736" s="59"/>
      <c r="L736" s="59"/>
    </row>
    <row r="737" ht="12.75" customHeight="1">
      <c r="A737" s="68"/>
      <c r="B737" s="59"/>
      <c r="C737" s="59"/>
      <c r="D737" s="59"/>
      <c r="E737" s="59"/>
      <c r="F737" s="59"/>
      <c r="L737" s="59"/>
    </row>
    <row r="738" ht="12.75" customHeight="1">
      <c r="A738" s="68"/>
      <c r="B738" s="59"/>
      <c r="C738" s="59"/>
      <c r="D738" s="59"/>
      <c r="E738" s="59"/>
      <c r="F738" s="59"/>
      <c r="L738" s="59"/>
    </row>
    <row r="739" ht="12.75" customHeight="1">
      <c r="A739" s="68"/>
      <c r="B739" s="59"/>
      <c r="C739" s="59"/>
      <c r="D739" s="59"/>
      <c r="E739" s="59"/>
      <c r="F739" s="59"/>
      <c r="L739" s="59"/>
    </row>
    <row r="740" ht="12.75" customHeight="1">
      <c r="A740" s="68"/>
      <c r="B740" s="59"/>
      <c r="C740" s="59"/>
      <c r="D740" s="59"/>
      <c r="E740" s="59"/>
      <c r="F740" s="59"/>
      <c r="L740" s="59"/>
    </row>
    <row r="741" ht="12.75" customHeight="1">
      <c r="A741" s="68"/>
      <c r="B741" s="59"/>
      <c r="C741" s="59"/>
      <c r="D741" s="59"/>
      <c r="E741" s="59"/>
      <c r="F741" s="59"/>
      <c r="L741" s="59"/>
    </row>
    <row r="742" ht="12.75" customHeight="1">
      <c r="A742" s="68"/>
      <c r="B742" s="59"/>
      <c r="C742" s="59"/>
      <c r="D742" s="59"/>
      <c r="E742" s="59"/>
      <c r="F742" s="59"/>
      <c r="L742" s="59"/>
    </row>
    <row r="743" ht="12.75" customHeight="1">
      <c r="A743" s="68"/>
      <c r="B743" s="59"/>
      <c r="C743" s="59"/>
      <c r="D743" s="59"/>
      <c r="E743" s="59"/>
      <c r="F743" s="59"/>
      <c r="L743" s="59"/>
    </row>
    <row r="744" ht="12.75" customHeight="1">
      <c r="A744" s="68"/>
      <c r="B744" s="59"/>
      <c r="C744" s="59"/>
      <c r="D744" s="59"/>
      <c r="E744" s="59"/>
      <c r="F744" s="59"/>
      <c r="L744" s="59"/>
    </row>
    <row r="745" ht="12.75" customHeight="1">
      <c r="A745" s="68"/>
      <c r="B745" s="59"/>
      <c r="C745" s="59"/>
      <c r="D745" s="59"/>
      <c r="E745" s="59"/>
      <c r="F745" s="59"/>
      <c r="L745" s="59"/>
    </row>
    <row r="746" ht="12.75" customHeight="1">
      <c r="A746" s="68"/>
      <c r="B746" s="59"/>
      <c r="C746" s="59"/>
      <c r="D746" s="59"/>
      <c r="E746" s="59"/>
      <c r="F746" s="59"/>
      <c r="L746" s="59"/>
    </row>
    <row r="747" ht="12.75" customHeight="1">
      <c r="A747" s="68"/>
      <c r="B747" s="59"/>
      <c r="C747" s="59"/>
      <c r="D747" s="59"/>
      <c r="E747" s="59"/>
      <c r="F747" s="59"/>
      <c r="L747" s="59"/>
    </row>
    <row r="748" ht="12.75" customHeight="1">
      <c r="A748" s="68"/>
      <c r="B748" s="59"/>
      <c r="C748" s="59"/>
      <c r="D748" s="59"/>
      <c r="E748" s="59"/>
      <c r="F748" s="59"/>
      <c r="L748" s="59"/>
    </row>
    <row r="749" ht="12.75" customHeight="1">
      <c r="A749" s="68"/>
      <c r="B749" s="59"/>
      <c r="C749" s="59"/>
      <c r="D749" s="59"/>
      <c r="E749" s="59"/>
      <c r="F749" s="59"/>
      <c r="L749" s="59"/>
    </row>
    <row r="750" ht="12.75" customHeight="1">
      <c r="A750" s="68"/>
      <c r="B750" s="59"/>
      <c r="C750" s="59"/>
      <c r="D750" s="59"/>
      <c r="E750" s="59"/>
      <c r="F750" s="59"/>
      <c r="L750" s="59"/>
    </row>
    <row r="751" ht="12.75" customHeight="1">
      <c r="A751" s="68"/>
      <c r="B751" s="59"/>
      <c r="C751" s="59"/>
      <c r="D751" s="59"/>
      <c r="E751" s="59"/>
      <c r="F751" s="59"/>
      <c r="L751" s="59"/>
    </row>
    <row r="752" ht="12.75" customHeight="1">
      <c r="A752" s="68"/>
      <c r="B752" s="59"/>
      <c r="C752" s="59"/>
      <c r="D752" s="59"/>
      <c r="E752" s="59"/>
      <c r="F752" s="59"/>
      <c r="L752" s="59"/>
    </row>
    <row r="753" ht="12.75" customHeight="1">
      <c r="A753" s="68"/>
      <c r="B753" s="59"/>
      <c r="C753" s="59"/>
      <c r="D753" s="59"/>
      <c r="E753" s="59"/>
      <c r="F753" s="59"/>
      <c r="L753" s="59"/>
    </row>
    <row r="754" ht="12.75" customHeight="1">
      <c r="A754" s="68"/>
      <c r="B754" s="59"/>
      <c r="C754" s="59"/>
      <c r="D754" s="59"/>
      <c r="E754" s="59"/>
      <c r="F754" s="59"/>
      <c r="L754" s="59"/>
    </row>
    <row r="755" ht="12.75" customHeight="1">
      <c r="A755" s="68"/>
      <c r="B755" s="59"/>
      <c r="C755" s="59"/>
      <c r="D755" s="59"/>
      <c r="E755" s="59"/>
      <c r="F755" s="59"/>
      <c r="L755" s="59"/>
    </row>
    <row r="756" ht="12.75" customHeight="1">
      <c r="A756" s="68"/>
      <c r="B756" s="59"/>
      <c r="C756" s="59"/>
      <c r="D756" s="59"/>
      <c r="E756" s="59"/>
      <c r="F756" s="59"/>
      <c r="L756" s="59"/>
    </row>
    <row r="757" ht="12.75" customHeight="1">
      <c r="A757" s="68"/>
      <c r="B757" s="59"/>
      <c r="C757" s="59"/>
      <c r="D757" s="59"/>
      <c r="E757" s="59"/>
      <c r="F757" s="59"/>
      <c r="L757" s="59"/>
    </row>
    <row r="758" ht="12.75" customHeight="1">
      <c r="A758" s="68"/>
      <c r="B758" s="59"/>
      <c r="C758" s="59"/>
      <c r="D758" s="59"/>
      <c r="E758" s="59"/>
      <c r="F758" s="59"/>
      <c r="L758" s="59"/>
    </row>
    <row r="759" ht="12.75" customHeight="1">
      <c r="A759" s="68"/>
      <c r="B759" s="59"/>
      <c r="C759" s="59"/>
      <c r="D759" s="59"/>
      <c r="E759" s="59"/>
      <c r="F759" s="59"/>
      <c r="L759" s="59"/>
    </row>
    <row r="760" ht="12.75" customHeight="1">
      <c r="A760" s="68"/>
      <c r="B760" s="59"/>
      <c r="C760" s="59"/>
      <c r="D760" s="59"/>
      <c r="E760" s="59"/>
      <c r="F760" s="59"/>
      <c r="L760" s="59"/>
    </row>
    <row r="761" ht="12.75" customHeight="1">
      <c r="A761" s="68"/>
      <c r="B761" s="59"/>
      <c r="C761" s="59"/>
      <c r="D761" s="59"/>
      <c r="E761" s="59"/>
      <c r="F761" s="59"/>
      <c r="L761" s="59"/>
    </row>
    <row r="762" ht="12.75" customHeight="1">
      <c r="A762" s="68"/>
      <c r="B762" s="59"/>
      <c r="C762" s="59"/>
      <c r="D762" s="59"/>
      <c r="E762" s="59"/>
      <c r="F762" s="59"/>
      <c r="L762" s="59"/>
    </row>
    <row r="763" ht="12.75" customHeight="1">
      <c r="A763" s="68"/>
      <c r="B763" s="59"/>
      <c r="C763" s="59"/>
      <c r="D763" s="59"/>
      <c r="E763" s="59"/>
      <c r="F763" s="59"/>
      <c r="L763" s="59"/>
    </row>
    <row r="764" ht="12.75" customHeight="1">
      <c r="A764" s="68"/>
      <c r="B764" s="59"/>
      <c r="C764" s="59"/>
      <c r="D764" s="59"/>
      <c r="E764" s="59"/>
      <c r="F764" s="59"/>
      <c r="L764" s="59"/>
    </row>
    <row r="765" ht="12.75" customHeight="1">
      <c r="A765" s="68"/>
      <c r="B765" s="59"/>
      <c r="C765" s="59"/>
      <c r="D765" s="59"/>
      <c r="E765" s="59"/>
      <c r="F765" s="59"/>
      <c r="L765" s="59"/>
    </row>
    <row r="766" ht="12.75" customHeight="1">
      <c r="A766" s="68"/>
      <c r="B766" s="59"/>
      <c r="C766" s="59"/>
      <c r="D766" s="59"/>
      <c r="E766" s="59"/>
      <c r="F766" s="59"/>
      <c r="L766" s="59"/>
    </row>
    <row r="767" ht="12.75" customHeight="1">
      <c r="A767" s="68"/>
      <c r="B767" s="59"/>
      <c r="C767" s="59"/>
      <c r="D767" s="59"/>
      <c r="E767" s="59"/>
      <c r="F767" s="59"/>
      <c r="L767" s="59"/>
    </row>
    <row r="768" ht="12.75" customHeight="1">
      <c r="A768" s="68"/>
      <c r="B768" s="59"/>
      <c r="C768" s="59"/>
      <c r="D768" s="59"/>
      <c r="E768" s="59"/>
      <c r="F768" s="59"/>
      <c r="L768" s="59"/>
    </row>
    <row r="769" ht="12.75" customHeight="1">
      <c r="A769" s="68"/>
      <c r="B769" s="59"/>
      <c r="C769" s="59"/>
      <c r="D769" s="59"/>
      <c r="E769" s="59"/>
      <c r="F769" s="59"/>
      <c r="L769" s="59"/>
    </row>
    <row r="770" ht="12.75" customHeight="1">
      <c r="A770" s="68"/>
      <c r="B770" s="59"/>
      <c r="C770" s="59"/>
      <c r="D770" s="59"/>
      <c r="E770" s="59"/>
      <c r="F770" s="59"/>
      <c r="L770" s="59"/>
    </row>
    <row r="771" ht="12.75" customHeight="1">
      <c r="A771" s="68"/>
      <c r="B771" s="59"/>
      <c r="C771" s="59"/>
      <c r="D771" s="59"/>
      <c r="E771" s="59"/>
      <c r="F771" s="59"/>
      <c r="L771" s="59"/>
    </row>
    <row r="772" ht="12.75" customHeight="1">
      <c r="A772" s="68"/>
      <c r="B772" s="59"/>
      <c r="C772" s="59"/>
      <c r="D772" s="59"/>
      <c r="E772" s="59"/>
      <c r="F772" s="59"/>
      <c r="L772" s="59"/>
    </row>
    <row r="773" ht="12.75" customHeight="1">
      <c r="A773" s="68"/>
      <c r="B773" s="59"/>
      <c r="C773" s="59"/>
      <c r="D773" s="59"/>
      <c r="E773" s="59"/>
      <c r="F773" s="59"/>
      <c r="L773" s="59"/>
    </row>
    <row r="774" ht="12.75" customHeight="1">
      <c r="A774" s="68"/>
      <c r="B774" s="59"/>
      <c r="C774" s="59"/>
      <c r="D774" s="59"/>
      <c r="E774" s="59"/>
      <c r="F774" s="59"/>
      <c r="L774" s="59"/>
    </row>
    <row r="775" ht="12.75" customHeight="1">
      <c r="A775" s="68"/>
      <c r="B775" s="59"/>
      <c r="C775" s="59"/>
      <c r="D775" s="59"/>
      <c r="E775" s="59"/>
      <c r="F775" s="59"/>
      <c r="L775" s="59"/>
    </row>
    <row r="776" ht="12.75" customHeight="1">
      <c r="A776" s="68"/>
      <c r="B776" s="59"/>
      <c r="C776" s="59"/>
      <c r="D776" s="59"/>
      <c r="E776" s="59"/>
      <c r="F776" s="59"/>
      <c r="L776" s="59"/>
    </row>
    <row r="777" ht="12.75" customHeight="1">
      <c r="A777" s="68"/>
      <c r="B777" s="59"/>
      <c r="C777" s="59"/>
      <c r="D777" s="59"/>
      <c r="E777" s="59"/>
      <c r="F777" s="59"/>
      <c r="L777" s="59"/>
    </row>
    <row r="778" ht="12.75" customHeight="1">
      <c r="A778" s="68"/>
      <c r="B778" s="59"/>
      <c r="C778" s="59"/>
      <c r="D778" s="59"/>
      <c r="E778" s="59"/>
      <c r="F778" s="59"/>
      <c r="L778" s="59"/>
    </row>
    <row r="779" ht="12.75" customHeight="1">
      <c r="A779" s="68"/>
      <c r="B779" s="59"/>
      <c r="C779" s="59"/>
      <c r="D779" s="59"/>
      <c r="E779" s="59"/>
      <c r="F779" s="59"/>
      <c r="L779" s="59"/>
    </row>
    <row r="780" ht="12.75" customHeight="1">
      <c r="A780" s="68"/>
      <c r="B780" s="59"/>
      <c r="C780" s="59"/>
      <c r="D780" s="59"/>
      <c r="E780" s="59"/>
      <c r="F780" s="59"/>
      <c r="L780" s="59"/>
    </row>
    <row r="781" ht="12.75" customHeight="1">
      <c r="A781" s="68"/>
      <c r="B781" s="59"/>
      <c r="C781" s="59"/>
      <c r="D781" s="59"/>
      <c r="E781" s="59"/>
      <c r="F781" s="59"/>
      <c r="L781" s="59"/>
    </row>
    <row r="782" ht="12.75" customHeight="1">
      <c r="A782" s="68"/>
      <c r="B782" s="59"/>
      <c r="C782" s="59"/>
      <c r="D782" s="59"/>
      <c r="E782" s="59"/>
      <c r="F782" s="59"/>
      <c r="L782" s="59"/>
    </row>
    <row r="783" ht="12.75" customHeight="1">
      <c r="A783" s="68"/>
      <c r="B783" s="59"/>
      <c r="C783" s="59"/>
      <c r="D783" s="59"/>
      <c r="E783" s="59"/>
      <c r="F783" s="59"/>
      <c r="L783" s="59"/>
    </row>
    <row r="784" ht="12.75" customHeight="1">
      <c r="A784" s="68"/>
      <c r="B784" s="59"/>
      <c r="C784" s="59"/>
      <c r="D784" s="59"/>
      <c r="E784" s="59"/>
      <c r="F784" s="59"/>
      <c r="L784" s="59"/>
    </row>
    <row r="785" ht="12.75" customHeight="1">
      <c r="A785" s="68"/>
      <c r="B785" s="59"/>
      <c r="C785" s="59"/>
      <c r="D785" s="59"/>
      <c r="E785" s="59"/>
      <c r="F785" s="59"/>
      <c r="L785" s="59"/>
    </row>
    <row r="786" ht="12.75" customHeight="1">
      <c r="A786" s="68"/>
      <c r="B786" s="59"/>
      <c r="C786" s="59"/>
      <c r="D786" s="59"/>
      <c r="E786" s="59"/>
      <c r="F786" s="59"/>
      <c r="L786" s="59"/>
    </row>
    <row r="787" ht="12.75" customHeight="1">
      <c r="A787" s="68"/>
      <c r="B787" s="59"/>
      <c r="C787" s="59"/>
      <c r="D787" s="59"/>
      <c r="E787" s="59"/>
      <c r="F787" s="59"/>
      <c r="L787" s="59"/>
    </row>
    <row r="788" ht="12.75" customHeight="1">
      <c r="A788" s="68"/>
      <c r="B788" s="59"/>
      <c r="C788" s="59"/>
      <c r="D788" s="59"/>
      <c r="E788" s="59"/>
      <c r="F788" s="59"/>
      <c r="L788" s="59"/>
    </row>
    <row r="789" ht="12.75" customHeight="1">
      <c r="A789" s="68"/>
      <c r="B789" s="59"/>
      <c r="C789" s="59"/>
      <c r="D789" s="59"/>
      <c r="E789" s="59"/>
      <c r="F789" s="59"/>
      <c r="L789" s="59"/>
    </row>
    <row r="790" ht="12.75" customHeight="1">
      <c r="A790" s="68"/>
      <c r="B790" s="59"/>
      <c r="C790" s="59"/>
      <c r="D790" s="59"/>
      <c r="E790" s="59"/>
      <c r="F790" s="59"/>
      <c r="L790" s="59"/>
    </row>
    <row r="791" ht="12.75" customHeight="1">
      <c r="A791" s="68"/>
      <c r="B791" s="59"/>
      <c r="C791" s="59"/>
      <c r="D791" s="59"/>
      <c r="E791" s="59"/>
      <c r="F791" s="59"/>
      <c r="L791" s="59"/>
    </row>
    <row r="792" ht="12.75" customHeight="1">
      <c r="A792" s="68"/>
      <c r="B792" s="59"/>
      <c r="C792" s="59"/>
      <c r="D792" s="59"/>
      <c r="E792" s="59"/>
      <c r="F792" s="59"/>
      <c r="L792" s="59"/>
    </row>
    <row r="793" ht="12.75" customHeight="1">
      <c r="A793" s="68"/>
      <c r="B793" s="59"/>
      <c r="C793" s="59"/>
      <c r="D793" s="59"/>
      <c r="E793" s="59"/>
      <c r="F793" s="59"/>
      <c r="L793" s="59"/>
    </row>
    <row r="794" ht="12.75" customHeight="1">
      <c r="A794" s="68"/>
      <c r="B794" s="59"/>
      <c r="C794" s="59"/>
      <c r="D794" s="59"/>
      <c r="E794" s="59"/>
      <c r="F794" s="59"/>
      <c r="L794" s="59"/>
    </row>
    <row r="795" ht="12.75" customHeight="1">
      <c r="A795" s="68"/>
      <c r="B795" s="59"/>
      <c r="C795" s="59"/>
      <c r="D795" s="59"/>
      <c r="E795" s="59"/>
      <c r="F795" s="59"/>
      <c r="L795" s="59"/>
    </row>
    <row r="796" ht="12.75" customHeight="1">
      <c r="A796" s="68"/>
      <c r="B796" s="59"/>
      <c r="C796" s="59"/>
      <c r="D796" s="59"/>
      <c r="E796" s="59"/>
      <c r="F796" s="59"/>
      <c r="L796" s="59"/>
    </row>
    <row r="797" ht="12.75" customHeight="1">
      <c r="A797" s="68"/>
      <c r="B797" s="59"/>
      <c r="C797" s="59"/>
      <c r="D797" s="59"/>
      <c r="E797" s="59"/>
      <c r="F797" s="59"/>
      <c r="L797" s="59"/>
    </row>
    <row r="798" ht="12.75" customHeight="1">
      <c r="A798" s="68"/>
      <c r="B798" s="59"/>
      <c r="C798" s="59"/>
      <c r="D798" s="59"/>
      <c r="E798" s="59"/>
      <c r="F798" s="59"/>
      <c r="L798" s="59"/>
    </row>
    <row r="799" ht="12.75" customHeight="1">
      <c r="A799" s="68"/>
      <c r="B799" s="59"/>
      <c r="C799" s="59"/>
      <c r="D799" s="59"/>
      <c r="E799" s="59"/>
      <c r="F799" s="59"/>
      <c r="L799" s="59"/>
    </row>
    <row r="800" ht="12.75" customHeight="1">
      <c r="A800" s="68"/>
      <c r="B800" s="59"/>
      <c r="C800" s="59"/>
      <c r="D800" s="59"/>
      <c r="E800" s="59"/>
      <c r="F800" s="59"/>
      <c r="L800" s="59"/>
    </row>
    <row r="801" ht="12.75" customHeight="1">
      <c r="A801" s="68"/>
      <c r="B801" s="59"/>
      <c r="C801" s="59"/>
      <c r="D801" s="59"/>
      <c r="E801" s="59"/>
      <c r="F801" s="59"/>
      <c r="L801" s="59"/>
    </row>
    <row r="802" ht="12.75" customHeight="1">
      <c r="A802" s="68"/>
      <c r="B802" s="59"/>
      <c r="C802" s="59"/>
      <c r="D802" s="59"/>
      <c r="E802" s="59"/>
      <c r="F802" s="59"/>
      <c r="L802" s="59"/>
    </row>
    <row r="803" ht="12.75" customHeight="1">
      <c r="A803" s="68"/>
      <c r="B803" s="59"/>
      <c r="C803" s="59"/>
      <c r="D803" s="59"/>
      <c r="E803" s="59"/>
      <c r="F803" s="59"/>
      <c r="L803" s="59"/>
    </row>
    <row r="804" ht="12.75" customHeight="1">
      <c r="A804" s="68"/>
      <c r="B804" s="59"/>
      <c r="C804" s="59"/>
      <c r="D804" s="59"/>
      <c r="E804" s="59"/>
      <c r="F804" s="59"/>
      <c r="L804" s="59"/>
    </row>
    <row r="805" ht="12.75" customHeight="1">
      <c r="A805" s="68"/>
      <c r="B805" s="59"/>
      <c r="C805" s="59"/>
      <c r="D805" s="59"/>
      <c r="E805" s="59"/>
      <c r="F805" s="59"/>
      <c r="L805" s="59"/>
    </row>
    <row r="806" ht="12.75" customHeight="1">
      <c r="A806" s="68"/>
      <c r="B806" s="59"/>
      <c r="C806" s="59"/>
      <c r="D806" s="59"/>
      <c r="E806" s="59"/>
      <c r="F806" s="59"/>
      <c r="L806" s="59"/>
    </row>
    <row r="807" ht="12.75" customHeight="1">
      <c r="A807" s="68"/>
      <c r="B807" s="59"/>
      <c r="C807" s="59"/>
      <c r="D807" s="59"/>
      <c r="E807" s="59"/>
      <c r="F807" s="59"/>
      <c r="L807" s="59"/>
    </row>
    <row r="808" ht="12.75" customHeight="1">
      <c r="A808" s="68"/>
      <c r="B808" s="59"/>
      <c r="C808" s="59"/>
      <c r="D808" s="59"/>
      <c r="E808" s="59"/>
      <c r="F808" s="59"/>
      <c r="L808" s="59"/>
    </row>
    <row r="809" ht="12.75" customHeight="1">
      <c r="A809" s="68"/>
      <c r="B809" s="59"/>
      <c r="C809" s="59"/>
      <c r="D809" s="59"/>
      <c r="E809" s="59"/>
      <c r="F809" s="59"/>
      <c r="L809" s="59"/>
    </row>
    <row r="810" ht="12.75" customHeight="1">
      <c r="A810" s="68"/>
      <c r="B810" s="59"/>
      <c r="C810" s="59"/>
      <c r="D810" s="59"/>
      <c r="E810" s="59"/>
      <c r="F810" s="59"/>
      <c r="L810" s="59"/>
    </row>
    <row r="811" ht="12.75" customHeight="1">
      <c r="A811" s="68"/>
      <c r="B811" s="59"/>
      <c r="C811" s="59"/>
      <c r="D811" s="59"/>
      <c r="E811" s="59"/>
      <c r="F811" s="59"/>
      <c r="L811" s="59"/>
    </row>
    <row r="812" ht="12.75" customHeight="1">
      <c r="A812" s="68"/>
      <c r="B812" s="59"/>
      <c r="C812" s="59"/>
      <c r="D812" s="59"/>
      <c r="E812" s="59"/>
      <c r="F812" s="59"/>
      <c r="L812" s="59"/>
    </row>
    <row r="813" ht="12.75" customHeight="1">
      <c r="A813" s="68"/>
      <c r="B813" s="59"/>
      <c r="C813" s="59"/>
      <c r="D813" s="59"/>
      <c r="E813" s="59"/>
      <c r="F813" s="59"/>
      <c r="L813" s="59"/>
    </row>
    <row r="814" ht="12.75" customHeight="1">
      <c r="A814" s="68"/>
      <c r="B814" s="59"/>
      <c r="C814" s="59"/>
      <c r="D814" s="59"/>
      <c r="E814" s="59"/>
      <c r="F814" s="59"/>
      <c r="L814" s="59"/>
    </row>
    <row r="815" ht="12.75" customHeight="1">
      <c r="A815" s="68"/>
      <c r="B815" s="59"/>
      <c r="C815" s="59"/>
      <c r="D815" s="59"/>
      <c r="E815" s="59"/>
      <c r="F815" s="59"/>
      <c r="L815" s="59"/>
    </row>
    <row r="816" ht="12.75" customHeight="1">
      <c r="A816" s="68"/>
      <c r="B816" s="59"/>
      <c r="C816" s="59"/>
      <c r="D816" s="59"/>
      <c r="E816" s="59"/>
      <c r="F816" s="59"/>
      <c r="L816" s="59"/>
    </row>
    <row r="817" ht="12.75" customHeight="1">
      <c r="A817" s="68"/>
      <c r="B817" s="59"/>
      <c r="C817" s="59"/>
      <c r="D817" s="59"/>
      <c r="E817" s="59"/>
      <c r="F817" s="59"/>
      <c r="L817" s="59"/>
    </row>
    <row r="818" ht="12.75" customHeight="1">
      <c r="A818" s="68"/>
      <c r="B818" s="59"/>
      <c r="C818" s="59"/>
      <c r="D818" s="59"/>
      <c r="E818" s="59"/>
      <c r="F818" s="59"/>
      <c r="L818" s="59"/>
    </row>
    <row r="819" ht="12.75" customHeight="1">
      <c r="A819" s="68"/>
      <c r="B819" s="59"/>
      <c r="C819" s="59"/>
      <c r="D819" s="59"/>
      <c r="E819" s="59"/>
      <c r="F819" s="59"/>
      <c r="L819" s="59"/>
    </row>
    <row r="820" ht="12.75" customHeight="1">
      <c r="A820" s="68"/>
      <c r="B820" s="59"/>
      <c r="C820" s="59"/>
      <c r="D820" s="59"/>
      <c r="E820" s="59"/>
      <c r="F820" s="59"/>
      <c r="L820" s="59"/>
    </row>
    <row r="821" ht="12.75" customHeight="1">
      <c r="A821" s="68"/>
      <c r="B821" s="59"/>
      <c r="C821" s="59"/>
      <c r="D821" s="59"/>
      <c r="E821" s="59"/>
      <c r="F821" s="59"/>
      <c r="L821" s="59"/>
    </row>
    <row r="822" ht="12.75" customHeight="1">
      <c r="A822" s="68"/>
      <c r="B822" s="59"/>
      <c r="C822" s="59"/>
      <c r="D822" s="59"/>
      <c r="E822" s="59"/>
      <c r="F822" s="59"/>
      <c r="L822" s="59"/>
    </row>
    <row r="823" ht="12.75" customHeight="1">
      <c r="A823" s="68"/>
      <c r="B823" s="59"/>
      <c r="C823" s="59"/>
      <c r="D823" s="59"/>
      <c r="E823" s="59"/>
      <c r="F823" s="59"/>
      <c r="L823" s="59"/>
    </row>
    <row r="824" ht="12.75" customHeight="1">
      <c r="A824" s="68"/>
      <c r="B824" s="59"/>
      <c r="C824" s="59"/>
      <c r="D824" s="59"/>
      <c r="E824" s="59"/>
      <c r="F824" s="59"/>
      <c r="L824" s="59"/>
    </row>
    <row r="825" ht="12.75" customHeight="1">
      <c r="A825" s="68"/>
      <c r="B825" s="59"/>
      <c r="C825" s="59"/>
      <c r="D825" s="59"/>
      <c r="E825" s="59"/>
      <c r="F825" s="59"/>
      <c r="L825" s="59"/>
    </row>
    <row r="826" ht="12.75" customHeight="1">
      <c r="A826" s="68"/>
      <c r="B826" s="59"/>
      <c r="C826" s="59"/>
      <c r="D826" s="59"/>
      <c r="E826" s="59"/>
      <c r="F826" s="59"/>
      <c r="L826" s="59"/>
    </row>
    <row r="827" ht="12.75" customHeight="1">
      <c r="A827" s="68"/>
      <c r="B827" s="59"/>
      <c r="C827" s="59"/>
      <c r="D827" s="59"/>
      <c r="E827" s="59"/>
      <c r="F827" s="59"/>
      <c r="L827" s="59"/>
    </row>
    <row r="828" ht="12.75" customHeight="1">
      <c r="A828" s="68"/>
      <c r="B828" s="59"/>
      <c r="C828" s="59"/>
      <c r="D828" s="59"/>
      <c r="E828" s="59"/>
      <c r="F828" s="59"/>
      <c r="L828" s="59"/>
    </row>
    <row r="829" ht="12.75" customHeight="1">
      <c r="A829" s="68"/>
      <c r="B829" s="59"/>
      <c r="C829" s="59"/>
      <c r="D829" s="59"/>
      <c r="E829" s="59"/>
      <c r="F829" s="59"/>
      <c r="L829" s="59"/>
    </row>
    <row r="830" ht="12.75" customHeight="1">
      <c r="A830" s="68"/>
      <c r="B830" s="59"/>
      <c r="C830" s="59"/>
      <c r="D830" s="59"/>
      <c r="E830" s="59"/>
      <c r="F830" s="59"/>
      <c r="L830" s="59"/>
    </row>
    <row r="831" ht="12.75" customHeight="1">
      <c r="A831" s="68"/>
      <c r="B831" s="59"/>
      <c r="C831" s="59"/>
      <c r="D831" s="59"/>
      <c r="E831" s="59"/>
      <c r="F831" s="59"/>
      <c r="L831" s="59"/>
    </row>
    <row r="832" ht="12.75" customHeight="1">
      <c r="A832" s="68"/>
      <c r="B832" s="59"/>
      <c r="C832" s="59"/>
      <c r="D832" s="59"/>
      <c r="E832" s="59"/>
      <c r="F832" s="59"/>
      <c r="L832" s="59"/>
    </row>
    <row r="833" ht="12.75" customHeight="1">
      <c r="A833" s="68"/>
      <c r="B833" s="59"/>
      <c r="C833" s="59"/>
      <c r="D833" s="59"/>
      <c r="E833" s="59"/>
      <c r="F833" s="59"/>
      <c r="L833" s="59"/>
    </row>
    <row r="834" ht="12.75" customHeight="1">
      <c r="A834" s="68"/>
      <c r="B834" s="59"/>
      <c r="C834" s="59"/>
      <c r="D834" s="59"/>
      <c r="E834" s="59"/>
      <c r="F834" s="59"/>
      <c r="L834" s="59"/>
    </row>
    <row r="835" ht="12.75" customHeight="1">
      <c r="A835" s="68"/>
      <c r="B835" s="59"/>
      <c r="C835" s="59"/>
      <c r="D835" s="59"/>
      <c r="E835" s="59"/>
      <c r="F835" s="59"/>
      <c r="L835" s="59"/>
    </row>
    <row r="836" ht="12.75" customHeight="1">
      <c r="A836" s="68"/>
      <c r="B836" s="59"/>
      <c r="C836" s="59"/>
      <c r="D836" s="59"/>
      <c r="E836" s="59"/>
      <c r="F836" s="59"/>
      <c r="L836" s="59"/>
    </row>
    <row r="837" ht="12.75" customHeight="1">
      <c r="A837" s="68"/>
      <c r="B837" s="59"/>
      <c r="C837" s="59"/>
      <c r="D837" s="59"/>
      <c r="E837" s="59"/>
      <c r="F837" s="59"/>
      <c r="L837" s="59"/>
    </row>
    <row r="838" ht="12.75" customHeight="1">
      <c r="A838" s="68"/>
      <c r="B838" s="59"/>
      <c r="C838" s="59"/>
      <c r="D838" s="59"/>
      <c r="E838" s="59"/>
      <c r="F838" s="59"/>
      <c r="L838" s="59"/>
    </row>
    <row r="839" ht="12.75" customHeight="1">
      <c r="A839" s="68"/>
      <c r="B839" s="59"/>
      <c r="C839" s="59"/>
      <c r="D839" s="59"/>
      <c r="E839" s="59"/>
      <c r="F839" s="59"/>
      <c r="L839" s="59"/>
    </row>
    <row r="840" ht="12.75" customHeight="1">
      <c r="A840" s="68"/>
      <c r="B840" s="59"/>
      <c r="C840" s="59"/>
      <c r="D840" s="59"/>
      <c r="E840" s="59"/>
      <c r="F840" s="59"/>
      <c r="L840" s="59"/>
    </row>
    <row r="841" ht="12.75" customHeight="1">
      <c r="A841" s="68"/>
      <c r="B841" s="59"/>
      <c r="C841" s="59"/>
      <c r="D841" s="59"/>
      <c r="E841" s="59"/>
      <c r="F841" s="59"/>
      <c r="L841" s="59"/>
    </row>
    <row r="842" ht="12.75" customHeight="1">
      <c r="A842" s="68"/>
      <c r="B842" s="59"/>
      <c r="C842" s="59"/>
      <c r="D842" s="59"/>
      <c r="E842" s="59"/>
      <c r="F842" s="59"/>
      <c r="L842" s="59"/>
    </row>
    <row r="843" ht="12.75" customHeight="1">
      <c r="A843" s="68"/>
      <c r="B843" s="59"/>
      <c r="C843" s="59"/>
      <c r="D843" s="59"/>
      <c r="E843" s="59"/>
      <c r="F843" s="59"/>
      <c r="L843" s="59"/>
    </row>
    <row r="844" ht="12.75" customHeight="1">
      <c r="A844" s="68"/>
      <c r="B844" s="59"/>
      <c r="C844" s="59"/>
      <c r="D844" s="59"/>
      <c r="E844" s="59"/>
      <c r="F844" s="59"/>
      <c r="L844" s="59"/>
    </row>
    <row r="845" ht="12.75" customHeight="1">
      <c r="A845" s="68"/>
      <c r="B845" s="59"/>
      <c r="C845" s="59"/>
      <c r="D845" s="59"/>
      <c r="E845" s="59"/>
      <c r="F845" s="59"/>
      <c r="L845" s="59"/>
    </row>
    <row r="846" ht="12.75" customHeight="1">
      <c r="A846" s="68"/>
      <c r="B846" s="59"/>
      <c r="C846" s="59"/>
      <c r="D846" s="59"/>
      <c r="E846" s="59"/>
      <c r="F846" s="59"/>
      <c r="L846" s="59"/>
    </row>
    <row r="847" ht="12.75" customHeight="1">
      <c r="A847" s="68"/>
      <c r="B847" s="59"/>
      <c r="C847" s="59"/>
      <c r="D847" s="59"/>
      <c r="E847" s="59"/>
      <c r="F847" s="59"/>
      <c r="L847" s="59"/>
    </row>
    <row r="848" ht="12.75" customHeight="1">
      <c r="A848" s="68"/>
      <c r="B848" s="59"/>
      <c r="C848" s="59"/>
      <c r="D848" s="59"/>
      <c r="E848" s="59"/>
      <c r="F848" s="59"/>
      <c r="L848" s="59"/>
    </row>
    <row r="849" ht="12.75" customHeight="1">
      <c r="A849" s="68"/>
      <c r="B849" s="59"/>
      <c r="C849" s="59"/>
      <c r="D849" s="59"/>
      <c r="E849" s="59"/>
      <c r="F849" s="59"/>
      <c r="L849" s="59"/>
    </row>
    <row r="850" ht="12.75" customHeight="1">
      <c r="A850" s="68"/>
      <c r="B850" s="59"/>
      <c r="C850" s="59"/>
      <c r="D850" s="59"/>
      <c r="E850" s="59"/>
      <c r="F850" s="59"/>
      <c r="L850" s="59"/>
    </row>
    <row r="851" ht="12.75" customHeight="1">
      <c r="A851" s="68"/>
      <c r="B851" s="59"/>
      <c r="C851" s="59"/>
      <c r="D851" s="59"/>
      <c r="E851" s="59"/>
      <c r="F851" s="59"/>
      <c r="L851" s="59"/>
    </row>
    <row r="852" ht="12.75" customHeight="1">
      <c r="A852" s="68"/>
      <c r="B852" s="59"/>
      <c r="C852" s="59"/>
      <c r="D852" s="59"/>
      <c r="E852" s="59"/>
      <c r="F852" s="59"/>
      <c r="L852" s="59"/>
    </row>
    <row r="853" ht="12.75" customHeight="1">
      <c r="A853" s="68"/>
      <c r="B853" s="59"/>
      <c r="C853" s="59"/>
      <c r="D853" s="59"/>
      <c r="E853" s="59"/>
      <c r="F853" s="59"/>
      <c r="L853" s="59"/>
    </row>
    <row r="854" ht="12.75" customHeight="1">
      <c r="A854" s="68"/>
      <c r="B854" s="59"/>
      <c r="C854" s="59"/>
      <c r="D854" s="59"/>
      <c r="E854" s="59"/>
      <c r="F854" s="59"/>
      <c r="L854" s="59"/>
    </row>
    <row r="855" ht="12.75" customHeight="1">
      <c r="A855" s="68"/>
      <c r="B855" s="59"/>
      <c r="C855" s="59"/>
      <c r="D855" s="59"/>
      <c r="E855" s="59"/>
      <c r="F855" s="59"/>
      <c r="L855" s="59"/>
    </row>
    <row r="856" ht="12.75" customHeight="1">
      <c r="A856" s="68"/>
      <c r="B856" s="59"/>
      <c r="C856" s="59"/>
      <c r="D856" s="59"/>
      <c r="E856" s="59"/>
      <c r="F856" s="59"/>
      <c r="L856" s="59"/>
    </row>
    <row r="857" ht="12.75" customHeight="1">
      <c r="A857" s="68"/>
      <c r="B857" s="59"/>
      <c r="C857" s="59"/>
      <c r="D857" s="59"/>
      <c r="E857" s="59"/>
      <c r="F857" s="59"/>
      <c r="L857" s="59"/>
    </row>
    <row r="858" ht="12.75" customHeight="1">
      <c r="A858" s="68"/>
      <c r="B858" s="59"/>
      <c r="C858" s="59"/>
      <c r="D858" s="59"/>
      <c r="E858" s="59"/>
      <c r="F858" s="59"/>
      <c r="L858" s="59"/>
    </row>
    <row r="859" ht="12.75" customHeight="1">
      <c r="A859" s="68"/>
      <c r="B859" s="59"/>
      <c r="C859" s="59"/>
      <c r="D859" s="59"/>
      <c r="E859" s="59"/>
      <c r="F859" s="59"/>
      <c r="L859" s="59"/>
    </row>
    <row r="860" ht="12.75" customHeight="1">
      <c r="A860" s="68"/>
      <c r="B860" s="59"/>
      <c r="C860" s="59"/>
      <c r="D860" s="59"/>
      <c r="E860" s="59"/>
      <c r="F860" s="59"/>
      <c r="L860" s="59"/>
    </row>
    <row r="861" ht="12.75" customHeight="1">
      <c r="A861" s="68"/>
      <c r="B861" s="59"/>
      <c r="C861" s="59"/>
      <c r="D861" s="59"/>
      <c r="E861" s="59"/>
      <c r="F861" s="59"/>
      <c r="L861" s="59"/>
    </row>
    <row r="862" ht="12.75" customHeight="1">
      <c r="A862" s="68"/>
      <c r="B862" s="59"/>
      <c r="C862" s="59"/>
      <c r="D862" s="59"/>
      <c r="E862" s="59"/>
      <c r="F862" s="59"/>
      <c r="L862" s="59"/>
    </row>
    <row r="863" ht="12.75" customHeight="1">
      <c r="A863" s="68"/>
      <c r="B863" s="59"/>
      <c r="C863" s="59"/>
      <c r="D863" s="59"/>
      <c r="E863" s="59"/>
      <c r="F863" s="59"/>
      <c r="L863" s="59"/>
    </row>
    <row r="864" ht="12.75" customHeight="1">
      <c r="A864" s="68"/>
      <c r="B864" s="59"/>
      <c r="C864" s="59"/>
      <c r="D864" s="59"/>
      <c r="E864" s="59"/>
      <c r="F864" s="59"/>
      <c r="L864" s="59"/>
    </row>
    <row r="865" ht="12.75" customHeight="1">
      <c r="A865" s="68"/>
      <c r="B865" s="59"/>
      <c r="C865" s="59"/>
      <c r="D865" s="59"/>
      <c r="E865" s="59"/>
      <c r="F865" s="59"/>
      <c r="L865" s="59"/>
    </row>
    <row r="866" ht="12.75" customHeight="1">
      <c r="A866" s="68"/>
      <c r="B866" s="59"/>
      <c r="C866" s="59"/>
      <c r="D866" s="59"/>
      <c r="E866" s="59"/>
      <c r="F866" s="59"/>
      <c r="L866" s="59"/>
    </row>
    <row r="867" ht="12.75" customHeight="1">
      <c r="A867" s="68"/>
      <c r="B867" s="59"/>
      <c r="C867" s="59"/>
      <c r="D867" s="59"/>
      <c r="E867" s="59"/>
      <c r="F867" s="59"/>
      <c r="L867" s="59"/>
    </row>
    <row r="868" ht="12.75" customHeight="1">
      <c r="A868" s="68"/>
      <c r="B868" s="59"/>
      <c r="C868" s="59"/>
      <c r="D868" s="59"/>
      <c r="E868" s="59"/>
      <c r="F868" s="59"/>
      <c r="L868" s="59"/>
    </row>
    <row r="869" ht="12.75" customHeight="1">
      <c r="A869" s="68"/>
      <c r="B869" s="59"/>
      <c r="C869" s="59"/>
      <c r="D869" s="59"/>
      <c r="E869" s="59"/>
      <c r="F869" s="59"/>
      <c r="L869" s="59"/>
    </row>
    <row r="870" ht="12.75" customHeight="1">
      <c r="A870" s="68"/>
      <c r="B870" s="59"/>
      <c r="C870" s="59"/>
      <c r="D870" s="59"/>
      <c r="E870" s="59"/>
      <c r="F870" s="59"/>
      <c r="L870" s="59"/>
    </row>
    <row r="871" ht="12.75" customHeight="1">
      <c r="A871" s="68"/>
      <c r="B871" s="59"/>
      <c r="C871" s="59"/>
      <c r="D871" s="59"/>
      <c r="E871" s="59"/>
      <c r="F871" s="59"/>
      <c r="L871" s="59"/>
    </row>
    <row r="872" ht="12.75" customHeight="1">
      <c r="A872" s="68"/>
      <c r="B872" s="59"/>
      <c r="C872" s="59"/>
      <c r="D872" s="59"/>
      <c r="E872" s="59"/>
      <c r="F872" s="59"/>
      <c r="L872" s="59"/>
    </row>
    <row r="873" ht="12.75" customHeight="1">
      <c r="A873" s="68"/>
      <c r="B873" s="59"/>
      <c r="C873" s="59"/>
      <c r="D873" s="59"/>
      <c r="E873" s="59"/>
      <c r="F873" s="59"/>
      <c r="L873" s="59"/>
    </row>
    <row r="874" ht="12.75" customHeight="1">
      <c r="A874" s="68"/>
      <c r="B874" s="59"/>
      <c r="C874" s="59"/>
      <c r="D874" s="59"/>
      <c r="E874" s="59"/>
      <c r="F874" s="59"/>
      <c r="L874" s="59"/>
    </row>
    <row r="875" ht="12.75" customHeight="1">
      <c r="A875" s="68"/>
      <c r="B875" s="59"/>
      <c r="C875" s="59"/>
      <c r="D875" s="59"/>
      <c r="E875" s="59"/>
      <c r="F875" s="59"/>
      <c r="L875" s="59"/>
    </row>
    <row r="876" ht="12.75" customHeight="1">
      <c r="A876" s="68"/>
      <c r="B876" s="59"/>
      <c r="C876" s="59"/>
      <c r="D876" s="59"/>
      <c r="E876" s="59"/>
      <c r="F876" s="59"/>
      <c r="L876" s="59"/>
    </row>
    <row r="877" ht="12.75" customHeight="1">
      <c r="A877" s="68"/>
      <c r="B877" s="59"/>
      <c r="C877" s="59"/>
      <c r="D877" s="59"/>
      <c r="E877" s="59"/>
      <c r="F877" s="59"/>
      <c r="L877" s="59"/>
    </row>
    <row r="878" ht="12.75" customHeight="1">
      <c r="A878" s="68"/>
      <c r="B878" s="59"/>
      <c r="C878" s="59"/>
      <c r="D878" s="59"/>
      <c r="E878" s="59"/>
      <c r="F878" s="59"/>
      <c r="L878" s="59"/>
    </row>
    <row r="879" ht="12.75" customHeight="1">
      <c r="A879" s="68"/>
      <c r="B879" s="59"/>
      <c r="C879" s="59"/>
      <c r="D879" s="59"/>
      <c r="E879" s="59"/>
      <c r="F879" s="59"/>
      <c r="L879" s="59"/>
    </row>
    <row r="880" ht="12.75" customHeight="1">
      <c r="A880" s="68"/>
      <c r="B880" s="59"/>
      <c r="C880" s="59"/>
      <c r="D880" s="59"/>
      <c r="E880" s="59"/>
      <c r="F880" s="59"/>
      <c r="L880" s="59"/>
    </row>
    <row r="881" ht="12.75" customHeight="1">
      <c r="A881" s="68"/>
      <c r="B881" s="59"/>
      <c r="C881" s="59"/>
      <c r="D881" s="59"/>
      <c r="E881" s="59"/>
      <c r="F881" s="59"/>
      <c r="L881" s="59"/>
    </row>
    <row r="882" ht="12.75" customHeight="1">
      <c r="A882" s="68"/>
      <c r="B882" s="59"/>
      <c r="C882" s="59"/>
      <c r="D882" s="59"/>
      <c r="E882" s="59"/>
      <c r="F882" s="59"/>
      <c r="L882" s="59"/>
    </row>
    <row r="883" ht="12.75" customHeight="1">
      <c r="A883" s="68"/>
      <c r="B883" s="59"/>
      <c r="C883" s="59"/>
      <c r="D883" s="59"/>
      <c r="E883" s="59"/>
      <c r="F883" s="59"/>
      <c r="L883" s="59"/>
    </row>
    <row r="884" ht="12.75" customHeight="1">
      <c r="A884" s="68"/>
      <c r="B884" s="59"/>
      <c r="C884" s="59"/>
      <c r="D884" s="59"/>
      <c r="E884" s="59"/>
      <c r="F884" s="59"/>
      <c r="L884" s="59"/>
    </row>
    <row r="885" ht="12.75" customHeight="1">
      <c r="A885" s="68"/>
      <c r="B885" s="59"/>
      <c r="C885" s="59"/>
      <c r="D885" s="59"/>
      <c r="E885" s="59"/>
      <c r="F885" s="59"/>
      <c r="L885" s="59"/>
    </row>
    <row r="886" ht="12.75" customHeight="1">
      <c r="A886" s="68"/>
      <c r="B886" s="59"/>
      <c r="C886" s="59"/>
      <c r="D886" s="59"/>
      <c r="E886" s="59"/>
      <c r="F886" s="59"/>
      <c r="L886" s="59"/>
    </row>
    <row r="887" ht="12.75" customHeight="1">
      <c r="A887" s="68"/>
      <c r="B887" s="59"/>
      <c r="C887" s="59"/>
      <c r="D887" s="59"/>
      <c r="E887" s="59"/>
      <c r="F887" s="59"/>
      <c r="L887" s="59"/>
    </row>
    <row r="888" ht="12.75" customHeight="1">
      <c r="A888" s="68"/>
      <c r="B888" s="59"/>
      <c r="C888" s="59"/>
      <c r="D888" s="59"/>
      <c r="E888" s="59"/>
      <c r="F888" s="59"/>
      <c r="L888" s="59"/>
    </row>
    <row r="889" ht="12.75" customHeight="1">
      <c r="A889" s="68"/>
      <c r="B889" s="59"/>
      <c r="C889" s="59"/>
      <c r="D889" s="59"/>
      <c r="E889" s="59"/>
      <c r="F889" s="59"/>
      <c r="L889" s="59"/>
    </row>
    <row r="890" ht="12.75" customHeight="1">
      <c r="A890" s="68"/>
      <c r="B890" s="59"/>
      <c r="C890" s="59"/>
      <c r="D890" s="59"/>
      <c r="E890" s="59"/>
      <c r="F890" s="59"/>
      <c r="L890" s="59"/>
    </row>
    <row r="891" ht="12.75" customHeight="1">
      <c r="A891" s="68"/>
      <c r="B891" s="59"/>
      <c r="C891" s="59"/>
      <c r="D891" s="59"/>
      <c r="E891" s="59"/>
      <c r="F891" s="59"/>
      <c r="L891" s="59"/>
    </row>
    <row r="892" ht="12.75" customHeight="1">
      <c r="A892" s="68"/>
      <c r="B892" s="59"/>
      <c r="C892" s="59"/>
      <c r="D892" s="59"/>
      <c r="E892" s="59"/>
      <c r="F892" s="59"/>
      <c r="L892" s="59"/>
    </row>
    <row r="893" ht="12.75" customHeight="1">
      <c r="A893" s="68"/>
      <c r="B893" s="59"/>
      <c r="C893" s="59"/>
      <c r="D893" s="59"/>
      <c r="E893" s="59"/>
      <c r="F893" s="59"/>
      <c r="L893" s="59"/>
    </row>
    <row r="894" ht="12.75" customHeight="1">
      <c r="A894" s="68"/>
      <c r="B894" s="59"/>
      <c r="C894" s="59"/>
      <c r="D894" s="59"/>
      <c r="E894" s="59"/>
      <c r="F894" s="59"/>
      <c r="L894" s="59"/>
    </row>
    <row r="895" ht="12.75" customHeight="1">
      <c r="A895" s="68"/>
      <c r="B895" s="59"/>
      <c r="C895" s="59"/>
      <c r="D895" s="59"/>
      <c r="E895" s="59"/>
      <c r="F895" s="59"/>
      <c r="L895" s="59"/>
    </row>
    <row r="896" ht="12.75" customHeight="1">
      <c r="A896" s="68"/>
      <c r="B896" s="59"/>
      <c r="C896" s="59"/>
      <c r="D896" s="59"/>
      <c r="E896" s="59"/>
      <c r="F896" s="59"/>
      <c r="L896" s="59"/>
    </row>
    <row r="897" ht="12.75" customHeight="1">
      <c r="A897" s="68"/>
      <c r="B897" s="59"/>
      <c r="C897" s="59"/>
      <c r="D897" s="59"/>
      <c r="E897" s="59"/>
      <c r="F897" s="59"/>
      <c r="L897" s="59"/>
    </row>
    <row r="898" ht="12.75" customHeight="1">
      <c r="A898" s="68"/>
      <c r="B898" s="59"/>
      <c r="C898" s="59"/>
      <c r="D898" s="59"/>
      <c r="E898" s="59"/>
      <c r="F898" s="59"/>
      <c r="L898" s="59"/>
    </row>
    <row r="899" ht="12.75" customHeight="1">
      <c r="A899" s="68"/>
      <c r="B899" s="59"/>
      <c r="C899" s="59"/>
      <c r="D899" s="59"/>
      <c r="E899" s="59"/>
      <c r="F899" s="59"/>
      <c r="L899" s="59"/>
    </row>
    <row r="900" ht="12.75" customHeight="1">
      <c r="A900" s="68"/>
      <c r="B900" s="59"/>
      <c r="C900" s="59"/>
      <c r="D900" s="59"/>
      <c r="E900" s="59"/>
      <c r="F900" s="59"/>
      <c r="L900" s="59"/>
    </row>
    <row r="901" ht="12.75" customHeight="1">
      <c r="A901" s="68"/>
      <c r="B901" s="59"/>
      <c r="C901" s="59"/>
      <c r="D901" s="59"/>
      <c r="E901" s="59"/>
      <c r="F901" s="59"/>
      <c r="L901" s="59"/>
    </row>
    <row r="902" ht="12.75" customHeight="1">
      <c r="A902" s="68"/>
      <c r="B902" s="59"/>
      <c r="C902" s="59"/>
      <c r="D902" s="59"/>
      <c r="E902" s="59"/>
      <c r="F902" s="59"/>
      <c r="L902" s="59"/>
    </row>
    <row r="903" ht="12.75" customHeight="1">
      <c r="A903" s="68"/>
      <c r="B903" s="59"/>
      <c r="C903" s="59"/>
      <c r="D903" s="59"/>
      <c r="E903" s="59"/>
      <c r="F903" s="59"/>
      <c r="L903" s="59"/>
    </row>
    <row r="904" ht="12.75" customHeight="1">
      <c r="A904" s="68"/>
      <c r="B904" s="59"/>
      <c r="C904" s="59"/>
      <c r="D904" s="59"/>
      <c r="E904" s="59"/>
      <c r="F904" s="59"/>
      <c r="L904" s="59"/>
    </row>
    <row r="905" ht="12.75" customHeight="1">
      <c r="A905" s="68"/>
      <c r="B905" s="59"/>
      <c r="C905" s="59"/>
      <c r="D905" s="59"/>
      <c r="E905" s="59"/>
      <c r="F905" s="59"/>
      <c r="L905" s="59"/>
    </row>
    <row r="906" ht="12.75" customHeight="1">
      <c r="A906" s="68"/>
      <c r="B906" s="59"/>
      <c r="C906" s="59"/>
      <c r="D906" s="59"/>
      <c r="E906" s="59"/>
      <c r="F906" s="59"/>
      <c r="L906" s="59"/>
    </row>
    <row r="907" ht="12.75" customHeight="1">
      <c r="A907" s="68"/>
      <c r="B907" s="59"/>
      <c r="C907" s="59"/>
      <c r="D907" s="59"/>
      <c r="E907" s="59"/>
      <c r="F907" s="59"/>
      <c r="L907" s="59"/>
    </row>
    <row r="908" ht="12.75" customHeight="1">
      <c r="A908" s="68"/>
      <c r="B908" s="59"/>
      <c r="C908" s="59"/>
      <c r="D908" s="59"/>
      <c r="E908" s="59"/>
      <c r="F908" s="59"/>
      <c r="L908" s="59"/>
    </row>
    <row r="909" ht="12.75" customHeight="1">
      <c r="A909" s="68"/>
      <c r="B909" s="59"/>
      <c r="C909" s="59"/>
      <c r="D909" s="59"/>
      <c r="E909" s="59"/>
      <c r="F909" s="59"/>
      <c r="L909" s="59"/>
    </row>
    <row r="910" ht="12.75" customHeight="1">
      <c r="A910" s="68"/>
      <c r="B910" s="59"/>
      <c r="C910" s="59"/>
      <c r="D910" s="59"/>
      <c r="E910" s="59"/>
      <c r="F910" s="59"/>
      <c r="L910" s="59"/>
    </row>
    <row r="911" ht="12.75" customHeight="1">
      <c r="A911" s="68"/>
      <c r="B911" s="59"/>
      <c r="C911" s="59"/>
      <c r="D911" s="59"/>
      <c r="E911" s="59"/>
      <c r="F911" s="59"/>
      <c r="L911" s="59"/>
    </row>
    <row r="912" ht="12.75" customHeight="1">
      <c r="A912" s="68"/>
      <c r="B912" s="59"/>
      <c r="C912" s="59"/>
      <c r="D912" s="59"/>
      <c r="E912" s="59"/>
      <c r="F912" s="59"/>
      <c r="L912" s="59"/>
    </row>
    <row r="913" ht="12.75" customHeight="1">
      <c r="A913" s="68"/>
      <c r="B913" s="59"/>
      <c r="C913" s="59"/>
      <c r="D913" s="59"/>
      <c r="E913" s="59"/>
      <c r="F913" s="59"/>
      <c r="L913" s="59"/>
    </row>
    <row r="914" ht="12.75" customHeight="1">
      <c r="A914" s="68"/>
      <c r="B914" s="59"/>
      <c r="C914" s="59"/>
      <c r="D914" s="59"/>
      <c r="E914" s="59"/>
      <c r="F914" s="59"/>
      <c r="L914" s="59"/>
    </row>
    <row r="915" ht="12.75" customHeight="1">
      <c r="A915" s="68"/>
      <c r="B915" s="59"/>
      <c r="C915" s="59"/>
      <c r="D915" s="59"/>
      <c r="E915" s="59"/>
      <c r="F915" s="59"/>
      <c r="L915" s="59"/>
    </row>
    <row r="916" ht="12.75" customHeight="1">
      <c r="A916" s="68"/>
      <c r="B916" s="59"/>
      <c r="C916" s="59"/>
      <c r="D916" s="59"/>
      <c r="E916" s="59"/>
      <c r="F916" s="59"/>
      <c r="L916" s="59"/>
    </row>
    <row r="917" ht="12.75" customHeight="1">
      <c r="A917" s="68"/>
      <c r="B917" s="59"/>
      <c r="C917" s="59"/>
      <c r="D917" s="59"/>
      <c r="E917" s="59"/>
      <c r="F917" s="59"/>
      <c r="L917" s="59"/>
    </row>
    <row r="918" ht="12.75" customHeight="1">
      <c r="A918" s="68"/>
      <c r="B918" s="59"/>
      <c r="C918" s="59"/>
      <c r="D918" s="59"/>
      <c r="E918" s="59"/>
      <c r="F918" s="59"/>
      <c r="L918" s="59"/>
    </row>
    <row r="919" ht="12.75" customHeight="1">
      <c r="A919" s="68"/>
      <c r="B919" s="59"/>
      <c r="C919" s="59"/>
      <c r="D919" s="59"/>
      <c r="E919" s="59"/>
      <c r="F919" s="59"/>
      <c r="L919" s="59"/>
    </row>
    <row r="920" ht="12.75" customHeight="1">
      <c r="A920" s="68"/>
      <c r="B920" s="59"/>
      <c r="C920" s="59"/>
      <c r="D920" s="59"/>
      <c r="E920" s="59"/>
      <c r="F920" s="59"/>
      <c r="L920" s="59"/>
    </row>
    <row r="921" ht="12.75" customHeight="1">
      <c r="A921" s="68"/>
      <c r="B921" s="59"/>
      <c r="C921" s="59"/>
      <c r="D921" s="59"/>
      <c r="E921" s="59"/>
      <c r="F921" s="59"/>
      <c r="L921" s="59"/>
    </row>
    <row r="922" ht="12.75" customHeight="1">
      <c r="A922" s="68"/>
      <c r="B922" s="59"/>
      <c r="C922" s="59"/>
      <c r="D922" s="59"/>
      <c r="E922" s="59"/>
      <c r="F922" s="59"/>
      <c r="L922" s="59"/>
    </row>
    <row r="923" ht="12.75" customHeight="1">
      <c r="A923" s="68"/>
      <c r="B923" s="59"/>
      <c r="C923" s="59"/>
      <c r="D923" s="59"/>
      <c r="E923" s="59"/>
      <c r="F923" s="59"/>
      <c r="L923" s="59"/>
    </row>
    <row r="924" ht="12.75" customHeight="1">
      <c r="A924" s="68"/>
      <c r="B924" s="59"/>
      <c r="C924" s="59"/>
      <c r="D924" s="59"/>
      <c r="E924" s="59"/>
      <c r="F924" s="59"/>
      <c r="L924" s="59"/>
    </row>
    <row r="925" ht="12.75" customHeight="1">
      <c r="A925" s="68"/>
      <c r="B925" s="59"/>
      <c r="C925" s="59"/>
      <c r="D925" s="59"/>
      <c r="E925" s="59"/>
      <c r="F925" s="59"/>
      <c r="L925" s="59"/>
    </row>
    <row r="926" ht="12.75" customHeight="1">
      <c r="A926" s="68"/>
      <c r="B926" s="59"/>
      <c r="C926" s="59"/>
      <c r="D926" s="59"/>
      <c r="E926" s="59"/>
      <c r="F926" s="59"/>
      <c r="L926" s="59"/>
    </row>
    <row r="927" ht="12.75" customHeight="1">
      <c r="A927" s="68"/>
      <c r="B927" s="59"/>
      <c r="C927" s="59"/>
      <c r="D927" s="59"/>
      <c r="E927" s="59"/>
      <c r="F927" s="59"/>
      <c r="L927" s="59"/>
    </row>
    <row r="928" ht="12.75" customHeight="1">
      <c r="A928" s="68"/>
      <c r="B928" s="59"/>
      <c r="C928" s="59"/>
      <c r="D928" s="59"/>
      <c r="E928" s="59"/>
      <c r="F928" s="59"/>
      <c r="L928" s="59"/>
    </row>
    <row r="929" ht="12.75" customHeight="1">
      <c r="A929" s="68"/>
      <c r="B929" s="59"/>
      <c r="C929" s="59"/>
      <c r="D929" s="59"/>
      <c r="E929" s="59"/>
      <c r="F929" s="59"/>
      <c r="L929" s="59"/>
    </row>
    <row r="930" ht="12.75" customHeight="1">
      <c r="A930" s="68"/>
      <c r="B930" s="59"/>
      <c r="C930" s="59"/>
      <c r="D930" s="59"/>
      <c r="E930" s="59"/>
      <c r="F930" s="59"/>
      <c r="L930" s="59"/>
    </row>
    <row r="931" ht="12.75" customHeight="1">
      <c r="A931" s="68"/>
      <c r="B931" s="59"/>
      <c r="C931" s="59"/>
      <c r="D931" s="59"/>
      <c r="E931" s="59"/>
      <c r="F931" s="59"/>
      <c r="L931" s="59"/>
    </row>
    <row r="932" ht="12.75" customHeight="1">
      <c r="A932" s="68"/>
      <c r="B932" s="59"/>
      <c r="C932" s="59"/>
      <c r="D932" s="59"/>
      <c r="E932" s="59"/>
      <c r="F932" s="59"/>
      <c r="L932" s="59"/>
    </row>
    <row r="933" ht="12.75" customHeight="1">
      <c r="A933" s="68"/>
      <c r="B933" s="59"/>
      <c r="C933" s="59"/>
      <c r="D933" s="59"/>
      <c r="E933" s="59"/>
      <c r="F933" s="59"/>
      <c r="L933" s="59"/>
    </row>
    <row r="934" ht="12.75" customHeight="1">
      <c r="A934" s="68"/>
      <c r="B934" s="59"/>
      <c r="C934" s="59"/>
      <c r="D934" s="59"/>
      <c r="E934" s="59"/>
      <c r="F934" s="59"/>
      <c r="L934" s="59"/>
    </row>
    <row r="935" ht="12.75" customHeight="1">
      <c r="A935" s="68"/>
      <c r="B935" s="59"/>
      <c r="C935" s="59"/>
      <c r="D935" s="59"/>
      <c r="E935" s="59"/>
      <c r="F935" s="59"/>
      <c r="L935" s="59"/>
    </row>
    <row r="936" ht="12.75" customHeight="1">
      <c r="A936" s="68"/>
      <c r="B936" s="59"/>
      <c r="C936" s="59"/>
      <c r="D936" s="59"/>
      <c r="E936" s="59"/>
      <c r="F936" s="59"/>
      <c r="L936" s="59"/>
    </row>
    <row r="937" ht="12.75" customHeight="1">
      <c r="A937" s="68"/>
      <c r="B937" s="59"/>
      <c r="C937" s="59"/>
      <c r="D937" s="59"/>
      <c r="E937" s="59"/>
      <c r="F937" s="59"/>
      <c r="L937" s="59"/>
    </row>
    <row r="938" ht="12.75" customHeight="1">
      <c r="A938" s="68"/>
      <c r="B938" s="59"/>
      <c r="C938" s="59"/>
      <c r="D938" s="59"/>
      <c r="E938" s="59"/>
      <c r="F938" s="59"/>
      <c r="L938" s="59"/>
    </row>
    <row r="939" ht="12.75" customHeight="1">
      <c r="A939" s="68"/>
      <c r="B939" s="59"/>
      <c r="C939" s="59"/>
      <c r="D939" s="59"/>
      <c r="E939" s="59"/>
      <c r="F939" s="59"/>
      <c r="L939" s="59"/>
    </row>
    <row r="940" ht="12.75" customHeight="1">
      <c r="A940" s="68"/>
      <c r="B940" s="59"/>
      <c r="C940" s="59"/>
      <c r="D940" s="59"/>
      <c r="E940" s="59"/>
      <c r="F940" s="59"/>
      <c r="L940" s="59"/>
    </row>
    <row r="941" ht="12.75" customHeight="1">
      <c r="A941" s="68"/>
      <c r="B941" s="59"/>
      <c r="C941" s="59"/>
      <c r="D941" s="59"/>
      <c r="E941" s="59"/>
      <c r="F941" s="59"/>
      <c r="L941" s="59"/>
    </row>
    <row r="942" ht="12.75" customHeight="1">
      <c r="A942" s="68"/>
      <c r="B942" s="59"/>
      <c r="C942" s="59"/>
      <c r="D942" s="59"/>
      <c r="E942" s="59"/>
      <c r="F942" s="59"/>
      <c r="L942" s="59"/>
    </row>
    <row r="943" ht="12.75" customHeight="1">
      <c r="A943" s="68"/>
      <c r="B943" s="59"/>
      <c r="C943" s="59"/>
      <c r="D943" s="59"/>
      <c r="E943" s="59"/>
      <c r="F943" s="59"/>
      <c r="L943" s="59"/>
    </row>
    <row r="944" ht="12.75" customHeight="1">
      <c r="A944" s="68"/>
      <c r="B944" s="59"/>
      <c r="C944" s="59"/>
      <c r="D944" s="59"/>
      <c r="E944" s="59"/>
      <c r="F944" s="59"/>
      <c r="L944" s="59"/>
    </row>
    <row r="945" ht="12.75" customHeight="1">
      <c r="A945" s="68"/>
      <c r="B945" s="59"/>
      <c r="C945" s="59"/>
      <c r="D945" s="59"/>
      <c r="E945" s="59"/>
      <c r="F945" s="59"/>
      <c r="L945" s="59"/>
    </row>
    <row r="946" ht="12.75" customHeight="1">
      <c r="A946" s="68"/>
      <c r="B946" s="59"/>
      <c r="C946" s="59"/>
      <c r="D946" s="59"/>
      <c r="E946" s="59"/>
      <c r="F946" s="59"/>
      <c r="L946" s="59"/>
    </row>
    <row r="947" ht="12.75" customHeight="1">
      <c r="A947" s="68"/>
      <c r="B947" s="59"/>
      <c r="C947" s="59"/>
      <c r="D947" s="59"/>
      <c r="E947" s="59"/>
      <c r="F947" s="59"/>
      <c r="L947" s="59"/>
    </row>
    <row r="948" ht="12.75" customHeight="1">
      <c r="A948" s="68"/>
      <c r="B948" s="59"/>
      <c r="C948" s="59"/>
      <c r="D948" s="59"/>
      <c r="E948" s="59"/>
      <c r="F948" s="59"/>
      <c r="L948" s="59"/>
    </row>
    <row r="949" ht="12.75" customHeight="1">
      <c r="A949" s="68"/>
      <c r="B949" s="59"/>
      <c r="C949" s="59"/>
      <c r="D949" s="59"/>
      <c r="E949" s="59"/>
      <c r="F949" s="59"/>
      <c r="L949" s="59"/>
    </row>
    <row r="950" ht="12.75" customHeight="1">
      <c r="A950" s="68"/>
      <c r="B950" s="59"/>
      <c r="C950" s="59"/>
      <c r="D950" s="59"/>
      <c r="E950" s="59"/>
      <c r="F950" s="59"/>
      <c r="L950" s="59"/>
    </row>
    <row r="951" ht="12.75" customHeight="1">
      <c r="A951" s="68"/>
      <c r="B951" s="59"/>
      <c r="C951" s="59"/>
      <c r="D951" s="59"/>
      <c r="E951" s="59"/>
      <c r="F951" s="59"/>
      <c r="L951" s="59"/>
    </row>
    <row r="952" ht="12.75" customHeight="1">
      <c r="A952" s="68"/>
      <c r="B952" s="59"/>
      <c r="C952" s="59"/>
      <c r="D952" s="59"/>
      <c r="E952" s="59"/>
      <c r="F952" s="59"/>
      <c r="L952" s="59"/>
    </row>
    <row r="953" ht="12.75" customHeight="1">
      <c r="A953" s="68"/>
      <c r="B953" s="59"/>
      <c r="C953" s="59"/>
      <c r="D953" s="59"/>
      <c r="E953" s="59"/>
      <c r="F953" s="59"/>
      <c r="L953" s="59"/>
    </row>
    <row r="954" ht="12.75" customHeight="1">
      <c r="A954" s="68"/>
      <c r="B954" s="59"/>
      <c r="C954" s="59"/>
      <c r="D954" s="59"/>
      <c r="E954" s="59"/>
      <c r="F954" s="59"/>
      <c r="L954" s="59"/>
    </row>
    <row r="955" ht="12.75" customHeight="1">
      <c r="A955" s="68"/>
      <c r="B955" s="59"/>
      <c r="C955" s="59"/>
      <c r="D955" s="59"/>
      <c r="E955" s="59"/>
      <c r="F955" s="59"/>
      <c r="L955" s="59"/>
    </row>
    <row r="956" ht="12.75" customHeight="1">
      <c r="A956" s="68"/>
      <c r="B956" s="59"/>
      <c r="C956" s="59"/>
      <c r="D956" s="59"/>
      <c r="E956" s="59"/>
      <c r="F956" s="59"/>
      <c r="L956" s="59"/>
    </row>
    <row r="957" ht="12.75" customHeight="1">
      <c r="A957" s="68"/>
      <c r="B957" s="59"/>
      <c r="C957" s="59"/>
      <c r="D957" s="59"/>
      <c r="E957" s="59"/>
      <c r="F957" s="59"/>
      <c r="L957" s="59"/>
    </row>
    <row r="958" ht="12.75" customHeight="1">
      <c r="A958" s="68"/>
      <c r="B958" s="59"/>
      <c r="C958" s="59"/>
      <c r="D958" s="59"/>
      <c r="E958" s="59"/>
      <c r="F958" s="59"/>
      <c r="L958" s="59"/>
    </row>
    <row r="959" ht="12.75" customHeight="1">
      <c r="A959" s="68"/>
      <c r="B959" s="59"/>
      <c r="C959" s="59"/>
      <c r="D959" s="59"/>
      <c r="E959" s="59"/>
      <c r="F959" s="59"/>
      <c r="L959" s="59"/>
    </row>
    <row r="960" ht="12.75" customHeight="1">
      <c r="A960" s="68"/>
      <c r="B960" s="59"/>
      <c r="C960" s="59"/>
      <c r="D960" s="59"/>
      <c r="E960" s="59"/>
      <c r="F960" s="59"/>
      <c r="L960" s="59"/>
    </row>
    <row r="961" ht="12.75" customHeight="1">
      <c r="A961" s="68"/>
      <c r="B961" s="59"/>
      <c r="C961" s="59"/>
      <c r="D961" s="59"/>
      <c r="E961" s="59"/>
      <c r="F961" s="59"/>
      <c r="L961" s="59"/>
    </row>
    <row r="962" ht="12.75" customHeight="1">
      <c r="A962" s="68"/>
      <c r="B962" s="59"/>
      <c r="C962" s="59"/>
      <c r="D962" s="59"/>
      <c r="E962" s="59"/>
      <c r="F962" s="59"/>
      <c r="L962" s="59"/>
    </row>
    <row r="963" ht="12.75" customHeight="1">
      <c r="A963" s="68"/>
      <c r="B963" s="59"/>
      <c r="C963" s="59"/>
      <c r="D963" s="59"/>
      <c r="E963" s="59"/>
      <c r="F963" s="59"/>
      <c r="L963" s="59"/>
    </row>
    <row r="964" ht="12.75" customHeight="1">
      <c r="A964" s="68"/>
      <c r="B964" s="59"/>
      <c r="C964" s="59"/>
      <c r="D964" s="59"/>
      <c r="E964" s="59"/>
      <c r="F964" s="59"/>
      <c r="L964" s="59"/>
    </row>
    <row r="965" ht="12.75" customHeight="1">
      <c r="A965" s="68"/>
      <c r="B965" s="59"/>
      <c r="C965" s="59"/>
      <c r="D965" s="59"/>
      <c r="E965" s="59"/>
      <c r="F965" s="59"/>
      <c r="L965" s="59"/>
    </row>
    <row r="966" ht="12.75" customHeight="1">
      <c r="A966" s="68"/>
      <c r="B966" s="59"/>
      <c r="C966" s="59"/>
      <c r="D966" s="59"/>
      <c r="E966" s="59"/>
      <c r="F966" s="59"/>
      <c r="L966" s="59"/>
    </row>
    <row r="967" ht="12.75" customHeight="1">
      <c r="A967" s="68"/>
      <c r="B967" s="59"/>
      <c r="C967" s="59"/>
      <c r="D967" s="59"/>
      <c r="E967" s="59"/>
      <c r="F967" s="59"/>
      <c r="L967" s="59"/>
    </row>
    <row r="968" ht="12.75" customHeight="1">
      <c r="A968" s="68"/>
      <c r="B968" s="59"/>
      <c r="C968" s="59"/>
      <c r="D968" s="59"/>
      <c r="E968" s="59"/>
      <c r="F968" s="59"/>
      <c r="L968" s="59"/>
    </row>
    <row r="969" ht="12.75" customHeight="1">
      <c r="A969" s="68"/>
      <c r="B969" s="59"/>
      <c r="C969" s="59"/>
      <c r="D969" s="59"/>
      <c r="E969" s="59"/>
      <c r="F969" s="59"/>
      <c r="L969" s="59"/>
    </row>
    <row r="970" ht="12.75" customHeight="1">
      <c r="A970" s="68"/>
      <c r="B970" s="59"/>
      <c r="C970" s="59"/>
      <c r="D970" s="59"/>
      <c r="E970" s="59"/>
      <c r="F970" s="59"/>
      <c r="L970" s="59"/>
    </row>
    <row r="971" ht="12.75" customHeight="1">
      <c r="A971" s="68"/>
      <c r="B971" s="59"/>
      <c r="C971" s="59"/>
      <c r="D971" s="59"/>
      <c r="E971" s="59"/>
      <c r="F971" s="59"/>
      <c r="L971" s="59"/>
    </row>
    <row r="972" ht="12.75" customHeight="1">
      <c r="A972" s="68"/>
      <c r="B972" s="59"/>
      <c r="C972" s="59"/>
      <c r="D972" s="59"/>
      <c r="E972" s="59"/>
      <c r="F972" s="59"/>
      <c r="L972" s="59"/>
    </row>
    <row r="973" ht="12.75" customHeight="1">
      <c r="A973" s="68"/>
      <c r="B973" s="59"/>
      <c r="C973" s="59"/>
      <c r="D973" s="59"/>
      <c r="E973" s="59"/>
      <c r="F973" s="59"/>
      <c r="L973" s="59"/>
    </row>
    <row r="974" ht="12.75" customHeight="1">
      <c r="A974" s="68"/>
      <c r="B974" s="59"/>
      <c r="C974" s="59"/>
      <c r="D974" s="59"/>
      <c r="E974" s="59"/>
      <c r="F974" s="59"/>
      <c r="L974" s="59"/>
    </row>
    <row r="975" ht="12.75" customHeight="1">
      <c r="A975" s="68"/>
      <c r="B975" s="59"/>
      <c r="C975" s="59"/>
      <c r="D975" s="59"/>
      <c r="E975" s="59"/>
      <c r="F975" s="59"/>
      <c r="L975" s="59"/>
    </row>
    <row r="976" ht="12.75" customHeight="1">
      <c r="A976" s="68"/>
      <c r="B976" s="59"/>
      <c r="C976" s="59"/>
      <c r="D976" s="59"/>
      <c r="E976" s="59"/>
      <c r="F976" s="59"/>
      <c r="L976" s="59"/>
    </row>
    <row r="977" ht="12.75" customHeight="1">
      <c r="A977" s="68"/>
      <c r="B977" s="59"/>
      <c r="C977" s="59"/>
      <c r="D977" s="59"/>
      <c r="E977" s="59"/>
      <c r="F977" s="59"/>
      <c r="L977" s="59"/>
    </row>
    <row r="978" ht="12.75" customHeight="1">
      <c r="A978" s="68"/>
      <c r="B978" s="59"/>
      <c r="C978" s="59"/>
      <c r="D978" s="59"/>
      <c r="E978" s="59"/>
      <c r="F978" s="59"/>
      <c r="L978" s="59"/>
    </row>
    <row r="979" ht="12.75" customHeight="1">
      <c r="A979" s="68"/>
      <c r="B979" s="59"/>
      <c r="C979" s="59"/>
      <c r="D979" s="59"/>
      <c r="E979" s="59"/>
      <c r="F979" s="59"/>
      <c r="L979" s="59"/>
    </row>
    <row r="980" ht="12.75" customHeight="1">
      <c r="A980" s="68"/>
      <c r="B980" s="59"/>
      <c r="C980" s="59"/>
      <c r="D980" s="59"/>
      <c r="E980" s="59"/>
      <c r="F980" s="59"/>
      <c r="L980" s="59"/>
    </row>
    <row r="981" ht="12.75" customHeight="1">
      <c r="A981" s="68"/>
      <c r="B981" s="59"/>
      <c r="C981" s="59"/>
      <c r="D981" s="59"/>
      <c r="E981" s="59"/>
      <c r="F981" s="59"/>
      <c r="L981" s="59"/>
    </row>
    <row r="982" ht="12.75" customHeight="1">
      <c r="A982" s="68"/>
      <c r="B982" s="59"/>
      <c r="C982" s="59"/>
      <c r="D982" s="59"/>
      <c r="E982" s="59"/>
      <c r="F982" s="59"/>
      <c r="L982" s="59"/>
    </row>
    <row r="983" ht="12.75" customHeight="1">
      <c r="A983" s="68"/>
      <c r="B983" s="59"/>
      <c r="C983" s="59"/>
      <c r="D983" s="59"/>
      <c r="E983" s="59"/>
      <c r="F983" s="59"/>
      <c r="L983" s="59"/>
    </row>
    <row r="984" ht="12.75" customHeight="1">
      <c r="A984" s="68"/>
      <c r="B984" s="59"/>
      <c r="C984" s="59"/>
      <c r="D984" s="59"/>
      <c r="E984" s="59"/>
      <c r="F984" s="59"/>
      <c r="L984" s="59"/>
    </row>
    <row r="985" ht="12.75" customHeight="1">
      <c r="A985" s="68"/>
      <c r="B985" s="59"/>
      <c r="C985" s="59"/>
      <c r="D985" s="59"/>
      <c r="E985" s="59"/>
      <c r="F985" s="59"/>
      <c r="L985" s="59"/>
    </row>
    <row r="986" ht="12.75" customHeight="1">
      <c r="A986" s="68"/>
      <c r="B986" s="59"/>
      <c r="C986" s="59"/>
      <c r="D986" s="59"/>
      <c r="E986" s="59"/>
      <c r="F986" s="59"/>
      <c r="L986" s="59"/>
    </row>
    <row r="987" ht="12.75" customHeight="1">
      <c r="A987" s="68"/>
      <c r="B987" s="59"/>
      <c r="C987" s="59"/>
      <c r="D987" s="59"/>
      <c r="E987" s="59"/>
      <c r="F987" s="59"/>
      <c r="L987" s="59"/>
    </row>
    <row r="988" ht="12.75" customHeight="1">
      <c r="A988" s="68"/>
      <c r="B988" s="59"/>
      <c r="C988" s="59"/>
      <c r="D988" s="59"/>
      <c r="E988" s="59"/>
      <c r="F988" s="59"/>
      <c r="L988" s="59"/>
    </row>
    <row r="989" ht="12.75" customHeight="1">
      <c r="A989" s="68"/>
      <c r="B989" s="59"/>
      <c r="C989" s="59"/>
      <c r="D989" s="59"/>
      <c r="E989" s="59"/>
      <c r="F989" s="59"/>
      <c r="L989" s="59"/>
    </row>
    <row r="990" ht="12.75" customHeight="1">
      <c r="A990" s="68"/>
      <c r="B990" s="59"/>
      <c r="C990" s="59"/>
      <c r="D990" s="59"/>
      <c r="E990" s="59"/>
      <c r="F990" s="59"/>
      <c r="L990" s="59"/>
    </row>
    <row r="991" ht="12.75" customHeight="1">
      <c r="A991" s="68"/>
      <c r="B991" s="59"/>
      <c r="C991" s="59"/>
      <c r="D991" s="59"/>
      <c r="E991" s="59"/>
      <c r="F991" s="59"/>
      <c r="L991" s="59"/>
    </row>
    <row r="992" ht="12.75" customHeight="1">
      <c r="A992" s="68"/>
      <c r="B992" s="59"/>
      <c r="C992" s="59"/>
      <c r="D992" s="59"/>
      <c r="E992" s="59"/>
      <c r="F992" s="59"/>
      <c r="L992" s="59"/>
    </row>
    <row r="993" ht="12.75" customHeight="1">
      <c r="A993" s="68"/>
      <c r="B993" s="59"/>
      <c r="C993" s="59"/>
      <c r="D993" s="59"/>
      <c r="E993" s="59"/>
      <c r="F993" s="59"/>
      <c r="L993" s="59"/>
    </row>
    <row r="994" ht="12.75" customHeight="1">
      <c r="A994" s="68"/>
      <c r="B994" s="59"/>
      <c r="C994" s="59"/>
      <c r="D994" s="59"/>
      <c r="E994" s="59"/>
      <c r="F994" s="59"/>
      <c r="L994" s="59"/>
    </row>
    <row r="995" ht="12.75" customHeight="1">
      <c r="A995" s="68"/>
      <c r="B995" s="59"/>
      <c r="C995" s="59"/>
      <c r="D995" s="59"/>
      <c r="E995" s="59"/>
      <c r="F995" s="59"/>
      <c r="L995" s="59"/>
    </row>
    <row r="996" ht="12.75" customHeight="1">
      <c r="A996" s="68"/>
      <c r="B996" s="59"/>
      <c r="C996" s="59"/>
      <c r="D996" s="59"/>
      <c r="E996" s="59"/>
      <c r="F996" s="59"/>
      <c r="L996" s="59"/>
    </row>
    <row r="997" ht="12.75" customHeight="1">
      <c r="A997" s="68"/>
      <c r="B997" s="59"/>
      <c r="C997" s="59"/>
      <c r="D997" s="59"/>
      <c r="E997" s="59"/>
      <c r="F997" s="59"/>
      <c r="L997" s="59"/>
    </row>
    <row r="998" ht="12.75" customHeight="1">
      <c r="A998" s="68"/>
      <c r="B998" s="59"/>
      <c r="C998" s="59"/>
      <c r="D998" s="59"/>
      <c r="E998" s="59"/>
      <c r="F998" s="59"/>
      <c r="L998" s="59"/>
    </row>
    <row r="999" ht="12.75" customHeight="1">
      <c r="A999" s="68"/>
      <c r="B999" s="59"/>
      <c r="C999" s="59"/>
      <c r="D999" s="59"/>
      <c r="E999" s="59"/>
      <c r="F999" s="59"/>
      <c r="L999" s="59"/>
    </row>
    <row r="1000" ht="12.75" customHeight="1">
      <c r="A1000" s="68"/>
      <c r="B1000" s="59"/>
      <c r="C1000" s="59"/>
      <c r="D1000" s="59"/>
      <c r="E1000" s="59"/>
      <c r="F1000" s="59"/>
      <c r="L1000" s="5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9" width="10.63"/>
    <col customWidth="1" min="10" max="10" width="3.0"/>
    <col customWidth="1" min="11" max="11" width="6.0"/>
    <col customWidth="1" min="12" max="26" width="10.63"/>
  </cols>
  <sheetData>
    <row r="1" ht="12.75" customHeight="1">
      <c r="A1" s="68">
        <v>5.0</v>
      </c>
      <c r="B1" s="59">
        <f t="shared" ref="B1:B31" si="1">D1-C1</f>
        <v>23320</v>
      </c>
      <c r="C1" s="59">
        <f>1517+838+319+1277+479</f>
        <v>4430</v>
      </c>
      <c r="D1" s="59">
        <f>9500+5250+2000+8000+3000</f>
        <v>27750</v>
      </c>
      <c r="E1" s="59">
        <f t="shared" ref="E1:E31" si="2">D1*2.3681%</f>
        <v>657.14775</v>
      </c>
      <c r="F1" s="59">
        <f t="shared" ref="F1:F31" si="3">D1-E1</f>
        <v>27092.85225</v>
      </c>
      <c r="J1" s="41">
        <v>1.0</v>
      </c>
      <c r="K1" s="63">
        <v>5.0</v>
      </c>
      <c r="L1" s="59">
        <f>9500+5250+2000+8000+3000</f>
        <v>27750</v>
      </c>
    </row>
    <row r="2" ht="12.75" customHeight="1">
      <c r="A2" s="68">
        <v>3.0</v>
      </c>
      <c r="B2" s="59">
        <f t="shared" si="1"/>
        <v>7899</v>
      </c>
      <c r="C2" s="59">
        <f>639+144+718</f>
        <v>1501</v>
      </c>
      <c r="D2" s="59">
        <f>4000+900+4500</f>
        <v>9400</v>
      </c>
      <c r="E2" s="59">
        <f t="shared" si="2"/>
        <v>222.6014</v>
      </c>
      <c r="F2" s="59">
        <f t="shared" si="3"/>
        <v>9177.3986</v>
      </c>
      <c r="J2" s="41">
        <v>2.0</v>
      </c>
      <c r="K2" s="63">
        <v>3.0</v>
      </c>
      <c r="L2" s="59">
        <f>4000+900+4500</f>
        <v>9400</v>
      </c>
    </row>
    <row r="3" ht="12.75" customHeight="1">
      <c r="A3" s="68">
        <v>2.0</v>
      </c>
      <c r="B3" s="59">
        <f t="shared" si="1"/>
        <v>11764</v>
      </c>
      <c r="C3" s="59">
        <f>1118+1118</f>
        <v>2236</v>
      </c>
      <c r="D3" s="59">
        <f>7000+7000</f>
        <v>14000</v>
      </c>
      <c r="E3" s="59">
        <f t="shared" si="2"/>
        <v>331.534</v>
      </c>
      <c r="F3" s="59">
        <f t="shared" si="3"/>
        <v>13668.466</v>
      </c>
      <c r="J3" s="41">
        <v>3.0</v>
      </c>
      <c r="K3" s="63">
        <v>2.0</v>
      </c>
      <c r="L3" s="59">
        <f>7000+7000</f>
        <v>14000</v>
      </c>
    </row>
    <row r="4" ht="12.75" customHeight="1">
      <c r="A4" s="68">
        <v>7.0</v>
      </c>
      <c r="B4" s="59">
        <f t="shared" si="1"/>
        <v>21806</v>
      </c>
      <c r="C4" s="59">
        <f>479+1421+679+239+559+160+607</f>
        <v>4144</v>
      </c>
      <c r="D4" s="59">
        <f>3000+8900+4250+1500+3500+1000+3800</f>
        <v>25950</v>
      </c>
      <c r="E4" s="59">
        <f t="shared" si="2"/>
        <v>614.52195</v>
      </c>
      <c r="F4" s="59">
        <f t="shared" si="3"/>
        <v>25335.47805</v>
      </c>
      <c r="J4" s="41">
        <v>4.0</v>
      </c>
      <c r="K4" s="63">
        <v>7.0</v>
      </c>
      <c r="L4" s="59">
        <f>3000+8900+4250+1500+3500+1000+3800</f>
        <v>25950</v>
      </c>
    </row>
    <row r="5" ht="12.75" customHeight="1">
      <c r="A5" s="68">
        <v>3.0</v>
      </c>
      <c r="B5" s="59">
        <f t="shared" si="1"/>
        <v>7143</v>
      </c>
      <c r="C5" s="59">
        <f>239+471+647</f>
        <v>1357</v>
      </c>
      <c r="D5" s="59">
        <f>1500+2950+4050</f>
        <v>8500</v>
      </c>
      <c r="E5" s="59">
        <f t="shared" si="2"/>
        <v>201.2885</v>
      </c>
      <c r="F5" s="59">
        <f t="shared" si="3"/>
        <v>8298.7115</v>
      </c>
      <c r="J5" s="41">
        <v>5.0</v>
      </c>
      <c r="K5" s="63">
        <v>3.0</v>
      </c>
      <c r="L5" s="59">
        <f>1500+2950+4050</f>
        <v>8500</v>
      </c>
    </row>
    <row r="6" ht="12.75" customHeight="1">
      <c r="A6" s="68">
        <v>6.0</v>
      </c>
      <c r="B6" s="59">
        <f t="shared" si="1"/>
        <v>21386</v>
      </c>
      <c r="C6" s="59">
        <f>647+886+479+615+160+1277</f>
        <v>4064</v>
      </c>
      <c r="D6" s="59">
        <f>4050+5550+3000+3850+1000+8000</f>
        <v>25450</v>
      </c>
      <c r="E6" s="59">
        <f t="shared" si="2"/>
        <v>602.68145</v>
      </c>
      <c r="F6" s="59">
        <f t="shared" si="3"/>
        <v>24847.31855</v>
      </c>
      <c r="J6" s="41">
        <v>6.0</v>
      </c>
      <c r="K6" s="63">
        <v>6.0</v>
      </c>
      <c r="L6" s="59">
        <f>4050+5550+3000+3850+1000+8000</f>
        <v>25450</v>
      </c>
    </row>
    <row r="7" ht="12.75" customHeight="1">
      <c r="A7" s="68">
        <v>7.0</v>
      </c>
      <c r="B7" s="59">
        <f t="shared" si="1"/>
        <v>20043</v>
      </c>
      <c r="C7" s="59">
        <f>958+399+319+503+319+303+1006</f>
        <v>3807</v>
      </c>
      <c r="D7" s="59">
        <f>6000+2500+2000+3150+2000+1900+6300</f>
        <v>23850</v>
      </c>
      <c r="E7" s="59">
        <f t="shared" si="2"/>
        <v>564.79185</v>
      </c>
      <c r="F7" s="59">
        <f t="shared" si="3"/>
        <v>23285.20815</v>
      </c>
      <c r="J7" s="41">
        <v>7.0</v>
      </c>
      <c r="K7" s="63">
        <v>7.0</v>
      </c>
      <c r="L7" s="59">
        <f>6000+2500+2000+3150+2000+1900+6300</f>
        <v>23850</v>
      </c>
    </row>
    <row r="8" ht="12.75" customHeight="1">
      <c r="A8" s="68">
        <v>0.0</v>
      </c>
      <c r="B8" s="59">
        <f t="shared" si="1"/>
        <v>0</v>
      </c>
      <c r="C8" s="59">
        <v>0.0</v>
      </c>
      <c r="D8" s="59">
        <v>0.0</v>
      </c>
      <c r="E8" s="59">
        <f t="shared" si="2"/>
        <v>0</v>
      </c>
      <c r="F8" s="59">
        <f t="shared" si="3"/>
        <v>0</v>
      </c>
      <c r="J8" s="41">
        <v>8.0</v>
      </c>
      <c r="K8" s="63">
        <v>0.0</v>
      </c>
      <c r="L8" s="59">
        <v>0.0</v>
      </c>
    </row>
    <row r="9" ht="12.75" customHeight="1">
      <c r="A9" s="68">
        <v>3.0</v>
      </c>
      <c r="B9" s="59">
        <f t="shared" si="1"/>
        <v>22102</v>
      </c>
      <c r="C9" s="59">
        <f>271+255+3672</f>
        <v>4198</v>
      </c>
      <c r="D9" s="59">
        <f>1700+1600+23000</f>
        <v>26300</v>
      </c>
      <c r="E9" s="59">
        <f t="shared" si="2"/>
        <v>622.8103</v>
      </c>
      <c r="F9" s="59">
        <f t="shared" si="3"/>
        <v>25677.1897</v>
      </c>
      <c r="J9" s="41">
        <v>9.0</v>
      </c>
      <c r="K9" s="63">
        <v>3.0</v>
      </c>
      <c r="L9" s="59">
        <f>1700+1600+23000</f>
        <v>26300</v>
      </c>
    </row>
    <row r="10" ht="12.75" customHeight="1">
      <c r="A10" s="68">
        <v>5.0</v>
      </c>
      <c r="B10" s="59">
        <f t="shared" si="1"/>
        <v>28781</v>
      </c>
      <c r="C10" s="59">
        <f>224+958+1996+822+1469</f>
        <v>5469</v>
      </c>
      <c r="D10" s="59">
        <f>1400+6000+12500+5150+9200</f>
        <v>34250</v>
      </c>
      <c r="E10" s="59">
        <f t="shared" si="2"/>
        <v>811.07425</v>
      </c>
      <c r="F10" s="59">
        <f t="shared" si="3"/>
        <v>33438.92575</v>
      </c>
      <c r="J10" s="41">
        <v>10.0</v>
      </c>
      <c r="K10" s="63">
        <v>5.0</v>
      </c>
      <c r="L10" s="59">
        <f>1400+6000+12500+5150+9200</f>
        <v>34250</v>
      </c>
    </row>
    <row r="11" ht="12.75" customHeight="1">
      <c r="A11" s="68">
        <v>7.0</v>
      </c>
      <c r="B11" s="59">
        <f t="shared" si="1"/>
        <v>24119</v>
      </c>
      <c r="C11" s="59">
        <f>152+399+431+1237+798+766+798</f>
        <v>4581</v>
      </c>
      <c r="D11" s="59">
        <f>950+2500+2700+7750+5000+4800+5000</f>
        <v>28700</v>
      </c>
      <c r="E11" s="59">
        <f t="shared" si="2"/>
        <v>679.6447</v>
      </c>
      <c r="F11" s="59">
        <f t="shared" si="3"/>
        <v>28020.3553</v>
      </c>
      <c r="J11" s="41">
        <v>11.0</v>
      </c>
      <c r="K11" s="63">
        <v>7.0</v>
      </c>
      <c r="L11" s="59">
        <f>950+2500+2700+7750+5000+4800+5000</f>
        <v>28700</v>
      </c>
    </row>
    <row r="12" ht="12.75" customHeight="1">
      <c r="A12" s="68">
        <v>4.0</v>
      </c>
      <c r="B12" s="59">
        <f t="shared" si="1"/>
        <v>8697</v>
      </c>
      <c r="C12" s="59">
        <f>695+319+160+479</f>
        <v>1653</v>
      </c>
      <c r="D12" s="59">
        <f>4350+2000+1000+3000</f>
        <v>10350</v>
      </c>
      <c r="E12" s="59">
        <f t="shared" si="2"/>
        <v>245.09835</v>
      </c>
      <c r="F12" s="59">
        <f t="shared" si="3"/>
        <v>10104.90165</v>
      </c>
      <c r="J12" s="41">
        <v>12.0</v>
      </c>
      <c r="K12" s="63">
        <v>4.0</v>
      </c>
      <c r="L12" s="59">
        <f>4350+2000+1000+3000</f>
        <v>10350</v>
      </c>
    </row>
    <row r="13" ht="12.75" customHeight="1">
      <c r="A13" s="68">
        <v>4.0</v>
      </c>
      <c r="B13" s="59">
        <f t="shared" si="1"/>
        <v>11808</v>
      </c>
      <c r="C13" s="59">
        <f>1277+431+247+287</f>
        <v>2242</v>
      </c>
      <c r="D13" s="59">
        <f>8000+2700+1550+1800</f>
        <v>14050</v>
      </c>
      <c r="E13" s="59">
        <f t="shared" si="2"/>
        <v>332.71805</v>
      </c>
      <c r="F13" s="59">
        <f t="shared" si="3"/>
        <v>13717.28195</v>
      </c>
      <c r="J13" s="41">
        <v>13.0</v>
      </c>
      <c r="K13" s="63">
        <v>4.0</v>
      </c>
      <c r="L13" s="59">
        <f>8000+2700+1550+1800</f>
        <v>14050</v>
      </c>
    </row>
    <row r="14" ht="12.75" customHeight="1">
      <c r="A14" s="68">
        <v>4.0</v>
      </c>
      <c r="B14" s="59">
        <f t="shared" si="1"/>
        <v>19117</v>
      </c>
      <c r="C14" s="59">
        <f>160+144+2714+615</f>
        <v>3633</v>
      </c>
      <c r="D14" s="59">
        <f>1000+900+17000+3850</f>
        <v>22750</v>
      </c>
      <c r="E14" s="59">
        <f t="shared" si="2"/>
        <v>538.74275</v>
      </c>
      <c r="F14" s="59">
        <f t="shared" si="3"/>
        <v>22211.25725</v>
      </c>
      <c r="J14" s="41">
        <v>14.0</v>
      </c>
      <c r="K14" s="63">
        <v>4.0</v>
      </c>
      <c r="L14" s="59">
        <f>1000+900+17000+3850</f>
        <v>22750</v>
      </c>
    </row>
    <row r="15" ht="12.75" customHeight="1">
      <c r="A15" s="68">
        <v>4.0</v>
      </c>
      <c r="B15" s="59">
        <f t="shared" si="1"/>
        <v>15043</v>
      </c>
      <c r="C15" s="59">
        <f>559+319+734+1245</f>
        <v>2857</v>
      </c>
      <c r="D15" s="59">
        <f>3500+2000+4600+7800</f>
        <v>17900</v>
      </c>
      <c r="E15" s="59">
        <f t="shared" si="2"/>
        <v>423.8899</v>
      </c>
      <c r="F15" s="59">
        <f t="shared" si="3"/>
        <v>17476.1101</v>
      </c>
      <c r="J15" s="41">
        <v>15.0</v>
      </c>
      <c r="K15" s="63">
        <v>4.0</v>
      </c>
      <c r="L15" s="59">
        <f>3500+2000+4600+7800</f>
        <v>17900</v>
      </c>
    </row>
    <row r="16" ht="12.75" customHeight="1">
      <c r="A16" s="68">
        <v>3.0</v>
      </c>
      <c r="B16" s="59">
        <f t="shared" si="1"/>
        <v>8740</v>
      </c>
      <c r="C16" s="59">
        <f>1118+303+239</f>
        <v>1660</v>
      </c>
      <c r="D16" s="59">
        <f>7000+1900+1500</f>
        <v>10400</v>
      </c>
      <c r="E16" s="59">
        <f t="shared" si="2"/>
        <v>246.2824</v>
      </c>
      <c r="F16" s="59">
        <f t="shared" si="3"/>
        <v>10153.7176</v>
      </c>
      <c r="J16" s="41">
        <v>16.0</v>
      </c>
      <c r="K16" s="63">
        <v>3.0</v>
      </c>
      <c r="L16" s="59">
        <f>7000+1900+1500</f>
        <v>10400</v>
      </c>
    </row>
    <row r="17" ht="12.75" customHeight="1">
      <c r="A17" s="68">
        <v>5.0</v>
      </c>
      <c r="B17" s="59">
        <f t="shared" si="1"/>
        <v>21176</v>
      </c>
      <c r="C17" s="59">
        <f>160+734+2698+224+208</f>
        <v>4024</v>
      </c>
      <c r="D17" s="59">
        <f>1000+4600+16900+1400+1300</f>
        <v>25200</v>
      </c>
      <c r="E17" s="59">
        <f t="shared" si="2"/>
        <v>596.7612</v>
      </c>
      <c r="F17" s="59">
        <f t="shared" si="3"/>
        <v>24603.2388</v>
      </c>
      <c r="J17" s="41">
        <v>17.0</v>
      </c>
      <c r="K17" s="63">
        <v>5.0</v>
      </c>
      <c r="L17" s="59">
        <f>1000+4600+16900+1400+1300</f>
        <v>25200</v>
      </c>
    </row>
    <row r="18" ht="12.75" customHeight="1">
      <c r="A18" s="68">
        <v>5.0</v>
      </c>
      <c r="B18" s="59">
        <f t="shared" si="1"/>
        <v>11680</v>
      </c>
      <c r="C18" s="59">
        <f>216+615+160+750+479</f>
        <v>2220</v>
      </c>
      <c r="D18" s="59">
        <f>1350+3850+1000+4700+3000</f>
        <v>13900</v>
      </c>
      <c r="E18" s="59">
        <f t="shared" si="2"/>
        <v>329.1659</v>
      </c>
      <c r="F18" s="59">
        <f t="shared" si="3"/>
        <v>13570.8341</v>
      </c>
      <c r="J18" s="41">
        <v>18.0</v>
      </c>
      <c r="K18" s="63">
        <v>5.0</v>
      </c>
      <c r="L18" s="59">
        <f>1350+3850+1000+4700+3000</f>
        <v>13900</v>
      </c>
    </row>
    <row r="19" ht="12.75" customHeight="1">
      <c r="A19" s="68">
        <v>4.0</v>
      </c>
      <c r="B19" s="59">
        <f t="shared" si="1"/>
        <v>14496</v>
      </c>
      <c r="C19" s="59">
        <f>1094+239+1182+239</f>
        <v>2754</v>
      </c>
      <c r="D19" s="59">
        <f>6850+1500+7400+1500</f>
        <v>17250</v>
      </c>
      <c r="E19" s="59">
        <f t="shared" si="2"/>
        <v>408.49725</v>
      </c>
      <c r="F19" s="59">
        <f t="shared" si="3"/>
        <v>16841.50275</v>
      </c>
      <c r="J19" s="41">
        <v>19.0</v>
      </c>
      <c r="K19" s="63">
        <v>4.0</v>
      </c>
      <c r="L19" s="59">
        <f>6850+1500+7400+1500</f>
        <v>17250</v>
      </c>
    </row>
    <row r="20" ht="12.75" customHeight="1">
      <c r="A20" s="68">
        <v>3.0</v>
      </c>
      <c r="B20" s="59">
        <f t="shared" si="1"/>
        <v>67479</v>
      </c>
      <c r="C20" s="59">
        <f>12071+495+255</f>
        <v>12821</v>
      </c>
      <c r="D20" s="59">
        <f>75600+3100+1600</f>
        <v>80300</v>
      </c>
      <c r="E20" s="59">
        <f t="shared" si="2"/>
        <v>1901.5843</v>
      </c>
      <c r="F20" s="59">
        <f t="shared" si="3"/>
        <v>78398.4157</v>
      </c>
      <c r="J20" s="41">
        <v>20.0</v>
      </c>
      <c r="K20" s="63">
        <v>3.0</v>
      </c>
      <c r="L20" s="59">
        <f>75600+3100+1600</f>
        <v>80300</v>
      </c>
    </row>
    <row r="21" ht="12.75" customHeight="1">
      <c r="A21" s="68">
        <v>3.0</v>
      </c>
      <c r="B21" s="59">
        <f t="shared" si="1"/>
        <v>6891</v>
      </c>
      <c r="C21" s="59">
        <f>287+671+351</f>
        <v>1309</v>
      </c>
      <c r="D21" s="59">
        <f>1800+4200+2200</f>
        <v>8200</v>
      </c>
      <c r="E21" s="59">
        <f t="shared" si="2"/>
        <v>194.1842</v>
      </c>
      <c r="F21" s="59">
        <f t="shared" si="3"/>
        <v>8005.8158</v>
      </c>
      <c r="J21" s="41">
        <v>21.0</v>
      </c>
      <c r="K21" s="63">
        <v>3.0</v>
      </c>
      <c r="L21" s="59">
        <f>1800+4200+2200</f>
        <v>8200</v>
      </c>
    </row>
    <row r="22" ht="12.75" customHeight="1">
      <c r="A22" s="68">
        <v>2.0</v>
      </c>
      <c r="B22" s="59">
        <f t="shared" si="1"/>
        <v>10924</v>
      </c>
      <c r="C22" s="59">
        <f>1437+639</f>
        <v>2076</v>
      </c>
      <c r="D22" s="59">
        <f>9000+4000</f>
        <v>13000</v>
      </c>
      <c r="E22" s="59">
        <f t="shared" si="2"/>
        <v>307.853</v>
      </c>
      <c r="F22" s="59">
        <f t="shared" si="3"/>
        <v>12692.147</v>
      </c>
      <c r="J22" s="41">
        <v>22.0</v>
      </c>
      <c r="K22" s="63">
        <v>2.0</v>
      </c>
      <c r="L22" s="59">
        <f>9000+4000</f>
        <v>13000</v>
      </c>
    </row>
    <row r="23" ht="12.75" customHeight="1">
      <c r="A23" s="68">
        <v>4.0</v>
      </c>
      <c r="B23" s="59">
        <f t="shared" si="1"/>
        <v>9916</v>
      </c>
      <c r="C23" s="59">
        <f>639+543+319+383</f>
        <v>1884</v>
      </c>
      <c r="D23" s="59">
        <f>4000+3400+2000+2400</f>
        <v>11800</v>
      </c>
      <c r="E23" s="59">
        <f t="shared" si="2"/>
        <v>279.4358</v>
      </c>
      <c r="F23" s="59">
        <f t="shared" si="3"/>
        <v>11520.5642</v>
      </c>
      <c r="J23" s="41">
        <v>23.0</v>
      </c>
      <c r="K23" s="63">
        <v>4.0</v>
      </c>
      <c r="L23" s="59">
        <f>4000+3400+2000+2400</f>
        <v>11800</v>
      </c>
    </row>
    <row r="24" ht="12.75" customHeight="1">
      <c r="A24" s="68">
        <v>4.0</v>
      </c>
      <c r="B24" s="59">
        <f t="shared" si="1"/>
        <v>33866</v>
      </c>
      <c r="C24" s="59">
        <f>543+255+2938+2698</f>
        <v>6434</v>
      </c>
      <c r="D24" s="59">
        <f>3400+1600+18400+16900</f>
        <v>40300</v>
      </c>
      <c r="E24" s="59">
        <f t="shared" si="2"/>
        <v>954.3443</v>
      </c>
      <c r="F24" s="59">
        <f t="shared" si="3"/>
        <v>39345.6557</v>
      </c>
      <c r="J24" s="41">
        <v>24.0</v>
      </c>
      <c r="K24" s="63">
        <v>4.0</v>
      </c>
      <c r="L24" s="59">
        <f>3400+1600+18400+16900</f>
        <v>40300</v>
      </c>
    </row>
    <row r="25" ht="12.75" customHeight="1">
      <c r="A25" s="68">
        <v>6.0</v>
      </c>
      <c r="B25" s="59">
        <f t="shared" si="1"/>
        <v>15672</v>
      </c>
      <c r="C25" s="59">
        <f>479+479+144+878+798+200</f>
        <v>2978</v>
      </c>
      <c r="D25" s="59">
        <f>3000+3000+900+5500+5000+1250</f>
        <v>18650</v>
      </c>
      <c r="E25" s="59">
        <f t="shared" si="2"/>
        <v>441.65065</v>
      </c>
      <c r="F25" s="59">
        <f t="shared" si="3"/>
        <v>18208.34935</v>
      </c>
      <c r="J25" s="41">
        <v>25.0</v>
      </c>
      <c r="K25" s="63">
        <v>6.0</v>
      </c>
      <c r="L25" s="59">
        <f>3000+3000+900+5500+5000+1250</f>
        <v>18650</v>
      </c>
    </row>
    <row r="26" ht="12.75" customHeight="1">
      <c r="A26" s="68">
        <v>5.0</v>
      </c>
      <c r="B26" s="59">
        <f t="shared" si="1"/>
        <v>10463</v>
      </c>
      <c r="C26" s="59">
        <f>495+806+303+287+96</f>
        <v>1987</v>
      </c>
      <c r="D26" s="59">
        <f>3100+5050+1900+1800+600</f>
        <v>12450</v>
      </c>
      <c r="E26" s="59">
        <f t="shared" si="2"/>
        <v>294.82845</v>
      </c>
      <c r="F26" s="59">
        <f t="shared" si="3"/>
        <v>12155.17155</v>
      </c>
      <c r="J26" s="41">
        <v>26.0</v>
      </c>
      <c r="K26" s="63">
        <v>5.0</v>
      </c>
      <c r="L26" s="59">
        <f>3100+5050+1900+1800+600</f>
        <v>12450</v>
      </c>
    </row>
    <row r="27" ht="12.75" customHeight="1">
      <c r="A27" s="68">
        <v>5.0</v>
      </c>
      <c r="B27" s="59">
        <f t="shared" si="1"/>
        <v>15630</v>
      </c>
      <c r="C27" s="59">
        <f>239+224+224+543+1740</f>
        <v>2970</v>
      </c>
      <c r="D27" s="59">
        <f>1500+1400+1400+3400+10900</f>
        <v>18600</v>
      </c>
      <c r="E27" s="59">
        <f t="shared" si="2"/>
        <v>440.4666</v>
      </c>
      <c r="F27" s="59">
        <f t="shared" si="3"/>
        <v>18159.5334</v>
      </c>
      <c r="J27" s="41">
        <v>27.0</v>
      </c>
      <c r="K27" s="63">
        <v>5.0</v>
      </c>
      <c r="L27" s="59">
        <f>1500+1400+1400+3400+10900</f>
        <v>18600</v>
      </c>
    </row>
    <row r="28" ht="12.75" customHeight="1">
      <c r="A28" s="68">
        <v>7.0</v>
      </c>
      <c r="B28" s="59">
        <f t="shared" si="1"/>
        <v>17269</v>
      </c>
      <c r="C28" s="59">
        <f>431+319+232+383+1405+383+128</f>
        <v>3281</v>
      </c>
      <c r="D28" s="59">
        <f>2700+2000+1450+2400+8800+2400+800</f>
        <v>20550</v>
      </c>
      <c r="E28" s="59">
        <f t="shared" si="2"/>
        <v>486.64455</v>
      </c>
      <c r="F28" s="59">
        <f t="shared" si="3"/>
        <v>20063.35545</v>
      </c>
      <c r="J28" s="41">
        <v>28.0</v>
      </c>
      <c r="K28" s="63">
        <v>7.0</v>
      </c>
      <c r="L28" s="59">
        <f>2700+2000+1450+2400+8800+2400+800</f>
        <v>20550</v>
      </c>
    </row>
    <row r="29" ht="12.75" customHeight="1">
      <c r="A29" s="68">
        <v>4.0</v>
      </c>
      <c r="B29" s="59">
        <f t="shared" si="1"/>
        <v>18740</v>
      </c>
      <c r="C29" s="59">
        <f>1732+479+894+455</f>
        <v>3560</v>
      </c>
      <c r="D29" s="59">
        <f>10850+3000+5600+2850</f>
        <v>22300</v>
      </c>
      <c r="E29" s="59">
        <f t="shared" si="2"/>
        <v>528.0863</v>
      </c>
      <c r="F29" s="59">
        <f t="shared" si="3"/>
        <v>21771.9137</v>
      </c>
      <c r="J29" s="41">
        <v>29.0</v>
      </c>
      <c r="K29" s="63">
        <v>4.0</v>
      </c>
      <c r="L29" s="59">
        <f>10850+3000+5600+2850</f>
        <v>22300</v>
      </c>
    </row>
    <row r="30" ht="12.75" customHeight="1">
      <c r="A30" s="68">
        <v>4.0</v>
      </c>
      <c r="B30" s="59">
        <f t="shared" si="1"/>
        <v>38403</v>
      </c>
      <c r="C30" s="59">
        <f>1437+974+415+4471</f>
        <v>7297</v>
      </c>
      <c r="D30" s="59">
        <f>9000+6100+2600+28000</f>
        <v>45700</v>
      </c>
      <c r="E30" s="59">
        <f t="shared" si="2"/>
        <v>1082.2217</v>
      </c>
      <c r="F30" s="59">
        <f t="shared" si="3"/>
        <v>44617.7783</v>
      </c>
      <c r="J30" s="41">
        <v>30.0</v>
      </c>
      <c r="K30" s="63">
        <v>4.0</v>
      </c>
      <c r="L30" s="59">
        <f>9000+6100+2600+28000</f>
        <v>45700</v>
      </c>
    </row>
    <row r="31" ht="12.75" customHeight="1">
      <c r="A31" s="68">
        <v>3.0</v>
      </c>
      <c r="B31" s="59">
        <f t="shared" si="1"/>
        <v>9622</v>
      </c>
      <c r="C31" s="59">
        <f>471+718+639</f>
        <v>1828</v>
      </c>
      <c r="D31" s="59">
        <f>2950+4500+4000</f>
        <v>11450</v>
      </c>
      <c r="E31" s="59">
        <f t="shared" si="2"/>
        <v>271.14745</v>
      </c>
      <c r="F31" s="59">
        <f t="shared" si="3"/>
        <v>11178.85255</v>
      </c>
      <c r="J31" s="41">
        <v>31.0</v>
      </c>
      <c r="K31" s="63">
        <v>3.0</v>
      </c>
      <c r="L31" s="59">
        <f>2950+4500+4000</f>
        <v>11450</v>
      </c>
    </row>
    <row r="32" ht="12.75" customHeight="1">
      <c r="A32" s="69">
        <f t="shared" ref="A32:F32" si="4">SUM(A1:A31)</f>
        <v>131</v>
      </c>
      <c r="B32" s="66">
        <f t="shared" si="4"/>
        <v>553995</v>
      </c>
      <c r="C32" s="66">
        <f t="shared" si="4"/>
        <v>105255</v>
      </c>
      <c r="D32" s="66">
        <f t="shared" si="4"/>
        <v>659250</v>
      </c>
      <c r="E32" s="67">
        <f t="shared" si="4"/>
        <v>15611.69925</v>
      </c>
      <c r="F32" s="67">
        <f t="shared" si="4"/>
        <v>643638.3008</v>
      </c>
      <c r="K32" s="25"/>
    </row>
    <row r="33" ht="12.75" customHeight="1">
      <c r="A33" s="68"/>
      <c r="B33" s="59"/>
      <c r="C33" s="59">
        <v>96449.0</v>
      </c>
      <c r="D33" s="59"/>
      <c r="E33" s="59"/>
      <c r="F33" s="59"/>
      <c r="K33" s="25"/>
    </row>
    <row r="34" ht="12.75" customHeight="1">
      <c r="A34" s="68"/>
      <c r="B34" s="59"/>
      <c r="C34" s="59">
        <f>C32-C33</f>
        <v>8806</v>
      </c>
      <c r="D34" s="59"/>
      <c r="E34" s="59"/>
      <c r="F34" s="59"/>
      <c r="K34" s="25"/>
    </row>
    <row r="35" ht="12.75" customHeight="1">
      <c r="A35" s="68"/>
      <c r="B35" s="59"/>
      <c r="C35" s="59"/>
      <c r="D35" s="59"/>
      <c r="E35" s="59"/>
      <c r="F35" s="59"/>
      <c r="K35" s="25"/>
    </row>
    <row r="36" ht="12.75" customHeight="1">
      <c r="A36" s="68"/>
      <c r="B36" s="59"/>
      <c r="C36" s="59"/>
      <c r="D36" s="59"/>
      <c r="E36" s="59"/>
      <c r="F36" s="59"/>
      <c r="K36" s="25"/>
    </row>
    <row r="37" ht="12.75" customHeight="1">
      <c r="A37" s="68"/>
      <c r="B37" s="59"/>
      <c r="C37" s="59"/>
      <c r="D37" s="59"/>
      <c r="E37" s="59"/>
      <c r="F37" s="59"/>
      <c r="K37" s="25"/>
    </row>
    <row r="38" ht="12.75" customHeight="1">
      <c r="A38" s="68"/>
      <c r="B38" s="59"/>
      <c r="C38" s="59"/>
      <c r="D38" s="59"/>
      <c r="E38" s="59"/>
      <c r="F38" s="59"/>
      <c r="K38" s="25"/>
    </row>
    <row r="39" ht="12.75" customHeight="1">
      <c r="A39" s="68"/>
      <c r="B39" s="59"/>
      <c r="C39" s="59"/>
      <c r="D39" s="59"/>
      <c r="E39" s="59"/>
      <c r="F39" s="59"/>
      <c r="K39" s="25"/>
    </row>
    <row r="40" ht="12.75" customHeight="1">
      <c r="A40" s="68"/>
      <c r="B40" s="59"/>
      <c r="C40" s="59"/>
      <c r="D40" s="59"/>
      <c r="E40" s="59"/>
      <c r="F40" s="59"/>
      <c r="K40" s="25"/>
    </row>
    <row r="41" ht="12.75" customHeight="1">
      <c r="A41" s="68"/>
      <c r="B41" s="59"/>
      <c r="C41" s="59"/>
      <c r="D41" s="59"/>
      <c r="E41" s="59"/>
      <c r="F41" s="59"/>
      <c r="K41" s="25"/>
    </row>
    <row r="42" ht="12.75" customHeight="1">
      <c r="A42" s="68"/>
      <c r="B42" s="59"/>
      <c r="C42" s="59"/>
      <c r="D42" s="59"/>
      <c r="E42" s="59"/>
      <c r="F42" s="59"/>
      <c r="K42" s="25"/>
    </row>
    <row r="43" ht="12.75" customHeight="1">
      <c r="A43" s="68"/>
      <c r="B43" s="59"/>
      <c r="C43" s="59"/>
      <c r="D43" s="59"/>
      <c r="E43" s="59"/>
      <c r="F43" s="59"/>
      <c r="K43" s="25"/>
    </row>
    <row r="44" ht="12.75" customHeight="1">
      <c r="A44" s="68"/>
      <c r="B44" s="59"/>
      <c r="C44" s="59"/>
      <c r="D44" s="59"/>
      <c r="E44" s="59"/>
      <c r="F44" s="59"/>
      <c r="K44" s="25"/>
    </row>
    <row r="45" ht="12.75" customHeight="1">
      <c r="A45" s="68"/>
      <c r="B45" s="59"/>
      <c r="C45" s="59"/>
      <c r="D45" s="59"/>
      <c r="E45" s="59"/>
      <c r="F45" s="59"/>
      <c r="K45" s="25"/>
    </row>
    <row r="46" ht="12.75" customHeight="1">
      <c r="A46" s="68"/>
      <c r="B46" s="59"/>
      <c r="C46" s="59"/>
      <c r="D46" s="59"/>
      <c r="E46" s="59"/>
      <c r="F46" s="59"/>
      <c r="K46" s="25"/>
    </row>
    <row r="47" ht="12.75" customHeight="1">
      <c r="A47" s="68"/>
      <c r="B47" s="59"/>
      <c r="C47" s="59"/>
      <c r="D47" s="59"/>
      <c r="E47" s="59"/>
      <c r="F47" s="59"/>
      <c r="K47" s="25"/>
    </row>
    <row r="48" ht="12.75" customHeight="1">
      <c r="A48" s="68"/>
      <c r="B48" s="59"/>
      <c r="C48" s="59"/>
      <c r="D48" s="59"/>
      <c r="E48" s="59"/>
      <c r="F48" s="59"/>
      <c r="K48" s="25"/>
    </row>
    <row r="49" ht="12.75" customHeight="1">
      <c r="A49" s="68"/>
      <c r="B49" s="59"/>
      <c r="C49" s="59"/>
      <c r="D49" s="59"/>
      <c r="E49" s="59"/>
      <c r="F49" s="59"/>
      <c r="K49" s="25"/>
    </row>
    <row r="50" ht="12.75" customHeight="1">
      <c r="A50" s="68"/>
      <c r="B50" s="59"/>
      <c r="C50" s="59"/>
      <c r="D50" s="59"/>
      <c r="E50" s="59"/>
      <c r="F50" s="59"/>
      <c r="K50" s="25"/>
    </row>
    <row r="51" ht="12.75" customHeight="1">
      <c r="A51" s="68"/>
      <c r="B51" s="59"/>
      <c r="C51" s="59"/>
      <c r="D51" s="59"/>
      <c r="E51" s="59"/>
      <c r="F51" s="59"/>
      <c r="K51" s="25"/>
    </row>
    <row r="52" ht="12.75" customHeight="1">
      <c r="A52" s="68"/>
      <c r="B52" s="59"/>
      <c r="C52" s="59"/>
      <c r="D52" s="59"/>
      <c r="E52" s="59"/>
      <c r="F52" s="59"/>
      <c r="K52" s="25"/>
    </row>
    <row r="53" ht="12.75" customHeight="1">
      <c r="A53" s="68"/>
      <c r="B53" s="59"/>
      <c r="C53" s="59"/>
      <c r="D53" s="59"/>
      <c r="E53" s="59"/>
      <c r="F53" s="59"/>
      <c r="K53" s="25"/>
    </row>
    <row r="54" ht="12.75" customHeight="1">
      <c r="A54" s="68"/>
      <c r="B54" s="59"/>
      <c r="C54" s="59"/>
      <c r="D54" s="59"/>
      <c r="E54" s="59"/>
      <c r="F54" s="59"/>
      <c r="K54" s="25"/>
    </row>
    <row r="55" ht="12.75" customHeight="1">
      <c r="A55" s="68"/>
      <c r="B55" s="59"/>
      <c r="C55" s="59"/>
      <c r="D55" s="59"/>
      <c r="E55" s="59"/>
      <c r="F55" s="59"/>
      <c r="K55" s="25"/>
    </row>
    <row r="56" ht="12.75" customHeight="1">
      <c r="A56" s="68"/>
      <c r="B56" s="59"/>
      <c r="C56" s="59"/>
      <c r="D56" s="59"/>
      <c r="E56" s="59"/>
      <c r="F56" s="59"/>
      <c r="K56" s="25"/>
    </row>
    <row r="57" ht="12.75" customHeight="1">
      <c r="A57" s="68"/>
      <c r="B57" s="59"/>
      <c r="C57" s="59"/>
      <c r="D57" s="59"/>
      <c r="E57" s="59"/>
      <c r="F57" s="59"/>
      <c r="K57" s="25"/>
    </row>
    <row r="58" ht="12.75" customHeight="1">
      <c r="A58" s="68"/>
      <c r="B58" s="59"/>
      <c r="C58" s="59"/>
      <c r="D58" s="59"/>
      <c r="E58" s="59"/>
      <c r="F58" s="59"/>
      <c r="K58" s="25"/>
    </row>
    <row r="59" ht="12.75" customHeight="1">
      <c r="A59" s="68"/>
      <c r="B59" s="59"/>
      <c r="C59" s="59"/>
      <c r="D59" s="59"/>
      <c r="E59" s="59"/>
      <c r="F59" s="59"/>
      <c r="K59" s="25"/>
    </row>
    <row r="60" ht="12.75" customHeight="1">
      <c r="A60" s="68"/>
      <c r="B60" s="59"/>
      <c r="C60" s="59"/>
      <c r="D60" s="59"/>
      <c r="E60" s="59"/>
      <c r="F60" s="59"/>
      <c r="K60" s="25"/>
    </row>
    <row r="61" ht="12.75" customHeight="1">
      <c r="A61" s="68"/>
      <c r="B61" s="59"/>
      <c r="C61" s="59"/>
      <c r="D61" s="59"/>
      <c r="E61" s="59"/>
      <c r="F61" s="59"/>
      <c r="K61" s="25"/>
    </row>
    <row r="62" ht="12.75" customHeight="1">
      <c r="A62" s="68"/>
      <c r="B62" s="59"/>
      <c r="C62" s="59"/>
      <c r="D62" s="59"/>
      <c r="E62" s="59"/>
      <c r="F62" s="59"/>
      <c r="K62" s="25"/>
    </row>
    <row r="63" ht="12.75" customHeight="1">
      <c r="A63" s="68"/>
      <c r="B63" s="59"/>
      <c r="C63" s="59"/>
      <c r="D63" s="59"/>
      <c r="E63" s="59"/>
      <c r="F63" s="59"/>
      <c r="K63" s="25"/>
    </row>
    <row r="64" ht="12.75" customHeight="1">
      <c r="A64" s="68"/>
      <c r="B64" s="59"/>
      <c r="C64" s="59"/>
      <c r="D64" s="59"/>
      <c r="E64" s="59"/>
      <c r="F64" s="59"/>
      <c r="K64" s="25"/>
    </row>
    <row r="65" ht="12.75" customHeight="1">
      <c r="A65" s="68"/>
      <c r="B65" s="59"/>
      <c r="C65" s="59"/>
      <c r="D65" s="59"/>
      <c r="E65" s="59"/>
      <c r="F65" s="59"/>
      <c r="K65" s="25"/>
    </row>
    <row r="66" ht="12.75" customHeight="1">
      <c r="A66" s="68"/>
      <c r="B66" s="59"/>
      <c r="C66" s="59"/>
      <c r="D66" s="59"/>
      <c r="E66" s="59"/>
      <c r="F66" s="59"/>
      <c r="K66" s="25"/>
    </row>
    <row r="67" ht="12.75" customHeight="1">
      <c r="A67" s="68"/>
      <c r="B67" s="59"/>
      <c r="C67" s="59"/>
      <c r="D67" s="59"/>
      <c r="E67" s="59"/>
      <c r="F67" s="59"/>
      <c r="K67" s="25"/>
    </row>
    <row r="68" ht="12.75" customHeight="1">
      <c r="A68" s="68"/>
      <c r="B68" s="59"/>
      <c r="C68" s="59"/>
      <c r="D68" s="59"/>
      <c r="E68" s="59"/>
      <c r="F68" s="59"/>
      <c r="K68" s="25"/>
    </row>
    <row r="69" ht="12.75" customHeight="1">
      <c r="A69" s="68"/>
      <c r="B69" s="59"/>
      <c r="C69" s="59"/>
      <c r="D69" s="59"/>
      <c r="E69" s="59"/>
      <c r="F69" s="59"/>
      <c r="K69" s="25"/>
    </row>
    <row r="70" ht="12.75" customHeight="1">
      <c r="A70" s="68"/>
      <c r="B70" s="59"/>
      <c r="C70" s="59"/>
      <c r="D70" s="59"/>
      <c r="E70" s="59"/>
      <c r="F70" s="59"/>
      <c r="K70" s="25"/>
    </row>
    <row r="71" ht="12.75" customHeight="1">
      <c r="A71" s="68"/>
      <c r="B71" s="59"/>
      <c r="C71" s="59"/>
      <c r="D71" s="59"/>
      <c r="E71" s="59"/>
      <c r="F71" s="59"/>
      <c r="K71" s="25"/>
    </row>
    <row r="72" ht="12.75" customHeight="1">
      <c r="A72" s="68"/>
      <c r="B72" s="59"/>
      <c r="C72" s="59"/>
      <c r="D72" s="59"/>
      <c r="E72" s="59"/>
      <c r="F72" s="59"/>
      <c r="K72" s="25"/>
    </row>
    <row r="73" ht="12.75" customHeight="1">
      <c r="A73" s="68"/>
      <c r="B73" s="59"/>
      <c r="C73" s="59"/>
      <c r="D73" s="59"/>
      <c r="E73" s="59"/>
      <c r="F73" s="59"/>
      <c r="K73" s="25"/>
    </row>
    <row r="74" ht="12.75" customHeight="1">
      <c r="A74" s="68"/>
      <c r="B74" s="59"/>
      <c r="C74" s="59"/>
      <c r="D74" s="59"/>
      <c r="E74" s="59"/>
      <c r="F74" s="59"/>
      <c r="K74" s="25"/>
    </row>
    <row r="75" ht="12.75" customHeight="1">
      <c r="A75" s="68"/>
      <c r="B75" s="59"/>
      <c r="C75" s="59"/>
      <c r="D75" s="59"/>
      <c r="E75" s="59"/>
      <c r="F75" s="59"/>
      <c r="K75" s="25"/>
    </row>
    <row r="76" ht="12.75" customHeight="1">
      <c r="A76" s="68"/>
      <c r="B76" s="59"/>
      <c r="C76" s="59"/>
      <c r="D76" s="59"/>
      <c r="E76" s="59"/>
      <c r="F76" s="59"/>
      <c r="K76" s="25"/>
    </row>
    <row r="77" ht="12.75" customHeight="1">
      <c r="A77" s="68"/>
      <c r="B77" s="59"/>
      <c r="C77" s="59"/>
      <c r="D77" s="59"/>
      <c r="E77" s="59"/>
      <c r="F77" s="59"/>
      <c r="K77" s="25"/>
    </row>
    <row r="78" ht="12.75" customHeight="1">
      <c r="A78" s="68"/>
      <c r="B78" s="59"/>
      <c r="C78" s="59"/>
      <c r="D78" s="59"/>
      <c r="E78" s="59"/>
      <c r="F78" s="59"/>
      <c r="K78" s="25"/>
    </row>
    <row r="79" ht="12.75" customHeight="1">
      <c r="A79" s="68"/>
      <c r="B79" s="59"/>
      <c r="C79" s="59"/>
      <c r="D79" s="59"/>
      <c r="E79" s="59"/>
      <c r="F79" s="59"/>
      <c r="K79" s="25"/>
    </row>
    <row r="80" ht="12.75" customHeight="1">
      <c r="A80" s="68"/>
      <c r="B80" s="59"/>
      <c r="C80" s="59"/>
      <c r="D80" s="59"/>
      <c r="E80" s="59"/>
      <c r="F80" s="59"/>
      <c r="K80" s="25"/>
    </row>
    <row r="81" ht="12.75" customHeight="1">
      <c r="A81" s="68"/>
      <c r="B81" s="59"/>
      <c r="C81" s="59"/>
      <c r="D81" s="59"/>
      <c r="E81" s="59"/>
      <c r="F81" s="59"/>
      <c r="K81" s="25"/>
    </row>
    <row r="82" ht="12.75" customHeight="1">
      <c r="A82" s="68"/>
      <c r="B82" s="59"/>
      <c r="C82" s="59"/>
      <c r="D82" s="59"/>
      <c r="E82" s="59"/>
      <c r="F82" s="59"/>
      <c r="K82" s="25"/>
    </row>
    <row r="83" ht="12.75" customHeight="1">
      <c r="A83" s="68"/>
      <c r="B83" s="59"/>
      <c r="C83" s="59"/>
      <c r="D83" s="59"/>
      <c r="E83" s="59"/>
      <c r="F83" s="59"/>
      <c r="K83" s="25"/>
    </row>
    <row r="84" ht="12.75" customHeight="1">
      <c r="A84" s="68"/>
      <c r="B84" s="59"/>
      <c r="C84" s="59"/>
      <c r="D84" s="59"/>
      <c r="E84" s="59"/>
      <c r="F84" s="59"/>
      <c r="K84" s="25"/>
    </row>
    <row r="85" ht="12.75" customHeight="1">
      <c r="A85" s="68"/>
      <c r="B85" s="59"/>
      <c r="C85" s="59"/>
      <c r="D85" s="59"/>
      <c r="E85" s="59"/>
      <c r="F85" s="59"/>
      <c r="K85" s="25"/>
    </row>
    <row r="86" ht="12.75" customHeight="1">
      <c r="A86" s="68"/>
      <c r="B86" s="59"/>
      <c r="C86" s="59"/>
      <c r="D86" s="59"/>
      <c r="E86" s="59"/>
      <c r="F86" s="59"/>
      <c r="K86" s="25"/>
    </row>
    <row r="87" ht="12.75" customHeight="1">
      <c r="A87" s="68"/>
      <c r="B87" s="59"/>
      <c r="C87" s="59"/>
      <c r="D87" s="59"/>
      <c r="E87" s="59"/>
      <c r="F87" s="59"/>
      <c r="K87" s="25"/>
    </row>
    <row r="88" ht="12.75" customHeight="1">
      <c r="A88" s="68"/>
      <c r="B88" s="59"/>
      <c r="C88" s="59"/>
      <c r="D88" s="59"/>
      <c r="E88" s="59"/>
      <c r="F88" s="59"/>
      <c r="K88" s="25"/>
    </row>
    <row r="89" ht="12.75" customHeight="1">
      <c r="A89" s="68"/>
      <c r="B89" s="59"/>
      <c r="C89" s="59"/>
      <c r="D89" s="59"/>
      <c r="E89" s="59"/>
      <c r="F89" s="59"/>
      <c r="K89" s="25"/>
    </row>
    <row r="90" ht="12.75" customHeight="1">
      <c r="A90" s="68"/>
      <c r="B90" s="59"/>
      <c r="C90" s="59"/>
      <c r="D90" s="59"/>
      <c r="E90" s="59"/>
      <c r="F90" s="59"/>
      <c r="K90" s="25"/>
    </row>
    <row r="91" ht="12.75" customHeight="1">
      <c r="A91" s="68"/>
      <c r="B91" s="59"/>
      <c r="C91" s="59"/>
      <c r="D91" s="59"/>
      <c r="E91" s="59"/>
      <c r="F91" s="59"/>
      <c r="K91" s="25"/>
    </row>
    <row r="92" ht="12.75" customHeight="1">
      <c r="A92" s="68"/>
      <c r="B92" s="59"/>
      <c r="C92" s="59"/>
      <c r="D92" s="59"/>
      <c r="E92" s="59"/>
      <c r="F92" s="59"/>
      <c r="K92" s="25"/>
    </row>
    <row r="93" ht="12.75" customHeight="1">
      <c r="A93" s="68"/>
      <c r="B93" s="59"/>
      <c r="C93" s="59"/>
      <c r="D93" s="59"/>
      <c r="E93" s="59"/>
      <c r="F93" s="59"/>
      <c r="K93" s="25"/>
    </row>
    <row r="94" ht="12.75" customHeight="1">
      <c r="A94" s="68"/>
      <c r="B94" s="59"/>
      <c r="C94" s="59"/>
      <c r="D94" s="59"/>
      <c r="E94" s="59"/>
      <c r="F94" s="59"/>
      <c r="K94" s="25"/>
    </row>
    <row r="95" ht="12.75" customHeight="1">
      <c r="A95" s="68"/>
      <c r="B95" s="59"/>
      <c r="C95" s="59"/>
      <c r="D95" s="59"/>
      <c r="E95" s="59"/>
      <c r="F95" s="59"/>
      <c r="K95" s="25"/>
    </row>
    <row r="96" ht="12.75" customHeight="1">
      <c r="A96" s="68"/>
      <c r="B96" s="59"/>
      <c r="C96" s="59"/>
      <c r="D96" s="59"/>
      <c r="E96" s="59"/>
      <c r="F96" s="59"/>
      <c r="K96" s="25"/>
    </row>
    <row r="97" ht="12.75" customHeight="1">
      <c r="A97" s="68"/>
      <c r="B97" s="59"/>
      <c r="C97" s="59"/>
      <c r="D97" s="59"/>
      <c r="E97" s="59"/>
      <c r="F97" s="59"/>
      <c r="K97" s="25"/>
    </row>
    <row r="98" ht="12.75" customHeight="1">
      <c r="A98" s="68"/>
      <c r="B98" s="59"/>
      <c r="C98" s="59"/>
      <c r="D98" s="59"/>
      <c r="E98" s="59"/>
      <c r="F98" s="59"/>
      <c r="K98" s="25"/>
    </row>
    <row r="99" ht="12.75" customHeight="1">
      <c r="A99" s="68"/>
      <c r="B99" s="59"/>
      <c r="C99" s="59"/>
      <c r="D99" s="59"/>
      <c r="E99" s="59"/>
      <c r="F99" s="59"/>
      <c r="K99" s="25"/>
    </row>
    <row r="100" ht="12.75" customHeight="1">
      <c r="A100" s="68"/>
      <c r="B100" s="59"/>
      <c r="C100" s="59"/>
      <c r="D100" s="59"/>
      <c r="E100" s="59"/>
      <c r="F100" s="59"/>
      <c r="K100" s="25"/>
    </row>
    <row r="101" ht="12.75" customHeight="1">
      <c r="A101" s="68"/>
      <c r="B101" s="59"/>
      <c r="C101" s="59"/>
      <c r="D101" s="59"/>
      <c r="E101" s="59"/>
      <c r="F101" s="59"/>
      <c r="K101" s="25"/>
    </row>
    <row r="102" ht="12.75" customHeight="1">
      <c r="A102" s="68"/>
      <c r="B102" s="59"/>
      <c r="C102" s="59"/>
      <c r="D102" s="59"/>
      <c r="E102" s="59"/>
      <c r="F102" s="59"/>
      <c r="K102" s="25"/>
    </row>
    <row r="103" ht="12.75" customHeight="1">
      <c r="A103" s="68"/>
      <c r="B103" s="59"/>
      <c r="C103" s="59"/>
      <c r="D103" s="59"/>
      <c r="E103" s="59"/>
      <c r="F103" s="59"/>
      <c r="K103" s="25"/>
    </row>
    <row r="104" ht="12.75" customHeight="1">
      <c r="A104" s="68"/>
      <c r="B104" s="59"/>
      <c r="C104" s="59"/>
      <c r="D104" s="59"/>
      <c r="E104" s="59"/>
      <c r="F104" s="59"/>
      <c r="K104" s="25"/>
    </row>
    <row r="105" ht="12.75" customHeight="1">
      <c r="A105" s="68"/>
      <c r="B105" s="59"/>
      <c r="C105" s="59"/>
      <c r="D105" s="59"/>
      <c r="E105" s="59"/>
      <c r="F105" s="59"/>
      <c r="K105" s="25"/>
    </row>
    <row r="106" ht="12.75" customHeight="1">
      <c r="A106" s="68"/>
      <c r="B106" s="59"/>
      <c r="C106" s="59"/>
      <c r="D106" s="59"/>
      <c r="E106" s="59"/>
      <c r="F106" s="59"/>
      <c r="K106" s="25"/>
    </row>
    <row r="107" ht="12.75" customHeight="1">
      <c r="A107" s="68"/>
      <c r="B107" s="59"/>
      <c r="C107" s="59"/>
      <c r="D107" s="59"/>
      <c r="E107" s="59"/>
      <c r="F107" s="59"/>
      <c r="K107" s="25"/>
    </row>
    <row r="108" ht="12.75" customHeight="1">
      <c r="A108" s="68"/>
      <c r="B108" s="59"/>
      <c r="C108" s="59"/>
      <c r="D108" s="59"/>
      <c r="E108" s="59"/>
      <c r="F108" s="59"/>
      <c r="K108" s="25"/>
    </row>
    <row r="109" ht="12.75" customHeight="1">
      <c r="A109" s="68"/>
      <c r="B109" s="59"/>
      <c r="C109" s="59"/>
      <c r="D109" s="59"/>
      <c r="E109" s="59"/>
      <c r="F109" s="59"/>
      <c r="K109" s="25"/>
    </row>
    <row r="110" ht="12.75" customHeight="1">
      <c r="A110" s="68"/>
      <c r="B110" s="59"/>
      <c r="C110" s="59"/>
      <c r="D110" s="59"/>
      <c r="E110" s="59"/>
      <c r="F110" s="59"/>
      <c r="K110" s="25"/>
    </row>
    <row r="111" ht="12.75" customHeight="1">
      <c r="A111" s="68"/>
      <c r="B111" s="59"/>
      <c r="C111" s="59"/>
      <c r="D111" s="59"/>
      <c r="E111" s="59"/>
      <c r="F111" s="59"/>
      <c r="K111" s="25"/>
    </row>
    <row r="112" ht="12.75" customHeight="1">
      <c r="A112" s="68"/>
      <c r="B112" s="59"/>
      <c r="C112" s="59"/>
      <c r="D112" s="59"/>
      <c r="E112" s="59"/>
      <c r="F112" s="59"/>
      <c r="K112" s="25"/>
    </row>
    <row r="113" ht="12.75" customHeight="1">
      <c r="A113" s="68"/>
      <c r="B113" s="59"/>
      <c r="C113" s="59"/>
      <c r="D113" s="59"/>
      <c r="E113" s="59"/>
      <c r="F113" s="59"/>
      <c r="K113" s="25"/>
    </row>
    <row r="114" ht="12.75" customHeight="1">
      <c r="A114" s="68"/>
      <c r="B114" s="59"/>
      <c r="C114" s="59"/>
      <c r="D114" s="59"/>
      <c r="E114" s="59"/>
      <c r="F114" s="59"/>
      <c r="K114" s="25"/>
    </row>
    <row r="115" ht="12.75" customHeight="1">
      <c r="A115" s="68"/>
      <c r="B115" s="59"/>
      <c r="C115" s="59"/>
      <c r="D115" s="59"/>
      <c r="E115" s="59"/>
      <c r="F115" s="59"/>
      <c r="K115" s="25"/>
    </row>
    <row r="116" ht="12.75" customHeight="1">
      <c r="A116" s="68"/>
      <c r="B116" s="59"/>
      <c r="C116" s="59"/>
      <c r="D116" s="59"/>
      <c r="E116" s="59"/>
      <c r="F116" s="59"/>
      <c r="K116" s="25"/>
    </row>
    <row r="117" ht="12.75" customHeight="1">
      <c r="A117" s="68"/>
      <c r="B117" s="59"/>
      <c r="C117" s="59"/>
      <c r="D117" s="59"/>
      <c r="E117" s="59"/>
      <c r="F117" s="59"/>
      <c r="K117" s="25"/>
    </row>
    <row r="118" ht="12.75" customHeight="1">
      <c r="A118" s="68"/>
      <c r="B118" s="59"/>
      <c r="C118" s="59"/>
      <c r="D118" s="59"/>
      <c r="E118" s="59"/>
      <c r="F118" s="59"/>
      <c r="K118" s="25"/>
    </row>
    <row r="119" ht="12.75" customHeight="1">
      <c r="A119" s="68"/>
      <c r="B119" s="59"/>
      <c r="C119" s="59"/>
      <c r="D119" s="59"/>
      <c r="E119" s="59"/>
      <c r="F119" s="59"/>
      <c r="K119" s="25"/>
    </row>
    <row r="120" ht="12.75" customHeight="1">
      <c r="A120" s="68"/>
      <c r="B120" s="59"/>
      <c r="C120" s="59"/>
      <c r="D120" s="59"/>
      <c r="E120" s="59"/>
      <c r="F120" s="59"/>
      <c r="K120" s="25"/>
    </row>
    <row r="121" ht="12.75" customHeight="1">
      <c r="A121" s="68"/>
      <c r="B121" s="59"/>
      <c r="C121" s="59"/>
      <c r="D121" s="59"/>
      <c r="E121" s="59"/>
      <c r="F121" s="59"/>
      <c r="K121" s="25"/>
    </row>
    <row r="122" ht="12.75" customHeight="1">
      <c r="A122" s="68"/>
      <c r="B122" s="59"/>
      <c r="C122" s="59"/>
      <c r="D122" s="59"/>
      <c r="E122" s="59"/>
      <c r="F122" s="59"/>
      <c r="K122" s="25"/>
    </row>
    <row r="123" ht="12.75" customHeight="1">
      <c r="A123" s="68"/>
      <c r="B123" s="59"/>
      <c r="C123" s="59"/>
      <c r="D123" s="59"/>
      <c r="E123" s="59"/>
      <c r="F123" s="59"/>
      <c r="K123" s="25"/>
    </row>
    <row r="124" ht="12.75" customHeight="1">
      <c r="A124" s="68"/>
      <c r="B124" s="59"/>
      <c r="C124" s="59"/>
      <c r="D124" s="59"/>
      <c r="E124" s="59"/>
      <c r="F124" s="59"/>
      <c r="K124" s="25"/>
    </row>
    <row r="125" ht="12.75" customHeight="1">
      <c r="A125" s="68"/>
      <c r="B125" s="59"/>
      <c r="C125" s="59"/>
      <c r="D125" s="59"/>
      <c r="E125" s="59"/>
      <c r="F125" s="59"/>
      <c r="K125" s="25"/>
    </row>
    <row r="126" ht="12.75" customHeight="1">
      <c r="A126" s="68"/>
      <c r="B126" s="59"/>
      <c r="C126" s="59"/>
      <c r="D126" s="59"/>
      <c r="E126" s="59"/>
      <c r="F126" s="59"/>
      <c r="K126" s="25"/>
    </row>
    <row r="127" ht="12.75" customHeight="1">
      <c r="A127" s="68"/>
      <c r="B127" s="59"/>
      <c r="C127" s="59"/>
      <c r="D127" s="59"/>
      <c r="E127" s="59"/>
      <c r="F127" s="59"/>
      <c r="K127" s="25"/>
    </row>
    <row r="128" ht="12.75" customHeight="1">
      <c r="A128" s="68"/>
      <c r="B128" s="59"/>
      <c r="C128" s="59"/>
      <c r="D128" s="59"/>
      <c r="E128" s="59"/>
      <c r="F128" s="59"/>
      <c r="K128" s="25"/>
    </row>
    <row r="129" ht="12.75" customHeight="1">
      <c r="A129" s="68"/>
      <c r="B129" s="59"/>
      <c r="C129" s="59"/>
      <c r="D129" s="59"/>
      <c r="E129" s="59"/>
      <c r="F129" s="59"/>
      <c r="K129" s="25"/>
    </row>
    <row r="130" ht="12.75" customHeight="1">
      <c r="A130" s="68"/>
      <c r="B130" s="59"/>
      <c r="C130" s="59"/>
      <c r="D130" s="59"/>
      <c r="E130" s="59"/>
      <c r="F130" s="59"/>
      <c r="K130" s="25"/>
    </row>
    <row r="131" ht="12.75" customHeight="1">
      <c r="A131" s="68"/>
      <c r="B131" s="59"/>
      <c r="C131" s="59"/>
      <c r="D131" s="59"/>
      <c r="E131" s="59"/>
      <c r="F131" s="59"/>
      <c r="K131" s="25"/>
    </row>
    <row r="132" ht="12.75" customHeight="1">
      <c r="A132" s="68"/>
      <c r="B132" s="59"/>
      <c r="C132" s="59"/>
      <c r="D132" s="59"/>
      <c r="E132" s="59"/>
      <c r="F132" s="59"/>
      <c r="K132" s="25"/>
    </row>
    <row r="133" ht="12.75" customHeight="1">
      <c r="A133" s="68"/>
      <c r="B133" s="59"/>
      <c r="C133" s="59"/>
      <c r="D133" s="59"/>
      <c r="E133" s="59"/>
      <c r="F133" s="59"/>
      <c r="K133" s="25"/>
    </row>
    <row r="134" ht="12.75" customHeight="1">
      <c r="A134" s="68"/>
      <c r="B134" s="59"/>
      <c r="C134" s="59"/>
      <c r="D134" s="59"/>
      <c r="E134" s="59"/>
      <c r="F134" s="59"/>
      <c r="K134" s="25"/>
    </row>
    <row r="135" ht="12.75" customHeight="1">
      <c r="A135" s="68"/>
      <c r="B135" s="59"/>
      <c r="C135" s="59"/>
      <c r="D135" s="59"/>
      <c r="E135" s="59"/>
      <c r="F135" s="59"/>
      <c r="K135" s="25"/>
    </row>
    <row r="136" ht="12.75" customHeight="1">
      <c r="A136" s="68"/>
      <c r="B136" s="59"/>
      <c r="C136" s="59"/>
      <c r="D136" s="59"/>
      <c r="E136" s="59"/>
      <c r="F136" s="59"/>
      <c r="K136" s="25"/>
    </row>
    <row r="137" ht="12.75" customHeight="1">
      <c r="A137" s="68"/>
      <c r="B137" s="59"/>
      <c r="C137" s="59"/>
      <c r="D137" s="59"/>
      <c r="E137" s="59"/>
      <c r="F137" s="59"/>
      <c r="K137" s="25"/>
    </row>
    <row r="138" ht="12.75" customHeight="1">
      <c r="A138" s="68"/>
      <c r="B138" s="59"/>
      <c r="C138" s="59"/>
      <c r="D138" s="59"/>
      <c r="E138" s="59"/>
      <c r="F138" s="59"/>
      <c r="K138" s="25"/>
    </row>
    <row r="139" ht="12.75" customHeight="1">
      <c r="A139" s="68"/>
      <c r="B139" s="59"/>
      <c r="C139" s="59"/>
      <c r="D139" s="59"/>
      <c r="E139" s="59"/>
      <c r="F139" s="59"/>
      <c r="K139" s="25"/>
    </row>
    <row r="140" ht="12.75" customHeight="1">
      <c r="A140" s="68"/>
      <c r="B140" s="59"/>
      <c r="C140" s="59"/>
      <c r="D140" s="59"/>
      <c r="E140" s="59"/>
      <c r="F140" s="59"/>
      <c r="K140" s="25"/>
    </row>
    <row r="141" ht="12.75" customHeight="1">
      <c r="A141" s="68"/>
      <c r="B141" s="59"/>
      <c r="C141" s="59"/>
      <c r="D141" s="59"/>
      <c r="E141" s="59"/>
      <c r="F141" s="59"/>
      <c r="K141" s="25"/>
    </row>
    <row r="142" ht="12.75" customHeight="1">
      <c r="A142" s="68"/>
      <c r="B142" s="59"/>
      <c r="C142" s="59"/>
      <c r="D142" s="59"/>
      <c r="E142" s="59"/>
      <c r="F142" s="59"/>
      <c r="K142" s="25"/>
    </row>
    <row r="143" ht="12.75" customHeight="1">
      <c r="A143" s="68"/>
      <c r="B143" s="59"/>
      <c r="C143" s="59"/>
      <c r="D143" s="59"/>
      <c r="E143" s="59"/>
      <c r="F143" s="59"/>
      <c r="K143" s="25"/>
    </row>
    <row r="144" ht="12.75" customHeight="1">
      <c r="A144" s="68"/>
      <c r="B144" s="59"/>
      <c r="C144" s="59"/>
      <c r="D144" s="59"/>
      <c r="E144" s="59"/>
      <c r="F144" s="59"/>
      <c r="K144" s="25"/>
    </row>
    <row r="145" ht="12.75" customHeight="1">
      <c r="A145" s="68"/>
      <c r="B145" s="59"/>
      <c r="C145" s="59"/>
      <c r="D145" s="59"/>
      <c r="E145" s="59"/>
      <c r="F145" s="59"/>
      <c r="K145" s="25"/>
    </row>
    <row r="146" ht="12.75" customHeight="1">
      <c r="A146" s="68"/>
      <c r="B146" s="59"/>
      <c r="C146" s="59"/>
      <c r="D146" s="59"/>
      <c r="E146" s="59"/>
      <c r="F146" s="59"/>
      <c r="K146" s="25"/>
    </row>
    <row r="147" ht="12.75" customHeight="1">
      <c r="A147" s="68"/>
      <c r="B147" s="59"/>
      <c r="C147" s="59"/>
      <c r="D147" s="59"/>
      <c r="E147" s="59"/>
      <c r="F147" s="59"/>
      <c r="K147" s="25"/>
    </row>
    <row r="148" ht="12.75" customHeight="1">
      <c r="A148" s="68"/>
      <c r="B148" s="59"/>
      <c r="C148" s="59"/>
      <c r="D148" s="59"/>
      <c r="E148" s="59"/>
      <c r="F148" s="59"/>
      <c r="K148" s="25"/>
    </row>
    <row r="149" ht="12.75" customHeight="1">
      <c r="A149" s="68"/>
      <c r="B149" s="59"/>
      <c r="C149" s="59"/>
      <c r="D149" s="59"/>
      <c r="E149" s="59"/>
      <c r="F149" s="59"/>
      <c r="K149" s="25"/>
    </row>
    <row r="150" ht="12.75" customHeight="1">
      <c r="A150" s="68"/>
      <c r="B150" s="59"/>
      <c r="C150" s="59"/>
      <c r="D150" s="59"/>
      <c r="E150" s="59"/>
      <c r="F150" s="59"/>
      <c r="K150" s="25"/>
    </row>
    <row r="151" ht="12.75" customHeight="1">
      <c r="A151" s="68"/>
      <c r="B151" s="59"/>
      <c r="C151" s="59"/>
      <c r="D151" s="59"/>
      <c r="E151" s="59"/>
      <c r="F151" s="59"/>
      <c r="K151" s="25"/>
    </row>
    <row r="152" ht="12.75" customHeight="1">
      <c r="A152" s="68"/>
      <c r="B152" s="59"/>
      <c r="C152" s="59"/>
      <c r="D152" s="59"/>
      <c r="E152" s="59"/>
      <c r="F152" s="59"/>
      <c r="K152" s="25"/>
    </row>
    <row r="153" ht="12.75" customHeight="1">
      <c r="A153" s="68"/>
      <c r="B153" s="59"/>
      <c r="C153" s="59"/>
      <c r="D153" s="59"/>
      <c r="E153" s="59"/>
      <c r="F153" s="59"/>
      <c r="K153" s="25"/>
    </row>
    <row r="154" ht="12.75" customHeight="1">
      <c r="A154" s="68"/>
      <c r="B154" s="59"/>
      <c r="C154" s="59"/>
      <c r="D154" s="59"/>
      <c r="E154" s="59"/>
      <c r="F154" s="59"/>
      <c r="K154" s="25"/>
    </row>
    <row r="155" ht="12.75" customHeight="1">
      <c r="A155" s="68"/>
      <c r="B155" s="59"/>
      <c r="C155" s="59"/>
      <c r="D155" s="59"/>
      <c r="E155" s="59"/>
      <c r="F155" s="59"/>
      <c r="K155" s="25"/>
    </row>
    <row r="156" ht="12.75" customHeight="1">
      <c r="A156" s="68"/>
      <c r="B156" s="59"/>
      <c r="C156" s="59"/>
      <c r="D156" s="59"/>
      <c r="E156" s="59"/>
      <c r="F156" s="59"/>
      <c r="K156" s="25"/>
    </row>
    <row r="157" ht="12.75" customHeight="1">
      <c r="A157" s="68"/>
      <c r="B157" s="59"/>
      <c r="C157" s="59"/>
      <c r="D157" s="59"/>
      <c r="E157" s="59"/>
      <c r="F157" s="59"/>
      <c r="K157" s="25"/>
    </row>
    <row r="158" ht="12.75" customHeight="1">
      <c r="A158" s="68"/>
      <c r="B158" s="59"/>
      <c r="C158" s="59"/>
      <c r="D158" s="59"/>
      <c r="E158" s="59"/>
      <c r="F158" s="59"/>
      <c r="K158" s="25"/>
    </row>
    <row r="159" ht="12.75" customHeight="1">
      <c r="A159" s="68"/>
      <c r="B159" s="59"/>
      <c r="C159" s="59"/>
      <c r="D159" s="59"/>
      <c r="E159" s="59"/>
      <c r="F159" s="59"/>
      <c r="K159" s="25"/>
    </row>
    <row r="160" ht="12.75" customHeight="1">
      <c r="A160" s="68"/>
      <c r="B160" s="59"/>
      <c r="C160" s="59"/>
      <c r="D160" s="59"/>
      <c r="E160" s="59"/>
      <c r="F160" s="59"/>
      <c r="K160" s="25"/>
    </row>
    <row r="161" ht="12.75" customHeight="1">
      <c r="A161" s="68"/>
      <c r="B161" s="59"/>
      <c r="C161" s="59"/>
      <c r="D161" s="59"/>
      <c r="E161" s="59"/>
      <c r="F161" s="59"/>
      <c r="K161" s="25"/>
    </row>
    <row r="162" ht="12.75" customHeight="1">
      <c r="A162" s="68"/>
      <c r="B162" s="59"/>
      <c r="C162" s="59"/>
      <c r="D162" s="59"/>
      <c r="E162" s="59"/>
      <c r="F162" s="59"/>
      <c r="K162" s="25"/>
    </row>
    <row r="163" ht="12.75" customHeight="1">
      <c r="A163" s="68"/>
      <c r="B163" s="59"/>
      <c r="C163" s="59"/>
      <c r="D163" s="59"/>
      <c r="E163" s="59"/>
      <c r="F163" s="59"/>
      <c r="K163" s="25"/>
    </row>
    <row r="164" ht="12.75" customHeight="1">
      <c r="A164" s="68"/>
      <c r="B164" s="59"/>
      <c r="C164" s="59"/>
      <c r="D164" s="59"/>
      <c r="E164" s="59"/>
      <c r="F164" s="59"/>
      <c r="K164" s="25"/>
    </row>
    <row r="165" ht="12.75" customHeight="1">
      <c r="A165" s="68"/>
      <c r="B165" s="59"/>
      <c r="C165" s="59"/>
      <c r="D165" s="59"/>
      <c r="E165" s="59"/>
      <c r="F165" s="59"/>
      <c r="K165" s="25"/>
    </row>
    <row r="166" ht="12.75" customHeight="1">
      <c r="A166" s="68"/>
      <c r="B166" s="59"/>
      <c r="C166" s="59"/>
      <c r="D166" s="59"/>
      <c r="E166" s="59"/>
      <c r="F166" s="59"/>
      <c r="K166" s="25"/>
    </row>
    <row r="167" ht="12.75" customHeight="1">
      <c r="A167" s="68"/>
      <c r="B167" s="59"/>
      <c r="C167" s="59"/>
      <c r="D167" s="59"/>
      <c r="E167" s="59"/>
      <c r="F167" s="59"/>
      <c r="K167" s="25"/>
    </row>
    <row r="168" ht="12.75" customHeight="1">
      <c r="A168" s="68"/>
      <c r="B168" s="59"/>
      <c r="C168" s="59"/>
      <c r="D168" s="59"/>
      <c r="E168" s="59"/>
      <c r="F168" s="59"/>
      <c r="K168" s="25"/>
    </row>
    <row r="169" ht="12.75" customHeight="1">
      <c r="A169" s="68"/>
      <c r="B169" s="59"/>
      <c r="C169" s="59"/>
      <c r="D169" s="59"/>
      <c r="E169" s="59"/>
      <c r="F169" s="59"/>
      <c r="K169" s="25"/>
    </row>
    <row r="170" ht="12.75" customHeight="1">
      <c r="A170" s="68"/>
      <c r="B170" s="59"/>
      <c r="C170" s="59"/>
      <c r="D170" s="59"/>
      <c r="E170" s="59"/>
      <c r="F170" s="59"/>
      <c r="K170" s="25"/>
    </row>
    <row r="171" ht="12.75" customHeight="1">
      <c r="A171" s="68"/>
      <c r="B171" s="59"/>
      <c r="C171" s="59"/>
      <c r="D171" s="59"/>
      <c r="E171" s="59"/>
      <c r="F171" s="59"/>
      <c r="K171" s="25"/>
    </row>
    <row r="172" ht="12.75" customHeight="1">
      <c r="A172" s="68"/>
      <c r="B172" s="59"/>
      <c r="C172" s="59"/>
      <c r="D172" s="59"/>
      <c r="E172" s="59"/>
      <c r="F172" s="59"/>
      <c r="K172" s="25"/>
    </row>
    <row r="173" ht="12.75" customHeight="1">
      <c r="A173" s="68"/>
      <c r="B173" s="59"/>
      <c r="C173" s="59"/>
      <c r="D173" s="59"/>
      <c r="E173" s="59"/>
      <c r="F173" s="59"/>
      <c r="K173" s="25"/>
    </row>
    <row r="174" ht="12.75" customHeight="1">
      <c r="A174" s="68"/>
      <c r="B174" s="59"/>
      <c r="C174" s="59"/>
      <c r="D174" s="59"/>
      <c r="E174" s="59"/>
      <c r="F174" s="59"/>
      <c r="K174" s="25"/>
    </row>
    <row r="175" ht="12.75" customHeight="1">
      <c r="A175" s="68"/>
      <c r="B175" s="59"/>
      <c r="C175" s="59"/>
      <c r="D175" s="59"/>
      <c r="E175" s="59"/>
      <c r="F175" s="59"/>
      <c r="K175" s="25"/>
    </row>
    <row r="176" ht="12.75" customHeight="1">
      <c r="A176" s="68"/>
      <c r="B176" s="59"/>
      <c r="C176" s="59"/>
      <c r="D176" s="59"/>
      <c r="E176" s="59"/>
      <c r="F176" s="59"/>
      <c r="K176" s="25"/>
    </row>
    <row r="177" ht="12.75" customHeight="1">
      <c r="A177" s="68"/>
      <c r="B177" s="59"/>
      <c r="C177" s="59"/>
      <c r="D177" s="59"/>
      <c r="E177" s="59"/>
      <c r="F177" s="59"/>
      <c r="K177" s="25"/>
    </row>
    <row r="178" ht="12.75" customHeight="1">
      <c r="A178" s="68"/>
      <c r="B178" s="59"/>
      <c r="C178" s="59"/>
      <c r="D178" s="59"/>
      <c r="E178" s="59"/>
      <c r="F178" s="59"/>
      <c r="K178" s="25"/>
    </row>
    <row r="179" ht="12.75" customHeight="1">
      <c r="A179" s="68"/>
      <c r="B179" s="59"/>
      <c r="C179" s="59"/>
      <c r="D179" s="59"/>
      <c r="E179" s="59"/>
      <c r="F179" s="59"/>
      <c r="K179" s="25"/>
    </row>
    <row r="180" ht="12.75" customHeight="1">
      <c r="A180" s="68"/>
      <c r="B180" s="59"/>
      <c r="C180" s="59"/>
      <c r="D180" s="59"/>
      <c r="E180" s="59"/>
      <c r="F180" s="59"/>
      <c r="K180" s="25"/>
    </row>
    <row r="181" ht="12.75" customHeight="1">
      <c r="A181" s="68"/>
      <c r="B181" s="59"/>
      <c r="C181" s="59"/>
      <c r="D181" s="59"/>
      <c r="E181" s="59"/>
      <c r="F181" s="59"/>
      <c r="K181" s="25"/>
    </row>
    <row r="182" ht="12.75" customHeight="1">
      <c r="A182" s="68"/>
      <c r="B182" s="59"/>
      <c r="C182" s="59"/>
      <c r="D182" s="59"/>
      <c r="E182" s="59"/>
      <c r="F182" s="59"/>
      <c r="K182" s="25"/>
    </row>
    <row r="183" ht="12.75" customHeight="1">
      <c r="A183" s="68"/>
      <c r="B183" s="59"/>
      <c r="C183" s="59"/>
      <c r="D183" s="59"/>
      <c r="E183" s="59"/>
      <c r="F183" s="59"/>
      <c r="K183" s="25"/>
    </row>
    <row r="184" ht="12.75" customHeight="1">
      <c r="A184" s="68"/>
      <c r="B184" s="59"/>
      <c r="C184" s="59"/>
      <c r="D184" s="59"/>
      <c r="E184" s="59"/>
      <c r="F184" s="59"/>
      <c r="K184" s="25"/>
    </row>
    <row r="185" ht="12.75" customHeight="1">
      <c r="A185" s="68"/>
      <c r="B185" s="59"/>
      <c r="C185" s="59"/>
      <c r="D185" s="59"/>
      <c r="E185" s="59"/>
      <c r="F185" s="59"/>
      <c r="K185" s="25"/>
    </row>
    <row r="186" ht="12.75" customHeight="1">
      <c r="A186" s="68"/>
      <c r="B186" s="59"/>
      <c r="C186" s="59"/>
      <c r="D186" s="59"/>
      <c r="E186" s="59"/>
      <c r="F186" s="59"/>
      <c r="K186" s="25"/>
    </row>
    <row r="187" ht="12.75" customHeight="1">
      <c r="A187" s="68"/>
      <c r="B187" s="59"/>
      <c r="C187" s="59"/>
      <c r="D187" s="59"/>
      <c r="E187" s="59"/>
      <c r="F187" s="59"/>
      <c r="K187" s="25"/>
    </row>
    <row r="188" ht="12.75" customHeight="1">
      <c r="A188" s="68"/>
      <c r="B188" s="59"/>
      <c r="C188" s="59"/>
      <c r="D188" s="59"/>
      <c r="E188" s="59"/>
      <c r="F188" s="59"/>
      <c r="K188" s="25"/>
    </row>
    <row r="189" ht="12.75" customHeight="1">
      <c r="A189" s="68"/>
      <c r="B189" s="59"/>
      <c r="C189" s="59"/>
      <c r="D189" s="59"/>
      <c r="E189" s="59"/>
      <c r="F189" s="59"/>
      <c r="K189" s="25"/>
    </row>
    <row r="190" ht="12.75" customHeight="1">
      <c r="A190" s="68"/>
      <c r="B190" s="59"/>
      <c r="C190" s="59"/>
      <c r="D190" s="59"/>
      <c r="E190" s="59"/>
      <c r="F190" s="59"/>
      <c r="K190" s="25"/>
    </row>
    <row r="191" ht="12.75" customHeight="1">
      <c r="A191" s="68"/>
      <c r="B191" s="59"/>
      <c r="C191" s="59"/>
      <c r="D191" s="59"/>
      <c r="E191" s="59"/>
      <c r="F191" s="59"/>
      <c r="K191" s="25"/>
    </row>
    <row r="192" ht="12.75" customHeight="1">
      <c r="A192" s="68"/>
      <c r="B192" s="59"/>
      <c r="C192" s="59"/>
      <c r="D192" s="59"/>
      <c r="E192" s="59"/>
      <c r="F192" s="59"/>
      <c r="K192" s="25"/>
    </row>
    <row r="193" ht="12.75" customHeight="1">
      <c r="A193" s="68"/>
      <c r="B193" s="59"/>
      <c r="C193" s="59"/>
      <c r="D193" s="59"/>
      <c r="E193" s="59"/>
      <c r="F193" s="59"/>
      <c r="K193" s="25"/>
    </row>
    <row r="194" ht="12.75" customHeight="1">
      <c r="A194" s="68"/>
      <c r="B194" s="59"/>
      <c r="C194" s="59"/>
      <c r="D194" s="59"/>
      <c r="E194" s="59"/>
      <c r="F194" s="59"/>
      <c r="K194" s="25"/>
    </row>
    <row r="195" ht="12.75" customHeight="1">
      <c r="A195" s="68"/>
      <c r="B195" s="59"/>
      <c r="C195" s="59"/>
      <c r="D195" s="59"/>
      <c r="E195" s="59"/>
      <c r="F195" s="59"/>
      <c r="K195" s="25"/>
    </row>
    <row r="196" ht="12.75" customHeight="1">
      <c r="A196" s="68"/>
      <c r="B196" s="59"/>
      <c r="C196" s="59"/>
      <c r="D196" s="59"/>
      <c r="E196" s="59"/>
      <c r="F196" s="59"/>
      <c r="K196" s="25"/>
    </row>
    <row r="197" ht="12.75" customHeight="1">
      <c r="A197" s="68"/>
      <c r="B197" s="59"/>
      <c r="C197" s="59"/>
      <c r="D197" s="59"/>
      <c r="E197" s="59"/>
      <c r="F197" s="59"/>
      <c r="K197" s="25"/>
    </row>
    <row r="198" ht="12.75" customHeight="1">
      <c r="A198" s="68"/>
      <c r="B198" s="59"/>
      <c r="C198" s="59"/>
      <c r="D198" s="59"/>
      <c r="E198" s="59"/>
      <c r="F198" s="59"/>
      <c r="K198" s="25"/>
    </row>
    <row r="199" ht="12.75" customHeight="1">
      <c r="A199" s="68"/>
      <c r="B199" s="59"/>
      <c r="C199" s="59"/>
      <c r="D199" s="59"/>
      <c r="E199" s="59"/>
      <c r="F199" s="59"/>
      <c r="K199" s="25"/>
    </row>
    <row r="200" ht="12.75" customHeight="1">
      <c r="A200" s="68"/>
      <c r="B200" s="59"/>
      <c r="C200" s="59"/>
      <c r="D200" s="59"/>
      <c r="E200" s="59"/>
      <c r="F200" s="59"/>
      <c r="K200" s="25"/>
    </row>
    <row r="201" ht="12.75" customHeight="1">
      <c r="A201" s="68"/>
      <c r="B201" s="59"/>
      <c r="C201" s="59"/>
      <c r="D201" s="59"/>
      <c r="E201" s="59"/>
      <c r="F201" s="59"/>
      <c r="K201" s="25"/>
    </row>
    <row r="202" ht="12.75" customHeight="1">
      <c r="A202" s="68"/>
      <c r="B202" s="59"/>
      <c r="C202" s="59"/>
      <c r="D202" s="59"/>
      <c r="E202" s="59"/>
      <c r="F202" s="59"/>
      <c r="K202" s="25"/>
    </row>
    <row r="203" ht="12.75" customHeight="1">
      <c r="A203" s="68"/>
      <c r="B203" s="59"/>
      <c r="C203" s="59"/>
      <c r="D203" s="59"/>
      <c r="E203" s="59"/>
      <c r="F203" s="59"/>
      <c r="K203" s="25"/>
    </row>
    <row r="204" ht="12.75" customHeight="1">
      <c r="A204" s="68"/>
      <c r="B204" s="59"/>
      <c r="C204" s="59"/>
      <c r="D204" s="59"/>
      <c r="E204" s="59"/>
      <c r="F204" s="59"/>
      <c r="K204" s="25"/>
    </row>
    <row r="205" ht="12.75" customHeight="1">
      <c r="A205" s="68"/>
      <c r="B205" s="59"/>
      <c r="C205" s="59"/>
      <c r="D205" s="59"/>
      <c r="E205" s="59"/>
      <c r="F205" s="59"/>
      <c r="K205" s="25"/>
    </row>
    <row r="206" ht="12.75" customHeight="1">
      <c r="A206" s="68"/>
      <c r="B206" s="59"/>
      <c r="C206" s="59"/>
      <c r="D206" s="59"/>
      <c r="E206" s="59"/>
      <c r="F206" s="59"/>
      <c r="K206" s="25"/>
    </row>
    <row r="207" ht="12.75" customHeight="1">
      <c r="A207" s="68"/>
      <c r="B207" s="59"/>
      <c r="C207" s="59"/>
      <c r="D207" s="59"/>
      <c r="E207" s="59"/>
      <c r="F207" s="59"/>
      <c r="K207" s="25"/>
    </row>
    <row r="208" ht="12.75" customHeight="1">
      <c r="A208" s="68"/>
      <c r="B208" s="59"/>
      <c r="C208" s="59"/>
      <c r="D208" s="59"/>
      <c r="E208" s="59"/>
      <c r="F208" s="59"/>
      <c r="K208" s="25"/>
    </row>
    <row r="209" ht="12.75" customHeight="1">
      <c r="A209" s="68"/>
      <c r="B209" s="59"/>
      <c r="C209" s="59"/>
      <c r="D209" s="59"/>
      <c r="E209" s="59"/>
      <c r="F209" s="59"/>
      <c r="K209" s="25"/>
    </row>
    <row r="210" ht="12.75" customHeight="1">
      <c r="A210" s="68"/>
      <c r="B210" s="59"/>
      <c r="C210" s="59"/>
      <c r="D210" s="59"/>
      <c r="E210" s="59"/>
      <c r="F210" s="59"/>
      <c r="K210" s="25"/>
    </row>
    <row r="211" ht="12.75" customHeight="1">
      <c r="A211" s="68"/>
      <c r="B211" s="59"/>
      <c r="C211" s="59"/>
      <c r="D211" s="59"/>
      <c r="E211" s="59"/>
      <c r="F211" s="59"/>
      <c r="K211" s="25"/>
    </row>
    <row r="212" ht="12.75" customHeight="1">
      <c r="A212" s="68"/>
      <c r="B212" s="59"/>
      <c r="C212" s="59"/>
      <c r="D212" s="59"/>
      <c r="E212" s="59"/>
      <c r="F212" s="59"/>
      <c r="K212" s="25"/>
    </row>
    <row r="213" ht="12.75" customHeight="1">
      <c r="A213" s="68"/>
      <c r="B213" s="59"/>
      <c r="C213" s="59"/>
      <c r="D213" s="59"/>
      <c r="E213" s="59"/>
      <c r="F213" s="59"/>
      <c r="K213" s="25"/>
    </row>
    <row r="214" ht="12.75" customHeight="1">
      <c r="A214" s="68"/>
      <c r="B214" s="59"/>
      <c r="C214" s="59"/>
      <c r="D214" s="59"/>
      <c r="E214" s="59"/>
      <c r="F214" s="59"/>
      <c r="K214" s="25"/>
    </row>
    <row r="215" ht="12.75" customHeight="1">
      <c r="A215" s="68"/>
      <c r="B215" s="59"/>
      <c r="C215" s="59"/>
      <c r="D215" s="59"/>
      <c r="E215" s="59"/>
      <c r="F215" s="59"/>
      <c r="K215" s="25"/>
    </row>
    <row r="216" ht="12.75" customHeight="1">
      <c r="A216" s="68"/>
      <c r="B216" s="59"/>
      <c r="C216" s="59"/>
      <c r="D216" s="59"/>
      <c r="E216" s="59"/>
      <c r="F216" s="59"/>
      <c r="K216" s="25"/>
    </row>
    <row r="217" ht="12.75" customHeight="1">
      <c r="A217" s="68"/>
      <c r="B217" s="59"/>
      <c r="C217" s="59"/>
      <c r="D217" s="59"/>
      <c r="E217" s="59"/>
      <c r="F217" s="59"/>
      <c r="K217" s="25"/>
    </row>
    <row r="218" ht="12.75" customHeight="1">
      <c r="A218" s="68"/>
      <c r="B218" s="59"/>
      <c r="C218" s="59"/>
      <c r="D218" s="59"/>
      <c r="E218" s="59"/>
      <c r="F218" s="59"/>
      <c r="K218" s="25"/>
    </row>
    <row r="219" ht="12.75" customHeight="1">
      <c r="A219" s="68"/>
      <c r="B219" s="59"/>
      <c r="C219" s="59"/>
      <c r="D219" s="59"/>
      <c r="E219" s="59"/>
      <c r="F219" s="59"/>
      <c r="K219" s="25"/>
    </row>
    <row r="220" ht="12.75" customHeight="1">
      <c r="A220" s="68"/>
      <c r="B220" s="59"/>
      <c r="C220" s="59"/>
      <c r="D220" s="59"/>
      <c r="E220" s="59"/>
      <c r="F220" s="59"/>
      <c r="K220" s="25"/>
    </row>
    <row r="221" ht="12.75" customHeight="1">
      <c r="A221" s="68"/>
      <c r="B221" s="59"/>
      <c r="C221" s="59"/>
      <c r="D221" s="59"/>
      <c r="E221" s="59"/>
      <c r="F221" s="59"/>
      <c r="K221" s="25"/>
    </row>
    <row r="222" ht="12.75" customHeight="1">
      <c r="A222" s="68"/>
      <c r="B222" s="59"/>
      <c r="C222" s="59"/>
      <c r="D222" s="59"/>
      <c r="E222" s="59"/>
      <c r="F222" s="59"/>
      <c r="K222" s="25"/>
    </row>
    <row r="223" ht="12.75" customHeight="1">
      <c r="A223" s="68"/>
      <c r="B223" s="59"/>
      <c r="C223" s="59"/>
      <c r="D223" s="59"/>
      <c r="E223" s="59"/>
      <c r="F223" s="59"/>
      <c r="K223" s="25"/>
    </row>
    <row r="224" ht="12.75" customHeight="1">
      <c r="A224" s="68"/>
      <c r="B224" s="59"/>
      <c r="C224" s="59"/>
      <c r="D224" s="59"/>
      <c r="E224" s="59"/>
      <c r="F224" s="59"/>
      <c r="K224" s="25"/>
    </row>
    <row r="225" ht="12.75" customHeight="1">
      <c r="A225" s="68"/>
      <c r="B225" s="59"/>
      <c r="C225" s="59"/>
      <c r="D225" s="59"/>
      <c r="E225" s="59"/>
      <c r="F225" s="59"/>
      <c r="K225" s="25"/>
    </row>
    <row r="226" ht="12.75" customHeight="1">
      <c r="A226" s="68"/>
      <c r="B226" s="59"/>
      <c r="C226" s="59"/>
      <c r="D226" s="59"/>
      <c r="E226" s="59"/>
      <c r="F226" s="59"/>
      <c r="K226" s="25"/>
    </row>
    <row r="227" ht="12.75" customHeight="1">
      <c r="A227" s="68"/>
      <c r="B227" s="59"/>
      <c r="C227" s="59"/>
      <c r="D227" s="59"/>
      <c r="E227" s="59"/>
      <c r="F227" s="59"/>
      <c r="K227" s="25"/>
    </row>
    <row r="228" ht="12.75" customHeight="1">
      <c r="A228" s="68"/>
      <c r="B228" s="59"/>
      <c r="C228" s="59"/>
      <c r="D228" s="59"/>
      <c r="E228" s="59"/>
      <c r="F228" s="59"/>
      <c r="K228" s="25"/>
    </row>
    <row r="229" ht="12.75" customHeight="1">
      <c r="A229" s="68"/>
      <c r="B229" s="59"/>
      <c r="C229" s="59"/>
      <c r="D229" s="59"/>
      <c r="E229" s="59"/>
      <c r="F229" s="59"/>
      <c r="K229" s="25"/>
    </row>
    <row r="230" ht="12.75" customHeight="1">
      <c r="A230" s="68"/>
      <c r="B230" s="59"/>
      <c r="C230" s="59"/>
      <c r="D230" s="59"/>
      <c r="E230" s="59"/>
      <c r="F230" s="59"/>
      <c r="K230" s="25"/>
    </row>
    <row r="231" ht="12.75" customHeight="1">
      <c r="A231" s="68"/>
      <c r="B231" s="59"/>
      <c r="C231" s="59"/>
      <c r="D231" s="59"/>
      <c r="E231" s="59"/>
      <c r="F231" s="59"/>
      <c r="K231" s="25"/>
    </row>
    <row r="232" ht="12.75" customHeight="1">
      <c r="A232" s="68"/>
      <c r="B232" s="59"/>
      <c r="C232" s="59"/>
      <c r="D232" s="59"/>
      <c r="E232" s="59"/>
      <c r="F232" s="59"/>
      <c r="K232" s="25"/>
    </row>
    <row r="233" ht="12.75" customHeight="1">
      <c r="A233" s="68"/>
      <c r="B233" s="59"/>
      <c r="C233" s="59"/>
      <c r="D233" s="59"/>
      <c r="E233" s="59"/>
      <c r="F233" s="59"/>
      <c r="K233" s="25"/>
    </row>
    <row r="234" ht="12.75" customHeight="1">
      <c r="A234" s="68"/>
      <c r="B234" s="59"/>
      <c r="C234" s="59"/>
      <c r="D234" s="59"/>
      <c r="E234" s="59"/>
      <c r="F234" s="59"/>
      <c r="K234" s="25"/>
    </row>
    <row r="235" ht="12.75" customHeight="1">
      <c r="A235" s="68"/>
      <c r="B235" s="59"/>
      <c r="C235" s="59"/>
      <c r="D235" s="59"/>
      <c r="E235" s="59"/>
      <c r="F235" s="59"/>
      <c r="K235" s="25"/>
    </row>
    <row r="236" ht="12.75" customHeight="1">
      <c r="A236" s="68"/>
      <c r="B236" s="59"/>
      <c r="C236" s="59"/>
      <c r="D236" s="59"/>
      <c r="E236" s="59"/>
      <c r="F236" s="59"/>
      <c r="K236" s="25"/>
    </row>
    <row r="237" ht="12.75" customHeight="1">
      <c r="A237" s="68"/>
      <c r="B237" s="59"/>
      <c r="C237" s="59"/>
      <c r="D237" s="59"/>
      <c r="E237" s="59"/>
      <c r="F237" s="59"/>
      <c r="K237" s="25"/>
    </row>
    <row r="238" ht="12.75" customHeight="1">
      <c r="A238" s="68"/>
      <c r="B238" s="59"/>
      <c r="C238" s="59"/>
      <c r="D238" s="59"/>
      <c r="E238" s="59"/>
      <c r="F238" s="59"/>
      <c r="K238" s="25"/>
    </row>
    <row r="239" ht="12.75" customHeight="1">
      <c r="A239" s="68"/>
      <c r="B239" s="59"/>
      <c r="C239" s="59"/>
      <c r="D239" s="59"/>
      <c r="E239" s="59"/>
      <c r="F239" s="59"/>
      <c r="K239" s="25"/>
    </row>
    <row r="240" ht="12.75" customHeight="1">
      <c r="A240" s="68"/>
      <c r="B240" s="59"/>
      <c r="C240" s="59"/>
      <c r="D240" s="59"/>
      <c r="E240" s="59"/>
      <c r="F240" s="59"/>
      <c r="K240" s="25"/>
    </row>
    <row r="241" ht="12.75" customHeight="1">
      <c r="A241" s="68"/>
      <c r="B241" s="59"/>
      <c r="C241" s="59"/>
      <c r="D241" s="59"/>
      <c r="E241" s="59"/>
      <c r="F241" s="59"/>
      <c r="K241" s="25"/>
    </row>
    <row r="242" ht="12.75" customHeight="1">
      <c r="A242" s="68"/>
      <c r="B242" s="59"/>
      <c r="C242" s="59"/>
      <c r="D242" s="59"/>
      <c r="E242" s="59"/>
      <c r="F242" s="59"/>
      <c r="K242" s="25"/>
    </row>
    <row r="243" ht="12.75" customHeight="1">
      <c r="A243" s="68"/>
      <c r="B243" s="59"/>
      <c r="C243" s="59"/>
      <c r="D243" s="59"/>
      <c r="E243" s="59"/>
      <c r="F243" s="59"/>
      <c r="K243" s="25"/>
    </row>
    <row r="244" ht="12.75" customHeight="1">
      <c r="A244" s="68"/>
      <c r="B244" s="59"/>
      <c r="C244" s="59"/>
      <c r="D244" s="59"/>
      <c r="E244" s="59"/>
      <c r="F244" s="59"/>
      <c r="K244" s="25"/>
    </row>
    <row r="245" ht="12.75" customHeight="1">
      <c r="A245" s="68"/>
      <c r="B245" s="59"/>
      <c r="C245" s="59"/>
      <c r="D245" s="59"/>
      <c r="E245" s="59"/>
      <c r="F245" s="59"/>
      <c r="K245" s="25"/>
    </row>
    <row r="246" ht="12.75" customHeight="1">
      <c r="A246" s="68"/>
      <c r="B246" s="59"/>
      <c r="C246" s="59"/>
      <c r="D246" s="59"/>
      <c r="E246" s="59"/>
      <c r="F246" s="59"/>
      <c r="K246" s="25"/>
    </row>
    <row r="247" ht="12.75" customHeight="1">
      <c r="A247" s="68"/>
      <c r="B247" s="59"/>
      <c r="C247" s="59"/>
      <c r="D247" s="59"/>
      <c r="E247" s="59"/>
      <c r="F247" s="59"/>
      <c r="K247" s="25"/>
    </row>
    <row r="248" ht="12.75" customHeight="1">
      <c r="A248" s="68"/>
      <c r="B248" s="59"/>
      <c r="C248" s="59"/>
      <c r="D248" s="59"/>
      <c r="E248" s="59"/>
      <c r="F248" s="59"/>
      <c r="K248" s="25"/>
    </row>
    <row r="249" ht="12.75" customHeight="1">
      <c r="A249" s="68"/>
      <c r="B249" s="59"/>
      <c r="C249" s="59"/>
      <c r="D249" s="59"/>
      <c r="E249" s="59"/>
      <c r="F249" s="59"/>
      <c r="K249" s="25"/>
    </row>
    <row r="250" ht="12.75" customHeight="1">
      <c r="A250" s="68"/>
      <c r="B250" s="59"/>
      <c r="C250" s="59"/>
      <c r="D250" s="59"/>
      <c r="E250" s="59"/>
      <c r="F250" s="59"/>
      <c r="K250" s="25"/>
    </row>
    <row r="251" ht="12.75" customHeight="1">
      <c r="A251" s="68"/>
      <c r="B251" s="59"/>
      <c r="C251" s="59"/>
      <c r="D251" s="59"/>
      <c r="E251" s="59"/>
      <c r="F251" s="59"/>
      <c r="K251" s="25"/>
    </row>
    <row r="252" ht="12.75" customHeight="1">
      <c r="A252" s="68"/>
      <c r="B252" s="59"/>
      <c r="C252" s="59"/>
      <c r="D252" s="59"/>
      <c r="E252" s="59"/>
      <c r="F252" s="59"/>
      <c r="K252" s="25"/>
    </row>
    <row r="253" ht="12.75" customHeight="1">
      <c r="A253" s="68"/>
      <c r="B253" s="59"/>
      <c r="C253" s="59"/>
      <c r="D253" s="59"/>
      <c r="E253" s="59"/>
      <c r="F253" s="59"/>
      <c r="K253" s="25"/>
    </row>
    <row r="254" ht="12.75" customHeight="1">
      <c r="A254" s="68"/>
      <c r="B254" s="59"/>
      <c r="C254" s="59"/>
      <c r="D254" s="59"/>
      <c r="E254" s="59"/>
      <c r="F254" s="59"/>
      <c r="K254" s="25"/>
    </row>
    <row r="255" ht="12.75" customHeight="1">
      <c r="A255" s="68"/>
      <c r="B255" s="59"/>
      <c r="C255" s="59"/>
      <c r="D255" s="59"/>
      <c r="E255" s="59"/>
      <c r="F255" s="59"/>
      <c r="K255" s="25"/>
    </row>
    <row r="256" ht="12.75" customHeight="1">
      <c r="A256" s="68"/>
      <c r="B256" s="59"/>
      <c r="C256" s="59"/>
      <c r="D256" s="59"/>
      <c r="E256" s="59"/>
      <c r="F256" s="59"/>
      <c r="K256" s="25"/>
    </row>
    <row r="257" ht="12.75" customHeight="1">
      <c r="A257" s="68"/>
      <c r="B257" s="59"/>
      <c r="C257" s="59"/>
      <c r="D257" s="59"/>
      <c r="E257" s="59"/>
      <c r="F257" s="59"/>
      <c r="K257" s="25"/>
    </row>
    <row r="258" ht="12.75" customHeight="1">
      <c r="A258" s="68"/>
      <c r="B258" s="59"/>
      <c r="C258" s="59"/>
      <c r="D258" s="59"/>
      <c r="E258" s="59"/>
      <c r="F258" s="59"/>
      <c r="K258" s="25"/>
    </row>
    <row r="259" ht="12.75" customHeight="1">
      <c r="A259" s="68"/>
      <c r="B259" s="59"/>
      <c r="C259" s="59"/>
      <c r="D259" s="59"/>
      <c r="E259" s="59"/>
      <c r="F259" s="59"/>
      <c r="K259" s="25"/>
    </row>
    <row r="260" ht="12.75" customHeight="1">
      <c r="A260" s="68"/>
      <c r="B260" s="59"/>
      <c r="C260" s="59"/>
      <c r="D260" s="59"/>
      <c r="E260" s="59"/>
      <c r="F260" s="59"/>
      <c r="K260" s="25"/>
    </row>
    <row r="261" ht="12.75" customHeight="1">
      <c r="A261" s="68"/>
      <c r="B261" s="59"/>
      <c r="C261" s="59"/>
      <c r="D261" s="59"/>
      <c r="E261" s="59"/>
      <c r="F261" s="59"/>
      <c r="K261" s="25"/>
    </row>
    <row r="262" ht="12.75" customHeight="1">
      <c r="A262" s="68"/>
      <c r="B262" s="59"/>
      <c r="C262" s="59"/>
      <c r="D262" s="59"/>
      <c r="E262" s="59"/>
      <c r="F262" s="59"/>
      <c r="K262" s="25"/>
    </row>
    <row r="263" ht="12.75" customHeight="1">
      <c r="A263" s="68"/>
      <c r="B263" s="59"/>
      <c r="C263" s="59"/>
      <c r="D263" s="59"/>
      <c r="E263" s="59"/>
      <c r="F263" s="59"/>
      <c r="K263" s="25"/>
    </row>
    <row r="264" ht="12.75" customHeight="1">
      <c r="A264" s="68"/>
      <c r="B264" s="59"/>
      <c r="C264" s="59"/>
      <c r="D264" s="59"/>
      <c r="E264" s="59"/>
      <c r="F264" s="59"/>
      <c r="K264" s="25"/>
    </row>
    <row r="265" ht="12.75" customHeight="1">
      <c r="A265" s="68"/>
      <c r="B265" s="59"/>
      <c r="C265" s="59"/>
      <c r="D265" s="59"/>
      <c r="E265" s="59"/>
      <c r="F265" s="59"/>
      <c r="K265" s="25"/>
    </row>
    <row r="266" ht="12.75" customHeight="1">
      <c r="A266" s="68"/>
      <c r="B266" s="59"/>
      <c r="C266" s="59"/>
      <c r="D266" s="59"/>
      <c r="E266" s="59"/>
      <c r="F266" s="59"/>
      <c r="K266" s="25"/>
    </row>
    <row r="267" ht="12.75" customHeight="1">
      <c r="A267" s="68"/>
      <c r="B267" s="59"/>
      <c r="C267" s="59"/>
      <c r="D267" s="59"/>
      <c r="E267" s="59"/>
      <c r="F267" s="59"/>
      <c r="K267" s="25"/>
    </row>
    <row r="268" ht="12.75" customHeight="1">
      <c r="A268" s="68"/>
      <c r="B268" s="59"/>
      <c r="C268" s="59"/>
      <c r="D268" s="59"/>
      <c r="E268" s="59"/>
      <c r="F268" s="59"/>
      <c r="K268" s="25"/>
    </row>
    <row r="269" ht="12.75" customHeight="1">
      <c r="A269" s="68"/>
      <c r="B269" s="59"/>
      <c r="C269" s="59"/>
      <c r="D269" s="59"/>
      <c r="E269" s="59"/>
      <c r="F269" s="59"/>
      <c r="K269" s="25"/>
    </row>
    <row r="270" ht="12.75" customHeight="1">
      <c r="A270" s="68"/>
      <c r="B270" s="59"/>
      <c r="C270" s="59"/>
      <c r="D270" s="59"/>
      <c r="E270" s="59"/>
      <c r="F270" s="59"/>
      <c r="K270" s="25"/>
    </row>
    <row r="271" ht="12.75" customHeight="1">
      <c r="A271" s="68"/>
      <c r="B271" s="59"/>
      <c r="C271" s="59"/>
      <c r="D271" s="59"/>
      <c r="E271" s="59"/>
      <c r="F271" s="59"/>
      <c r="K271" s="25"/>
    </row>
    <row r="272" ht="12.75" customHeight="1">
      <c r="A272" s="68"/>
      <c r="B272" s="59"/>
      <c r="C272" s="59"/>
      <c r="D272" s="59"/>
      <c r="E272" s="59"/>
      <c r="F272" s="59"/>
      <c r="K272" s="25"/>
    </row>
    <row r="273" ht="12.75" customHeight="1">
      <c r="A273" s="68"/>
      <c r="B273" s="59"/>
      <c r="C273" s="59"/>
      <c r="D273" s="59"/>
      <c r="E273" s="59"/>
      <c r="F273" s="59"/>
      <c r="K273" s="25"/>
    </row>
    <row r="274" ht="12.75" customHeight="1">
      <c r="A274" s="68"/>
      <c r="B274" s="59"/>
      <c r="C274" s="59"/>
      <c r="D274" s="59"/>
      <c r="E274" s="59"/>
      <c r="F274" s="59"/>
      <c r="K274" s="25"/>
    </row>
    <row r="275" ht="12.75" customHeight="1">
      <c r="A275" s="68"/>
      <c r="B275" s="59"/>
      <c r="C275" s="59"/>
      <c r="D275" s="59"/>
      <c r="E275" s="59"/>
      <c r="F275" s="59"/>
      <c r="K275" s="25"/>
    </row>
    <row r="276" ht="12.75" customHeight="1">
      <c r="A276" s="68"/>
      <c r="B276" s="59"/>
      <c r="C276" s="59"/>
      <c r="D276" s="59"/>
      <c r="E276" s="59"/>
      <c r="F276" s="59"/>
      <c r="K276" s="25"/>
    </row>
    <row r="277" ht="12.75" customHeight="1">
      <c r="A277" s="68"/>
      <c r="B277" s="59"/>
      <c r="C277" s="59"/>
      <c r="D277" s="59"/>
      <c r="E277" s="59"/>
      <c r="F277" s="59"/>
      <c r="K277" s="25"/>
    </row>
    <row r="278" ht="12.75" customHeight="1">
      <c r="A278" s="68"/>
      <c r="B278" s="59"/>
      <c r="C278" s="59"/>
      <c r="D278" s="59"/>
      <c r="E278" s="59"/>
      <c r="F278" s="59"/>
      <c r="K278" s="25"/>
    </row>
    <row r="279" ht="12.75" customHeight="1">
      <c r="A279" s="68"/>
      <c r="B279" s="59"/>
      <c r="C279" s="59"/>
      <c r="D279" s="59"/>
      <c r="E279" s="59"/>
      <c r="F279" s="59"/>
      <c r="K279" s="25"/>
    </row>
    <row r="280" ht="12.75" customHeight="1">
      <c r="A280" s="68"/>
      <c r="B280" s="59"/>
      <c r="C280" s="59"/>
      <c r="D280" s="59"/>
      <c r="E280" s="59"/>
      <c r="F280" s="59"/>
      <c r="K280" s="25"/>
    </row>
    <row r="281" ht="12.75" customHeight="1">
      <c r="A281" s="68"/>
      <c r="B281" s="59"/>
      <c r="C281" s="59"/>
      <c r="D281" s="59"/>
      <c r="E281" s="59"/>
      <c r="F281" s="59"/>
      <c r="K281" s="25"/>
    </row>
    <row r="282" ht="12.75" customHeight="1">
      <c r="A282" s="68"/>
      <c r="B282" s="59"/>
      <c r="C282" s="59"/>
      <c r="D282" s="59"/>
      <c r="E282" s="59"/>
      <c r="F282" s="59"/>
      <c r="K282" s="25"/>
    </row>
    <row r="283" ht="12.75" customHeight="1">
      <c r="A283" s="68"/>
      <c r="B283" s="59"/>
      <c r="C283" s="59"/>
      <c r="D283" s="59"/>
      <c r="E283" s="59"/>
      <c r="F283" s="59"/>
      <c r="K283" s="25"/>
    </row>
    <row r="284" ht="12.75" customHeight="1">
      <c r="A284" s="68"/>
      <c r="B284" s="59"/>
      <c r="C284" s="59"/>
      <c r="D284" s="59"/>
      <c r="E284" s="59"/>
      <c r="F284" s="59"/>
      <c r="K284" s="25"/>
    </row>
    <row r="285" ht="12.75" customHeight="1">
      <c r="A285" s="68"/>
      <c r="B285" s="59"/>
      <c r="C285" s="59"/>
      <c r="D285" s="59"/>
      <c r="E285" s="59"/>
      <c r="F285" s="59"/>
      <c r="K285" s="25"/>
    </row>
    <row r="286" ht="12.75" customHeight="1">
      <c r="A286" s="68"/>
      <c r="B286" s="59"/>
      <c r="C286" s="59"/>
      <c r="D286" s="59"/>
      <c r="E286" s="59"/>
      <c r="F286" s="59"/>
      <c r="K286" s="25"/>
    </row>
    <row r="287" ht="12.75" customHeight="1">
      <c r="A287" s="68"/>
      <c r="B287" s="59"/>
      <c r="C287" s="59"/>
      <c r="D287" s="59"/>
      <c r="E287" s="59"/>
      <c r="F287" s="59"/>
      <c r="K287" s="25"/>
    </row>
    <row r="288" ht="12.75" customHeight="1">
      <c r="A288" s="68"/>
      <c r="B288" s="59"/>
      <c r="C288" s="59"/>
      <c r="D288" s="59"/>
      <c r="E288" s="59"/>
      <c r="F288" s="59"/>
      <c r="K288" s="25"/>
    </row>
    <row r="289" ht="12.75" customHeight="1">
      <c r="A289" s="68"/>
      <c r="B289" s="59"/>
      <c r="C289" s="59"/>
      <c r="D289" s="59"/>
      <c r="E289" s="59"/>
      <c r="F289" s="59"/>
      <c r="K289" s="25"/>
    </row>
    <row r="290" ht="12.75" customHeight="1">
      <c r="A290" s="68"/>
      <c r="B290" s="59"/>
      <c r="C290" s="59"/>
      <c r="D290" s="59"/>
      <c r="E290" s="59"/>
      <c r="F290" s="59"/>
      <c r="K290" s="25"/>
    </row>
    <row r="291" ht="12.75" customHeight="1">
      <c r="A291" s="68"/>
      <c r="B291" s="59"/>
      <c r="C291" s="59"/>
      <c r="D291" s="59"/>
      <c r="E291" s="59"/>
      <c r="F291" s="59"/>
      <c r="K291" s="25"/>
    </row>
    <row r="292" ht="12.75" customHeight="1">
      <c r="A292" s="68"/>
      <c r="B292" s="59"/>
      <c r="C292" s="59"/>
      <c r="D292" s="59"/>
      <c r="E292" s="59"/>
      <c r="F292" s="59"/>
      <c r="K292" s="25"/>
    </row>
    <row r="293" ht="12.75" customHeight="1">
      <c r="A293" s="68"/>
      <c r="B293" s="59"/>
      <c r="C293" s="59"/>
      <c r="D293" s="59"/>
      <c r="E293" s="59"/>
      <c r="F293" s="59"/>
      <c r="K293" s="25"/>
    </row>
    <row r="294" ht="12.75" customHeight="1">
      <c r="A294" s="68"/>
      <c r="B294" s="59"/>
      <c r="C294" s="59"/>
      <c r="D294" s="59"/>
      <c r="E294" s="59"/>
      <c r="F294" s="59"/>
      <c r="K294" s="25"/>
    </row>
    <row r="295" ht="12.75" customHeight="1">
      <c r="A295" s="68"/>
      <c r="B295" s="59"/>
      <c r="C295" s="59"/>
      <c r="D295" s="59"/>
      <c r="E295" s="59"/>
      <c r="F295" s="59"/>
      <c r="K295" s="25"/>
    </row>
    <row r="296" ht="12.75" customHeight="1">
      <c r="A296" s="68"/>
      <c r="B296" s="59"/>
      <c r="C296" s="59"/>
      <c r="D296" s="59"/>
      <c r="E296" s="59"/>
      <c r="F296" s="59"/>
      <c r="K296" s="25"/>
    </row>
    <row r="297" ht="12.75" customHeight="1">
      <c r="A297" s="68"/>
      <c r="B297" s="59"/>
      <c r="C297" s="59"/>
      <c r="D297" s="59"/>
      <c r="E297" s="59"/>
      <c r="F297" s="59"/>
      <c r="K297" s="25"/>
    </row>
    <row r="298" ht="12.75" customHeight="1">
      <c r="A298" s="68"/>
      <c r="B298" s="59"/>
      <c r="C298" s="59"/>
      <c r="D298" s="59"/>
      <c r="E298" s="59"/>
      <c r="F298" s="59"/>
      <c r="K298" s="25"/>
    </row>
    <row r="299" ht="12.75" customHeight="1">
      <c r="A299" s="68"/>
      <c r="B299" s="59"/>
      <c r="C299" s="59"/>
      <c r="D299" s="59"/>
      <c r="E299" s="59"/>
      <c r="F299" s="59"/>
      <c r="K299" s="25"/>
    </row>
    <row r="300" ht="12.75" customHeight="1">
      <c r="A300" s="68"/>
      <c r="B300" s="59"/>
      <c r="C300" s="59"/>
      <c r="D300" s="59"/>
      <c r="E300" s="59"/>
      <c r="F300" s="59"/>
      <c r="K300" s="25"/>
    </row>
    <row r="301" ht="12.75" customHeight="1">
      <c r="A301" s="68"/>
      <c r="B301" s="59"/>
      <c r="C301" s="59"/>
      <c r="D301" s="59"/>
      <c r="E301" s="59"/>
      <c r="F301" s="59"/>
      <c r="K301" s="25"/>
    </row>
    <row r="302" ht="12.75" customHeight="1">
      <c r="A302" s="68"/>
      <c r="B302" s="59"/>
      <c r="C302" s="59"/>
      <c r="D302" s="59"/>
      <c r="E302" s="59"/>
      <c r="F302" s="59"/>
      <c r="K302" s="25"/>
    </row>
    <row r="303" ht="12.75" customHeight="1">
      <c r="A303" s="68"/>
      <c r="B303" s="59"/>
      <c r="C303" s="59"/>
      <c r="D303" s="59"/>
      <c r="E303" s="59"/>
      <c r="F303" s="59"/>
      <c r="K303" s="25"/>
    </row>
    <row r="304" ht="12.75" customHeight="1">
      <c r="A304" s="68"/>
      <c r="B304" s="59"/>
      <c r="C304" s="59"/>
      <c r="D304" s="59"/>
      <c r="E304" s="59"/>
      <c r="F304" s="59"/>
      <c r="K304" s="25"/>
    </row>
    <row r="305" ht="12.75" customHeight="1">
      <c r="A305" s="68"/>
      <c r="B305" s="59"/>
      <c r="C305" s="59"/>
      <c r="D305" s="59"/>
      <c r="E305" s="59"/>
      <c r="F305" s="59"/>
      <c r="K305" s="25"/>
    </row>
    <row r="306" ht="12.75" customHeight="1">
      <c r="A306" s="68"/>
      <c r="B306" s="59"/>
      <c r="C306" s="59"/>
      <c r="D306" s="59"/>
      <c r="E306" s="59"/>
      <c r="F306" s="59"/>
      <c r="K306" s="25"/>
    </row>
    <row r="307" ht="12.75" customHeight="1">
      <c r="A307" s="68"/>
      <c r="B307" s="59"/>
      <c r="C307" s="59"/>
      <c r="D307" s="59"/>
      <c r="E307" s="59"/>
      <c r="F307" s="59"/>
      <c r="K307" s="25"/>
    </row>
    <row r="308" ht="12.75" customHeight="1">
      <c r="A308" s="68"/>
      <c r="B308" s="59"/>
      <c r="C308" s="59"/>
      <c r="D308" s="59"/>
      <c r="E308" s="59"/>
      <c r="F308" s="59"/>
      <c r="K308" s="25"/>
    </row>
    <row r="309" ht="12.75" customHeight="1">
      <c r="A309" s="68"/>
      <c r="B309" s="59"/>
      <c r="C309" s="59"/>
      <c r="D309" s="59"/>
      <c r="E309" s="59"/>
      <c r="F309" s="59"/>
      <c r="K309" s="25"/>
    </row>
    <row r="310" ht="12.75" customHeight="1">
      <c r="A310" s="68"/>
      <c r="B310" s="59"/>
      <c r="C310" s="59"/>
      <c r="D310" s="59"/>
      <c r="E310" s="59"/>
      <c r="F310" s="59"/>
      <c r="K310" s="25"/>
    </row>
    <row r="311" ht="12.75" customHeight="1">
      <c r="A311" s="68"/>
      <c r="B311" s="59"/>
      <c r="C311" s="59"/>
      <c r="D311" s="59"/>
      <c r="E311" s="59"/>
      <c r="F311" s="59"/>
      <c r="K311" s="25"/>
    </row>
    <row r="312" ht="12.75" customHeight="1">
      <c r="A312" s="68"/>
      <c r="B312" s="59"/>
      <c r="C312" s="59"/>
      <c r="D312" s="59"/>
      <c r="E312" s="59"/>
      <c r="F312" s="59"/>
      <c r="K312" s="25"/>
    </row>
    <row r="313" ht="12.75" customHeight="1">
      <c r="A313" s="68"/>
      <c r="B313" s="59"/>
      <c r="C313" s="59"/>
      <c r="D313" s="59"/>
      <c r="E313" s="59"/>
      <c r="F313" s="59"/>
      <c r="K313" s="25"/>
    </row>
    <row r="314" ht="12.75" customHeight="1">
      <c r="A314" s="68"/>
      <c r="B314" s="59"/>
      <c r="C314" s="59"/>
      <c r="D314" s="59"/>
      <c r="E314" s="59"/>
      <c r="F314" s="59"/>
      <c r="K314" s="25"/>
    </row>
    <row r="315" ht="12.75" customHeight="1">
      <c r="A315" s="68"/>
      <c r="B315" s="59"/>
      <c r="C315" s="59"/>
      <c r="D315" s="59"/>
      <c r="E315" s="59"/>
      <c r="F315" s="59"/>
      <c r="K315" s="25"/>
    </row>
    <row r="316" ht="12.75" customHeight="1">
      <c r="A316" s="68"/>
      <c r="B316" s="59"/>
      <c r="C316" s="59"/>
      <c r="D316" s="59"/>
      <c r="E316" s="59"/>
      <c r="F316" s="59"/>
      <c r="K316" s="25"/>
    </row>
    <row r="317" ht="12.75" customHeight="1">
      <c r="A317" s="68"/>
      <c r="B317" s="59"/>
      <c r="C317" s="59"/>
      <c r="D317" s="59"/>
      <c r="E317" s="59"/>
      <c r="F317" s="59"/>
      <c r="K317" s="25"/>
    </row>
    <row r="318" ht="12.75" customHeight="1">
      <c r="A318" s="68"/>
      <c r="B318" s="59"/>
      <c r="C318" s="59"/>
      <c r="D318" s="59"/>
      <c r="E318" s="59"/>
      <c r="F318" s="59"/>
      <c r="K318" s="25"/>
    </row>
    <row r="319" ht="12.75" customHeight="1">
      <c r="A319" s="68"/>
      <c r="B319" s="59"/>
      <c r="C319" s="59"/>
      <c r="D319" s="59"/>
      <c r="E319" s="59"/>
      <c r="F319" s="59"/>
      <c r="K319" s="25"/>
    </row>
    <row r="320" ht="12.75" customHeight="1">
      <c r="A320" s="68"/>
      <c r="B320" s="59"/>
      <c r="C320" s="59"/>
      <c r="D320" s="59"/>
      <c r="E320" s="59"/>
      <c r="F320" s="59"/>
      <c r="K320" s="25"/>
    </row>
    <row r="321" ht="12.75" customHeight="1">
      <c r="A321" s="68"/>
      <c r="B321" s="59"/>
      <c r="C321" s="59"/>
      <c r="D321" s="59"/>
      <c r="E321" s="59"/>
      <c r="F321" s="59"/>
      <c r="K321" s="25"/>
    </row>
    <row r="322" ht="12.75" customHeight="1">
      <c r="A322" s="68"/>
      <c r="B322" s="59"/>
      <c r="C322" s="59"/>
      <c r="D322" s="59"/>
      <c r="E322" s="59"/>
      <c r="F322" s="59"/>
      <c r="K322" s="25"/>
    </row>
    <row r="323" ht="12.75" customHeight="1">
      <c r="A323" s="68"/>
      <c r="B323" s="59"/>
      <c r="C323" s="59"/>
      <c r="D323" s="59"/>
      <c r="E323" s="59"/>
      <c r="F323" s="59"/>
      <c r="K323" s="25"/>
    </row>
    <row r="324" ht="12.75" customHeight="1">
      <c r="A324" s="68"/>
      <c r="B324" s="59"/>
      <c r="C324" s="59"/>
      <c r="D324" s="59"/>
      <c r="E324" s="59"/>
      <c r="F324" s="59"/>
      <c r="K324" s="25"/>
    </row>
    <row r="325" ht="12.75" customHeight="1">
      <c r="A325" s="68"/>
      <c r="B325" s="59"/>
      <c r="C325" s="59"/>
      <c r="D325" s="59"/>
      <c r="E325" s="59"/>
      <c r="F325" s="59"/>
      <c r="K325" s="25"/>
    </row>
    <row r="326" ht="12.75" customHeight="1">
      <c r="A326" s="68"/>
      <c r="B326" s="59"/>
      <c r="C326" s="59"/>
      <c r="D326" s="59"/>
      <c r="E326" s="59"/>
      <c r="F326" s="59"/>
      <c r="K326" s="25"/>
    </row>
    <row r="327" ht="12.75" customHeight="1">
      <c r="A327" s="68"/>
      <c r="B327" s="59"/>
      <c r="C327" s="59"/>
      <c r="D327" s="59"/>
      <c r="E327" s="59"/>
      <c r="F327" s="59"/>
      <c r="K327" s="25"/>
    </row>
    <row r="328" ht="12.75" customHeight="1">
      <c r="A328" s="68"/>
      <c r="B328" s="59"/>
      <c r="C328" s="59"/>
      <c r="D328" s="59"/>
      <c r="E328" s="59"/>
      <c r="F328" s="59"/>
      <c r="K328" s="25"/>
    </row>
    <row r="329" ht="12.75" customHeight="1">
      <c r="A329" s="68"/>
      <c r="B329" s="59"/>
      <c r="C329" s="59"/>
      <c r="D329" s="59"/>
      <c r="E329" s="59"/>
      <c r="F329" s="59"/>
      <c r="K329" s="25"/>
    </row>
    <row r="330" ht="12.75" customHeight="1">
      <c r="A330" s="68"/>
      <c r="B330" s="59"/>
      <c r="C330" s="59"/>
      <c r="D330" s="59"/>
      <c r="E330" s="59"/>
      <c r="F330" s="59"/>
      <c r="K330" s="25"/>
    </row>
    <row r="331" ht="12.75" customHeight="1">
      <c r="A331" s="68"/>
      <c r="B331" s="59"/>
      <c r="C331" s="59"/>
      <c r="D331" s="59"/>
      <c r="E331" s="59"/>
      <c r="F331" s="59"/>
      <c r="K331" s="25"/>
    </row>
    <row r="332" ht="12.75" customHeight="1">
      <c r="A332" s="68"/>
      <c r="B332" s="59"/>
      <c r="C332" s="59"/>
      <c r="D332" s="59"/>
      <c r="E332" s="59"/>
      <c r="F332" s="59"/>
      <c r="K332" s="25"/>
    </row>
    <row r="333" ht="12.75" customHeight="1">
      <c r="A333" s="68"/>
      <c r="B333" s="59"/>
      <c r="C333" s="59"/>
      <c r="D333" s="59"/>
      <c r="E333" s="59"/>
      <c r="F333" s="59"/>
      <c r="K333" s="25"/>
    </row>
    <row r="334" ht="12.75" customHeight="1">
      <c r="A334" s="68"/>
      <c r="B334" s="59"/>
      <c r="C334" s="59"/>
      <c r="D334" s="59"/>
      <c r="E334" s="59"/>
      <c r="F334" s="59"/>
      <c r="K334" s="25"/>
    </row>
    <row r="335" ht="12.75" customHeight="1">
      <c r="A335" s="68"/>
      <c r="B335" s="59"/>
      <c r="C335" s="59"/>
      <c r="D335" s="59"/>
      <c r="E335" s="59"/>
      <c r="F335" s="59"/>
      <c r="K335" s="25"/>
    </row>
    <row r="336" ht="12.75" customHeight="1">
      <c r="A336" s="68"/>
      <c r="B336" s="59"/>
      <c r="C336" s="59"/>
      <c r="D336" s="59"/>
      <c r="E336" s="59"/>
      <c r="F336" s="59"/>
      <c r="K336" s="25"/>
    </row>
    <row r="337" ht="12.75" customHeight="1">
      <c r="A337" s="68"/>
      <c r="B337" s="59"/>
      <c r="C337" s="59"/>
      <c r="D337" s="59"/>
      <c r="E337" s="59"/>
      <c r="F337" s="59"/>
      <c r="K337" s="25"/>
    </row>
    <row r="338" ht="12.75" customHeight="1">
      <c r="A338" s="68"/>
      <c r="B338" s="59"/>
      <c r="C338" s="59"/>
      <c r="D338" s="59"/>
      <c r="E338" s="59"/>
      <c r="F338" s="59"/>
      <c r="K338" s="25"/>
    </row>
    <row r="339" ht="12.75" customHeight="1">
      <c r="A339" s="68"/>
      <c r="B339" s="59"/>
      <c r="C339" s="59"/>
      <c r="D339" s="59"/>
      <c r="E339" s="59"/>
      <c r="F339" s="59"/>
      <c r="K339" s="25"/>
    </row>
    <row r="340" ht="12.75" customHeight="1">
      <c r="A340" s="68"/>
      <c r="B340" s="59"/>
      <c r="C340" s="59"/>
      <c r="D340" s="59"/>
      <c r="E340" s="59"/>
      <c r="F340" s="59"/>
      <c r="K340" s="25"/>
    </row>
    <row r="341" ht="12.75" customHeight="1">
      <c r="A341" s="68"/>
      <c r="B341" s="59"/>
      <c r="C341" s="59"/>
      <c r="D341" s="59"/>
      <c r="E341" s="59"/>
      <c r="F341" s="59"/>
      <c r="K341" s="25"/>
    </row>
    <row r="342" ht="12.75" customHeight="1">
      <c r="A342" s="68"/>
      <c r="B342" s="59"/>
      <c r="C342" s="59"/>
      <c r="D342" s="59"/>
      <c r="E342" s="59"/>
      <c r="F342" s="59"/>
      <c r="K342" s="25"/>
    </row>
    <row r="343" ht="12.75" customHeight="1">
      <c r="A343" s="68"/>
      <c r="B343" s="59"/>
      <c r="C343" s="59"/>
      <c r="D343" s="59"/>
      <c r="E343" s="59"/>
      <c r="F343" s="59"/>
      <c r="K343" s="25"/>
    </row>
    <row r="344" ht="12.75" customHeight="1">
      <c r="A344" s="68"/>
      <c r="B344" s="59"/>
      <c r="C344" s="59"/>
      <c r="D344" s="59"/>
      <c r="E344" s="59"/>
      <c r="F344" s="59"/>
      <c r="K344" s="25"/>
    </row>
    <row r="345" ht="12.75" customHeight="1">
      <c r="A345" s="68"/>
      <c r="B345" s="59"/>
      <c r="C345" s="59"/>
      <c r="D345" s="59"/>
      <c r="E345" s="59"/>
      <c r="F345" s="59"/>
      <c r="K345" s="25"/>
    </row>
    <row r="346" ht="12.75" customHeight="1">
      <c r="A346" s="68"/>
      <c r="B346" s="59"/>
      <c r="C346" s="59"/>
      <c r="D346" s="59"/>
      <c r="E346" s="59"/>
      <c r="F346" s="59"/>
      <c r="K346" s="25"/>
    </row>
    <row r="347" ht="12.75" customHeight="1">
      <c r="A347" s="68"/>
      <c r="B347" s="59"/>
      <c r="C347" s="59"/>
      <c r="D347" s="59"/>
      <c r="E347" s="59"/>
      <c r="F347" s="59"/>
      <c r="K347" s="25"/>
    </row>
    <row r="348" ht="12.75" customHeight="1">
      <c r="A348" s="68"/>
      <c r="B348" s="59"/>
      <c r="C348" s="59"/>
      <c r="D348" s="59"/>
      <c r="E348" s="59"/>
      <c r="F348" s="59"/>
      <c r="K348" s="25"/>
    </row>
    <row r="349" ht="12.75" customHeight="1">
      <c r="A349" s="68"/>
      <c r="B349" s="59"/>
      <c r="C349" s="59"/>
      <c r="D349" s="59"/>
      <c r="E349" s="59"/>
      <c r="F349" s="59"/>
      <c r="K349" s="25"/>
    </row>
    <row r="350" ht="12.75" customHeight="1">
      <c r="A350" s="68"/>
      <c r="B350" s="59"/>
      <c r="C350" s="59"/>
      <c r="D350" s="59"/>
      <c r="E350" s="59"/>
      <c r="F350" s="59"/>
      <c r="K350" s="25"/>
    </row>
    <row r="351" ht="12.75" customHeight="1">
      <c r="A351" s="68"/>
      <c r="B351" s="59"/>
      <c r="C351" s="59"/>
      <c r="D351" s="59"/>
      <c r="E351" s="59"/>
      <c r="F351" s="59"/>
      <c r="K351" s="25"/>
    </row>
    <row r="352" ht="12.75" customHeight="1">
      <c r="A352" s="68"/>
      <c r="B352" s="59"/>
      <c r="C352" s="59"/>
      <c r="D352" s="59"/>
      <c r="E352" s="59"/>
      <c r="F352" s="59"/>
      <c r="K352" s="25"/>
    </row>
    <row r="353" ht="12.75" customHeight="1">
      <c r="A353" s="68"/>
      <c r="B353" s="59"/>
      <c r="C353" s="59"/>
      <c r="D353" s="59"/>
      <c r="E353" s="59"/>
      <c r="F353" s="59"/>
      <c r="K353" s="25"/>
    </row>
    <row r="354" ht="12.75" customHeight="1">
      <c r="A354" s="68"/>
      <c r="B354" s="59"/>
      <c r="C354" s="59"/>
      <c r="D354" s="59"/>
      <c r="E354" s="59"/>
      <c r="F354" s="59"/>
      <c r="K354" s="25"/>
    </row>
    <row r="355" ht="12.75" customHeight="1">
      <c r="A355" s="68"/>
      <c r="B355" s="59"/>
      <c r="C355" s="59"/>
      <c r="D355" s="59"/>
      <c r="E355" s="59"/>
      <c r="F355" s="59"/>
      <c r="K355" s="25"/>
    </row>
    <row r="356" ht="12.75" customHeight="1">
      <c r="A356" s="68"/>
      <c r="B356" s="59"/>
      <c r="C356" s="59"/>
      <c r="D356" s="59"/>
      <c r="E356" s="59"/>
      <c r="F356" s="59"/>
      <c r="K356" s="25"/>
    </row>
    <row r="357" ht="12.75" customHeight="1">
      <c r="A357" s="68"/>
      <c r="B357" s="59"/>
      <c r="C357" s="59"/>
      <c r="D357" s="59"/>
      <c r="E357" s="59"/>
      <c r="F357" s="59"/>
      <c r="K357" s="25"/>
    </row>
    <row r="358" ht="12.75" customHeight="1">
      <c r="A358" s="68"/>
      <c r="B358" s="59"/>
      <c r="C358" s="59"/>
      <c r="D358" s="59"/>
      <c r="E358" s="59"/>
      <c r="F358" s="59"/>
      <c r="K358" s="25"/>
    </row>
    <row r="359" ht="12.75" customHeight="1">
      <c r="A359" s="68"/>
      <c r="B359" s="59"/>
      <c r="C359" s="59"/>
      <c r="D359" s="59"/>
      <c r="E359" s="59"/>
      <c r="F359" s="59"/>
      <c r="K359" s="25"/>
    </row>
    <row r="360" ht="12.75" customHeight="1">
      <c r="A360" s="68"/>
      <c r="B360" s="59"/>
      <c r="C360" s="59"/>
      <c r="D360" s="59"/>
      <c r="E360" s="59"/>
      <c r="F360" s="59"/>
      <c r="K360" s="25"/>
    </row>
    <row r="361" ht="12.75" customHeight="1">
      <c r="A361" s="68"/>
      <c r="B361" s="59"/>
      <c r="C361" s="59"/>
      <c r="D361" s="59"/>
      <c r="E361" s="59"/>
      <c r="F361" s="59"/>
      <c r="K361" s="25"/>
    </row>
    <row r="362" ht="12.75" customHeight="1">
      <c r="A362" s="68"/>
      <c r="B362" s="59"/>
      <c r="C362" s="59"/>
      <c r="D362" s="59"/>
      <c r="E362" s="59"/>
      <c r="F362" s="59"/>
      <c r="K362" s="25"/>
    </row>
    <row r="363" ht="12.75" customHeight="1">
      <c r="A363" s="68"/>
      <c r="B363" s="59"/>
      <c r="C363" s="59"/>
      <c r="D363" s="59"/>
      <c r="E363" s="59"/>
      <c r="F363" s="59"/>
      <c r="K363" s="25"/>
    </row>
    <row r="364" ht="12.75" customHeight="1">
      <c r="A364" s="68"/>
      <c r="B364" s="59"/>
      <c r="C364" s="59"/>
      <c r="D364" s="59"/>
      <c r="E364" s="59"/>
      <c r="F364" s="59"/>
      <c r="K364" s="25"/>
    </row>
    <row r="365" ht="12.75" customHeight="1">
      <c r="A365" s="68"/>
      <c r="B365" s="59"/>
      <c r="C365" s="59"/>
      <c r="D365" s="59"/>
      <c r="E365" s="59"/>
      <c r="F365" s="59"/>
      <c r="K365" s="25"/>
    </row>
    <row r="366" ht="12.75" customHeight="1">
      <c r="A366" s="68"/>
      <c r="B366" s="59"/>
      <c r="C366" s="59"/>
      <c r="D366" s="59"/>
      <c r="E366" s="59"/>
      <c r="F366" s="59"/>
      <c r="K366" s="25"/>
    </row>
    <row r="367" ht="12.75" customHeight="1">
      <c r="A367" s="68"/>
      <c r="B367" s="59"/>
      <c r="C367" s="59"/>
      <c r="D367" s="59"/>
      <c r="E367" s="59"/>
      <c r="F367" s="59"/>
      <c r="K367" s="25"/>
    </row>
    <row r="368" ht="12.75" customHeight="1">
      <c r="A368" s="68"/>
      <c r="B368" s="59"/>
      <c r="C368" s="59"/>
      <c r="D368" s="59"/>
      <c r="E368" s="59"/>
      <c r="F368" s="59"/>
      <c r="K368" s="25"/>
    </row>
    <row r="369" ht="12.75" customHeight="1">
      <c r="A369" s="68"/>
      <c r="B369" s="59"/>
      <c r="C369" s="59"/>
      <c r="D369" s="59"/>
      <c r="E369" s="59"/>
      <c r="F369" s="59"/>
      <c r="K369" s="25"/>
    </row>
    <row r="370" ht="12.75" customHeight="1">
      <c r="A370" s="68"/>
      <c r="B370" s="59"/>
      <c r="C370" s="59"/>
      <c r="D370" s="59"/>
      <c r="E370" s="59"/>
      <c r="F370" s="59"/>
      <c r="K370" s="25"/>
    </row>
    <row r="371" ht="12.75" customHeight="1">
      <c r="A371" s="68"/>
      <c r="B371" s="59"/>
      <c r="C371" s="59"/>
      <c r="D371" s="59"/>
      <c r="E371" s="59"/>
      <c r="F371" s="59"/>
      <c r="K371" s="25"/>
    </row>
    <row r="372" ht="12.75" customHeight="1">
      <c r="A372" s="68"/>
      <c r="B372" s="59"/>
      <c r="C372" s="59"/>
      <c r="D372" s="59"/>
      <c r="E372" s="59"/>
      <c r="F372" s="59"/>
      <c r="K372" s="25"/>
    </row>
    <row r="373" ht="12.75" customHeight="1">
      <c r="A373" s="68"/>
      <c r="B373" s="59"/>
      <c r="C373" s="59"/>
      <c r="D373" s="59"/>
      <c r="E373" s="59"/>
      <c r="F373" s="59"/>
      <c r="K373" s="25"/>
    </row>
    <row r="374" ht="12.75" customHeight="1">
      <c r="A374" s="68"/>
      <c r="B374" s="59"/>
      <c r="C374" s="59"/>
      <c r="D374" s="59"/>
      <c r="E374" s="59"/>
      <c r="F374" s="59"/>
      <c r="K374" s="25"/>
    </row>
    <row r="375" ht="12.75" customHeight="1">
      <c r="A375" s="68"/>
      <c r="B375" s="59"/>
      <c r="C375" s="59"/>
      <c r="D375" s="59"/>
      <c r="E375" s="59"/>
      <c r="F375" s="59"/>
      <c r="K375" s="25"/>
    </row>
    <row r="376" ht="12.75" customHeight="1">
      <c r="A376" s="68"/>
      <c r="B376" s="59"/>
      <c r="C376" s="59"/>
      <c r="D376" s="59"/>
      <c r="E376" s="59"/>
      <c r="F376" s="59"/>
      <c r="K376" s="25"/>
    </row>
    <row r="377" ht="12.75" customHeight="1">
      <c r="A377" s="68"/>
      <c r="B377" s="59"/>
      <c r="C377" s="59"/>
      <c r="D377" s="59"/>
      <c r="E377" s="59"/>
      <c r="F377" s="59"/>
      <c r="K377" s="25"/>
    </row>
    <row r="378" ht="12.75" customHeight="1">
      <c r="A378" s="68"/>
      <c r="B378" s="59"/>
      <c r="C378" s="59"/>
      <c r="D378" s="59"/>
      <c r="E378" s="59"/>
      <c r="F378" s="59"/>
      <c r="K378" s="25"/>
    </row>
    <row r="379" ht="12.75" customHeight="1">
      <c r="A379" s="68"/>
      <c r="B379" s="59"/>
      <c r="C379" s="59"/>
      <c r="D379" s="59"/>
      <c r="E379" s="59"/>
      <c r="F379" s="59"/>
      <c r="K379" s="25"/>
    </row>
    <row r="380" ht="12.75" customHeight="1">
      <c r="A380" s="68"/>
      <c r="B380" s="59"/>
      <c r="C380" s="59"/>
      <c r="D380" s="59"/>
      <c r="E380" s="59"/>
      <c r="F380" s="59"/>
      <c r="K380" s="25"/>
    </row>
    <row r="381" ht="12.75" customHeight="1">
      <c r="A381" s="68"/>
      <c r="B381" s="59"/>
      <c r="C381" s="59"/>
      <c r="D381" s="59"/>
      <c r="E381" s="59"/>
      <c r="F381" s="59"/>
      <c r="K381" s="25"/>
    </row>
    <row r="382" ht="12.75" customHeight="1">
      <c r="A382" s="68"/>
      <c r="B382" s="59"/>
      <c r="C382" s="59"/>
      <c r="D382" s="59"/>
      <c r="E382" s="59"/>
      <c r="F382" s="59"/>
      <c r="K382" s="25"/>
    </row>
    <row r="383" ht="12.75" customHeight="1">
      <c r="A383" s="68"/>
      <c r="B383" s="59"/>
      <c r="C383" s="59"/>
      <c r="D383" s="59"/>
      <c r="E383" s="59"/>
      <c r="F383" s="59"/>
      <c r="K383" s="25"/>
    </row>
    <row r="384" ht="12.75" customHeight="1">
      <c r="A384" s="68"/>
      <c r="B384" s="59"/>
      <c r="C384" s="59"/>
      <c r="D384" s="59"/>
      <c r="E384" s="59"/>
      <c r="F384" s="59"/>
      <c r="K384" s="25"/>
    </row>
    <row r="385" ht="12.75" customHeight="1">
      <c r="A385" s="68"/>
      <c r="B385" s="59"/>
      <c r="C385" s="59"/>
      <c r="D385" s="59"/>
      <c r="E385" s="59"/>
      <c r="F385" s="59"/>
      <c r="K385" s="25"/>
    </row>
    <row r="386" ht="12.75" customHeight="1">
      <c r="A386" s="68"/>
      <c r="B386" s="59"/>
      <c r="C386" s="59"/>
      <c r="D386" s="59"/>
      <c r="E386" s="59"/>
      <c r="F386" s="59"/>
      <c r="K386" s="25"/>
    </row>
    <row r="387" ht="12.75" customHeight="1">
      <c r="A387" s="68"/>
      <c r="B387" s="59"/>
      <c r="C387" s="59"/>
      <c r="D387" s="59"/>
      <c r="E387" s="59"/>
      <c r="F387" s="59"/>
      <c r="K387" s="25"/>
    </row>
    <row r="388" ht="12.75" customHeight="1">
      <c r="A388" s="68"/>
      <c r="B388" s="59"/>
      <c r="C388" s="59"/>
      <c r="D388" s="59"/>
      <c r="E388" s="59"/>
      <c r="F388" s="59"/>
      <c r="K388" s="25"/>
    </row>
    <row r="389" ht="12.75" customHeight="1">
      <c r="A389" s="68"/>
      <c r="B389" s="59"/>
      <c r="C389" s="59"/>
      <c r="D389" s="59"/>
      <c r="E389" s="59"/>
      <c r="F389" s="59"/>
      <c r="K389" s="25"/>
    </row>
    <row r="390" ht="12.75" customHeight="1">
      <c r="A390" s="68"/>
      <c r="B390" s="59"/>
      <c r="C390" s="59"/>
      <c r="D390" s="59"/>
      <c r="E390" s="59"/>
      <c r="F390" s="59"/>
      <c r="K390" s="25"/>
    </row>
    <row r="391" ht="12.75" customHeight="1">
      <c r="A391" s="68"/>
      <c r="B391" s="59"/>
      <c r="C391" s="59"/>
      <c r="D391" s="59"/>
      <c r="E391" s="59"/>
      <c r="F391" s="59"/>
      <c r="K391" s="25"/>
    </row>
    <row r="392" ht="12.75" customHeight="1">
      <c r="A392" s="68"/>
      <c r="B392" s="59"/>
      <c r="C392" s="59"/>
      <c r="D392" s="59"/>
      <c r="E392" s="59"/>
      <c r="F392" s="59"/>
      <c r="K392" s="25"/>
    </row>
    <row r="393" ht="12.75" customHeight="1">
      <c r="A393" s="68"/>
      <c r="B393" s="59"/>
      <c r="C393" s="59"/>
      <c r="D393" s="59"/>
      <c r="E393" s="59"/>
      <c r="F393" s="59"/>
      <c r="K393" s="25"/>
    </row>
    <row r="394" ht="12.75" customHeight="1">
      <c r="A394" s="68"/>
      <c r="B394" s="59"/>
      <c r="C394" s="59"/>
      <c r="D394" s="59"/>
      <c r="E394" s="59"/>
      <c r="F394" s="59"/>
      <c r="K394" s="25"/>
    </row>
    <row r="395" ht="12.75" customHeight="1">
      <c r="A395" s="68"/>
      <c r="B395" s="59"/>
      <c r="C395" s="59"/>
      <c r="D395" s="59"/>
      <c r="E395" s="59"/>
      <c r="F395" s="59"/>
      <c r="K395" s="25"/>
    </row>
    <row r="396" ht="12.75" customHeight="1">
      <c r="A396" s="68"/>
      <c r="B396" s="59"/>
      <c r="C396" s="59"/>
      <c r="D396" s="59"/>
      <c r="E396" s="59"/>
      <c r="F396" s="59"/>
      <c r="K396" s="25"/>
    </row>
    <row r="397" ht="12.75" customHeight="1">
      <c r="A397" s="68"/>
      <c r="B397" s="59"/>
      <c r="C397" s="59"/>
      <c r="D397" s="59"/>
      <c r="E397" s="59"/>
      <c r="F397" s="59"/>
      <c r="K397" s="25"/>
    </row>
    <row r="398" ht="12.75" customHeight="1">
      <c r="A398" s="68"/>
      <c r="B398" s="59"/>
      <c r="C398" s="59"/>
      <c r="D398" s="59"/>
      <c r="E398" s="59"/>
      <c r="F398" s="59"/>
      <c r="K398" s="25"/>
    </row>
    <row r="399" ht="12.75" customHeight="1">
      <c r="A399" s="68"/>
      <c r="B399" s="59"/>
      <c r="C399" s="59"/>
      <c r="D399" s="59"/>
      <c r="E399" s="59"/>
      <c r="F399" s="59"/>
      <c r="K399" s="25"/>
    </row>
    <row r="400" ht="12.75" customHeight="1">
      <c r="A400" s="68"/>
      <c r="B400" s="59"/>
      <c r="C400" s="59"/>
      <c r="D400" s="59"/>
      <c r="E400" s="59"/>
      <c r="F400" s="59"/>
      <c r="K400" s="25"/>
    </row>
    <row r="401" ht="12.75" customHeight="1">
      <c r="A401" s="68"/>
      <c r="B401" s="59"/>
      <c r="C401" s="59"/>
      <c r="D401" s="59"/>
      <c r="E401" s="59"/>
      <c r="F401" s="59"/>
      <c r="K401" s="25"/>
    </row>
    <row r="402" ht="12.75" customHeight="1">
      <c r="A402" s="68"/>
      <c r="B402" s="59"/>
      <c r="C402" s="59"/>
      <c r="D402" s="59"/>
      <c r="E402" s="59"/>
      <c r="F402" s="59"/>
      <c r="K402" s="25"/>
    </row>
    <row r="403" ht="12.75" customHeight="1">
      <c r="A403" s="68"/>
      <c r="B403" s="59"/>
      <c r="C403" s="59"/>
      <c r="D403" s="59"/>
      <c r="E403" s="59"/>
      <c r="F403" s="59"/>
      <c r="K403" s="25"/>
    </row>
    <row r="404" ht="12.75" customHeight="1">
      <c r="A404" s="68"/>
      <c r="B404" s="59"/>
      <c r="C404" s="59"/>
      <c r="D404" s="59"/>
      <c r="E404" s="59"/>
      <c r="F404" s="59"/>
      <c r="K404" s="25"/>
    </row>
    <row r="405" ht="12.75" customHeight="1">
      <c r="A405" s="68"/>
      <c r="B405" s="59"/>
      <c r="C405" s="59"/>
      <c r="D405" s="59"/>
      <c r="E405" s="59"/>
      <c r="F405" s="59"/>
      <c r="K405" s="25"/>
    </row>
    <row r="406" ht="12.75" customHeight="1">
      <c r="A406" s="68"/>
      <c r="B406" s="59"/>
      <c r="C406" s="59"/>
      <c r="D406" s="59"/>
      <c r="E406" s="59"/>
      <c r="F406" s="59"/>
      <c r="K406" s="25"/>
    </row>
    <row r="407" ht="12.75" customHeight="1">
      <c r="A407" s="68"/>
      <c r="B407" s="59"/>
      <c r="C407" s="59"/>
      <c r="D407" s="59"/>
      <c r="E407" s="59"/>
      <c r="F407" s="59"/>
      <c r="K407" s="25"/>
    </row>
    <row r="408" ht="12.75" customHeight="1">
      <c r="A408" s="68"/>
      <c r="B408" s="59"/>
      <c r="C408" s="59"/>
      <c r="D408" s="59"/>
      <c r="E408" s="59"/>
      <c r="F408" s="59"/>
      <c r="K408" s="25"/>
    </row>
    <row r="409" ht="12.75" customHeight="1">
      <c r="A409" s="68"/>
      <c r="B409" s="59"/>
      <c r="C409" s="59"/>
      <c r="D409" s="59"/>
      <c r="E409" s="59"/>
      <c r="F409" s="59"/>
      <c r="K409" s="25"/>
    </row>
    <row r="410" ht="12.75" customHeight="1">
      <c r="A410" s="68"/>
      <c r="B410" s="59"/>
      <c r="C410" s="59"/>
      <c r="D410" s="59"/>
      <c r="E410" s="59"/>
      <c r="F410" s="59"/>
      <c r="K410" s="25"/>
    </row>
    <row r="411" ht="12.75" customHeight="1">
      <c r="A411" s="68"/>
      <c r="B411" s="59"/>
      <c r="C411" s="59"/>
      <c r="D411" s="59"/>
      <c r="E411" s="59"/>
      <c r="F411" s="59"/>
      <c r="K411" s="25"/>
    </row>
    <row r="412" ht="12.75" customHeight="1">
      <c r="A412" s="68"/>
      <c r="B412" s="59"/>
      <c r="C412" s="59"/>
      <c r="D412" s="59"/>
      <c r="E412" s="59"/>
      <c r="F412" s="59"/>
      <c r="K412" s="25"/>
    </row>
    <row r="413" ht="12.75" customHeight="1">
      <c r="A413" s="68"/>
      <c r="B413" s="59"/>
      <c r="C413" s="59"/>
      <c r="D413" s="59"/>
      <c r="E413" s="59"/>
      <c r="F413" s="59"/>
      <c r="K413" s="25"/>
    </row>
    <row r="414" ht="12.75" customHeight="1">
      <c r="A414" s="68"/>
      <c r="B414" s="59"/>
      <c r="C414" s="59"/>
      <c r="D414" s="59"/>
      <c r="E414" s="59"/>
      <c r="F414" s="59"/>
      <c r="K414" s="25"/>
    </row>
    <row r="415" ht="12.75" customHeight="1">
      <c r="A415" s="68"/>
      <c r="B415" s="59"/>
      <c r="C415" s="59"/>
      <c r="D415" s="59"/>
      <c r="E415" s="59"/>
      <c r="F415" s="59"/>
      <c r="K415" s="25"/>
    </row>
    <row r="416" ht="12.75" customHeight="1">
      <c r="A416" s="68"/>
      <c r="B416" s="59"/>
      <c r="C416" s="59"/>
      <c r="D416" s="59"/>
      <c r="E416" s="59"/>
      <c r="F416" s="59"/>
      <c r="K416" s="25"/>
    </row>
    <row r="417" ht="12.75" customHeight="1">
      <c r="A417" s="68"/>
      <c r="B417" s="59"/>
      <c r="C417" s="59"/>
      <c r="D417" s="59"/>
      <c r="E417" s="59"/>
      <c r="F417" s="59"/>
      <c r="K417" s="25"/>
    </row>
    <row r="418" ht="12.75" customHeight="1">
      <c r="A418" s="68"/>
      <c r="B418" s="59"/>
      <c r="C418" s="59"/>
      <c r="D418" s="59"/>
      <c r="E418" s="59"/>
      <c r="F418" s="59"/>
      <c r="K418" s="25"/>
    </row>
    <row r="419" ht="12.75" customHeight="1">
      <c r="A419" s="68"/>
      <c r="B419" s="59"/>
      <c r="C419" s="59"/>
      <c r="D419" s="59"/>
      <c r="E419" s="59"/>
      <c r="F419" s="59"/>
      <c r="K419" s="25"/>
    </row>
    <row r="420" ht="12.75" customHeight="1">
      <c r="A420" s="68"/>
      <c r="B420" s="59"/>
      <c r="C420" s="59"/>
      <c r="D420" s="59"/>
      <c r="E420" s="59"/>
      <c r="F420" s="59"/>
      <c r="K420" s="25"/>
    </row>
    <row r="421" ht="12.75" customHeight="1">
      <c r="A421" s="68"/>
      <c r="B421" s="59"/>
      <c r="C421" s="59"/>
      <c r="D421" s="59"/>
      <c r="E421" s="59"/>
      <c r="F421" s="59"/>
      <c r="K421" s="25"/>
    </row>
    <row r="422" ht="12.75" customHeight="1">
      <c r="A422" s="68"/>
      <c r="B422" s="59"/>
      <c r="C422" s="59"/>
      <c r="D422" s="59"/>
      <c r="E422" s="59"/>
      <c r="F422" s="59"/>
      <c r="K422" s="25"/>
    </row>
    <row r="423" ht="12.75" customHeight="1">
      <c r="A423" s="68"/>
      <c r="B423" s="59"/>
      <c r="C423" s="59"/>
      <c r="D423" s="59"/>
      <c r="E423" s="59"/>
      <c r="F423" s="59"/>
      <c r="K423" s="25"/>
    </row>
    <row r="424" ht="12.75" customHeight="1">
      <c r="A424" s="68"/>
      <c r="B424" s="59"/>
      <c r="C424" s="59"/>
      <c r="D424" s="59"/>
      <c r="E424" s="59"/>
      <c r="F424" s="59"/>
      <c r="K424" s="25"/>
    </row>
    <row r="425" ht="12.75" customHeight="1">
      <c r="A425" s="68"/>
      <c r="B425" s="59"/>
      <c r="C425" s="59"/>
      <c r="D425" s="59"/>
      <c r="E425" s="59"/>
      <c r="F425" s="59"/>
      <c r="K425" s="25"/>
    </row>
    <row r="426" ht="12.75" customHeight="1">
      <c r="A426" s="68"/>
      <c r="B426" s="59"/>
      <c r="C426" s="59"/>
      <c r="D426" s="59"/>
      <c r="E426" s="59"/>
      <c r="F426" s="59"/>
      <c r="K426" s="25"/>
    </row>
    <row r="427" ht="12.75" customHeight="1">
      <c r="A427" s="68"/>
      <c r="B427" s="59"/>
      <c r="C427" s="59"/>
      <c r="D427" s="59"/>
      <c r="E427" s="59"/>
      <c r="F427" s="59"/>
      <c r="K427" s="25"/>
    </row>
    <row r="428" ht="12.75" customHeight="1">
      <c r="A428" s="68"/>
      <c r="B428" s="59"/>
      <c r="C428" s="59"/>
      <c r="D428" s="59"/>
      <c r="E428" s="59"/>
      <c r="F428" s="59"/>
      <c r="K428" s="25"/>
    </row>
    <row r="429" ht="12.75" customHeight="1">
      <c r="A429" s="68"/>
      <c r="B429" s="59"/>
      <c r="C429" s="59"/>
      <c r="D429" s="59"/>
      <c r="E429" s="59"/>
      <c r="F429" s="59"/>
      <c r="K429" s="25"/>
    </row>
    <row r="430" ht="12.75" customHeight="1">
      <c r="A430" s="68"/>
      <c r="B430" s="59"/>
      <c r="C430" s="59"/>
      <c r="D430" s="59"/>
      <c r="E430" s="59"/>
      <c r="F430" s="59"/>
      <c r="K430" s="25"/>
    </row>
    <row r="431" ht="12.75" customHeight="1">
      <c r="A431" s="68"/>
      <c r="B431" s="59"/>
      <c r="C431" s="59"/>
      <c r="D431" s="59"/>
      <c r="E431" s="59"/>
      <c r="F431" s="59"/>
      <c r="K431" s="25"/>
    </row>
    <row r="432" ht="12.75" customHeight="1">
      <c r="A432" s="68"/>
      <c r="B432" s="59"/>
      <c r="C432" s="59"/>
      <c r="D432" s="59"/>
      <c r="E432" s="59"/>
      <c r="F432" s="59"/>
      <c r="K432" s="25"/>
    </row>
    <row r="433" ht="12.75" customHeight="1">
      <c r="A433" s="68"/>
      <c r="B433" s="59"/>
      <c r="C433" s="59"/>
      <c r="D433" s="59"/>
      <c r="E433" s="59"/>
      <c r="F433" s="59"/>
      <c r="K433" s="25"/>
    </row>
    <row r="434" ht="12.75" customHeight="1">
      <c r="A434" s="68"/>
      <c r="B434" s="59"/>
      <c r="C434" s="59"/>
      <c r="D434" s="59"/>
      <c r="E434" s="59"/>
      <c r="F434" s="59"/>
      <c r="K434" s="25"/>
    </row>
    <row r="435" ht="12.75" customHeight="1">
      <c r="A435" s="68"/>
      <c r="B435" s="59"/>
      <c r="C435" s="59"/>
      <c r="D435" s="59"/>
      <c r="E435" s="59"/>
      <c r="F435" s="59"/>
      <c r="K435" s="25"/>
    </row>
    <row r="436" ht="12.75" customHeight="1">
      <c r="A436" s="68"/>
      <c r="B436" s="59"/>
      <c r="C436" s="59"/>
      <c r="D436" s="59"/>
      <c r="E436" s="59"/>
      <c r="F436" s="59"/>
      <c r="K436" s="25"/>
    </row>
    <row r="437" ht="12.75" customHeight="1">
      <c r="A437" s="68"/>
      <c r="B437" s="59"/>
      <c r="C437" s="59"/>
      <c r="D437" s="59"/>
      <c r="E437" s="59"/>
      <c r="F437" s="59"/>
      <c r="K437" s="25"/>
    </row>
    <row r="438" ht="12.75" customHeight="1">
      <c r="A438" s="68"/>
      <c r="B438" s="59"/>
      <c r="C438" s="59"/>
      <c r="D438" s="59"/>
      <c r="E438" s="59"/>
      <c r="F438" s="59"/>
      <c r="K438" s="25"/>
    </row>
    <row r="439" ht="12.75" customHeight="1">
      <c r="A439" s="68"/>
      <c r="B439" s="59"/>
      <c r="C439" s="59"/>
      <c r="D439" s="59"/>
      <c r="E439" s="59"/>
      <c r="F439" s="59"/>
      <c r="K439" s="25"/>
    </row>
    <row r="440" ht="12.75" customHeight="1">
      <c r="A440" s="68"/>
      <c r="B440" s="59"/>
      <c r="C440" s="59"/>
      <c r="D440" s="59"/>
      <c r="E440" s="59"/>
      <c r="F440" s="59"/>
      <c r="K440" s="25"/>
    </row>
    <row r="441" ht="12.75" customHeight="1">
      <c r="A441" s="68"/>
      <c r="B441" s="59"/>
      <c r="C441" s="59"/>
      <c r="D441" s="59"/>
      <c r="E441" s="59"/>
      <c r="F441" s="59"/>
      <c r="K441" s="25"/>
    </row>
    <row r="442" ht="12.75" customHeight="1">
      <c r="A442" s="68"/>
      <c r="B442" s="59"/>
      <c r="C442" s="59"/>
      <c r="D442" s="59"/>
      <c r="E442" s="59"/>
      <c r="F442" s="59"/>
      <c r="K442" s="25"/>
    </row>
    <row r="443" ht="12.75" customHeight="1">
      <c r="A443" s="68"/>
      <c r="B443" s="59"/>
      <c r="C443" s="59"/>
      <c r="D443" s="59"/>
      <c r="E443" s="59"/>
      <c r="F443" s="59"/>
      <c r="K443" s="25"/>
    </row>
    <row r="444" ht="12.75" customHeight="1">
      <c r="A444" s="68"/>
      <c r="B444" s="59"/>
      <c r="C444" s="59"/>
      <c r="D444" s="59"/>
      <c r="E444" s="59"/>
      <c r="F444" s="59"/>
      <c r="K444" s="25"/>
    </row>
    <row r="445" ht="12.75" customHeight="1">
      <c r="A445" s="68"/>
      <c r="B445" s="59"/>
      <c r="C445" s="59"/>
      <c r="D445" s="59"/>
      <c r="E445" s="59"/>
      <c r="F445" s="59"/>
      <c r="K445" s="25"/>
    </row>
    <row r="446" ht="12.75" customHeight="1">
      <c r="A446" s="68"/>
      <c r="B446" s="59"/>
      <c r="C446" s="59"/>
      <c r="D446" s="59"/>
      <c r="E446" s="59"/>
      <c r="F446" s="59"/>
      <c r="K446" s="25"/>
    </row>
    <row r="447" ht="12.75" customHeight="1">
      <c r="A447" s="68"/>
      <c r="B447" s="59"/>
      <c r="C447" s="59"/>
      <c r="D447" s="59"/>
      <c r="E447" s="59"/>
      <c r="F447" s="59"/>
      <c r="K447" s="25"/>
    </row>
    <row r="448" ht="12.75" customHeight="1">
      <c r="A448" s="68"/>
      <c r="B448" s="59"/>
      <c r="C448" s="59"/>
      <c r="D448" s="59"/>
      <c r="E448" s="59"/>
      <c r="F448" s="59"/>
      <c r="K448" s="25"/>
    </row>
    <row r="449" ht="12.75" customHeight="1">
      <c r="A449" s="68"/>
      <c r="B449" s="59"/>
      <c r="C449" s="59"/>
      <c r="D449" s="59"/>
      <c r="E449" s="59"/>
      <c r="F449" s="59"/>
      <c r="K449" s="25"/>
    </row>
    <row r="450" ht="12.75" customHeight="1">
      <c r="A450" s="68"/>
      <c r="B450" s="59"/>
      <c r="C450" s="59"/>
      <c r="D450" s="59"/>
      <c r="E450" s="59"/>
      <c r="F450" s="59"/>
      <c r="K450" s="25"/>
    </row>
    <row r="451" ht="12.75" customHeight="1">
      <c r="A451" s="68"/>
      <c r="B451" s="59"/>
      <c r="C451" s="59"/>
      <c r="D451" s="59"/>
      <c r="E451" s="59"/>
      <c r="F451" s="59"/>
      <c r="K451" s="25"/>
    </row>
    <row r="452" ht="12.75" customHeight="1">
      <c r="A452" s="68"/>
      <c r="B452" s="59"/>
      <c r="C452" s="59"/>
      <c r="D452" s="59"/>
      <c r="E452" s="59"/>
      <c r="F452" s="59"/>
      <c r="K452" s="25"/>
    </row>
    <row r="453" ht="12.75" customHeight="1">
      <c r="A453" s="68"/>
      <c r="B453" s="59"/>
      <c r="C453" s="59"/>
      <c r="D453" s="59"/>
      <c r="E453" s="59"/>
      <c r="F453" s="59"/>
      <c r="K453" s="25"/>
    </row>
    <row r="454" ht="12.75" customHeight="1">
      <c r="A454" s="68"/>
      <c r="B454" s="59"/>
      <c r="C454" s="59"/>
      <c r="D454" s="59"/>
      <c r="E454" s="59"/>
      <c r="F454" s="59"/>
      <c r="K454" s="25"/>
    </row>
    <row r="455" ht="12.75" customHeight="1">
      <c r="A455" s="68"/>
      <c r="B455" s="59"/>
      <c r="C455" s="59"/>
      <c r="D455" s="59"/>
      <c r="E455" s="59"/>
      <c r="F455" s="59"/>
      <c r="K455" s="25"/>
    </row>
    <row r="456" ht="12.75" customHeight="1">
      <c r="A456" s="68"/>
      <c r="B456" s="59"/>
      <c r="C456" s="59"/>
      <c r="D456" s="59"/>
      <c r="E456" s="59"/>
      <c r="F456" s="59"/>
      <c r="K456" s="25"/>
    </row>
    <row r="457" ht="12.75" customHeight="1">
      <c r="A457" s="68"/>
      <c r="B457" s="59"/>
      <c r="C457" s="59"/>
      <c r="D457" s="59"/>
      <c r="E457" s="59"/>
      <c r="F457" s="59"/>
      <c r="K457" s="25"/>
    </row>
    <row r="458" ht="12.75" customHeight="1">
      <c r="A458" s="68"/>
      <c r="B458" s="59"/>
      <c r="C458" s="59"/>
      <c r="D458" s="59"/>
      <c r="E458" s="59"/>
      <c r="F458" s="59"/>
      <c r="K458" s="25"/>
    </row>
    <row r="459" ht="12.75" customHeight="1">
      <c r="A459" s="68"/>
      <c r="B459" s="59"/>
      <c r="C459" s="59"/>
      <c r="D459" s="59"/>
      <c r="E459" s="59"/>
      <c r="F459" s="59"/>
      <c r="K459" s="25"/>
    </row>
    <row r="460" ht="12.75" customHeight="1">
      <c r="A460" s="68"/>
      <c r="B460" s="59"/>
      <c r="C460" s="59"/>
      <c r="D460" s="59"/>
      <c r="E460" s="59"/>
      <c r="F460" s="59"/>
      <c r="K460" s="25"/>
    </row>
    <row r="461" ht="12.75" customHeight="1">
      <c r="A461" s="68"/>
      <c r="B461" s="59"/>
      <c r="C461" s="59"/>
      <c r="D461" s="59"/>
      <c r="E461" s="59"/>
      <c r="F461" s="59"/>
      <c r="K461" s="25"/>
    </row>
    <row r="462" ht="12.75" customHeight="1">
      <c r="A462" s="68"/>
      <c r="B462" s="59"/>
      <c r="C462" s="59"/>
      <c r="D462" s="59"/>
      <c r="E462" s="59"/>
      <c r="F462" s="59"/>
      <c r="K462" s="25"/>
    </row>
    <row r="463" ht="12.75" customHeight="1">
      <c r="A463" s="68"/>
      <c r="B463" s="59"/>
      <c r="C463" s="59"/>
      <c r="D463" s="59"/>
      <c r="E463" s="59"/>
      <c r="F463" s="59"/>
      <c r="K463" s="25"/>
    </row>
    <row r="464" ht="12.75" customHeight="1">
      <c r="A464" s="68"/>
      <c r="B464" s="59"/>
      <c r="C464" s="59"/>
      <c r="D464" s="59"/>
      <c r="E464" s="59"/>
      <c r="F464" s="59"/>
      <c r="K464" s="25"/>
    </row>
    <row r="465" ht="12.75" customHeight="1">
      <c r="A465" s="68"/>
      <c r="B465" s="59"/>
      <c r="C465" s="59"/>
      <c r="D465" s="59"/>
      <c r="E465" s="59"/>
      <c r="F465" s="59"/>
      <c r="K465" s="25"/>
    </row>
    <row r="466" ht="12.75" customHeight="1">
      <c r="A466" s="68"/>
      <c r="B466" s="59"/>
      <c r="C466" s="59"/>
      <c r="D466" s="59"/>
      <c r="E466" s="59"/>
      <c r="F466" s="59"/>
      <c r="K466" s="25"/>
    </row>
    <row r="467" ht="12.75" customHeight="1">
      <c r="A467" s="68"/>
      <c r="B467" s="59"/>
      <c r="C467" s="59"/>
      <c r="D467" s="59"/>
      <c r="E467" s="59"/>
      <c r="F467" s="59"/>
      <c r="K467" s="25"/>
    </row>
    <row r="468" ht="12.75" customHeight="1">
      <c r="A468" s="68"/>
      <c r="B468" s="59"/>
      <c r="C468" s="59"/>
      <c r="D468" s="59"/>
      <c r="E468" s="59"/>
      <c r="F468" s="59"/>
      <c r="K468" s="25"/>
    </row>
    <row r="469" ht="12.75" customHeight="1">
      <c r="A469" s="68"/>
      <c r="B469" s="59"/>
      <c r="C469" s="59"/>
      <c r="D469" s="59"/>
      <c r="E469" s="59"/>
      <c r="F469" s="59"/>
      <c r="K469" s="25"/>
    </row>
    <row r="470" ht="12.75" customHeight="1">
      <c r="A470" s="68"/>
      <c r="B470" s="59"/>
      <c r="C470" s="59"/>
      <c r="D470" s="59"/>
      <c r="E470" s="59"/>
      <c r="F470" s="59"/>
      <c r="K470" s="25"/>
    </row>
    <row r="471" ht="12.75" customHeight="1">
      <c r="A471" s="68"/>
      <c r="B471" s="59"/>
      <c r="C471" s="59"/>
      <c r="D471" s="59"/>
      <c r="E471" s="59"/>
      <c r="F471" s="59"/>
      <c r="K471" s="25"/>
    </row>
    <row r="472" ht="12.75" customHeight="1">
      <c r="A472" s="68"/>
      <c r="B472" s="59"/>
      <c r="C472" s="59"/>
      <c r="D472" s="59"/>
      <c r="E472" s="59"/>
      <c r="F472" s="59"/>
      <c r="K472" s="25"/>
    </row>
    <row r="473" ht="12.75" customHeight="1">
      <c r="A473" s="68"/>
      <c r="B473" s="59"/>
      <c r="C473" s="59"/>
      <c r="D473" s="59"/>
      <c r="E473" s="59"/>
      <c r="F473" s="59"/>
      <c r="K473" s="25"/>
    </row>
    <row r="474" ht="12.75" customHeight="1">
      <c r="A474" s="68"/>
      <c r="B474" s="59"/>
      <c r="C474" s="59"/>
      <c r="D474" s="59"/>
      <c r="E474" s="59"/>
      <c r="F474" s="59"/>
      <c r="K474" s="25"/>
    </row>
    <row r="475" ht="12.75" customHeight="1">
      <c r="A475" s="68"/>
      <c r="B475" s="59"/>
      <c r="C475" s="59"/>
      <c r="D475" s="59"/>
      <c r="E475" s="59"/>
      <c r="F475" s="59"/>
      <c r="K475" s="25"/>
    </row>
    <row r="476" ht="12.75" customHeight="1">
      <c r="A476" s="68"/>
      <c r="B476" s="59"/>
      <c r="C476" s="59"/>
      <c r="D476" s="59"/>
      <c r="E476" s="59"/>
      <c r="F476" s="59"/>
      <c r="K476" s="25"/>
    </row>
    <row r="477" ht="12.75" customHeight="1">
      <c r="A477" s="68"/>
      <c r="B477" s="59"/>
      <c r="C477" s="59"/>
      <c r="D477" s="59"/>
      <c r="E477" s="59"/>
      <c r="F477" s="59"/>
      <c r="K477" s="25"/>
    </row>
    <row r="478" ht="12.75" customHeight="1">
      <c r="A478" s="68"/>
      <c r="B478" s="59"/>
      <c r="C478" s="59"/>
      <c r="D478" s="59"/>
      <c r="E478" s="59"/>
      <c r="F478" s="59"/>
      <c r="K478" s="25"/>
    </row>
    <row r="479" ht="12.75" customHeight="1">
      <c r="A479" s="68"/>
      <c r="B479" s="59"/>
      <c r="C479" s="59"/>
      <c r="D479" s="59"/>
      <c r="E479" s="59"/>
      <c r="F479" s="59"/>
      <c r="K479" s="25"/>
    </row>
    <row r="480" ht="12.75" customHeight="1">
      <c r="A480" s="68"/>
      <c r="B480" s="59"/>
      <c r="C480" s="59"/>
      <c r="D480" s="59"/>
      <c r="E480" s="59"/>
      <c r="F480" s="59"/>
      <c r="K480" s="25"/>
    </row>
    <row r="481" ht="12.75" customHeight="1">
      <c r="A481" s="68"/>
      <c r="B481" s="59"/>
      <c r="C481" s="59"/>
      <c r="D481" s="59"/>
      <c r="E481" s="59"/>
      <c r="F481" s="59"/>
      <c r="K481" s="25"/>
    </row>
    <row r="482" ht="12.75" customHeight="1">
      <c r="A482" s="68"/>
      <c r="B482" s="59"/>
      <c r="C482" s="59"/>
      <c r="D482" s="59"/>
      <c r="E482" s="59"/>
      <c r="F482" s="59"/>
      <c r="K482" s="25"/>
    </row>
    <row r="483" ht="12.75" customHeight="1">
      <c r="A483" s="68"/>
      <c r="B483" s="59"/>
      <c r="C483" s="59"/>
      <c r="D483" s="59"/>
      <c r="E483" s="59"/>
      <c r="F483" s="59"/>
      <c r="K483" s="25"/>
    </row>
    <row r="484" ht="12.75" customHeight="1">
      <c r="A484" s="68"/>
      <c r="B484" s="59"/>
      <c r="C484" s="59"/>
      <c r="D484" s="59"/>
      <c r="E484" s="59"/>
      <c r="F484" s="59"/>
      <c r="K484" s="25"/>
    </row>
    <row r="485" ht="12.75" customHeight="1">
      <c r="A485" s="68"/>
      <c r="B485" s="59"/>
      <c r="C485" s="59"/>
      <c r="D485" s="59"/>
      <c r="E485" s="59"/>
      <c r="F485" s="59"/>
      <c r="K485" s="25"/>
    </row>
    <row r="486" ht="12.75" customHeight="1">
      <c r="A486" s="68"/>
      <c r="B486" s="59"/>
      <c r="C486" s="59"/>
      <c r="D486" s="59"/>
      <c r="E486" s="59"/>
      <c r="F486" s="59"/>
      <c r="K486" s="25"/>
    </row>
    <row r="487" ht="12.75" customHeight="1">
      <c r="A487" s="68"/>
      <c r="B487" s="59"/>
      <c r="C487" s="59"/>
      <c r="D487" s="59"/>
      <c r="E487" s="59"/>
      <c r="F487" s="59"/>
      <c r="K487" s="25"/>
    </row>
    <row r="488" ht="12.75" customHeight="1">
      <c r="A488" s="68"/>
      <c r="B488" s="59"/>
      <c r="C488" s="59"/>
      <c r="D488" s="59"/>
      <c r="E488" s="59"/>
      <c r="F488" s="59"/>
      <c r="K488" s="25"/>
    </row>
    <row r="489" ht="12.75" customHeight="1">
      <c r="A489" s="68"/>
      <c r="B489" s="59"/>
      <c r="C489" s="59"/>
      <c r="D489" s="59"/>
      <c r="E489" s="59"/>
      <c r="F489" s="59"/>
      <c r="K489" s="25"/>
    </row>
    <row r="490" ht="12.75" customHeight="1">
      <c r="A490" s="68"/>
      <c r="B490" s="59"/>
      <c r="C490" s="59"/>
      <c r="D490" s="59"/>
      <c r="E490" s="59"/>
      <c r="F490" s="59"/>
      <c r="K490" s="25"/>
    </row>
    <row r="491" ht="12.75" customHeight="1">
      <c r="A491" s="68"/>
      <c r="B491" s="59"/>
      <c r="C491" s="59"/>
      <c r="D491" s="59"/>
      <c r="E491" s="59"/>
      <c r="F491" s="59"/>
      <c r="K491" s="25"/>
    </row>
    <row r="492" ht="12.75" customHeight="1">
      <c r="A492" s="68"/>
      <c r="B492" s="59"/>
      <c r="C492" s="59"/>
      <c r="D492" s="59"/>
      <c r="E492" s="59"/>
      <c r="F492" s="59"/>
      <c r="K492" s="25"/>
    </row>
    <row r="493" ht="12.75" customHeight="1">
      <c r="A493" s="68"/>
      <c r="B493" s="59"/>
      <c r="C493" s="59"/>
      <c r="D493" s="59"/>
      <c r="E493" s="59"/>
      <c r="F493" s="59"/>
      <c r="K493" s="25"/>
    </row>
    <row r="494" ht="12.75" customHeight="1">
      <c r="A494" s="68"/>
      <c r="B494" s="59"/>
      <c r="C494" s="59"/>
      <c r="D494" s="59"/>
      <c r="E494" s="59"/>
      <c r="F494" s="59"/>
      <c r="K494" s="25"/>
    </row>
    <row r="495" ht="12.75" customHeight="1">
      <c r="A495" s="68"/>
      <c r="B495" s="59"/>
      <c r="C495" s="59"/>
      <c r="D495" s="59"/>
      <c r="E495" s="59"/>
      <c r="F495" s="59"/>
      <c r="K495" s="25"/>
    </row>
    <row r="496" ht="12.75" customHeight="1">
      <c r="A496" s="68"/>
      <c r="B496" s="59"/>
      <c r="C496" s="59"/>
      <c r="D496" s="59"/>
      <c r="E496" s="59"/>
      <c r="F496" s="59"/>
      <c r="K496" s="25"/>
    </row>
    <row r="497" ht="12.75" customHeight="1">
      <c r="A497" s="68"/>
      <c r="B497" s="59"/>
      <c r="C497" s="59"/>
      <c r="D497" s="59"/>
      <c r="E497" s="59"/>
      <c r="F497" s="59"/>
      <c r="K497" s="25"/>
    </row>
    <row r="498" ht="12.75" customHeight="1">
      <c r="A498" s="68"/>
      <c r="B498" s="59"/>
      <c r="C498" s="59"/>
      <c r="D498" s="59"/>
      <c r="E498" s="59"/>
      <c r="F498" s="59"/>
      <c r="K498" s="25"/>
    </row>
    <row r="499" ht="12.75" customHeight="1">
      <c r="A499" s="68"/>
      <c r="B499" s="59"/>
      <c r="C499" s="59"/>
      <c r="D499" s="59"/>
      <c r="E499" s="59"/>
      <c r="F499" s="59"/>
      <c r="K499" s="25"/>
    </row>
    <row r="500" ht="12.75" customHeight="1">
      <c r="A500" s="68"/>
      <c r="B500" s="59"/>
      <c r="C500" s="59"/>
      <c r="D500" s="59"/>
      <c r="E500" s="59"/>
      <c r="F500" s="59"/>
      <c r="K500" s="25"/>
    </row>
    <row r="501" ht="12.75" customHeight="1">
      <c r="A501" s="68"/>
      <c r="B501" s="59"/>
      <c r="C501" s="59"/>
      <c r="D501" s="59"/>
      <c r="E501" s="59"/>
      <c r="F501" s="59"/>
      <c r="K501" s="25"/>
    </row>
    <row r="502" ht="12.75" customHeight="1">
      <c r="A502" s="68"/>
      <c r="B502" s="59"/>
      <c r="C502" s="59"/>
      <c r="D502" s="59"/>
      <c r="E502" s="59"/>
      <c r="F502" s="59"/>
      <c r="K502" s="25"/>
    </row>
    <row r="503" ht="12.75" customHeight="1">
      <c r="A503" s="68"/>
      <c r="B503" s="59"/>
      <c r="C503" s="59"/>
      <c r="D503" s="59"/>
      <c r="E503" s="59"/>
      <c r="F503" s="59"/>
      <c r="K503" s="25"/>
    </row>
    <row r="504" ht="12.75" customHeight="1">
      <c r="A504" s="68"/>
      <c r="B504" s="59"/>
      <c r="C504" s="59"/>
      <c r="D504" s="59"/>
      <c r="E504" s="59"/>
      <c r="F504" s="59"/>
      <c r="K504" s="25"/>
    </row>
    <row r="505" ht="12.75" customHeight="1">
      <c r="A505" s="68"/>
      <c r="B505" s="59"/>
      <c r="C505" s="59"/>
      <c r="D505" s="59"/>
      <c r="E505" s="59"/>
      <c r="F505" s="59"/>
      <c r="K505" s="25"/>
    </row>
    <row r="506" ht="12.75" customHeight="1">
      <c r="A506" s="68"/>
      <c r="B506" s="59"/>
      <c r="C506" s="59"/>
      <c r="D506" s="59"/>
      <c r="E506" s="59"/>
      <c r="F506" s="59"/>
      <c r="K506" s="25"/>
    </row>
    <row r="507" ht="12.75" customHeight="1">
      <c r="A507" s="68"/>
      <c r="B507" s="59"/>
      <c r="C507" s="59"/>
      <c r="D507" s="59"/>
      <c r="E507" s="59"/>
      <c r="F507" s="59"/>
      <c r="K507" s="25"/>
    </row>
    <row r="508" ht="12.75" customHeight="1">
      <c r="A508" s="68"/>
      <c r="B508" s="59"/>
      <c r="C508" s="59"/>
      <c r="D508" s="59"/>
      <c r="E508" s="59"/>
      <c r="F508" s="59"/>
      <c r="K508" s="25"/>
    </row>
    <row r="509" ht="12.75" customHeight="1">
      <c r="A509" s="68"/>
      <c r="B509" s="59"/>
      <c r="C509" s="59"/>
      <c r="D509" s="59"/>
      <c r="E509" s="59"/>
      <c r="F509" s="59"/>
      <c r="K509" s="25"/>
    </row>
    <row r="510" ht="12.75" customHeight="1">
      <c r="A510" s="68"/>
      <c r="B510" s="59"/>
      <c r="C510" s="59"/>
      <c r="D510" s="59"/>
      <c r="E510" s="59"/>
      <c r="F510" s="59"/>
      <c r="K510" s="25"/>
    </row>
    <row r="511" ht="12.75" customHeight="1">
      <c r="A511" s="68"/>
      <c r="B511" s="59"/>
      <c r="C511" s="59"/>
      <c r="D511" s="59"/>
      <c r="E511" s="59"/>
      <c r="F511" s="59"/>
      <c r="K511" s="25"/>
    </row>
    <row r="512" ht="12.75" customHeight="1">
      <c r="A512" s="68"/>
      <c r="B512" s="59"/>
      <c r="C512" s="59"/>
      <c r="D512" s="59"/>
      <c r="E512" s="59"/>
      <c r="F512" s="59"/>
      <c r="K512" s="25"/>
    </row>
    <row r="513" ht="12.75" customHeight="1">
      <c r="A513" s="68"/>
      <c r="B513" s="59"/>
      <c r="C513" s="59"/>
      <c r="D513" s="59"/>
      <c r="E513" s="59"/>
      <c r="F513" s="59"/>
      <c r="K513" s="25"/>
    </row>
    <row r="514" ht="12.75" customHeight="1">
      <c r="A514" s="68"/>
      <c r="B514" s="59"/>
      <c r="C514" s="59"/>
      <c r="D514" s="59"/>
      <c r="E514" s="59"/>
      <c r="F514" s="59"/>
      <c r="K514" s="25"/>
    </row>
    <row r="515" ht="12.75" customHeight="1">
      <c r="A515" s="68"/>
      <c r="B515" s="59"/>
      <c r="C515" s="59"/>
      <c r="D515" s="59"/>
      <c r="E515" s="59"/>
      <c r="F515" s="59"/>
      <c r="K515" s="25"/>
    </row>
    <row r="516" ht="12.75" customHeight="1">
      <c r="A516" s="68"/>
      <c r="B516" s="59"/>
      <c r="C516" s="59"/>
      <c r="D516" s="59"/>
      <c r="E516" s="59"/>
      <c r="F516" s="59"/>
      <c r="K516" s="25"/>
    </row>
    <row r="517" ht="12.75" customHeight="1">
      <c r="A517" s="68"/>
      <c r="B517" s="59"/>
      <c r="C517" s="59"/>
      <c r="D517" s="59"/>
      <c r="E517" s="59"/>
      <c r="F517" s="59"/>
      <c r="K517" s="25"/>
    </row>
    <row r="518" ht="12.75" customHeight="1">
      <c r="A518" s="68"/>
      <c r="B518" s="59"/>
      <c r="C518" s="59"/>
      <c r="D518" s="59"/>
      <c r="E518" s="59"/>
      <c r="F518" s="59"/>
      <c r="K518" s="25"/>
    </row>
    <row r="519" ht="12.75" customHeight="1">
      <c r="A519" s="68"/>
      <c r="B519" s="59"/>
      <c r="C519" s="59"/>
      <c r="D519" s="59"/>
      <c r="E519" s="59"/>
      <c r="F519" s="59"/>
      <c r="K519" s="25"/>
    </row>
    <row r="520" ht="12.75" customHeight="1">
      <c r="A520" s="68"/>
      <c r="B520" s="59"/>
      <c r="C520" s="59"/>
      <c r="D520" s="59"/>
      <c r="E520" s="59"/>
      <c r="F520" s="59"/>
      <c r="K520" s="25"/>
    </row>
    <row r="521" ht="12.75" customHeight="1">
      <c r="A521" s="68"/>
      <c r="B521" s="59"/>
      <c r="C521" s="59"/>
      <c r="D521" s="59"/>
      <c r="E521" s="59"/>
      <c r="F521" s="59"/>
      <c r="K521" s="25"/>
    </row>
    <row r="522" ht="12.75" customHeight="1">
      <c r="A522" s="68"/>
      <c r="B522" s="59"/>
      <c r="C522" s="59"/>
      <c r="D522" s="59"/>
      <c r="E522" s="59"/>
      <c r="F522" s="59"/>
      <c r="K522" s="25"/>
    </row>
    <row r="523" ht="12.75" customHeight="1">
      <c r="A523" s="68"/>
      <c r="B523" s="59"/>
      <c r="C523" s="59"/>
      <c r="D523" s="59"/>
      <c r="E523" s="59"/>
      <c r="F523" s="59"/>
      <c r="K523" s="25"/>
    </row>
    <row r="524" ht="12.75" customHeight="1">
      <c r="A524" s="68"/>
      <c r="B524" s="59"/>
      <c r="C524" s="59"/>
      <c r="D524" s="59"/>
      <c r="E524" s="59"/>
      <c r="F524" s="59"/>
      <c r="K524" s="25"/>
    </row>
    <row r="525" ht="12.75" customHeight="1">
      <c r="A525" s="68"/>
      <c r="B525" s="59"/>
      <c r="C525" s="59"/>
      <c r="D525" s="59"/>
      <c r="E525" s="59"/>
      <c r="F525" s="59"/>
      <c r="K525" s="25"/>
    </row>
    <row r="526" ht="12.75" customHeight="1">
      <c r="A526" s="68"/>
      <c r="B526" s="59"/>
      <c r="C526" s="59"/>
      <c r="D526" s="59"/>
      <c r="E526" s="59"/>
      <c r="F526" s="59"/>
      <c r="K526" s="25"/>
    </row>
    <row r="527" ht="12.75" customHeight="1">
      <c r="A527" s="68"/>
      <c r="B527" s="59"/>
      <c r="C527" s="59"/>
      <c r="D527" s="59"/>
      <c r="E527" s="59"/>
      <c r="F527" s="59"/>
      <c r="K527" s="25"/>
    </row>
    <row r="528" ht="12.75" customHeight="1">
      <c r="A528" s="68"/>
      <c r="B528" s="59"/>
      <c r="C528" s="59"/>
      <c r="D528" s="59"/>
      <c r="E528" s="59"/>
      <c r="F528" s="59"/>
      <c r="K528" s="25"/>
    </row>
    <row r="529" ht="12.75" customHeight="1">
      <c r="A529" s="68"/>
      <c r="B529" s="59"/>
      <c r="C529" s="59"/>
      <c r="D529" s="59"/>
      <c r="E529" s="59"/>
      <c r="F529" s="59"/>
      <c r="K529" s="25"/>
    </row>
    <row r="530" ht="12.75" customHeight="1">
      <c r="A530" s="68"/>
      <c r="B530" s="59"/>
      <c r="C530" s="59"/>
      <c r="D530" s="59"/>
      <c r="E530" s="59"/>
      <c r="F530" s="59"/>
      <c r="K530" s="25"/>
    </row>
    <row r="531" ht="12.75" customHeight="1">
      <c r="A531" s="68"/>
      <c r="B531" s="59"/>
      <c r="C531" s="59"/>
      <c r="D531" s="59"/>
      <c r="E531" s="59"/>
      <c r="F531" s="59"/>
      <c r="K531" s="25"/>
    </row>
    <row r="532" ht="12.75" customHeight="1">
      <c r="A532" s="68"/>
      <c r="B532" s="59"/>
      <c r="C532" s="59"/>
      <c r="D532" s="59"/>
      <c r="E532" s="59"/>
      <c r="F532" s="59"/>
      <c r="K532" s="25"/>
    </row>
    <row r="533" ht="12.75" customHeight="1">
      <c r="A533" s="68"/>
      <c r="B533" s="59"/>
      <c r="C533" s="59"/>
      <c r="D533" s="59"/>
      <c r="E533" s="59"/>
      <c r="F533" s="59"/>
      <c r="K533" s="25"/>
    </row>
    <row r="534" ht="12.75" customHeight="1">
      <c r="A534" s="68"/>
      <c r="B534" s="59"/>
      <c r="C534" s="59"/>
      <c r="D534" s="59"/>
      <c r="E534" s="59"/>
      <c r="F534" s="59"/>
      <c r="K534" s="25"/>
    </row>
    <row r="535" ht="12.75" customHeight="1">
      <c r="A535" s="68"/>
      <c r="B535" s="59"/>
      <c r="C535" s="59"/>
      <c r="D535" s="59"/>
      <c r="E535" s="59"/>
      <c r="F535" s="59"/>
      <c r="K535" s="25"/>
    </row>
    <row r="536" ht="12.75" customHeight="1">
      <c r="A536" s="68"/>
      <c r="B536" s="59"/>
      <c r="C536" s="59"/>
      <c r="D536" s="59"/>
      <c r="E536" s="59"/>
      <c r="F536" s="59"/>
      <c r="K536" s="25"/>
    </row>
    <row r="537" ht="12.75" customHeight="1">
      <c r="A537" s="68"/>
      <c r="B537" s="59"/>
      <c r="C537" s="59"/>
      <c r="D537" s="59"/>
      <c r="E537" s="59"/>
      <c r="F537" s="59"/>
      <c r="K537" s="25"/>
    </row>
    <row r="538" ht="12.75" customHeight="1">
      <c r="A538" s="68"/>
      <c r="B538" s="59"/>
      <c r="C538" s="59"/>
      <c r="D538" s="59"/>
      <c r="E538" s="59"/>
      <c r="F538" s="59"/>
      <c r="K538" s="25"/>
    </row>
    <row r="539" ht="12.75" customHeight="1">
      <c r="A539" s="68"/>
      <c r="B539" s="59"/>
      <c r="C539" s="59"/>
      <c r="D539" s="59"/>
      <c r="E539" s="59"/>
      <c r="F539" s="59"/>
      <c r="K539" s="25"/>
    </row>
    <row r="540" ht="12.75" customHeight="1">
      <c r="A540" s="68"/>
      <c r="B540" s="59"/>
      <c r="C540" s="59"/>
      <c r="D540" s="59"/>
      <c r="E540" s="59"/>
      <c r="F540" s="59"/>
      <c r="K540" s="25"/>
    </row>
    <row r="541" ht="12.75" customHeight="1">
      <c r="A541" s="68"/>
      <c r="B541" s="59"/>
      <c r="C541" s="59"/>
      <c r="D541" s="59"/>
      <c r="E541" s="59"/>
      <c r="F541" s="59"/>
      <c r="K541" s="25"/>
    </row>
    <row r="542" ht="12.75" customHeight="1">
      <c r="A542" s="68"/>
      <c r="B542" s="59"/>
      <c r="C542" s="59"/>
      <c r="D542" s="59"/>
      <c r="E542" s="59"/>
      <c r="F542" s="59"/>
      <c r="K542" s="25"/>
    </row>
    <row r="543" ht="12.75" customHeight="1">
      <c r="A543" s="68"/>
      <c r="B543" s="59"/>
      <c r="C543" s="59"/>
      <c r="D543" s="59"/>
      <c r="E543" s="59"/>
      <c r="F543" s="59"/>
      <c r="K543" s="25"/>
    </row>
    <row r="544" ht="12.75" customHeight="1">
      <c r="A544" s="68"/>
      <c r="B544" s="59"/>
      <c r="C544" s="59"/>
      <c r="D544" s="59"/>
      <c r="E544" s="59"/>
      <c r="F544" s="59"/>
      <c r="K544" s="25"/>
    </row>
    <row r="545" ht="12.75" customHeight="1">
      <c r="A545" s="68"/>
      <c r="B545" s="59"/>
      <c r="C545" s="59"/>
      <c r="D545" s="59"/>
      <c r="E545" s="59"/>
      <c r="F545" s="59"/>
      <c r="K545" s="25"/>
    </row>
    <row r="546" ht="12.75" customHeight="1">
      <c r="A546" s="68"/>
      <c r="B546" s="59"/>
      <c r="C546" s="59"/>
      <c r="D546" s="59"/>
      <c r="E546" s="59"/>
      <c r="F546" s="59"/>
      <c r="K546" s="25"/>
    </row>
    <row r="547" ht="12.75" customHeight="1">
      <c r="A547" s="68"/>
      <c r="B547" s="59"/>
      <c r="C547" s="59"/>
      <c r="D547" s="59"/>
      <c r="E547" s="59"/>
      <c r="F547" s="59"/>
      <c r="K547" s="25"/>
    </row>
    <row r="548" ht="12.75" customHeight="1">
      <c r="A548" s="68"/>
      <c r="B548" s="59"/>
      <c r="C548" s="59"/>
      <c r="D548" s="59"/>
      <c r="E548" s="59"/>
      <c r="F548" s="59"/>
      <c r="K548" s="25"/>
    </row>
    <row r="549" ht="12.75" customHeight="1">
      <c r="A549" s="68"/>
      <c r="B549" s="59"/>
      <c r="C549" s="59"/>
      <c r="D549" s="59"/>
      <c r="E549" s="59"/>
      <c r="F549" s="59"/>
      <c r="K549" s="25"/>
    </row>
    <row r="550" ht="12.75" customHeight="1">
      <c r="A550" s="68"/>
      <c r="B550" s="59"/>
      <c r="C550" s="59"/>
      <c r="D550" s="59"/>
      <c r="E550" s="59"/>
      <c r="F550" s="59"/>
      <c r="K550" s="25"/>
    </row>
    <row r="551" ht="12.75" customHeight="1">
      <c r="A551" s="68"/>
      <c r="B551" s="59"/>
      <c r="C551" s="59"/>
      <c r="D551" s="59"/>
      <c r="E551" s="59"/>
      <c r="F551" s="59"/>
      <c r="K551" s="25"/>
    </row>
    <row r="552" ht="12.75" customHeight="1">
      <c r="A552" s="68"/>
      <c r="B552" s="59"/>
      <c r="C552" s="59"/>
      <c r="D552" s="59"/>
      <c r="E552" s="59"/>
      <c r="F552" s="59"/>
      <c r="K552" s="25"/>
    </row>
    <row r="553" ht="12.75" customHeight="1">
      <c r="A553" s="68"/>
      <c r="B553" s="59"/>
      <c r="C553" s="59"/>
      <c r="D553" s="59"/>
      <c r="E553" s="59"/>
      <c r="F553" s="59"/>
      <c r="K553" s="25"/>
    </row>
    <row r="554" ht="12.75" customHeight="1">
      <c r="A554" s="68"/>
      <c r="B554" s="59"/>
      <c r="C554" s="59"/>
      <c r="D554" s="59"/>
      <c r="E554" s="59"/>
      <c r="F554" s="59"/>
      <c r="K554" s="25"/>
    </row>
    <row r="555" ht="12.75" customHeight="1">
      <c r="A555" s="68"/>
      <c r="B555" s="59"/>
      <c r="C555" s="59"/>
      <c r="D555" s="59"/>
      <c r="E555" s="59"/>
      <c r="F555" s="59"/>
      <c r="K555" s="25"/>
    </row>
    <row r="556" ht="12.75" customHeight="1">
      <c r="A556" s="68"/>
      <c r="B556" s="59"/>
      <c r="C556" s="59"/>
      <c r="D556" s="59"/>
      <c r="E556" s="59"/>
      <c r="F556" s="59"/>
      <c r="K556" s="25"/>
    </row>
    <row r="557" ht="12.75" customHeight="1">
      <c r="A557" s="68"/>
      <c r="B557" s="59"/>
      <c r="C557" s="59"/>
      <c r="D557" s="59"/>
      <c r="E557" s="59"/>
      <c r="F557" s="59"/>
      <c r="K557" s="25"/>
    </row>
    <row r="558" ht="12.75" customHeight="1">
      <c r="A558" s="68"/>
      <c r="B558" s="59"/>
      <c r="C558" s="59"/>
      <c r="D558" s="59"/>
      <c r="E558" s="59"/>
      <c r="F558" s="59"/>
      <c r="K558" s="25"/>
    </row>
    <row r="559" ht="12.75" customHeight="1">
      <c r="A559" s="68"/>
      <c r="B559" s="59"/>
      <c r="C559" s="59"/>
      <c r="D559" s="59"/>
      <c r="E559" s="59"/>
      <c r="F559" s="59"/>
      <c r="K559" s="25"/>
    </row>
    <row r="560" ht="12.75" customHeight="1">
      <c r="A560" s="68"/>
      <c r="B560" s="59"/>
      <c r="C560" s="59"/>
      <c r="D560" s="59"/>
      <c r="E560" s="59"/>
      <c r="F560" s="59"/>
      <c r="K560" s="25"/>
    </row>
    <row r="561" ht="12.75" customHeight="1">
      <c r="A561" s="68"/>
      <c r="B561" s="59"/>
      <c r="C561" s="59"/>
      <c r="D561" s="59"/>
      <c r="E561" s="59"/>
      <c r="F561" s="59"/>
      <c r="K561" s="25"/>
    </row>
    <row r="562" ht="12.75" customHeight="1">
      <c r="A562" s="68"/>
      <c r="B562" s="59"/>
      <c r="C562" s="59"/>
      <c r="D562" s="59"/>
      <c r="E562" s="59"/>
      <c r="F562" s="59"/>
      <c r="K562" s="25"/>
    </row>
    <row r="563" ht="12.75" customHeight="1">
      <c r="A563" s="68"/>
      <c r="B563" s="59"/>
      <c r="C563" s="59"/>
      <c r="D563" s="59"/>
      <c r="E563" s="59"/>
      <c r="F563" s="59"/>
      <c r="K563" s="25"/>
    </row>
    <row r="564" ht="12.75" customHeight="1">
      <c r="A564" s="68"/>
      <c r="B564" s="59"/>
      <c r="C564" s="59"/>
      <c r="D564" s="59"/>
      <c r="E564" s="59"/>
      <c r="F564" s="59"/>
      <c r="K564" s="25"/>
    </row>
    <row r="565" ht="12.75" customHeight="1">
      <c r="A565" s="68"/>
      <c r="B565" s="59"/>
      <c r="C565" s="59"/>
      <c r="D565" s="59"/>
      <c r="E565" s="59"/>
      <c r="F565" s="59"/>
      <c r="K565" s="25"/>
    </row>
    <row r="566" ht="12.75" customHeight="1">
      <c r="A566" s="68"/>
      <c r="B566" s="59"/>
      <c r="C566" s="59"/>
      <c r="D566" s="59"/>
      <c r="E566" s="59"/>
      <c r="F566" s="59"/>
      <c r="K566" s="25"/>
    </row>
    <row r="567" ht="12.75" customHeight="1">
      <c r="A567" s="68"/>
      <c r="B567" s="59"/>
      <c r="C567" s="59"/>
      <c r="D567" s="59"/>
      <c r="E567" s="59"/>
      <c r="F567" s="59"/>
      <c r="K567" s="25"/>
    </row>
    <row r="568" ht="12.75" customHeight="1">
      <c r="A568" s="68"/>
      <c r="B568" s="59"/>
      <c r="C568" s="59"/>
      <c r="D568" s="59"/>
      <c r="E568" s="59"/>
      <c r="F568" s="59"/>
      <c r="K568" s="25"/>
    </row>
    <row r="569" ht="12.75" customHeight="1">
      <c r="A569" s="68"/>
      <c r="B569" s="59"/>
      <c r="C569" s="59"/>
      <c r="D569" s="59"/>
      <c r="E569" s="59"/>
      <c r="F569" s="59"/>
      <c r="K569" s="25"/>
    </row>
    <row r="570" ht="12.75" customHeight="1">
      <c r="A570" s="68"/>
      <c r="B570" s="59"/>
      <c r="C570" s="59"/>
      <c r="D570" s="59"/>
      <c r="E570" s="59"/>
      <c r="F570" s="59"/>
      <c r="K570" s="25"/>
    </row>
    <row r="571" ht="12.75" customHeight="1">
      <c r="A571" s="68"/>
      <c r="B571" s="59"/>
      <c r="C571" s="59"/>
      <c r="D571" s="59"/>
      <c r="E571" s="59"/>
      <c r="F571" s="59"/>
      <c r="K571" s="25"/>
    </row>
    <row r="572" ht="12.75" customHeight="1">
      <c r="A572" s="68"/>
      <c r="B572" s="59"/>
      <c r="C572" s="59"/>
      <c r="D572" s="59"/>
      <c r="E572" s="59"/>
      <c r="F572" s="59"/>
      <c r="K572" s="25"/>
    </row>
    <row r="573" ht="12.75" customHeight="1">
      <c r="A573" s="68"/>
      <c r="B573" s="59"/>
      <c r="C573" s="59"/>
      <c r="D573" s="59"/>
      <c r="E573" s="59"/>
      <c r="F573" s="59"/>
      <c r="K573" s="25"/>
    </row>
    <row r="574" ht="12.75" customHeight="1">
      <c r="A574" s="68"/>
      <c r="B574" s="59"/>
      <c r="C574" s="59"/>
      <c r="D574" s="59"/>
      <c r="E574" s="59"/>
      <c r="F574" s="59"/>
      <c r="K574" s="25"/>
    </row>
    <row r="575" ht="12.75" customHeight="1">
      <c r="A575" s="68"/>
      <c r="B575" s="59"/>
      <c r="C575" s="59"/>
      <c r="D575" s="59"/>
      <c r="E575" s="59"/>
      <c r="F575" s="59"/>
      <c r="K575" s="25"/>
    </row>
    <row r="576" ht="12.75" customHeight="1">
      <c r="A576" s="68"/>
      <c r="B576" s="59"/>
      <c r="C576" s="59"/>
      <c r="D576" s="59"/>
      <c r="E576" s="59"/>
      <c r="F576" s="59"/>
      <c r="K576" s="25"/>
    </row>
    <row r="577" ht="12.75" customHeight="1">
      <c r="A577" s="68"/>
      <c r="B577" s="59"/>
      <c r="C577" s="59"/>
      <c r="D577" s="59"/>
      <c r="E577" s="59"/>
      <c r="F577" s="59"/>
      <c r="K577" s="25"/>
    </row>
    <row r="578" ht="12.75" customHeight="1">
      <c r="A578" s="68"/>
      <c r="B578" s="59"/>
      <c r="C578" s="59"/>
      <c r="D578" s="59"/>
      <c r="E578" s="59"/>
      <c r="F578" s="59"/>
      <c r="K578" s="25"/>
    </row>
    <row r="579" ht="12.75" customHeight="1">
      <c r="A579" s="68"/>
      <c r="B579" s="59"/>
      <c r="C579" s="59"/>
      <c r="D579" s="59"/>
      <c r="E579" s="59"/>
      <c r="F579" s="59"/>
      <c r="K579" s="25"/>
    </row>
    <row r="580" ht="12.75" customHeight="1">
      <c r="A580" s="68"/>
      <c r="B580" s="59"/>
      <c r="C580" s="59"/>
      <c r="D580" s="59"/>
      <c r="E580" s="59"/>
      <c r="F580" s="59"/>
      <c r="K580" s="25"/>
    </row>
    <row r="581" ht="12.75" customHeight="1">
      <c r="A581" s="68"/>
      <c r="B581" s="59"/>
      <c r="C581" s="59"/>
      <c r="D581" s="59"/>
      <c r="E581" s="59"/>
      <c r="F581" s="59"/>
      <c r="K581" s="25"/>
    </row>
    <row r="582" ht="12.75" customHeight="1">
      <c r="A582" s="68"/>
      <c r="B582" s="59"/>
      <c r="C582" s="59"/>
      <c r="D582" s="59"/>
      <c r="E582" s="59"/>
      <c r="F582" s="59"/>
      <c r="K582" s="25"/>
    </row>
    <row r="583" ht="12.75" customHeight="1">
      <c r="A583" s="68"/>
      <c r="B583" s="59"/>
      <c r="C583" s="59"/>
      <c r="D583" s="59"/>
      <c r="E583" s="59"/>
      <c r="F583" s="59"/>
      <c r="K583" s="25"/>
    </row>
    <row r="584" ht="12.75" customHeight="1">
      <c r="A584" s="68"/>
      <c r="B584" s="59"/>
      <c r="C584" s="59"/>
      <c r="D584" s="59"/>
      <c r="E584" s="59"/>
      <c r="F584" s="59"/>
      <c r="K584" s="25"/>
    </row>
    <row r="585" ht="12.75" customHeight="1">
      <c r="A585" s="68"/>
      <c r="B585" s="59"/>
      <c r="C585" s="59"/>
      <c r="D585" s="59"/>
      <c r="E585" s="59"/>
      <c r="F585" s="59"/>
      <c r="K585" s="25"/>
    </row>
    <row r="586" ht="12.75" customHeight="1">
      <c r="A586" s="68"/>
      <c r="B586" s="59"/>
      <c r="C586" s="59"/>
      <c r="D586" s="59"/>
      <c r="E586" s="59"/>
      <c r="F586" s="59"/>
      <c r="K586" s="25"/>
    </row>
    <row r="587" ht="12.75" customHeight="1">
      <c r="A587" s="68"/>
      <c r="B587" s="59"/>
      <c r="C587" s="59"/>
      <c r="D587" s="59"/>
      <c r="E587" s="59"/>
      <c r="F587" s="59"/>
      <c r="K587" s="25"/>
    </row>
    <row r="588" ht="12.75" customHeight="1">
      <c r="A588" s="68"/>
      <c r="B588" s="59"/>
      <c r="C588" s="59"/>
      <c r="D588" s="59"/>
      <c r="E588" s="59"/>
      <c r="F588" s="59"/>
      <c r="K588" s="25"/>
    </row>
    <row r="589" ht="12.75" customHeight="1">
      <c r="A589" s="68"/>
      <c r="B589" s="59"/>
      <c r="C589" s="59"/>
      <c r="D589" s="59"/>
      <c r="E589" s="59"/>
      <c r="F589" s="59"/>
      <c r="K589" s="25"/>
    </row>
    <row r="590" ht="12.75" customHeight="1">
      <c r="A590" s="68"/>
      <c r="B590" s="59"/>
      <c r="C590" s="59"/>
      <c r="D590" s="59"/>
      <c r="E590" s="59"/>
      <c r="F590" s="59"/>
      <c r="K590" s="25"/>
    </row>
    <row r="591" ht="12.75" customHeight="1">
      <c r="A591" s="68"/>
      <c r="B591" s="59"/>
      <c r="C591" s="59"/>
      <c r="D591" s="59"/>
      <c r="E591" s="59"/>
      <c r="F591" s="59"/>
      <c r="K591" s="25"/>
    </row>
    <row r="592" ht="12.75" customHeight="1">
      <c r="A592" s="68"/>
      <c r="B592" s="59"/>
      <c r="C592" s="59"/>
      <c r="D592" s="59"/>
      <c r="E592" s="59"/>
      <c r="F592" s="59"/>
      <c r="K592" s="25"/>
    </row>
    <row r="593" ht="12.75" customHeight="1">
      <c r="A593" s="68"/>
      <c r="B593" s="59"/>
      <c r="C593" s="59"/>
      <c r="D593" s="59"/>
      <c r="E593" s="59"/>
      <c r="F593" s="59"/>
      <c r="K593" s="25"/>
    </row>
    <row r="594" ht="12.75" customHeight="1">
      <c r="A594" s="68"/>
      <c r="B594" s="59"/>
      <c r="C594" s="59"/>
      <c r="D594" s="59"/>
      <c r="E594" s="59"/>
      <c r="F594" s="59"/>
      <c r="K594" s="25"/>
    </row>
    <row r="595" ht="12.75" customHeight="1">
      <c r="A595" s="68"/>
      <c r="B595" s="59"/>
      <c r="C595" s="59"/>
      <c r="D595" s="59"/>
      <c r="E595" s="59"/>
      <c r="F595" s="59"/>
      <c r="K595" s="25"/>
    </row>
    <row r="596" ht="12.75" customHeight="1">
      <c r="A596" s="68"/>
      <c r="B596" s="59"/>
      <c r="C596" s="59"/>
      <c r="D596" s="59"/>
      <c r="E596" s="59"/>
      <c r="F596" s="59"/>
      <c r="K596" s="25"/>
    </row>
    <row r="597" ht="12.75" customHeight="1">
      <c r="A597" s="68"/>
      <c r="B597" s="59"/>
      <c r="C597" s="59"/>
      <c r="D597" s="59"/>
      <c r="E597" s="59"/>
      <c r="F597" s="59"/>
      <c r="K597" s="25"/>
    </row>
    <row r="598" ht="12.75" customHeight="1">
      <c r="A598" s="68"/>
      <c r="B598" s="59"/>
      <c r="C598" s="59"/>
      <c r="D598" s="59"/>
      <c r="E598" s="59"/>
      <c r="F598" s="59"/>
      <c r="K598" s="25"/>
    </row>
    <row r="599" ht="12.75" customHeight="1">
      <c r="A599" s="68"/>
      <c r="B599" s="59"/>
      <c r="C599" s="59"/>
      <c r="D599" s="59"/>
      <c r="E599" s="59"/>
      <c r="F599" s="59"/>
      <c r="K599" s="25"/>
    </row>
    <row r="600" ht="12.75" customHeight="1">
      <c r="A600" s="68"/>
      <c r="B600" s="59"/>
      <c r="C600" s="59"/>
      <c r="D600" s="59"/>
      <c r="E600" s="59"/>
      <c r="F600" s="59"/>
      <c r="K600" s="25"/>
    </row>
    <row r="601" ht="12.75" customHeight="1">
      <c r="A601" s="68"/>
      <c r="B601" s="59"/>
      <c r="C601" s="59"/>
      <c r="D601" s="59"/>
      <c r="E601" s="59"/>
      <c r="F601" s="59"/>
      <c r="K601" s="25"/>
    </row>
    <row r="602" ht="12.75" customHeight="1">
      <c r="A602" s="68"/>
      <c r="B602" s="59"/>
      <c r="C602" s="59"/>
      <c r="D602" s="59"/>
      <c r="E602" s="59"/>
      <c r="F602" s="59"/>
      <c r="K602" s="25"/>
    </row>
    <row r="603" ht="12.75" customHeight="1">
      <c r="A603" s="68"/>
      <c r="B603" s="59"/>
      <c r="C603" s="59"/>
      <c r="D603" s="59"/>
      <c r="E603" s="59"/>
      <c r="F603" s="59"/>
      <c r="K603" s="25"/>
    </row>
    <row r="604" ht="12.75" customHeight="1">
      <c r="A604" s="68"/>
      <c r="B604" s="59"/>
      <c r="C604" s="59"/>
      <c r="D604" s="59"/>
      <c r="E604" s="59"/>
      <c r="F604" s="59"/>
      <c r="K604" s="25"/>
    </row>
    <row r="605" ht="12.75" customHeight="1">
      <c r="A605" s="68"/>
      <c r="B605" s="59"/>
      <c r="C605" s="59"/>
      <c r="D605" s="59"/>
      <c r="E605" s="59"/>
      <c r="F605" s="59"/>
      <c r="K605" s="25"/>
    </row>
    <row r="606" ht="12.75" customHeight="1">
      <c r="A606" s="68"/>
      <c r="B606" s="59"/>
      <c r="C606" s="59"/>
      <c r="D606" s="59"/>
      <c r="E606" s="59"/>
      <c r="F606" s="59"/>
      <c r="K606" s="25"/>
    </row>
    <row r="607" ht="12.75" customHeight="1">
      <c r="A607" s="68"/>
      <c r="B607" s="59"/>
      <c r="C607" s="59"/>
      <c r="D607" s="59"/>
      <c r="E607" s="59"/>
      <c r="F607" s="59"/>
      <c r="K607" s="25"/>
    </row>
    <row r="608" ht="12.75" customHeight="1">
      <c r="A608" s="68"/>
      <c r="B608" s="59"/>
      <c r="C608" s="59"/>
      <c r="D608" s="59"/>
      <c r="E608" s="59"/>
      <c r="F608" s="59"/>
      <c r="K608" s="25"/>
    </row>
    <row r="609" ht="12.75" customHeight="1">
      <c r="A609" s="68"/>
      <c r="B609" s="59"/>
      <c r="C609" s="59"/>
      <c r="D609" s="59"/>
      <c r="E609" s="59"/>
      <c r="F609" s="59"/>
      <c r="K609" s="25"/>
    </row>
    <row r="610" ht="12.75" customHeight="1">
      <c r="A610" s="68"/>
      <c r="B610" s="59"/>
      <c r="C610" s="59"/>
      <c r="D610" s="59"/>
      <c r="E610" s="59"/>
      <c r="F610" s="59"/>
      <c r="K610" s="25"/>
    </row>
    <row r="611" ht="12.75" customHeight="1">
      <c r="A611" s="68"/>
      <c r="B611" s="59"/>
      <c r="C611" s="59"/>
      <c r="D611" s="59"/>
      <c r="E611" s="59"/>
      <c r="F611" s="59"/>
      <c r="K611" s="25"/>
    </row>
    <row r="612" ht="12.75" customHeight="1">
      <c r="A612" s="68"/>
      <c r="B612" s="59"/>
      <c r="C612" s="59"/>
      <c r="D612" s="59"/>
      <c r="E612" s="59"/>
      <c r="F612" s="59"/>
      <c r="K612" s="25"/>
    </row>
    <row r="613" ht="12.75" customHeight="1">
      <c r="A613" s="68"/>
      <c r="B613" s="59"/>
      <c r="C613" s="59"/>
      <c r="D613" s="59"/>
      <c r="E613" s="59"/>
      <c r="F613" s="59"/>
      <c r="K613" s="25"/>
    </row>
    <row r="614" ht="12.75" customHeight="1">
      <c r="A614" s="68"/>
      <c r="B614" s="59"/>
      <c r="C614" s="59"/>
      <c r="D614" s="59"/>
      <c r="E614" s="59"/>
      <c r="F614" s="59"/>
      <c r="K614" s="25"/>
    </row>
    <row r="615" ht="12.75" customHeight="1">
      <c r="A615" s="68"/>
      <c r="B615" s="59"/>
      <c r="C615" s="59"/>
      <c r="D615" s="59"/>
      <c r="E615" s="59"/>
      <c r="F615" s="59"/>
      <c r="K615" s="25"/>
    </row>
    <row r="616" ht="12.75" customHeight="1">
      <c r="A616" s="68"/>
      <c r="B616" s="59"/>
      <c r="C616" s="59"/>
      <c r="D616" s="59"/>
      <c r="E616" s="59"/>
      <c r="F616" s="59"/>
      <c r="K616" s="25"/>
    </row>
    <row r="617" ht="12.75" customHeight="1">
      <c r="A617" s="68"/>
      <c r="B617" s="59"/>
      <c r="C617" s="59"/>
      <c r="D617" s="59"/>
      <c r="E617" s="59"/>
      <c r="F617" s="59"/>
      <c r="K617" s="25"/>
    </row>
    <row r="618" ht="12.75" customHeight="1">
      <c r="A618" s="68"/>
      <c r="B618" s="59"/>
      <c r="C618" s="59"/>
      <c r="D618" s="59"/>
      <c r="E618" s="59"/>
      <c r="F618" s="59"/>
      <c r="K618" s="25"/>
    </row>
    <row r="619" ht="12.75" customHeight="1">
      <c r="A619" s="68"/>
      <c r="B619" s="59"/>
      <c r="C619" s="59"/>
      <c r="D619" s="59"/>
      <c r="E619" s="59"/>
      <c r="F619" s="59"/>
      <c r="K619" s="25"/>
    </row>
    <row r="620" ht="12.75" customHeight="1">
      <c r="A620" s="68"/>
      <c r="B620" s="59"/>
      <c r="C620" s="59"/>
      <c r="D620" s="59"/>
      <c r="E620" s="59"/>
      <c r="F620" s="59"/>
      <c r="K620" s="25"/>
    </row>
    <row r="621" ht="12.75" customHeight="1">
      <c r="A621" s="68"/>
      <c r="B621" s="59"/>
      <c r="C621" s="59"/>
      <c r="D621" s="59"/>
      <c r="E621" s="59"/>
      <c r="F621" s="59"/>
      <c r="K621" s="25"/>
    </row>
    <row r="622" ht="12.75" customHeight="1">
      <c r="A622" s="68"/>
      <c r="B622" s="59"/>
      <c r="C622" s="59"/>
      <c r="D622" s="59"/>
      <c r="E622" s="59"/>
      <c r="F622" s="59"/>
      <c r="K622" s="25"/>
    </row>
    <row r="623" ht="12.75" customHeight="1">
      <c r="A623" s="68"/>
      <c r="B623" s="59"/>
      <c r="C623" s="59"/>
      <c r="D623" s="59"/>
      <c r="E623" s="59"/>
      <c r="F623" s="59"/>
      <c r="K623" s="25"/>
    </row>
    <row r="624" ht="12.75" customHeight="1">
      <c r="A624" s="68"/>
      <c r="B624" s="59"/>
      <c r="C624" s="59"/>
      <c r="D624" s="59"/>
      <c r="E624" s="59"/>
      <c r="F624" s="59"/>
      <c r="K624" s="25"/>
    </row>
    <row r="625" ht="12.75" customHeight="1">
      <c r="A625" s="68"/>
      <c r="B625" s="59"/>
      <c r="C625" s="59"/>
      <c r="D625" s="59"/>
      <c r="E625" s="59"/>
      <c r="F625" s="59"/>
      <c r="K625" s="25"/>
    </row>
    <row r="626" ht="12.75" customHeight="1">
      <c r="A626" s="68"/>
      <c r="B626" s="59"/>
      <c r="C626" s="59"/>
      <c r="D626" s="59"/>
      <c r="E626" s="59"/>
      <c r="F626" s="59"/>
      <c r="K626" s="25"/>
    </row>
    <row r="627" ht="12.75" customHeight="1">
      <c r="A627" s="68"/>
      <c r="B627" s="59"/>
      <c r="C627" s="59"/>
      <c r="D627" s="59"/>
      <c r="E627" s="59"/>
      <c r="F627" s="59"/>
      <c r="K627" s="25"/>
    </row>
    <row r="628" ht="12.75" customHeight="1">
      <c r="A628" s="68"/>
      <c r="B628" s="59"/>
      <c r="C628" s="59"/>
      <c r="D628" s="59"/>
      <c r="E628" s="59"/>
      <c r="F628" s="59"/>
      <c r="K628" s="25"/>
    </row>
    <row r="629" ht="12.75" customHeight="1">
      <c r="A629" s="68"/>
      <c r="B629" s="59"/>
      <c r="C629" s="59"/>
      <c r="D629" s="59"/>
      <c r="E629" s="59"/>
      <c r="F629" s="59"/>
      <c r="K629" s="25"/>
    </row>
    <row r="630" ht="12.75" customHeight="1">
      <c r="A630" s="68"/>
      <c r="B630" s="59"/>
      <c r="C630" s="59"/>
      <c r="D630" s="59"/>
      <c r="E630" s="59"/>
      <c r="F630" s="59"/>
      <c r="K630" s="25"/>
    </row>
    <row r="631" ht="12.75" customHeight="1">
      <c r="A631" s="68"/>
      <c r="B631" s="59"/>
      <c r="C631" s="59"/>
      <c r="D631" s="59"/>
      <c r="E631" s="59"/>
      <c r="F631" s="59"/>
      <c r="K631" s="25"/>
    </row>
    <row r="632" ht="12.75" customHeight="1">
      <c r="A632" s="68"/>
      <c r="B632" s="59"/>
      <c r="C632" s="59"/>
      <c r="D632" s="59"/>
      <c r="E632" s="59"/>
      <c r="F632" s="59"/>
      <c r="K632" s="25"/>
    </row>
    <row r="633" ht="12.75" customHeight="1">
      <c r="A633" s="68"/>
      <c r="B633" s="59"/>
      <c r="C633" s="59"/>
      <c r="D633" s="59"/>
      <c r="E633" s="59"/>
      <c r="F633" s="59"/>
      <c r="K633" s="25"/>
    </row>
    <row r="634" ht="12.75" customHeight="1">
      <c r="A634" s="68"/>
      <c r="B634" s="59"/>
      <c r="C634" s="59"/>
      <c r="D634" s="59"/>
      <c r="E634" s="59"/>
      <c r="F634" s="59"/>
      <c r="K634" s="25"/>
    </row>
    <row r="635" ht="12.75" customHeight="1">
      <c r="A635" s="68"/>
      <c r="B635" s="59"/>
      <c r="C635" s="59"/>
      <c r="D635" s="59"/>
      <c r="E635" s="59"/>
      <c r="F635" s="59"/>
      <c r="K635" s="25"/>
    </row>
    <row r="636" ht="12.75" customHeight="1">
      <c r="A636" s="68"/>
      <c r="B636" s="59"/>
      <c r="C636" s="59"/>
      <c r="D636" s="59"/>
      <c r="E636" s="59"/>
      <c r="F636" s="59"/>
      <c r="K636" s="25"/>
    </row>
    <row r="637" ht="12.75" customHeight="1">
      <c r="A637" s="68"/>
      <c r="B637" s="59"/>
      <c r="C637" s="59"/>
      <c r="D637" s="59"/>
      <c r="E637" s="59"/>
      <c r="F637" s="59"/>
      <c r="K637" s="25"/>
    </row>
    <row r="638" ht="12.75" customHeight="1">
      <c r="A638" s="68"/>
      <c r="B638" s="59"/>
      <c r="C638" s="59"/>
      <c r="D638" s="59"/>
      <c r="E638" s="59"/>
      <c r="F638" s="59"/>
      <c r="K638" s="25"/>
    </row>
    <row r="639" ht="12.75" customHeight="1">
      <c r="A639" s="68"/>
      <c r="B639" s="59"/>
      <c r="C639" s="59"/>
      <c r="D639" s="59"/>
      <c r="E639" s="59"/>
      <c r="F639" s="59"/>
      <c r="K639" s="25"/>
    </row>
    <row r="640" ht="12.75" customHeight="1">
      <c r="A640" s="68"/>
      <c r="B640" s="59"/>
      <c r="C640" s="59"/>
      <c r="D640" s="59"/>
      <c r="E640" s="59"/>
      <c r="F640" s="59"/>
      <c r="K640" s="25"/>
    </row>
    <row r="641" ht="12.75" customHeight="1">
      <c r="A641" s="68"/>
      <c r="B641" s="59"/>
      <c r="C641" s="59"/>
      <c r="D641" s="59"/>
      <c r="E641" s="59"/>
      <c r="F641" s="59"/>
      <c r="K641" s="25"/>
    </row>
    <row r="642" ht="12.75" customHeight="1">
      <c r="A642" s="68"/>
      <c r="B642" s="59"/>
      <c r="C642" s="59"/>
      <c r="D642" s="59"/>
      <c r="E642" s="59"/>
      <c r="F642" s="59"/>
      <c r="K642" s="25"/>
    </row>
    <row r="643" ht="12.75" customHeight="1">
      <c r="A643" s="68"/>
      <c r="B643" s="59"/>
      <c r="C643" s="59"/>
      <c r="D643" s="59"/>
      <c r="E643" s="59"/>
      <c r="F643" s="59"/>
      <c r="K643" s="25"/>
    </row>
    <row r="644" ht="12.75" customHeight="1">
      <c r="A644" s="68"/>
      <c r="B644" s="59"/>
      <c r="C644" s="59"/>
      <c r="D644" s="59"/>
      <c r="E644" s="59"/>
      <c r="F644" s="59"/>
      <c r="K644" s="25"/>
    </row>
    <row r="645" ht="12.75" customHeight="1">
      <c r="A645" s="68"/>
      <c r="B645" s="59"/>
      <c r="C645" s="59"/>
      <c r="D645" s="59"/>
      <c r="E645" s="59"/>
      <c r="F645" s="59"/>
      <c r="K645" s="25"/>
    </row>
    <row r="646" ht="12.75" customHeight="1">
      <c r="A646" s="68"/>
      <c r="B646" s="59"/>
      <c r="C646" s="59"/>
      <c r="D646" s="59"/>
      <c r="E646" s="59"/>
      <c r="F646" s="59"/>
      <c r="K646" s="25"/>
    </row>
    <row r="647" ht="12.75" customHeight="1">
      <c r="A647" s="68"/>
      <c r="B647" s="59"/>
      <c r="C647" s="59"/>
      <c r="D647" s="59"/>
      <c r="E647" s="59"/>
      <c r="F647" s="59"/>
      <c r="K647" s="25"/>
    </row>
    <row r="648" ht="12.75" customHeight="1">
      <c r="A648" s="68"/>
      <c r="B648" s="59"/>
      <c r="C648" s="59"/>
      <c r="D648" s="59"/>
      <c r="E648" s="59"/>
      <c r="F648" s="59"/>
      <c r="K648" s="25"/>
    </row>
    <row r="649" ht="12.75" customHeight="1">
      <c r="A649" s="68"/>
      <c r="B649" s="59"/>
      <c r="C649" s="59"/>
      <c r="D649" s="59"/>
      <c r="E649" s="59"/>
      <c r="F649" s="59"/>
      <c r="K649" s="25"/>
    </row>
    <row r="650" ht="12.75" customHeight="1">
      <c r="A650" s="68"/>
      <c r="B650" s="59"/>
      <c r="C650" s="59"/>
      <c r="D650" s="59"/>
      <c r="E650" s="59"/>
      <c r="F650" s="59"/>
      <c r="K650" s="25"/>
    </row>
    <row r="651" ht="12.75" customHeight="1">
      <c r="A651" s="68"/>
      <c r="B651" s="59"/>
      <c r="C651" s="59"/>
      <c r="D651" s="59"/>
      <c r="E651" s="59"/>
      <c r="F651" s="59"/>
      <c r="K651" s="25"/>
    </row>
    <row r="652" ht="12.75" customHeight="1">
      <c r="A652" s="68"/>
      <c r="B652" s="59"/>
      <c r="C652" s="59"/>
      <c r="D652" s="59"/>
      <c r="E652" s="59"/>
      <c r="F652" s="59"/>
      <c r="K652" s="25"/>
    </row>
    <row r="653" ht="12.75" customHeight="1">
      <c r="A653" s="68"/>
      <c r="B653" s="59"/>
      <c r="C653" s="59"/>
      <c r="D653" s="59"/>
      <c r="E653" s="59"/>
      <c r="F653" s="59"/>
      <c r="K653" s="25"/>
    </row>
    <row r="654" ht="12.75" customHeight="1">
      <c r="A654" s="68"/>
      <c r="B654" s="59"/>
      <c r="C654" s="59"/>
      <c r="D654" s="59"/>
      <c r="E654" s="59"/>
      <c r="F654" s="59"/>
      <c r="K654" s="25"/>
    </row>
    <row r="655" ht="12.75" customHeight="1">
      <c r="A655" s="68"/>
      <c r="B655" s="59"/>
      <c r="C655" s="59"/>
      <c r="D655" s="59"/>
      <c r="E655" s="59"/>
      <c r="F655" s="59"/>
      <c r="K655" s="25"/>
    </row>
    <row r="656" ht="12.75" customHeight="1">
      <c r="A656" s="68"/>
      <c r="B656" s="59"/>
      <c r="C656" s="59"/>
      <c r="D656" s="59"/>
      <c r="E656" s="59"/>
      <c r="F656" s="59"/>
      <c r="K656" s="25"/>
    </row>
    <row r="657" ht="12.75" customHeight="1">
      <c r="A657" s="68"/>
      <c r="B657" s="59"/>
      <c r="C657" s="59"/>
      <c r="D657" s="59"/>
      <c r="E657" s="59"/>
      <c r="F657" s="59"/>
      <c r="K657" s="25"/>
    </row>
    <row r="658" ht="12.75" customHeight="1">
      <c r="A658" s="68"/>
      <c r="B658" s="59"/>
      <c r="C658" s="59"/>
      <c r="D658" s="59"/>
      <c r="E658" s="59"/>
      <c r="F658" s="59"/>
      <c r="K658" s="25"/>
    </row>
    <row r="659" ht="12.75" customHeight="1">
      <c r="A659" s="68"/>
      <c r="B659" s="59"/>
      <c r="C659" s="59"/>
      <c r="D659" s="59"/>
      <c r="E659" s="59"/>
      <c r="F659" s="59"/>
      <c r="K659" s="25"/>
    </row>
    <row r="660" ht="12.75" customHeight="1">
      <c r="A660" s="68"/>
      <c r="B660" s="59"/>
      <c r="C660" s="59"/>
      <c r="D660" s="59"/>
      <c r="E660" s="59"/>
      <c r="F660" s="59"/>
      <c r="K660" s="25"/>
    </row>
    <row r="661" ht="12.75" customHeight="1">
      <c r="A661" s="68"/>
      <c r="B661" s="59"/>
      <c r="C661" s="59"/>
      <c r="D661" s="59"/>
      <c r="E661" s="59"/>
      <c r="F661" s="59"/>
      <c r="K661" s="25"/>
    </row>
    <row r="662" ht="12.75" customHeight="1">
      <c r="A662" s="68"/>
      <c r="B662" s="59"/>
      <c r="C662" s="59"/>
      <c r="D662" s="59"/>
      <c r="E662" s="59"/>
      <c r="F662" s="59"/>
      <c r="K662" s="25"/>
    </row>
    <row r="663" ht="12.75" customHeight="1">
      <c r="A663" s="68"/>
      <c r="B663" s="59"/>
      <c r="C663" s="59"/>
      <c r="D663" s="59"/>
      <c r="E663" s="59"/>
      <c r="F663" s="59"/>
      <c r="K663" s="25"/>
    </row>
    <row r="664" ht="12.75" customHeight="1">
      <c r="A664" s="68"/>
      <c r="B664" s="59"/>
      <c r="C664" s="59"/>
      <c r="D664" s="59"/>
      <c r="E664" s="59"/>
      <c r="F664" s="59"/>
      <c r="K664" s="25"/>
    </row>
    <row r="665" ht="12.75" customHeight="1">
      <c r="A665" s="68"/>
      <c r="B665" s="59"/>
      <c r="C665" s="59"/>
      <c r="D665" s="59"/>
      <c r="E665" s="59"/>
      <c r="F665" s="59"/>
      <c r="K665" s="25"/>
    </row>
    <row r="666" ht="12.75" customHeight="1">
      <c r="A666" s="68"/>
      <c r="B666" s="59"/>
      <c r="C666" s="59"/>
      <c r="D666" s="59"/>
      <c r="E666" s="59"/>
      <c r="F666" s="59"/>
      <c r="K666" s="25"/>
    </row>
    <row r="667" ht="12.75" customHeight="1">
      <c r="A667" s="68"/>
      <c r="B667" s="59"/>
      <c r="C667" s="59"/>
      <c r="D667" s="59"/>
      <c r="E667" s="59"/>
      <c r="F667" s="59"/>
      <c r="K667" s="25"/>
    </row>
    <row r="668" ht="12.75" customHeight="1">
      <c r="A668" s="68"/>
      <c r="B668" s="59"/>
      <c r="C668" s="59"/>
      <c r="D668" s="59"/>
      <c r="E668" s="59"/>
      <c r="F668" s="59"/>
      <c r="K668" s="25"/>
    </row>
    <row r="669" ht="12.75" customHeight="1">
      <c r="A669" s="68"/>
      <c r="B669" s="59"/>
      <c r="C669" s="59"/>
      <c r="D669" s="59"/>
      <c r="E669" s="59"/>
      <c r="F669" s="59"/>
      <c r="K669" s="25"/>
    </row>
    <row r="670" ht="12.75" customHeight="1">
      <c r="A670" s="68"/>
      <c r="B670" s="59"/>
      <c r="C670" s="59"/>
      <c r="D670" s="59"/>
      <c r="E670" s="59"/>
      <c r="F670" s="59"/>
      <c r="K670" s="25"/>
    </row>
    <row r="671" ht="12.75" customHeight="1">
      <c r="A671" s="68"/>
      <c r="B671" s="59"/>
      <c r="C671" s="59"/>
      <c r="D671" s="59"/>
      <c r="E671" s="59"/>
      <c r="F671" s="59"/>
      <c r="K671" s="25"/>
    </row>
    <row r="672" ht="12.75" customHeight="1">
      <c r="A672" s="68"/>
      <c r="B672" s="59"/>
      <c r="C672" s="59"/>
      <c r="D672" s="59"/>
      <c r="E672" s="59"/>
      <c r="F672" s="59"/>
      <c r="K672" s="25"/>
    </row>
    <row r="673" ht="12.75" customHeight="1">
      <c r="A673" s="68"/>
      <c r="B673" s="59"/>
      <c r="C673" s="59"/>
      <c r="D673" s="59"/>
      <c r="E673" s="59"/>
      <c r="F673" s="59"/>
      <c r="K673" s="25"/>
    </row>
    <row r="674" ht="12.75" customHeight="1">
      <c r="A674" s="68"/>
      <c r="B674" s="59"/>
      <c r="C674" s="59"/>
      <c r="D674" s="59"/>
      <c r="E674" s="59"/>
      <c r="F674" s="59"/>
      <c r="K674" s="25"/>
    </row>
    <row r="675" ht="12.75" customHeight="1">
      <c r="A675" s="68"/>
      <c r="B675" s="59"/>
      <c r="C675" s="59"/>
      <c r="D675" s="59"/>
      <c r="E675" s="59"/>
      <c r="F675" s="59"/>
      <c r="K675" s="25"/>
    </row>
    <row r="676" ht="12.75" customHeight="1">
      <c r="A676" s="68"/>
      <c r="B676" s="59"/>
      <c r="C676" s="59"/>
      <c r="D676" s="59"/>
      <c r="E676" s="59"/>
      <c r="F676" s="59"/>
      <c r="K676" s="25"/>
    </row>
    <row r="677" ht="12.75" customHeight="1">
      <c r="A677" s="68"/>
      <c r="B677" s="59"/>
      <c r="C677" s="59"/>
      <c r="D677" s="59"/>
      <c r="E677" s="59"/>
      <c r="F677" s="59"/>
      <c r="K677" s="25"/>
    </row>
    <row r="678" ht="12.75" customHeight="1">
      <c r="A678" s="68"/>
      <c r="B678" s="59"/>
      <c r="C678" s="59"/>
      <c r="D678" s="59"/>
      <c r="E678" s="59"/>
      <c r="F678" s="59"/>
      <c r="K678" s="25"/>
    </row>
    <row r="679" ht="12.75" customHeight="1">
      <c r="A679" s="68"/>
      <c r="B679" s="59"/>
      <c r="C679" s="59"/>
      <c r="D679" s="59"/>
      <c r="E679" s="59"/>
      <c r="F679" s="59"/>
      <c r="K679" s="25"/>
    </row>
    <row r="680" ht="12.75" customHeight="1">
      <c r="A680" s="68"/>
      <c r="B680" s="59"/>
      <c r="C680" s="59"/>
      <c r="D680" s="59"/>
      <c r="E680" s="59"/>
      <c r="F680" s="59"/>
      <c r="K680" s="25"/>
    </row>
    <row r="681" ht="12.75" customHeight="1">
      <c r="A681" s="68"/>
      <c r="B681" s="59"/>
      <c r="C681" s="59"/>
      <c r="D681" s="59"/>
      <c r="E681" s="59"/>
      <c r="F681" s="59"/>
      <c r="K681" s="25"/>
    </row>
    <row r="682" ht="12.75" customHeight="1">
      <c r="A682" s="68"/>
      <c r="B682" s="59"/>
      <c r="C682" s="59"/>
      <c r="D682" s="59"/>
      <c r="E682" s="59"/>
      <c r="F682" s="59"/>
      <c r="K682" s="25"/>
    </row>
    <row r="683" ht="12.75" customHeight="1">
      <c r="A683" s="68"/>
      <c r="B683" s="59"/>
      <c r="C683" s="59"/>
      <c r="D683" s="59"/>
      <c r="E683" s="59"/>
      <c r="F683" s="59"/>
      <c r="K683" s="25"/>
    </row>
    <row r="684" ht="12.75" customHeight="1">
      <c r="A684" s="68"/>
      <c r="B684" s="59"/>
      <c r="C684" s="59"/>
      <c r="D684" s="59"/>
      <c r="E684" s="59"/>
      <c r="F684" s="59"/>
      <c r="K684" s="25"/>
    </row>
    <row r="685" ht="12.75" customHeight="1">
      <c r="A685" s="68"/>
      <c r="B685" s="59"/>
      <c r="C685" s="59"/>
      <c r="D685" s="59"/>
      <c r="E685" s="59"/>
      <c r="F685" s="59"/>
      <c r="K685" s="25"/>
    </row>
    <row r="686" ht="12.75" customHeight="1">
      <c r="A686" s="68"/>
      <c r="B686" s="59"/>
      <c r="C686" s="59"/>
      <c r="D686" s="59"/>
      <c r="E686" s="59"/>
      <c r="F686" s="59"/>
      <c r="K686" s="25"/>
    </row>
    <row r="687" ht="12.75" customHeight="1">
      <c r="A687" s="68"/>
      <c r="B687" s="59"/>
      <c r="C687" s="59"/>
      <c r="D687" s="59"/>
      <c r="E687" s="59"/>
      <c r="F687" s="59"/>
      <c r="K687" s="25"/>
    </row>
    <row r="688" ht="12.75" customHeight="1">
      <c r="A688" s="68"/>
      <c r="B688" s="59"/>
      <c r="C688" s="59"/>
      <c r="D688" s="59"/>
      <c r="E688" s="59"/>
      <c r="F688" s="59"/>
      <c r="K688" s="25"/>
    </row>
    <row r="689" ht="12.75" customHeight="1">
      <c r="A689" s="68"/>
      <c r="B689" s="59"/>
      <c r="C689" s="59"/>
      <c r="D689" s="59"/>
      <c r="E689" s="59"/>
      <c r="F689" s="59"/>
      <c r="K689" s="25"/>
    </row>
    <row r="690" ht="12.75" customHeight="1">
      <c r="A690" s="68"/>
      <c r="B690" s="59"/>
      <c r="C690" s="59"/>
      <c r="D690" s="59"/>
      <c r="E690" s="59"/>
      <c r="F690" s="59"/>
      <c r="K690" s="25"/>
    </row>
    <row r="691" ht="12.75" customHeight="1">
      <c r="A691" s="68"/>
      <c r="B691" s="59"/>
      <c r="C691" s="59"/>
      <c r="D691" s="59"/>
      <c r="E691" s="59"/>
      <c r="F691" s="59"/>
      <c r="K691" s="25"/>
    </row>
    <row r="692" ht="12.75" customHeight="1">
      <c r="A692" s="68"/>
      <c r="B692" s="59"/>
      <c r="C692" s="59"/>
      <c r="D692" s="59"/>
      <c r="E692" s="59"/>
      <c r="F692" s="59"/>
      <c r="K692" s="25"/>
    </row>
    <row r="693" ht="12.75" customHeight="1">
      <c r="A693" s="68"/>
      <c r="B693" s="59"/>
      <c r="C693" s="59"/>
      <c r="D693" s="59"/>
      <c r="E693" s="59"/>
      <c r="F693" s="59"/>
      <c r="K693" s="25"/>
    </row>
    <row r="694" ht="12.75" customHeight="1">
      <c r="A694" s="68"/>
      <c r="B694" s="59"/>
      <c r="C694" s="59"/>
      <c r="D694" s="59"/>
      <c r="E694" s="59"/>
      <c r="F694" s="59"/>
      <c r="K694" s="25"/>
    </row>
    <row r="695" ht="12.75" customHeight="1">
      <c r="A695" s="68"/>
      <c r="B695" s="59"/>
      <c r="C695" s="59"/>
      <c r="D695" s="59"/>
      <c r="E695" s="59"/>
      <c r="F695" s="59"/>
      <c r="K695" s="25"/>
    </row>
    <row r="696" ht="12.75" customHeight="1">
      <c r="A696" s="68"/>
      <c r="B696" s="59"/>
      <c r="C696" s="59"/>
      <c r="D696" s="59"/>
      <c r="E696" s="59"/>
      <c r="F696" s="59"/>
      <c r="K696" s="25"/>
    </row>
    <row r="697" ht="12.75" customHeight="1">
      <c r="A697" s="68"/>
      <c r="B697" s="59"/>
      <c r="C697" s="59"/>
      <c r="D697" s="59"/>
      <c r="E697" s="59"/>
      <c r="F697" s="59"/>
      <c r="K697" s="25"/>
    </row>
    <row r="698" ht="12.75" customHeight="1">
      <c r="A698" s="68"/>
      <c r="B698" s="59"/>
      <c r="C698" s="59"/>
      <c r="D698" s="59"/>
      <c r="E698" s="59"/>
      <c r="F698" s="59"/>
      <c r="K698" s="25"/>
    </row>
    <row r="699" ht="12.75" customHeight="1">
      <c r="A699" s="68"/>
      <c r="B699" s="59"/>
      <c r="C699" s="59"/>
      <c r="D699" s="59"/>
      <c r="E699" s="59"/>
      <c r="F699" s="59"/>
      <c r="K699" s="25"/>
    </row>
    <row r="700" ht="12.75" customHeight="1">
      <c r="A700" s="68"/>
      <c r="B700" s="59"/>
      <c r="C700" s="59"/>
      <c r="D700" s="59"/>
      <c r="E700" s="59"/>
      <c r="F700" s="59"/>
      <c r="K700" s="25"/>
    </row>
    <row r="701" ht="12.75" customHeight="1">
      <c r="A701" s="68"/>
      <c r="B701" s="59"/>
      <c r="C701" s="59"/>
      <c r="D701" s="59"/>
      <c r="E701" s="59"/>
      <c r="F701" s="59"/>
      <c r="K701" s="25"/>
    </row>
    <row r="702" ht="12.75" customHeight="1">
      <c r="A702" s="68"/>
      <c r="B702" s="59"/>
      <c r="C702" s="59"/>
      <c r="D702" s="59"/>
      <c r="E702" s="59"/>
      <c r="F702" s="59"/>
      <c r="K702" s="25"/>
    </row>
    <row r="703" ht="12.75" customHeight="1">
      <c r="A703" s="68"/>
      <c r="B703" s="59"/>
      <c r="C703" s="59"/>
      <c r="D703" s="59"/>
      <c r="E703" s="59"/>
      <c r="F703" s="59"/>
      <c r="K703" s="25"/>
    </row>
    <row r="704" ht="12.75" customHeight="1">
      <c r="A704" s="68"/>
      <c r="B704" s="59"/>
      <c r="C704" s="59"/>
      <c r="D704" s="59"/>
      <c r="E704" s="59"/>
      <c r="F704" s="59"/>
      <c r="K704" s="25"/>
    </row>
    <row r="705" ht="12.75" customHeight="1">
      <c r="A705" s="68"/>
      <c r="B705" s="59"/>
      <c r="C705" s="59"/>
      <c r="D705" s="59"/>
      <c r="E705" s="59"/>
      <c r="F705" s="59"/>
      <c r="K705" s="25"/>
    </row>
    <row r="706" ht="12.75" customHeight="1">
      <c r="A706" s="68"/>
      <c r="B706" s="59"/>
      <c r="C706" s="59"/>
      <c r="D706" s="59"/>
      <c r="E706" s="59"/>
      <c r="F706" s="59"/>
      <c r="K706" s="25"/>
    </row>
    <row r="707" ht="12.75" customHeight="1">
      <c r="A707" s="68"/>
      <c r="B707" s="59"/>
      <c r="C707" s="59"/>
      <c r="D707" s="59"/>
      <c r="E707" s="59"/>
      <c r="F707" s="59"/>
      <c r="K707" s="25"/>
    </row>
    <row r="708" ht="12.75" customHeight="1">
      <c r="A708" s="68"/>
      <c r="B708" s="59"/>
      <c r="C708" s="59"/>
      <c r="D708" s="59"/>
      <c r="E708" s="59"/>
      <c r="F708" s="59"/>
      <c r="K708" s="25"/>
    </row>
    <row r="709" ht="12.75" customHeight="1">
      <c r="A709" s="68"/>
      <c r="B709" s="59"/>
      <c r="C709" s="59"/>
      <c r="D709" s="59"/>
      <c r="E709" s="59"/>
      <c r="F709" s="59"/>
      <c r="K709" s="25"/>
    </row>
    <row r="710" ht="12.75" customHeight="1">
      <c r="A710" s="68"/>
      <c r="B710" s="59"/>
      <c r="C710" s="59"/>
      <c r="D710" s="59"/>
      <c r="E710" s="59"/>
      <c r="F710" s="59"/>
      <c r="K710" s="25"/>
    </row>
    <row r="711" ht="12.75" customHeight="1">
      <c r="A711" s="68"/>
      <c r="B711" s="59"/>
      <c r="C711" s="59"/>
      <c r="D711" s="59"/>
      <c r="E711" s="59"/>
      <c r="F711" s="59"/>
      <c r="K711" s="25"/>
    </row>
    <row r="712" ht="12.75" customHeight="1">
      <c r="A712" s="68"/>
      <c r="B712" s="59"/>
      <c r="C712" s="59"/>
      <c r="D712" s="59"/>
      <c r="E712" s="59"/>
      <c r="F712" s="59"/>
      <c r="K712" s="25"/>
    </row>
    <row r="713" ht="12.75" customHeight="1">
      <c r="A713" s="68"/>
      <c r="B713" s="59"/>
      <c r="C713" s="59"/>
      <c r="D713" s="59"/>
      <c r="E713" s="59"/>
      <c r="F713" s="59"/>
      <c r="K713" s="25"/>
    </row>
    <row r="714" ht="12.75" customHeight="1">
      <c r="A714" s="68"/>
      <c r="B714" s="59"/>
      <c r="C714" s="59"/>
      <c r="D714" s="59"/>
      <c r="E714" s="59"/>
      <c r="F714" s="59"/>
      <c r="K714" s="25"/>
    </row>
    <row r="715" ht="12.75" customHeight="1">
      <c r="A715" s="68"/>
      <c r="B715" s="59"/>
      <c r="C715" s="59"/>
      <c r="D715" s="59"/>
      <c r="E715" s="59"/>
      <c r="F715" s="59"/>
      <c r="K715" s="25"/>
    </row>
    <row r="716" ht="12.75" customHeight="1">
      <c r="A716" s="68"/>
      <c r="B716" s="59"/>
      <c r="C716" s="59"/>
      <c r="D716" s="59"/>
      <c r="E716" s="59"/>
      <c r="F716" s="59"/>
      <c r="K716" s="25"/>
    </row>
    <row r="717" ht="12.75" customHeight="1">
      <c r="A717" s="68"/>
      <c r="B717" s="59"/>
      <c r="C717" s="59"/>
      <c r="D717" s="59"/>
      <c r="E717" s="59"/>
      <c r="F717" s="59"/>
      <c r="K717" s="25"/>
    </row>
    <row r="718" ht="12.75" customHeight="1">
      <c r="A718" s="68"/>
      <c r="B718" s="59"/>
      <c r="C718" s="59"/>
      <c r="D718" s="59"/>
      <c r="E718" s="59"/>
      <c r="F718" s="59"/>
      <c r="K718" s="25"/>
    </row>
    <row r="719" ht="12.75" customHeight="1">
      <c r="A719" s="68"/>
      <c r="B719" s="59"/>
      <c r="C719" s="59"/>
      <c r="D719" s="59"/>
      <c r="E719" s="59"/>
      <c r="F719" s="59"/>
      <c r="K719" s="25"/>
    </row>
    <row r="720" ht="12.75" customHeight="1">
      <c r="A720" s="68"/>
      <c r="B720" s="59"/>
      <c r="C720" s="59"/>
      <c r="D720" s="59"/>
      <c r="E720" s="59"/>
      <c r="F720" s="59"/>
      <c r="K720" s="25"/>
    </row>
    <row r="721" ht="12.75" customHeight="1">
      <c r="A721" s="68"/>
      <c r="B721" s="59"/>
      <c r="C721" s="59"/>
      <c r="D721" s="59"/>
      <c r="E721" s="59"/>
      <c r="F721" s="59"/>
      <c r="K721" s="25"/>
    </row>
    <row r="722" ht="12.75" customHeight="1">
      <c r="A722" s="68"/>
      <c r="B722" s="59"/>
      <c r="C722" s="59"/>
      <c r="D722" s="59"/>
      <c r="E722" s="59"/>
      <c r="F722" s="59"/>
      <c r="K722" s="25"/>
    </row>
    <row r="723" ht="12.75" customHeight="1">
      <c r="A723" s="68"/>
      <c r="B723" s="59"/>
      <c r="C723" s="59"/>
      <c r="D723" s="59"/>
      <c r="E723" s="59"/>
      <c r="F723" s="59"/>
      <c r="K723" s="25"/>
    </row>
    <row r="724" ht="12.75" customHeight="1">
      <c r="A724" s="68"/>
      <c r="B724" s="59"/>
      <c r="C724" s="59"/>
      <c r="D724" s="59"/>
      <c r="E724" s="59"/>
      <c r="F724" s="59"/>
      <c r="K724" s="25"/>
    </row>
    <row r="725" ht="12.75" customHeight="1">
      <c r="A725" s="68"/>
      <c r="B725" s="59"/>
      <c r="C725" s="59"/>
      <c r="D725" s="59"/>
      <c r="E725" s="59"/>
      <c r="F725" s="59"/>
      <c r="K725" s="25"/>
    </row>
    <row r="726" ht="12.75" customHeight="1">
      <c r="A726" s="68"/>
      <c r="B726" s="59"/>
      <c r="C726" s="59"/>
      <c r="D726" s="59"/>
      <c r="E726" s="59"/>
      <c r="F726" s="59"/>
      <c r="K726" s="25"/>
    </row>
    <row r="727" ht="12.75" customHeight="1">
      <c r="A727" s="68"/>
      <c r="B727" s="59"/>
      <c r="C727" s="59"/>
      <c r="D727" s="59"/>
      <c r="E727" s="59"/>
      <c r="F727" s="59"/>
      <c r="K727" s="25"/>
    </row>
    <row r="728" ht="12.75" customHeight="1">
      <c r="A728" s="68"/>
      <c r="B728" s="59"/>
      <c r="C728" s="59"/>
      <c r="D728" s="59"/>
      <c r="E728" s="59"/>
      <c r="F728" s="59"/>
      <c r="K728" s="25"/>
    </row>
    <row r="729" ht="12.75" customHeight="1">
      <c r="A729" s="68"/>
      <c r="B729" s="59"/>
      <c r="C729" s="59"/>
      <c r="D729" s="59"/>
      <c r="E729" s="59"/>
      <c r="F729" s="59"/>
      <c r="K729" s="25"/>
    </row>
    <row r="730" ht="12.75" customHeight="1">
      <c r="A730" s="68"/>
      <c r="B730" s="59"/>
      <c r="C730" s="59"/>
      <c r="D730" s="59"/>
      <c r="E730" s="59"/>
      <c r="F730" s="59"/>
      <c r="K730" s="25"/>
    </row>
    <row r="731" ht="12.75" customHeight="1">
      <c r="A731" s="68"/>
      <c r="B731" s="59"/>
      <c r="C731" s="59"/>
      <c r="D731" s="59"/>
      <c r="E731" s="59"/>
      <c r="F731" s="59"/>
      <c r="K731" s="25"/>
    </row>
    <row r="732" ht="12.75" customHeight="1">
      <c r="A732" s="68"/>
      <c r="B732" s="59"/>
      <c r="C732" s="59"/>
      <c r="D732" s="59"/>
      <c r="E732" s="59"/>
      <c r="F732" s="59"/>
      <c r="K732" s="25"/>
    </row>
    <row r="733" ht="12.75" customHeight="1">
      <c r="A733" s="68"/>
      <c r="B733" s="59"/>
      <c r="C733" s="59"/>
      <c r="D733" s="59"/>
      <c r="E733" s="59"/>
      <c r="F733" s="59"/>
      <c r="K733" s="25"/>
    </row>
    <row r="734" ht="12.75" customHeight="1">
      <c r="A734" s="68"/>
      <c r="B734" s="59"/>
      <c r="C734" s="59"/>
      <c r="D734" s="59"/>
      <c r="E734" s="59"/>
      <c r="F734" s="59"/>
      <c r="K734" s="25"/>
    </row>
    <row r="735" ht="12.75" customHeight="1">
      <c r="A735" s="68"/>
      <c r="B735" s="59"/>
      <c r="C735" s="59"/>
      <c r="D735" s="59"/>
      <c r="E735" s="59"/>
      <c r="F735" s="59"/>
      <c r="K735" s="25"/>
    </row>
    <row r="736" ht="12.75" customHeight="1">
      <c r="A736" s="68"/>
      <c r="B736" s="59"/>
      <c r="C736" s="59"/>
      <c r="D736" s="59"/>
      <c r="E736" s="59"/>
      <c r="F736" s="59"/>
      <c r="K736" s="25"/>
    </row>
    <row r="737" ht="12.75" customHeight="1">
      <c r="A737" s="68"/>
      <c r="B737" s="59"/>
      <c r="C737" s="59"/>
      <c r="D737" s="59"/>
      <c r="E737" s="59"/>
      <c r="F737" s="59"/>
      <c r="K737" s="25"/>
    </row>
    <row r="738" ht="12.75" customHeight="1">
      <c r="A738" s="68"/>
      <c r="B738" s="59"/>
      <c r="C738" s="59"/>
      <c r="D738" s="59"/>
      <c r="E738" s="59"/>
      <c r="F738" s="59"/>
      <c r="K738" s="25"/>
    </row>
    <row r="739" ht="12.75" customHeight="1">
      <c r="A739" s="68"/>
      <c r="B739" s="59"/>
      <c r="C739" s="59"/>
      <c r="D739" s="59"/>
      <c r="E739" s="59"/>
      <c r="F739" s="59"/>
      <c r="K739" s="25"/>
    </row>
    <row r="740" ht="12.75" customHeight="1">
      <c r="A740" s="68"/>
      <c r="B740" s="59"/>
      <c r="C740" s="59"/>
      <c r="D740" s="59"/>
      <c r="E740" s="59"/>
      <c r="F740" s="59"/>
      <c r="K740" s="25"/>
    </row>
    <row r="741" ht="12.75" customHeight="1">
      <c r="A741" s="68"/>
      <c r="B741" s="59"/>
      <c r="C741" s="59"/>
      <c r="D741" s="59"/>
      <c r="E741" s="59"/>
      <c r="F741" s="59"/>
      <c r="K741" s="25"/>
    </row>
    <row r="742" ht="12.75" customHeight="1">
      <c r="A742" s="68"/>
      <c r="B742" s="59"/>
      <c r="C742" s="59"/>
      <c r="D742" s="59"/>
      <c r="E742" s="59"/>
      <c r="F742" s="59"/>
      <c r="K742" s="25"/>
    </row>
    <row r="743" ht="12.75" customHeight="1">
      <c r="A743" s="68"/>
      <c r="B743" s="59"/>
      <c r="C743" s="59"/>
      <c r="D743" s="59"/>
      <c r="E743" s="59"/>
      <c r="F743" s="59"/>
      <c r="K743" s="25"/>
    </row>
    <row r="744" ht="12.75" customHeight="1">
      <c r="A744" s="68"/>
      <c r="B744" s="59"/>
      <c r="C744" s="59"/>
      <c r="D744" s="59"/>
      <c r="E744" s="59"/>
      <c r="F744" s="59"/>
      <c r="K744" s="25"/>
    </row>
    <row r="745" ht="12.75" customHeight="1">
      <c r="A745" s="68"/>
      <c r="B745" s="59"/>
      <c r="C745" s="59"/>
      <c r="D745" s="59"/>
      <c r="E745" s="59"/>
      <c r="F745" s="59"/>
      <c r="K745" s="25"/>
    </row>
    <row r="746" ht="12.75" customHeight="1">
      <c r="A746" s="68"/>
      <c r="B746" s="59"/>
      <c r="C746" s="59"/>
      <c r="D746" s="59"/>
      <c r="E746" s="59"/>
      <c r="F746" s="59"/>
      <c r="K746" s="25"/>
    </row>
    <row r="747" ht="12.75" customHeight="1">
      <c r="A747" s="68"/>
      <c r="B747" s="59"/>
      <c r="C747" s="59"/>
      <c r="D747" s="59"/>
      <c r="E747" s="59"/>
      <c r="F747" s="59"/>
      <c r="K747" s="25"/>
    </row>
    <row r="748" ht="12.75" customHeight="1">
      <c r="A748" s="68"/>
      <c r="B748" s="59"/>
      <c r="C748" s="59"/>
      <c r="D748" s="59"/>
      <c r="E748" s="59"/>
      <c r="F748" s="59"/>
      <c r="K748" s="25"/>
    </row>
    <row r="749" ht="12.75" customHeight="1">
      <c r="A749" s="68"/>
      <c r="B749" s="59"/>
      <c r="C749" s="59"/>
      <c r="D749" s="59"/>
      <c r="E749" s="59"/>
      <c r="F749" s="59"/>
      <c r="K749" s="25"/>
    </row>
    <row r="750" ht="12.75" customHeight="1">
      <c r="A750" s="68"/>
      <c r="B750" s="59"/>
      <c r="C750" s="59"/>
      <c r="D750" s="59"/>
      <c r="E750" s="59"/>
      <c r="F750" s="59"/>
      <c r="K750" s="25"/>
    </row>
    <row r="751" ht="12.75" customHeight="1">
      <c r="A751" s="68"/>
      <c r="B751" s="59"/>
      <c r="C751" s="59"/>
      <c r="D751" s="59"/>
      <c r="E751" s="59"/>
      <c r="F751" s="59"/>
      <c r="K751" s="25"/>
    </row>
    <row r="752" ht="12.75" customHeight="1">
      <c r="A752" s="68"/>
      <c r="B752" s="59"/>
      <c r="C752" s="59"/>
      <c r="D752" s="59"/>
      <c r="E752" s="59"/>
      <c r="F752" s="59"/>
      <c r="K752" s="25"/>
    </row>
    <row r="753" ht="12.75" customHeight="1">
      <c r="A753" s="68"/>
      <c r="B753" s="59"/>
      <c r="C753" s="59"/>
      <c r="D753" s="59"/>
      <c r="E753" s="59"/>
      <c r="F753" s="59"/>
      <c r="K753" s="25"/>
    </row>
    <row r="754" ht="12.75" customHeight="1">
      <c r="A754" s="68"/>
      <c r="B754" s="59"/>
      <c r="C754" s="59"/>
      <c r="D754" s="59"/>
      <c r="E754" s="59"/>
      <c r="F754" s="59"/>
      <c r="K754" s="25"/>
    </row>
    <row r="755" ht="12.75" customHeight="1">
      <c r="A755" s="68"/>
      <c r="B755" s="59"/>
      <c r="C755" s="59"/>
      <c r="D755" s="59"/>
      <c r="E755" s="59"/>
      <c r="F755" s="59"/>
      <c r="K755" s="25"/>
    </row>
    <row r="756" ht="12.75" customHeight="1">
      <c r="A756" s="68"/>
      <c r="B756" s="59"/>
      <c r="C756" s="59"/>
      <c r="D756" s="59"/>
      <c r="E756" s="59"/>
      <c r="F756" s="59"/>
      <c r="K756" s="25"/>
    </row>
    <row r="757" ht="12.75" customHeight="1">
      <c r="A757" s="68"/>
      <c r="B757" s="59"/>
      <c r="C757" s="59"/>
      <c r="D757" s="59"/>
      <c r="E757" s="59"/>
      <c r="F757" s="59"/>
      <c r="K757" s="25"/>
    </row>
    <row r="758" ht="12.75" customHeight="1">
      <c r="A758" s="68"/>
      <c r="B758" s="59"/>
      <c r="C758" s="59"/>
      <c r="D758" s="59"/>
      <c r="E758" s="59"/>
      <c r="F758" s="59"/>
      <c r="K758" s="25"/>
    </row>
    <row r="759" ht="12.75" customHeight="1">
      <c r="A759" s="68"/>
      <c r="B759" s="59"/>
      <c r="C759" s="59"/>
      <c r="D759" s="59"/>
      <c r="E759" s="59"/>
      <c r="F759" s="59"/>
      <c r="K759" s="25"/>
    </row>
    <row r="760" ht="12.75" customHeight="1">
      <c r="A760" s="68"/>
      <c r="B760" s="59"/>
      <c r="C760" s="59"/>
      <c r="D760" s="59"/>
      <c r="E760" s="59"/>
      <c r="F760" s="59"/>
      <c r="K760" s="25"/>
    </row>
    <row r="761" ht="12.75" customHeight="1">
      <c r="A761" s="68"/>
      <c r="B761" s="59"/>
      <c r="C761" s="59"/>
      <c r="D761" s="59"/>
      <c r="E761" s="59"/>
      <c r="F761" s="59"/>
      <c r="K761" s="25"/>
    </row>
    <row r="762" ht="12.75" customHeight="1">
      <c r="A762" s="68"/>
      <c r="B762" s="59"/>
      <c r="C762" s="59"/>
      <c r="D762" s="59"/>
      <c r="E762" s="59"/>
      <c r="F762" s="59"/>
      <c r="K762" s="25"/>
    </row>
    <row r="763" ht="12.75" customHeight="1">
      <c r="A763" s="68"/>
      <c r="B763" s="59"/>
      <c r="C763" s="59"/>
      <c r="D763" s="59"/>
      <c r="E763" s="59"/>
      <c r="F763" s="59"/>
      <c r="K763" s="25"/>
    </row>
    <row r="764" ht="12.75" customHeight="1">
      <c r="A764" s="68"/>
      <c r="B764" s="59"/>
      <c r="C764" s="59"/>
      <c r="D764" s="59"/>
      <c r="E764" s="59"/>
      <c r="F764" s="59"/>
      <c r="K764" s="25"/>
    </row>
    <row r="765" ht="12.75" customHeight="1">
      <c r="A765" s="68"/>
      <c r="B765" s="59"/>
      <c r="C765" s="59"/>
      <c r="D765" s="59"/>
      <c r="E765" s="59"/>
      <c r="F765" s="59"/>
      <c r="K765" s="25"/>
    </row>
    <row r="766" ht="12.75" customHeight="1">
      <c r="A766" s="68"/>
      <c r="B766" s="59"/>
      <c r="C766" s="59"/>
      <c r="D766" s="59"/>
      <c r="E766" s="59"/>
      <c r="F766" s="59"/>
      <c r="K766" s="25"/>
    </row>
    <row r="767" ht="12.75" customHeight="1">
      <c r="A767" s="68"/>
      <c r="B767" s="59"/>
      <c r="C767" s="59"/>
      <c r="D767" s="59"/>
      <c r="E767" s="59"/>
      <c r="F767" s="59"/>
      <c r="K767" s="25"/>
    </row>
    <row r="768" ht="12.75" customHeight="1">
      <c r="A768" s="68"/>
      <c r="B768" s="59"/>
      <c r="C768" s="59"/>
      <c r="D768" s="59"/>
      <c r="E768" s="59"/>
      <c r="F768" s="59"/>
      <c r="K768" s="25"/>
    </row>
    <row r="769" ht="12.75" customHeight="1">
      <c r="A769" s="68"/>
      <c r="B769" s="59"/>
      <c r="C769" s="59"/>
      <c r="D769" s="59"/>
      <c r="E769" s="59"/>
      <c r="F769" s="59"/>
      <c r="K769" s="25"/>
    </row>
    <row r="770" ht="12.75" customHeight="1">
      <c r="A770" s="68"/>
      <c r="B770" s="59"/>
      <c r="C770" s="59"/>
      <c r="D770" s="59"/>
      <c r="E770" s="59"/>
      <c r="F770" s="59"/>
      <c r="K770" s="25"/>
    </row>
    <row r="771" ht="12.75" customHeight="1">
      <c r="A771" s="68"/>
      <c r="B771" s="59"/>
      <c r="C771" s="59"/>
      <c r="D771" s="59"/>
      <c r="E771" s="59"/>
      <c r="F771" s="59"/>
      <c r="K771" s="25"/>
    </row>
    <row r="772" ht="12.75" customHeight="1">
      <c r="A772" s="68"/>
      <c r="B772" s="59"/>
      <c r="C772" s="59"/>
      <c r="D772" s="59"/>
      <c r="E772" s="59"/>
      <c r="F772" s="59"/>
      <c r="K772" s="25"/>
    </row>
    <row r="773" ht="12.75" customHeight="1">
      <c r="A773" s="68"/>
      <c r="B773" s="59"/>
      <c r="C773" s="59"/>
      <c r="D773" s="59"/>
      <c r="E773" s="59"/>
      <c r="F773" s="59"/>
      <c r="K773" s="25"/>
    </row>
    <row r="774" ht="12.75" customHeight="1">
      <c r="A774" s="68"/>
      <c r="B774" s="59"/>
      <c r="C774" s="59"/>
      <c r="D774" s="59"/>
      <c r="E774" s="59"/>
      <c r="F774" s="59"/>
      <c r="K774" s="25"/>
    </row>
    <row r="775" ht="12.75" customHeight="1">
      <c r="A775" s="68"/>
      <c r="B775" s="59"/>
      <c r="C775" s="59"/>
      <c r="D775" s="59"/>
      <c r="E775" s="59"/>
      <c r="F775" s="59"/>
      <c r="K775" s="25"/>
    </row>
    <row r="776" ht="12.75" customHeight="1">
      <c r="A776" s="68"/>
      <c r="B776" s="59"/>
      <c r="C776" s="59"/>
      <c r="D776" s="59"/>
      <c r="E776" s="59"/>
      <c r="F776" s="59"/>
      <c r="K776" s="25"/>
    </row>
    <row r="777" ht="12.75" customHeight="1">
      <c r="A777" s="68"/>
      <c r="B777" s="59"/>
      <c r="C777" s="59"/>
      <c r="D777" s="59"/>
      <c r="E777" s="59"/>
      <c r="F777" s="59"/>
      <c r="K777" s="25"/>
    </row>
    <row r="778" ht="12.75" customHeight="1">
      <c r="A778" s="68"/>
      <c r="B778" s="59"/>
      <c r="C778" s="59"/>
      <c r="D778" s="59"/>
      <c r="E778" s="59"/>
      <c r="F778" s="59"/>
      <c r="K778" s="25"/>
    </row>
    <row r="779" ht="12.75" customHeight="1">
      <c r="A779" s="68"/>
      <c r="B779" s="59"/>
      <c r="C779" s="59"/>
      <c r="D779" s="59"/>
      <c r="E779" s="59"/>
      <c r="F779" s="59"/>
      <c r="K779" s="25"/>
    </row>
    <row r="780" ht="12.75" customHeight="1">
      <c r="A780" s="68"/>
      <c r="B780" s="59"/>
      <c r="C780" s="59"/>
      <c r="D780" s="59"/>
      <c r="E780" s="59"/>
      <c r="F780" s="59"/>
      <c r="K780" s="25"/>
    </row>
    <row r="781" ht="12.75" customHeight="1">
      <c r="A781" s="68"/>
      <c r="B781" s="59"/>
      <c r="C781" s="59"/>
      <c r="D781" s="59"/>
      <c r="E781" s="59"/>
      <c r="F781" s="59"/>
      <c r="K781" s="25"/>
    </row>
    <row r="782" ht="12.75" customHeight="1">
      <c r="A782" s="68"/>
      <c r="B782" s="59"/>
      <c r="C782" s="59"/>
      <c r="D782" s="59"/>
      <c r="E782" s="59"/>
      <c r="F782" s="59"/>
      <c r="K782" s="25"/>
    </row>
    <row r="783" ht="12.75" customHeight="1">
      <c r="A783" s="68"/>
      <c r="B783" s="59"/>
      <c r="C783" s="59"/>
      <c r="D783" s="59"/>
      <c r="E783" s="59"/>
      <c r="F783" s="59"/>
      <c r="K783" s="25"/>
    </row>
    <row r="784" ht="12.75" customHeight="1">
      <c r="A784" s="68"/>
      <c r="B784" s="59"/>
      <c r="C784" s="59"/>
      <c r="D784" s="59"/>
      <c r="E784" s="59"/>
      <c r="F784" s="59"/>
      <c r="K784" s="25"/>
    </row>
    <row r="785" ht="12.75" customHeight="1">
      <c r="A785" s="68"/>
      <c r="B785" s="59"/>
      <c r="C785" s="59"/>
      <c r="D785" s="59"/>
      <c r="E785" s="59"/>
      <c r="F785" s="59"/>
      <c r="K785" s="25"/>
    </row>
    <row r="786" ht="12.75" customHeight="1">
      <c r="A786" s="68"/>
      <c r="B786" s="59"/>
      <c r="C786" s="59"/>
      <c r="D786" s="59"/>
      <c r="E786" s="59"/>
      <c r="F786" s="59"/>
      <c r="K786" s="25"/>
    </row>
    <row r="787" ht="12.75" customHeight="1">
      <c r="A787" s="68"/>
      <c r="B787" s="59"/>
      <c r="C787" s="59"/>
      <c r="D787" s="59"/>
      <c r="E787" s="59"/>
      <c r="F787" s="59"/>
      <c r="K787" s="25"/>
    </row>
    <row r="788" ht="12.75" customHeight="1">
      <c r="A788" s="68"/>
      <c r="B788" s="59"/>
      <c r="C788" s="59"/>
      <c r="D788" s="59"/>
      <c r="E788" s="59"/>
      <c r="F788" s="59"/>
      <c r="K788" s="25"/>
    </row>
    <row r="789" ht="12.75" customHeight="1">
      <c r="A789" s="68"/>
      <c r="B789" s="59"/>
      <c r="C789" s="59"/>
      <c r="D789" s="59"/>
      <c r="E789" s="59"/>
      <c r="F789" s="59"/>
      <c r="K789" s="25"/>
    </row>
    <row r="790" ht="12.75" customHeight="1">
      <c r="A790" s="68"/>
      <c r="B790" s="59"/>
      <c r="C790" s="59"/>
      <c r="D790" s="59"/>
      <c r="E790" s="59"/>
      <c r="F790" s="59"/>
      <c r="K790" s="25"/>
    </row>
    <row r="791" ht="12.75" customHeight="1">
      <c r="A791" s="68"/>
      <c r="B791" s="59"/>
      <c r="C791" s="59"/>
      <c r="D791" s="59"/>
      <c r="E791" s="59"/>
      <c r="F791" s="59"/>
      <c r="K791" s="25"/>
    </row>
    <row r="792" ht="12.75" customHeight="1">
      <c r="A792" s="68"/>
      <c r="B792" s="59"/>
      <c r="C792" s="59"/>
      <c r="D792" s="59"/>
      <c r="E792" s="59"/>
      <c r="F792" s="59"/>
      <c r="K792" s="25"/>
    </row>
    <row r="793" ht="12.75" customHeight="1">
      <c r="A793" s="68"/>
      <c r="B793" s="59"/>
      <c r="C793" s="59"/>
      <c r="D793" s="59"/>
      <c r="E793" s="59"/>
      <c r="F793" s="59"/>
      <c r="K793" s="25"/>
    </row>
    <row r="794" ht="12.75" customHeight="1">
      <c r="A794" s="68"/>
      <c r="B794" s="59"/>
      <c r="C794" s="59"/>
      <c r="D794" s="59"/>
      <c r="E794" s="59"/>
      <c r="F794" s="59"/>
      <c r="K794" s="25"/>
    </row>
    <row r="795" ht="12.75" customHeight="1">
      <c r="A795" s="68"/>
      <c r="B795" s="59"/>
      <c r="C795" s="59"/>
      <c r="D795" s="59"/>
      <c r="E795" s="59"/>
      <c r="F795" s="59"/>
      <c r="K795" s="25"/>
    </row>
    <row r="796" ht="12.75" customHeight="1">
      <c r="A796" s="68"/>
      <c r="B796" s="59"/>
      <c r="C796" s="59"/>
      <c r="D796" s="59"/>
      <c r="E796" s="59"/>
      <c r="F796" s="59"/>
      <c r="K796" s="25"/>
    </row>
    <row r="797" ht="12.75" customHeight="1">
      <c r="A797" s="68"/>
      <c r="B797" s="59"/>
      <c r="C797" s="59"/>
      <c r="D797" s="59"/>
      <c r="E797" s="59"/>
      <c r="F797" s="59"/>
      <c r="K797" s="25"/>
    </row>
    <row r="798" ht="12.75" customHeight="1">
      <c r="A798" s="68"/>
      <c r="B798" s="59"/>
      <c r="C798" s="59"/>
      <c r="D798" s="59"/>
      <c r="E798" s="59"/>
      <c r="F798" s="59"/>
      <c r="K798" s="25"/>
    </row>
    <row r="799" ht="12.75" customHeight="1">
      <c r="A799" s="68"/>
      <c r="B799" s="59"/>
      <c r="C799" s="59"/>
      <c r="D799" s="59"/>
      <c r="E799" s="59"/>
      <c r="F799" s="59"/>
      <c r="K799" s="25"/>
    </row>
    <row r="800" ht="12.75" customHeight="1">
      <c r="A800" s="68"/>
      <c r="B800" s="59"/>
      <c r="C800" s="59"/>
      <c r="D800" s="59"/>
      <c r="E800" s="59"/>
      <c r="F800" s="59"/>
      <c r="K800" s="25"/>
    </row>
    <row r="801" ht="12.75" customHeight="1">
      <c r="A801" s="68"/>
      <c r="B801" s="59"/>
      <c r="C801" s="59"/>
      <c r="D801" s="59"/>
      <c r="E801" s="59"/>
      <c r="F801" s="59"/>
      <c r="K801" s="25"/>
    </row>
    <row r="802" ht="12.75" customHeight="1">
      <c r="A802" s="68"/>
      <c r="B802" s="59"/>
      <c r="C802" s="59"/>
      <c r="D802" s="59"/>
      <c r="E802" s="59"/>
      <c r="F802" s="59"/>
      <c r="K802" s="25"/>
    </row>
    <row r="803" ht="12.75" customHeight="1">
      <c r="A803" s="68"/>
      <c r="B803" s="59"/>
      <c r="C803" s="59"/>
      <c r="D803" s="59"/>
      <c r="E803" s="59"/>
      <c r="F803" s="59"/>
      <c r="K803" s="25"/>
    </row>
    <row r="804" ht="12.75" customHeight="1">
      <c r="A804" s="68"/>
      <c r="B804" s="59"/>
      <c r="C804" s="59"/>
      <c r="D804" s="59"/>
      <c r="E804" s="59"/>
      <c r="F804" s="59"/>
      <c r="K804" s="25"/>
    </row>
    <row r="805" ht="12.75" customHeight="1">
      <c r="A805" s="68"/>
      <c r="B805" s="59"/>
      <c r="C805" s="59"/>
      <c r="D805" s="59"/>
      <c r="E805" s="59"/>
      <c r="F805" s="59"/>
      <c r="K805" s="25"/>
    </row>
    <row r="806" ht="12.75" customHeight="1">
      <c r="A806" s="68"/>
      <c r="B806" s="59"/>
      <c r="C806" s="59"/>
      <c r="D806" s="59"/>
      <c r="E806" s="59"/>
      <c r="F806" s="59"/>
      <c r="K806" s="25"/>
    </row>
    <row r="807" ht="12.75" customHeight="1">
      <c r="A807" s="68"/>
      <c r="B807" s="59"/>
      <c r="C807" s="59"/>
      <c r="D807" s="59"/>
      <c r="E807" s="59"/>
      <c r="F807" s="59"/>
      <c r="K807" s="25"/>
    </row>
    <row r="808" ht="12.75" customHeight="1">
      <c r="A808" s="68"/>
      <c r="B808" s="59"/>
      <c r="C808" s="59"/>
      <c r="D808" s="59"/>
      <c r="E808" s="59"/>
      <c r="F808" s="59"/>
      <c r="K808" s="25"/>
    </row>
    <row r="809" ht="12.75" customHeight="1">
      <c r="A809" s="68"/>
      <c r="B809" s="59"/>
      <c r="C809" s="59"/>
      <c r="D809" s="59"/>
      <c r="E809" s="59"/>
      <c r="F809" s="59"/>
      <c r="K809" s="25"/>
    </row>
    <row r="810" ht="12.75" customHeight="1">
      <c r="A810" s="68"/>
      <c r="B810" s="59"/>
      <c r="C810" s="59"/>
      <c r="D810" s="59"/>
      <c r="E810" s="59"/>
      <c r="F810" s="59"/>
      <c r="K810" s="25"/>
    </row>
    <row r="811" ht="12.75" customHeight="1">
      <c r="A811" s="68"/>
      <c r="B811" s="59"/>
      <c r="C811" s="59"/>
      <c r="D811" s="59"/>
      <c r="E811" s="59"/>
      <c r="F811" s="59"/>
      <c r="K811" s="25"/>
    </row>
    <row r="812" ht="12.75" customHeight="1">
      <c r="A812" s="68"/>
      <c r="B812" s="59"/>
      <c r="C812" s="59"/>
      <c r="D812" s="59"/>
      <c r="E812" s="59"/>
      <c r="F812" s="59"/>
      <c r="K812" s="25"/>
    </row>
    <row r="813" ht="12.75" customHeight="1">
      <c r="A813" s="68"/>
      <c r="B813" s="59"/>
      <c r="C813" s="59"/>
      <c r="D813" s="59"/>
      <c r="E813" s="59"/>
      <c r="F813" s="59"/>
      <c r="K813" s="25"/>
    </row>
    <row r="814" ht="12.75" customHeight="1">
      <c r="A814" s="68"/>
      <c r="B814" s="59"/>
      <c r="C814" s="59"/>
      <c r="D814" s="59"/>
      <c r="E814" s="59"/>
      <c r="F814" s="59"/>
      <c r="K814" s="25"/>
    </row>
    <row r="815" ht="12.75" customHeight="1">
      <c r="A815" s="68"/>
      <c r="B815" s="59"/>
      <c r="C815" s="59"/>
      <c r="D815" s="59"/>
      <c r="E815" s="59"/>
      <c r="F815" s="59"/>
      <c r="K815" s="25"/>
    </row>
    <row r="816" ht="12.75" customHeight="1">
      <c r="A816" s="68"/>
      <c r="B816" s="59"/>
      <c r="C816" s="59"/>
      <c r="D816" s="59"/>
      <c r="E816" s="59"/>
      <c r="F816" s="59"/>
      <c r="K816" s="25"/>
    </row>
    <row r="817" ht="12.75" customHeight="1">
      <c r="A817" s="68"/>
      <c r="B817" s="59"/>
      <c r="C817" s="59"/>
      <c r="D817" s="59"/>
      <c r="E817" s="59"/>
      <c r="F817" s="59"/>
      <c r="K817" s="25"/>
    </row>
    <row r="818" ht="12.75" customHeight="1">
      <c r="A818" s="68"/>
      <c r="B818" s="59"/>
      <c r="C818" s="59"/>
      <c r="D818" s="59"/>
      <c r="E818" s="59"/>
      <c r="F818" s="59"/>
      <c r="K818" s="25"/>
    </row>
    <row r="819" ht="12.75" customHeight="1">
      <c r="A819" s="68"/>
      <c r="B819" s="59"/>
      <c r="C819" s="59"/>
      <c r="D819" s="59"/>
      <c r="E819" s="59"/>
      <c r="F819" s="59"/>
      <c r="K819" s="25"/>
    </row>
    <row r="820" ht="12.75" customHeight="1">
      <c r="A820" s="68"/>
      <c r="B820" s="59"/>
      <c r="C820" s="59"/>
      <c r="D820" s="59"/>
      <c r="E820" s="59"/>
      <c r="F820" s="59"/>
      <c r="K820" s="25"/>
    </row>
    <row r="821" ht="12.75" customHeight="1">
      <c r="A821" s="68"/>
      <c r="B821" s="59"/>
      <c r="C821" s="59"/>
      <c r="D821" s="59"/>
      <c r="E821" s="59"/>
      <c r="F821" s="59"/>
      <c r="K821" s="25"/>
    </row>
    <row r="822" ht="12.75" customHeight="1">
      <c r="A822" s="68"/>
      <c r="B822" s="59"/>
      <c r="C822" s="59"/>
      <c r="D822" s="59"/>
      <c r="E822" s="59"/>
      <c r="F822" s="59"/>
      <c r="K822" s="25"/>
    </row>
    <row r="823" ht="12.75" customHeight="1">
      <c r="A823" s="68"/>
      <c r="B823" s="59"/>
      <c r="C823" s="59"/>
      <c r="D823" s="59"/>
      <c r="E823" s="59"/>
      <c r="F823" s="59"/>
      <c r="K823" s="25"/>
    </row>
    <row r="824" ht="12.75" customHeight="1">
      <c r="A824" s="68"/>
      <c r="B824" s="59"/>
      <c r="C824" s="59"/>
      <c r="D824" s="59"/>
      <c r="E824" s="59"/>
      <c r="F824" s="59"/>
      <c r="K824" s="25"/>
    </row>
    <row r="825" ht="12.75" customHeight="1">
      <c r="A825" s="68"/>
      <c r="B825" s="59"/>
      <c r="C825" s="59"/>
      <c r="D825" s="59"/>
      <c r="E825" s="59"/>
      <c r="F825" s="59"/>
      <c r="K825" s="25"/>
    </row>
    <row r="826" ht="12.75" customHeight="1">
      <c r="A826" s="68"/>
      <c r="B826" s="59"/>
      <c r="C826" s="59"/>
      <c r="D826" s="59"/>
      <c r="E826" s="59"/>
      <c r="F826" s="59"/>
      <c r="K826" s="25"/>
    </row>
    <row r="827" ht="12.75" customHeight="1">
      <c r="A827" s="68"/>
      <c r="B827" s="59"/>
      <c r="C827" s="59"/>
      <c r="D827" s="59"/>
      <c r="E827" s="59"/>
      <c r="F827" s="59"/>
      <c r="K827" s="25"/>
    </row>
    <row r="828" ht="12.75" customHeight="1">
      <c r="A828" s="68"/>
      <c r="B828" s="59"/>
      <c r="C828" s="59"/>
      <c r="D828" s="59"/>
      <c r="E828" s="59"/>
      <c r="F828" s="59"/>
      <c r="K828" s="25"/>
    </row>
    <row r="829" ht="12.75" customHeight="1">
      <c r="A829" s="68"/>
      <c r="B829" s="59"/>
      <c r="C829" s="59"/>
      <c r="D829" s="59"/>
      <c r="E829" s="59"/>
      <c r="F829" s="59"/>
      <c r="K829" s="25"/>
    </row>
    <row r="830" ht="12.75" customHeight="1">
      <c r="A830" s="68"/>
      <c r="B830" s="59"/>
      <c r="C830" s="59"/>
      <c r="D830" s="59"/>
      <c r="E830" s="59"/>
      <c r="F830" s="59"/>
      <c r="K830" s="25"/>
    </row>
    <row r="831" ht="12.75" customHeight="1">
      <c r="A831" s="68"/>
      <c r="B831" s="59"/>
      <c r="C831" s="59"/>
      <c r="D831" s="59"/>
      <c r="E831" s="59"/>
      <c r="F831" s="59"/>
      <c r="K831" s="25"/>
    </row>
    <row r="832" ht="12.75" customHeight="1">
      <c r="A832" s="68"/>
      <c r="B832" s="59"/>
      <c r="C832" s="59"/>
      <c r="D832" s="59"/>
      <c r="E832" s="59"/>
      <c r="F832" s="59"/>
      <c r="K832" s="25"/>
    </row>
    <row r="833" ht="12.75" customHeight="1">
      <c r="A833" s="68"/>
      <c r="B833" s="59"/>
      <c r="C833" s="59"/>
      <c r="D833" s="59"/>
      <c r="E833" s="59"/>
      <c r="F833" s="59"/>
      <c r="K833" s="25"/>
    </row>
    <row r="834" ht="12.75" customHeight="1">
      <c r="A834" s="68"/>
      <c r="B834" s="59"/>
      <c r="C834" s="59"/>
      <c r="D834" s="59"/>
      <c r="E834" s="59"/>
      <c r="F834" s="59"/>
      <c r="K834" s="25"/>
    </row>
    <row r="835" ht="12.75" customHeight="1">
      <c r="A835" s="68"/>
      <c r="B835" s="59"/>
      <c r="C835" s="59"/>
      <c r="D835" s="59"/>
      <c r="E835" s="59"/>
      <c r="F835" s="59"/>
      <c r="K835" s="25"/>
    </row>
    <row r="836" ht="12.75" customHeight="1">
      <c r="A836" s="68"/>
      <c r="B836" s="59"/>
      <c r="C836" s="59"/>
      <c r="D836" s="59"/>
      <c r="E836" s="59"/>
      <c r="F836" s="59"/>
      <c r="K836" s="25"/>
    </row>
    <row r="837" ht="12.75" customHeight="1">
      <c r="A837" s="68"/>
      <c r="B837" s="59"/>
      <c r="C837" s="59"/>
      <c r="D837" s="59"/>
      <c r="E837" s="59"/>
      <c r="F837" s="59"/>
      <c r="K837" s="25"/>
    </row>
    <row r="838" ht="12.75" customHeight="1">
      <c r="A838" s="68"/>
      <c r="B838" s="59"/>
      <c r="C838" s="59"/>
      <c r="D838" s="59"/>
      <c r="E838" s="59"/>
      <c r="F838" s="59"/>
      <c r="K838" s="25"/>
    </row>
    <row r="839" ht="12.75" customHeight="1">
      <c r="A839" s="68"/>
      <c r="B839" s="59"/>
      <c r="C839" s="59"/>
      <c r="D839" s="59"/>
      <c r="E839" s="59"/>
      <c r="F839" s="59"/>
      <c r="K839" s="25"/>
    </row>
    <row r="840" ht="12.75" customHeight="1">
      <c r="A840" s="68"/>
      <c r="B840" s="59"/>
      <c r="C840" s="59"/>
      <c r="D840" s="59"/>
      <c r="E840" s="59"/>
      <c r="F840" s="59"/>
      <c r="K840" s="25"/>
    </row>
    <row r="841" ht="12.75" customHeight="1">
      <c r="A841" s="68"/>
      <c r="B841" s="59"/>
      <c r="C841" s="59"/>
      <c r="D841" s="59"/>
      <c r="E841" s="59"/>
      <c r="F841" s="59"/>
      <c r="K841" s="25"/>
    </row>
    <row r="842" ht="12.75" customHeight="1">
      <c r="A842" s="68"/>
      <c r="B842" s="59"/>
      <c r="C842" s="59"/>
      <c r="D842" s="59"/>
      <c r="E842" s="59"/>
      <c r="F842" s="59"/>
      <c r="K842" s="25"/>
    </row>
    <row r="843" ht="12.75" customHeight="1">
      <c r="A843" s="68"/>
      <c r="B843" s="59"/>
      <c r="C843" s="59"/>
      <c r="D843" s="59"/>
      <c r="E843" s="59"/>
      <c r="F843" s="59"/>
      <c r="K843" s="25"/>
    </row>
    <row r="844" ht="12.75" customHeight="1">
      <c r="A844" s="68"/>
      <c r="B844" s="59"/>
      <c r="C844" s="59"/>
      <c r="D844" s="59"/>
      <c r="E844" s="59"/>
      <c r="F844" s="59"/>
      <c r="K844" s="25"/>
    </row>
    <row r="845" ht="12.75" customHeight="1">
      <c r="A845" s="68"/>
      <c r="B845" s="59"/>
      <c r="C845" s="59"/>
      <c r="D845" s="59"/>
      <c r="E845" s="59"/>
      <c r="F845" s="59"/>
      <c r="K845" s="25"/>
    </row>
    <row r="846" ht="12.75" customHeight="1">
      <c r="A846" s="68"/>
      <c r="B846" s="59"/>
      <c r="C846" s="59"/>
      <c r="D846" s="59"/>
      <c r="E846" s="59"/>
      <c r="F846" s="59"/>
      <c r="K846" s="25"/>
    </row>
    <row r="847" ht="12.75" customHeight="1">
      <c r="A847" s="68"/>
      <c r="B847" s="59"/>
      <c r="C847" s="59"/>
      <c r="D847" s="59"/>
      <c r="E847" s="59"/>
      <c r="F847" s="59"/>
      <c r="K847" s="25"/>
    </row>
    <row r="848" ht="12.75" customHeight="1">
      <c r="A848" s="68"/>
      <c r="B848" s="59"/>
      <c r="C848" s="59"/>
      <c r="D848" s="59"/>
      <c r="E848" s="59"/>
      <c r="F848" s="59"/>
      <c r="K848" s="25"/>
    </row>
    <row r="849" ht="12.75" customHeight="1">
      <c r="A849" s="68"/>
      <c r="B849" s="59"/>
      <c r="C849" s="59"/>
      <c r="D849" s="59"/>
      <c r="E849" s="59"/>
      <c r="F849" s="59"/>
      <c r="K849" s="25"/>
    </row>
    <row r="850" ht="12.75" customHeight="1">
      <c r="A850" s="68"/>
      <c r="B850" s="59"/>
      <c r="C850" s="59"/>
      <c r="D850" s="59"/>
      <c r="E850" s="59"/>
      <c r="F850" s="59"/>
      <c r="K850" s="25"/>
    </row>
    <row r="851" ht="12.75" customHeight="1">
      <c r="A851" s="68"/>
      <c r="B851" s="59"/>
      <c r="C851" s="59"/>
      <c r="D851" s="59"/>
      <c r="E851" s="59"/>
      <c r="F851" s="59"/>
      <c r="K851" s="25"/>
    </row>
    <row r="852" ht="12.75" customHeight="1">
      <c r="A852" s="68"/>
      <c r="B852" s="59"/>
      <c r="C852" s="59"/>
      <c r="D852" s="59"/>
      <c r="E852" s="59"/>
      <c r="F852" s="59"/>
      <c r="K852" s="25"/>
    </row>
    <row r="853" ht="12.75" customHeight="1">
      <c r="A853" s="68"/>
      <c r="B853" s="59"/>
      <c r="C853" s="59"/>
      <c r="D853" s="59"/>
      <c r="E853" s="59"/>
      <c r="F853" s="59"/>
      <c r="K853" s="25"/>
    </row>
    <row r="854" ht="12.75" customHeight="1">
      <c r="A854" s="68"/>
      <c r="B854" s="59"/>
      <c r="C854" s="59"/>
      <c r="D854" s="59"/>
      <c r="E854" s="59"/>
      <c r="F854" s="59"/>
      <c r="K854" s="25"/>
    </row>
    <row r="855" ht="12.75" customHeight="1">
      <c r="A855" s="68"/>
      <c r="B855" s="59"/>
      <c r="C855" s="59"/>
      <c r="D855" s="59"/>
      <c r="E855" s="59"/>
      <c r="F855" s="59"/>
      <c r="K855" s="25"/>
    </row>
    <row r="856" ht="12.75" customHeight="1">
      <c r="A856" s="68"/>
      <c r="B856" s="59"/>
      <c r="C856" s="59"/>
      <c r="D856" s="59"/>
      <c r="E856" s="59"/>
      <c r="F856" s="59"/>
      <c r="K856" s="25"/>
    </row>
    <row r="857" ht="12.75" customHeight="1">
      <c r="A857" s="68"/>
      <c r="B857" s="59"/>
      <c r="C857" s="59"/>
      <c r="D857" s="59"/>
      <c r="E857" s="59"/>
      <c r="F857" s="59"/>
      <c r="K857" s="25"/>
    </row>
    <row r="858" ht="12.75" customHeight="1">
      <c r="A858" s="68"/>
      <c r="B858" s="59"/>
      <c r="C858" s="59"/>
      <c r="D858" s="59"/>
      <c r="E858" s="59"/>
      <c r="F858" s="59"/>
      <c r="K858" s="25"/>
    </row>
    <row r="859" ht="12.75" customHeight="1">
      <c r="A859" s="68"/>
      <c r="B859" s="59"/>
      <c r="C859" s="59"/>
      <c r="D859" s="59"/>
      <c r="E859" s="59"/>
      <c r="F859" s="59"/>
      <c r="K859" s="25"/>
    </row>
    <row r="860" ht="12.75" customHeight="1">
      <c r="A860" s="68"/>
      <c r="B860" s="59"/>
      <c r="C860" s="59"/>
      <c r="D860" s="59"/>
      <c r="E860" s="59"/>
      <c r="F860" s="59"/>
      <c r="K860" s="25"/>
    </row>
    <row r="861" ht="12.75" customHeight="1">
      <c r="A861" s="68"/>
      <c r="B861" s="59"/>
      <c r="C861" s="59"/>
      <c r="D861" s="59"/>
      <c r="E861" s="59"/>
      <c r="F861" s="59"/>
      <c r="K861" s="25"/>
    </row>
    <row r="862" ht="12.75" customHeight="1">
      <c r="A862" s="68"/>
      <c r="B862" s="59"/>
      <c r="C862" s="59"/>
      <c r="D862" s="59"/>
      <c r="E862" s="59"/>
      <c r="F862" s="59"/>
      <c r="K862" s="25"/>
    </row>
    <row r="863" ht="12.75" customHeight="1">
      <c r="A863" s="68"/>
      <c r="B863" s="59"/>
      <c r="C863" s="59"/>
      <c r="D863" s="59"/>
      <c r="E863" s="59"/>
      <c r="F863" s="59"/>
      <c r="K863" s="25"/>
    </row>
    <row r="864" ht="12.75" customHeight="1">
      <c r="A864" s="68"/>
      <c r="B864" s="59"/>
      <c r="C864" s="59"/>
      <c r="D864" s="59"/>
      <c r="E864" s="59"/>
      <c r="F864" s="59"/>
      <c r="K864" s="25"/>
    </row>
    <row r="865" ht="12.75" customHeight="1">
      <c r="A865" s="68"/>
      <c r="B865" s="59"/>
      <c r="C865" s="59"/>
      <c r="D865" s="59"/>
      <c r="E865" s="59"/>
      <c r="F865" s="59"/>
      <c r="K865" s="25"/>
    </row>
    <row r="866" ht="12.75" customHeight="1">
      <c r="A866" s="68"/>
      <c r="B866" s="59"/>
      <c r="C866" s="59"/>
      <c r="D866" s="59"/>
      <c r="E866" s="59"/>
      <c r="F866" s="59"/>
      <c r="K866" s="25"/>
    </row>
    <row r="867" ht="12.75" customHeight="1">
      <c r="A867" s="68"/>
      <c r="B867" s="59"/>
      <c r="C867" s="59"/>
      <c r="D867" s="59"/>
      <c r="E867" s="59"/>
      <c r="F867" s="59"/>
      <c r="K867" s="25"/>
    </row>
    <row r="868" ht="12.75" customHeight="1">
      <c r="A868" s="68"/>
      <c r="B868" s="59"/>
      <c r="C868" s="59"/>
      <c r="D868" s="59"/>
      <c r="E868" s="59"/>
      <c r="F868" s="59"/>
      <c r="K868" s="25"/>
    </row>
    <row r="869" ht="12.75" customHeight="1">
      <c r="A869" s="68"/>
      <c r="B869" s="59"/>
      <c r="C869" s="59"/>
      <c r="D869" s="59"/>
      <c r="E869" s="59"/>
      <c r="F869" s="59"/>
      <c r="K869" s="25"/>
    </row>
    <row r="870" ht="12.75" customHeight="1">
      <c r="A870" s="68"/>
      <c r="B870" s="59"/>
      <c r="C870" s="59"/>
      <c r="D870" s="59"/>
      <c r="E870" s="59"/>
      <c r="F870" s="59"/>
      <c r="K870" s="25"/>
    </row>
    <row r="871" ht="12.75" customHeight="1">
      <c r="A871" s="68"/>
      <c r="B871" s="59"/>
      <c r="C871" s="59"/>
      <c r="D871" s="59"/>
      <c r="E871" s="59"/>
      <c r="F871" s="59"/>
      <c r="K871" s="25"/>
    </row>
    <row r="872" ht="12.75" customHeight="1">
      <c r="A872" s="68"/>
      <c r="B872" s="59"/>
      <c r="C872" s="59"/>
      <c r="D872" s="59"/>
      <c r="E872" s="59"/>
      <c r="F872" s="59"/>
      <c r="K872" s="25"/>
    </row>
    <row r="873" ht="12.75" customHeight="1">
      <c r="A873" s="68"/>
      <c r="B873" s="59"/>
      <c r="C873" s="59"/>
      <c r="D873" s="59"/>
      <c r="E873" s="59"/>
      <c r="F873" s="59"/>
      <c r="K873" s="25"/>
    </row>
    <row r="874" ht="12.75" customHeight="1">
      <c r="A874" s="68"/>
      <c r="B874" s="59"/>
      <c r="C874" s="59"/>
      <c r="D874" s="59"/>
      <c r="E874" s="59"/>
      <c r="F874" s="59"/>
      <c r="K874" s="25"/>
    </row>
    <row r="875" ht="12.75" customHeight="1">
      <c r="A875" s="68"/>
      <c r="B875" s="59"/>
      <c r="C875" s="59"/>
      <c r="D875" s="59"/>
      <c r="E875" s="59"/>
      <c r="F875" s="59"/>
      <c r="K875" s="25"/>
    </row>
    <row r="876" ht="12.75" customHeight="1">
      <c r="A876" s="68"/>
      <c r="B876" s="59"/>
      <c r="C876" s="59"/>
      <c r="D876" s="59"/>
      <c r="E876" s="59"/>
      <c r="F876" s="59"/>
      <c r="K876" s="25"/>
    </row>
    <row r="877" ht="12.75" customHeight="1">
      <c r="A877" s="68"/>
      <c r="B877" s="59"/>
      <c r="C877" s="59"/>
      <c r="D877" s="59"/>
      <c r="E877" s="59"/>
      <c r="F877" s="59"/>
      <c r="K877" s="25"/>
    </row>
    <row r="878" ht="12.75" customHeight="1">
      <c r="A878" s="68"/>
      <c r="B878" s="59"/>
      <c r="C878" s="59"/>
      <c r="D878" s="59"/>
      <c r="E878" s="59"/>
      <c r="F878" s="59"/>
      <c r="K878" s="25"/>
    </row>
    <row r="879" ht="12.75" customHeight="1">
      <c r="A879" s="68"/>
      <c r="B879" s="59"/>
      <c r="C879" s="59"/>
      <c r="D879" s="59"/>
      <c r="E879" s="59"/>
      <c r="F879" s="59"/>
      <c r="K879" s="25"/>
    </row>
    <row r="880" ht="12.75" customHeight="1">
      <c r="A880" s="68"/>
      <c r="B880" s="59"/>
      <c r="C880" s="59"/>
      <c r="D880" s="59"/>
      <c r="E880" s="59"/>
      <c r="F880" s="59"/>
      <c r="K880" s="25"/>
    </row>
    <row r="881" ht="12.75" customHeight="1">
      <c r="A881" s="68"/>
      <c r="B881" s="59"/>
      <c r="C881" s="59"/>
      <c r="D881" s="59"/>
      <c r="E881" s="59"/>
      <c r="F881" s="59"/>
      <c r="K881" s="25"/>
    </row>
    <row r="882" ht="12.75" customHeight="1">
      <c r="A882" s="68"/>
      <c r="B882" s="59"/>
      <c r="C882" s="59"/>
      <c r="D882" s="59"/>
      <c r="E882" s="59"/>
      <c r="F882" s="59"/>
      <c r="K882" s="25"/>
    </row>
    <row r="883" ht="12.75" customHeight="1">
      <c r="A883" s="68"/>
      <c r="B883" s="59"/>
      <c r="C883" s="59"/>
      <c r="D883" s="59"/>
      <c r="E883" s="59"/>
      <c r="F883" s="59"/>
      <c r="K883" s="25"/>
    </row>
    <row r="884" ht="12.75" customHeight="1">
      <c r="A884" s="68"/>
      <c r="B884" s="59"/>
      <c r="C884" s="59"/>
      <c r="D884" s="59"/>
      <c r="E884" s="59"/>
      <c r="F884" s="59"/>
      <c r="K884" s="25"/>
    </row>
    <row r="885" ht="12.75" customHeight="1">
      <c r="A885" s="68"/>
      <c r="B885" s="59"/>
      <c r="C885" s="59"/>
      <c r="D885" s="59"/>
      <c r="E885" s="59"/>
      <c r="F885" s="59"/>
      <c r="K885" s="25"/>
    </row>
    <row r="886" ht="12.75" customHeight="1">
      <c r="A886" s="68"/>
      <c r="B886" s="59"/>
      <c r="C886" s="59"/>
      <c r="D886" s="59"/>
      <c r="E886" s="59"/>
      <c r="F886" s="59"/>
      <c r="K886" s="25"/>
    </row>
    <row r="887" ht="12.75" customHeight="1">
      <c r="A887" s="68"/>
      <c r="B887" s="59"/>
      <c r="C887" s="59"/>
      <c r="D887" s="59"/>
      <c r="E887" s="59"/>
      <c r="F887" s="59"/>
      <c r="K887" s="25"/>
    </row>
    <row r="888" ht="12.75" customHeight="1">
      <c r="A888" s="68"/>
      <c r="B888" s="59"/>
      <c r="C888" s="59"/>
      <c r="D888" s="59"/>
      <c r="E888" s="59"/>
      <c r="F888" s="59"/>
      <c r="K888" s="25"/>
    </row>
    <row r="889" ht="12.75" customHeight="1">
      <c r="A889" s="68"/>
      <c r="B889" s="59"/>
      <c r="C889" s="59"/>
      <c r="D889" s="59"/>
      <c r="E889" s="59"/>
      <c r="F889" s="59"/>
      <c r="K889" s="25"/>
    </row>
    <row r="890" ht="12.75" customHeight="1">
      <c r="A890" s="68"/>
      <c r="B890" s="59"/>
      <c r="C890" s="59"/>
      <c r="D890" s="59"/>
      <c r="E890" s="59"/>
      <c r="F890" s="59"/>
      <c r="K890" s="25"/>
    </row>
    <row r="891" ht="12.75" customHeight="1">
      <c r="A891" s="68"/>
      <c r="B891" s="59"/>
      <c r="C891" s="59"/>
      <c r="D891" s="59"/>
      <c r="E891" s="59"/>
      <c r="F891" s="59"/>
      <c r="K891" s="25"/>
    </row>
    <row r="892" ht="12.75" customHeight="1">
      <c r="A892" s="68"/>
      <c r="B892" s="59"/>
      <c r="C892" s="59"/>
      <c r="D892" s="59"/>
      <c r="E892" s="59"/>
      <c r="F892" s="59"/>
      <c r="K892" s="25"/>
    </row>
    <row r="893" ht="12.75" customHeight="1">
      <c r="A893" s="68"/>
      <c r="B893" s="59"/>
      <c r="C893" s="59"/>
      <c r="D893" s="59"/>
      <c r="E893" s="59"/>
      <c r="F893" s="59"/>
      <c r="K893" s="25"/>
    </row>
    <row r="894" ht="12.75" customHeight="1">
      <c r="A894" s="68"/>
      <c r="B894" s="59"/>
      <c r="C894" s="59"/>
      <c r="D894" s="59"/>
      <c r="E894" s="59"/>
      <c r="F894" s="59"/>
      <c r="K894" s="25"/>
    </row>
    <row r="895" ht="12.75" customHeight="1">
      <c r="A895" s="68"/>
      <c r="B895" s="59"/>
      <c r="C895" s="59"/>
      <c r="D895" s="59"/>
      <c r="E895" s="59"/>
      <c r="F895" s="59"/>
      <c r="K895" s="25"/>
    </row>
    <row r="896" ht="12.75" customHeight="1">
      <c r="A896" s="68"/>
      <c r="B896" s="59"/>
      <c r="C896" s="59"/>
      <c r="D896" s="59"/>
      <c r="E896" s="59"/>
      <c r="F896" s="59"/>
      <c r="K896" s="25"/>
    </row>
    <row r="897" ht="12.75" customHeight="1">
      <c r="A897" s="68"/>
      <c r="B897" s="59"/>
      <c r="C897" s="59"/>
      <c r="D897" s="59"/>
      <c r="E897" s="59"/>
      <c r="F897" s="59"/>
      <c r="K897" s="25"/>
    </row>
    <row r="898" ht="12.75" customHeight="1">
      <c r="A898" s="68"/>
      <c r="B898" s="59"/>
      <c r="C898" s="59"/>
      <c r="D898" s="59"/>
      <c r="E898" s="59"/>
      <c r="F898" s="59"/>
      <c r="K898" s="25"/>
    </row>
    <row r="899" ht="12.75" customHeight="1">
      <c r="A899" s="68"/>
      <c r="B899" s="59"/>
      <c r="C899" s="59"/>
      <c r="D899" s="59"/>
      <c r="E899" s="59"/>
      <c r="F899" s="59"/>
      <c r="K899" s="25"/>
    </row>
    <row r="900" ht="12.75" customHeight="1">
      <c r="A900" s="68"/>
      <c r="B900" s="59"/>
      <c r="C900" s="59"/>
      <c r="D900" s="59"/>
      <c r="E900" s="59"/>
      <c r="F900" s="59"/>
      <c r="K900" s="25"/>
    </row>
    <row r="901" ht="12.75" customHeight="1">
      <c r="A901" s="68"/>
      <c r="B901" s="59"/>
      <c r="C901" s="59"/>
      <c r="D901" s="59"/>
      <c r="E901" s="59"/>
      <c r="F901" s="59"/>
      <c r="K901" s="25"/>
    </row>
    <row r="902" ht="12.75" customHeight="1">
      <c r="A902" s="68"/>
      <c r="B902" s="59"/>
      <c r="C902" s="59"/>
      <c r="D902" s="59"/>
      <c r="E902" s="59"/>
      <c r="F902" s="59"/>
      <c r="K902" s="25"/>
    </row>
    <row r="903" ht="12.75" customHeight="1">
      <c r="A903" s="68"/>
      <c r="B903" s="59"/>
      <c r="C903" s="59"/>
      <c r="D903" s="59"/>
      <c r="E903" s="59"/>
      <c r="F903" s="59"/>
      <c r="K903" s="25"/>
    </row>
    <row r="904" ht="12.75" customHeight="1">
      <c r="A904" s="68"/>
      <c r="B904" s="59"/>
      <c r="C904" s="59"/>
      <c r="D904" s="59"/>
      <c r="E904" s="59"/>
      <c r="F904" s="59"/>
      <c r="K904" s="25"/>
    </row>
    <row r="905" ht="12.75" customHeight="1">
      <c r="A905" s="68"/>
      <c r="B905" s="59"/>
      <c r="C905" s="59"/>
      <c r="D905" s="59"/>
      <c r="E905" s="59"/>
      <c r="F905" s="59"/>
      <c r="K905" s="25"/>
    </row>
    <row r="906" ht="12.75" customHeight="1">
      <c r="A906" s="68"/>
      <c r="B906" s="59"/>
      <c r="C906" s="59"/>
      <c r="D906" s="59"/>
      <c r="E906" s="59"/>
      <c r="F906" s="59"/>
      <c r="K906" s="25"/>
    </row>
    <row r="907" ht="12.75" customHeight="1">
      <c r="A907" s="68"/>
      <c r="B907" s="59"/>
      <c r="C907" s="59"/>
      <c r="D907" s="59"/>
      <c r="E907" s="59"/>
      <c r="F907" s="59"/>
      <c r="K907" s="25"/>
    </row>
    <row r="908" ht="12.75" customHeight="1">
      <c r="A908" s="68"/>
      <c r="B908" s="59"/>
      <c r="C908" s="59"/>
      <c r="D908" s="59"/>
      <c r="E908" s="59"/>
      <c r="F908" s="59"/>
      <c r="K908" s="25"/>
    </row>
    <row r="909" ht="12.75" customHeight="1">
      <c r="A909" s="68"/>
      <c r="B909" s="59"/>
      <c r="C909" s="59"/>
      <c r="D909" s="59"/>
      <c r="E909" s="59"/>
      <c r="F909" s="59"/>
      <c r="K909" s="25"/>
    </row>
    <row r="910" ht="12.75" customHeight="1">
      <c r="A910" s="68"/>
      <c r="B910" s="59"/>
      <c r="C910" s="59"/>
      <c r="D910" s="59"/>
      <c r="E910" s="59"/>
      <c r="F910" s="59"/>
      <c r="K910" s="25"/>
    </row>
    <row r="911" ht="12.75" customHeight="1">
      <c r="A911" s="68"/>
      <c r="B911" s="59"/>
      <c r="C911" s="59"/>
      <c r="D911" s="59"/>
      <c r="E911" s="59"/>
      <c r="F911" s="59"/>
      <c r="K911" s="25"/>
    </row>
    <row r="912" ht="12.75" customHeight="1">
      <c r="A912" s="68"/>
      <c r="B912" s="59"/>
      <c r="C912" s="59"/>
      <c r="D912" s="59"/>
      <c r="E912" s="59"/>
      <c r="F912" s="59"/>
      <c r="K912" s="25"/>
    </row>
    <row r="913" ht="12.75" customHeight="1">
      <c r="A913" s="68"/>
      <c r="B913" s="59"/>
      <c r="C913" s="59"/>
      <c r="D913" s="59"/>
      <c r="E913" s="59"/>
      <c r="F913" s="59"/>
      <c r="K913" s="25"/>
    </row>
    <row r="914" ht="12.75" customHeight="1">
      <c r="A914" s="68"/>
      <c r="B914" s="59"/>
      <c r="C914" s="59"/>
      <c r="D914" s="59"/>
      <c r="E914" s="59"/>
      <c r="F914" s="59"/>
      <c r="K914" s="25"/>
    </row>
    <row r="915" ht="12.75" customHeight="1">
      <c r="A915" s="68"/>
      <c r="B915" s="59"/>
      <c r="C915" s="59"/>
      <c r="D915" s="59"/>
      <c r="E915" s="59"/>
      <c r="F915" s="59"/>
      <c r="K915" s="25"/>
    </row>
    <row r="916" ht="12.75" customHeight="1">
      <c r="A916" s="68"/>
      <c r="B916" s="59"/>
      <c r="C916" s="59"/>
      <c r="D916" s="59"/>
      <c r="E916" s="59"/>
      <c r="F916" s="59"/>
      <c r="K916" s="25"/>
    </row>
    <row r="917" ht="12.75" customHeight="1">
      <c r="A917" s="68"/>
      <c r="B917" s="59"/>
      <c r="C917" s="59"/>
      <c r="D917" s="59"/>
      <c r="E917" s="59"/>
      <c r="F917" s="59"/>
      <c r="K917" s="25"/>
    </row>
    <row r="918" ht="12.75" customHeight="1">
      <c r="A918" s="68"/>
      <c r="B918" s="59"/>
      <c r="C918" s="59"/>
      <c r="D918" s="59"/>
      <c r="E918" s="59"/>
      <c r="F918" s="59"/>
      <c r="K918" s="25"/>
    </row>
    <row r="919" ht="12.75" customHeight="1">
      <c r="A919" s="68"/>
      <c r="B919" s="59"/>
      <c r="C919" s="59"/>
      <c r="D919" s="59"/>
      <c r="E919" s="59"/>
      <c r="F919" s="59"/>
      <c r="K919" s="25"/>
    </row>
    <row r="920" ht="12.75" customHeight="1">
      <c r="A920" s="68"/>
      <c r="B920" s="59"/>
      <c r="C920" s="59"/>
      <c r="D920" s="59"/>
      <c r="E920" s="59"/>
      <c r="F920" s="59"/>
      <c r="K920" s="25"/>
    </row>
    <row r="921" ht="12.75" customHeight="1">
      <c r="A921" s="68"/>
      <c r="B921" s="59"/>
      <c r="C921" s="59"/>
      <c r="D921" s="59"/>
      <c r="E921" s="59"/>
      <c r="F921" s="59"/>
      <c r="K921" s="25"/>
    </row>
    <row r="922" ht="12.75" customHeight="1">
      <c r="A922" s="68"/>
      <c r="B922" s="59"/>
      <c r="C922" s="59"/>
      <c r="D922" s="59"/>
      <c r="E922" s="59"/>
      <c r="F922" s="59"/>
      <c r="K922" s="25"/>
    </row>
    <row r="923" ht="12.75" customHeight="1">
      <c r="A923" s="68"/>
      <c r="B923" s="59"/>
      <c r="C923" s="59"/>
      <c r="D923" s="59"/>
      <c r="E923" s="59"/>
      <c r="F923" s="59"/>
      <c r="K923" s="25"/>
    </row>
    <row r="924" ht="12.75" customHeight="1">
      <c r="A924" s="68"/>
      <c r="B924" s="59"/>
      <c r="C924" s="59"/>
      <c r="D924" s="59"/>
      <c r="E924" s="59"/>
      <c r="F924" s="59"/>
      <c r="K924" s="25"/>
    </row>
    <row r="925" ht="12.75" customHeight="1">
      <c r="A925" s="68"/>
      <c r="B925" s="59"/>
      <c r="C925" s="59"/>
      <c r="D925" s="59"/>
      <c r="E925" s="59"/>
      <c r="F925" s="59"/>
      <c r="K925" s="25"/>
    </row>
    <row r="926" ht="12.75" customHeight="1">
      <c r="A926" s="68"/>
      <c r="B926" s="59"/>
      <c r="C926" s="59"/>
      <c r="D926" s="59"/>
      <c r="E926" s="59"/>
      <c r="F926" s="59"/>
      <c r="K926" s="25"/>
    </row>
    <row r="927" ht="12.75" customHeight="1">
      <c r="A927" s="68"/>
      <c r="B927" s="59"/>
      <c r="C927" s="59"/>
      <c r="D927" s="59"/>
      <c r="E927" s="59"/>
      <c r="F927" s="59"/>
      <c r="K927" s="25"/>
    </row>
    <row r="928" ht="12.75" customHeight="1">
      <c r="A928" s="68"/>
      <c r="B928" s="59"/>
      <c r="C928" s="59"/>
      <c r="D928" s="59"/>
      <c r="E928" s="59"/>
      <c r="F928" s="59"/>
      <c r="K928" s="25"/>
    </row>
    <row r="929" ht="12.75" customHeight="1">
      <c r="A929" s="68"/>
      <c r="B929" s="59"/>
      <c r="C929" s="59"/>
      <c r="D929" s="59"/>
      <c r="E929" s="59"/>
      <c r="F929" s="59"/>
      <c r="K929" s="25"/>
    </row>
    <row r="930" ht="12.75" customHeight="1">
      <c r="A930" s="68"/>
      <c r="B930" s="59"/>
      <c r="C930" s="59"/>
      <c r="D930" s="59"/>
      <c r="E930" s="59"/>
      <c r="F930" s="59"/>
      <c r="K930" s="25"/>
    </row>
    <row r="931" ht="12.75" customHeight="1">
      <c r="A931" s="68"/>
      <c r="B931" s="59"/>
      <c r="C931" s="59"/>
      <c r="D931" s="59"/>
      <c r="E931" s="59"/>
      <c r="F931" s="59"/>
      <c r="K931" s="25"/>
    </row>
    <row r="932" ht="12.75" customHeight="1">
      <c r="A932" s="68"/>
      <c r="B932" s="59"/>
      <c r="C932" s="59"/>
      <c r="D932" s="59"/>
      <c r="E932" s="59"/>
      <c r="F932" s="59"/>
      <c r="K932" s="25"/>
    </row>
    <row r="933" ht="12.75" customHeight="1">
      <c r="A933" s="68"/>
      <c r="B933" s="59"/>
      <c r="C933" s="59"/>
      <c r="D933" s="59"/>
      <c r="E933" s="59"/>
      <c r="F933" s="59"/>
      <c r="K933" s="25"/>
    </row>
    <row r="934" ht="12.75" customHeight="1">
      <c r="A934" s="68"/>
      <c r="B934" s="59"/>
      <c r="C934" s="59"/>
      <c r="D934" s="59"/>
      <c r="E934" s="59"/>
      <c r="F934" s="59"/>
      <c r="K934" s="25"/>
    </row>
    <row r="935" ht="12.75" customHeight="1">
      <c r="A935" s="68"/>
      <c r="B935" s="59"/>
      <c r="C935" s="59"/>
      <c r="D935" s="59"/>
      <c r="E935" s="59"/>
      <c r="F935" s="59"/>
      <c r="K935" s="25"/>
    </row>
    <row r="936" ht="12.75" customHeight="1">
      <c r="A936" s="68"/>
      <c r="B936" s="59"/>
      <c r="C936" s="59"/>
      <c r="D936" s="59"/>
      <c r="E936" s="59"/>
      <c r="F936" s="59"/>
      <c r="K936" s="25"/>
    </row>
    <row r="937" ht="12.75" customHeight="1">
      <c r="A937" s="68"/>
      <c r="B937" s="59"/>
      <c r="C937" s="59"/>
      <c r="D937" s="59"/>
      <c r="E937" s="59"/>
      <c r="F937" s="59"/>
      <c r="K937" s="25"/>
    </row>
    <row r="938" ht="12.75" customHeight="1">
      <c r="A938" s="68"/>
      <c r="B938" s="59"/>
      <c r="C938" s="59"/>
      <c r="D938" s="59"/>
      <c r="E938" s="59"/>
      <c r="F938" s="59"/>
      <c r="K938" s="25"/>
    </row>
    <row r="939" ht="12.75" customHeight="1">
      <c r="A939" s="68"/>
      <c r="B939" s="59"/>
      <c r="C939" s="59"/>
      <c r="D939" s="59"/>
      <c r="E939" s="59"/>
      <c r="F939" s="59"/>
      <c r="K939" s="25"/>
    </row>
    <row r="940" ht="12.75" customHeight="1">
      <c r="A940" s="68"/>
      <c r="B940" s="59"/>
      <c r="C940" s="59"/>
      <c r="D940" s="59"/>
      <c r="E940" s="59"/>
      <c r="F940" s="59"/>
      <c r="K940" s="25"/>
    </row>
    <row r="941" ht="12.75" customHeight="1">
      <c r="A941" s="68"/>
      <c r="B941" s="59"/>
      <c r="C941" s="59"/>
      <c r="D941" s="59"/>
      <c r="E941" s="59"/>
      <c r="F941" s="59"/>
      <c r="K941" s="25"/>
    </row>
    <row r="942" ht="12.75" customHeight="1">
      <c r="A942" s="68"/>
      <c r="B942" s="59"/>
      <c r="C942" s="59"/>
      <c r="D942" s="59"/>
      <c r="E942" s="59"/>
      <c r="F942" s="59"/>
      <c r="K942" s="25"/>
    </row>
    <row r="943" ht="12.75" customHeight="1">
      <c r="A943" s="68"/>
      <c r="B943" s="59"/>
      <c r="C943" s="59"/>
      <c r="D943" s="59"/>
      <c r="E943" s="59"/>
      <c r="F943" s="59"/>
      <c r="K943" s="25"/>
    </row>
    <row r="944" ht="12.75" customHeight="1">
      <c r="A944" s="68"/>
      <c r="B944" s="59"/>
      <c r="C944" s="59"/>
      <c r="D944" s="59"/>
      <c r="E944" s="59"/>
      <c r="F944" s="59"/>
      <c r="K944" s="25"/>
    </row>
    <row r="945" ht="12.75" customHeight="1">
      <c r="A945" s="68"/>
      <c r="B945" s="59"/>
      <c r="C945" s="59"/>
      <c r="D945" s="59"/>
      <c r="E945" s="59"/>
      <c r="F945" s="59"/>
      <c r="K945" s="25"/>
    </row>
    <row r="946" ht="12.75" customHeight="1">
      <c r="A946" s="68"/>
      <c r="B946" s="59"/>
      <c r="C946" s="59"/>
      <c r="D946" s="59"/>
      <c r="E946" s="59"/>
      <c r="F946" s="59"/>
      <c r="K946" s="25"/>
    </row>
    <row r="947" ht="12.75" customHeight="1">
      <c r="A947" s="68"/>
      <c r="B947" s="59"/>
      <c r="C947" s="59"/>
      <c r="D947" s="59"/>
      <c r="E947" s="59"/>
      <c r="F947" s="59"/>
      <c r="K947" s="25"/>
    </row>
    <row r="948" ht="12.75" customHeight="1">
      <c r="A948" s="68"/>
      <c r="B948" s="59"/>
      <c r="C948" s="59"/>
      <c r="D948" s="59"/>
      <c r="E948" s="59"/>
      <c r="F948" s="59"/>
      <c r="K948" s="25"/>
    </row>
    <row r="949" ht="12.75" customHeight="1">
      <c r="A949" s="68"/>
      <c r="B949" s="59"/>
      <c r="C949" s="59"/>
      <c r="D949" s="59"/>
      <c r="E949" s="59"/>
      <c r="F949" s="59"/>
      <c r="K949" s="25"/>
    </row>
    <row r="950" ht="12.75" customHeight="1">
      <c r="A950" s="68"/>
      <c r="B950" s="59"/>
      <c r="C950" s="59"/>
      <c r="D950" s="59"/>
      <c r="E950" s="59"/>
      <c r="F950" s="59"/>
      <c r="K950" s="25"/>
    </row>
    <row r="951" ht="12.75" customHeight="1">
      <c r="A951" s="68"/>
      <c r="B951" s="59"/>
      <c r="C951" s="59"/>
      <c r="D951" s="59"/>
      <c r="E951" s="59"/>
      <c r="F951" s="59"/>
      <c r="K951" s="25"/>
    </row>
    <row r="952" ht="12.75" customHeight="1">
      <c r="A952" s="68"/>
      <c r="B952" s="59"/>
      <c r="C952" s="59"/>
      <c r="D952" s="59"/>
      <c r="E952" s="59"/>
      <c r="F952" s="59"/>
      <c r="K952" s="25"/>
    </row>
    <row r="953" ht="12.75" customHeight="1">
      <c r="A953" s="68"/>
      <c r="B953" s="59"/>
      <c r="C953" s="59"/>
      <c r="D953" s="59"/>
      <c r="E953" s="59"/>
      <c r="F953" s="59"/>
      <c r="K953" s="25"/>
    </row>
    <row r="954" ht="12.75" customHeight="1">
      <c r="A954" s="68"/>
      <c r="B954" s="59"/>
      <c r="C954" s="59"/>
      <c r="D954" s="59"/>
      <c r="E954" s="59"/>
      <c r="F954" s="59"/>
      <c r="K954" s="25"/>
    </row>
    <row r="955" ht="12.75" customHeight="1">
      <c r="A955" s="68"/>
      <c r="B955" s="59"/>
      <c r="C955" s="59"/>
      <c r="D955" s="59"/>
      <c r="E955" s="59"/>
      <c r="F955" s="59"/>
      <c r="K955" s="25"/>
    </row>
    <row r="956" ht="12.75" customHeight="1">
      <c r="A956" s="68"/>
      <c r="B956" s="59"/>
      <c r="C956" s="59"/>
      <c r="D956" s="59"/>
      <c r="E956" s="59"/>
      <c r="F956" s="59"/>
      <c r="K956" s="25"/>
    </row>
    <row r="957" ht="12.75" customHeight="1">
      <c r="A957" s="68"/>
      <c r="B957" s="59"/>
      <c r="C957" s="59"/>
      <c r="D957" s="59"/>
      <c r="E957" s="59"/>
      <c r="F957" s="59"/>
      <c r="K957" s="25"/>
    </row>
    <row r="958" ht="12.75" customHeight="1">
      <c r="A958" s="68"/>
      <c r="B958" s="59"/>
      <c r="C958" s="59"/>
      <c r="D958" s="59"/>
      <c r="E958" s="59"/>
      <c r="F958" s="59"/>
      <c r="K958" s="25"/>
    </row>
    <row r="959" ht="12.75" customHeight="1">
      <c r="A959" s="68"/>
      <c r="B959" s="59"/>
      <c r="C959" s="59"/>
      <c r="D959" s="59"/>
      <c r="E959" s="59"/>
      <c r="F959" s="59"/>
      <c r="K959" s="25"/>
    </row>
    <row r="960" ht="12.75" customHeight="1">
      <c r="A960" s="68"/>
      <c r="B960" s="59"/>
      <c r="C960" s="59"/>
      <c r="D960" s="59"/>
      <c r="E960" s="59"/>
      <c r="F960" s="59"/>
      <c r="K960" s="25"/>
    </row>
    <row r="961" ht="12.75" customHeight="1">
      <c r="A961" s="68"/>
      <c r="B961" s="59"/>
      <c r="C961" s="59"/>
      <c r="D961" s="59"/>
      <c r="E961" s="59"/>
      <c r="F961" s="59"/>
      <c r="K961" s="25"/>
    </row>
    <row r="962" ht="12.75" customHeight="1">
      <c r="A962" s="68"/>
      <c r="B962" s="59"/>
      <c r="C962" s="59"/>
      <c r="D962" s="59"/>
      <c r="E962" s="59"/>
      <c r="F962" s="59"/>
      <c r="K962" s="25"/>
    </row>
    <row r="963" ht="12.75" customHeight="1">
      <c r="A963" s="68"/>
      <c r="B963" s="59"/>
      <c r="C963" s="59"/>
      <c r="D963" s="59"/>
      <c r="E963" s="59"/>
      <c r="F963" s="59"/>
      <c r="K963" s="25"/>
    </row>
    <row r="964" ht="12.75" customHeight="1">
      <c r="A964" s="68"/>
      <c r="B964" s="59"/>
      <c r="C964" s="59"/>
      <c r="D964" s="59"/>
      <c r="E964" s="59"/>
      <c r="F964" s="59"/>
      <c r="K964" s="25"/>
    </row>
    <row r="965" ht="12.75" customHeight="1">
      <c r="A965" s="68"/>
      <c r="B965" s="59"/>
      <c r="C965" s="59"/>
      <c r="D965" s="59"/>
      <c r="E965" s="59"/>
      <c r="F965" s="59"/>
      <c r="K965" s="25"/>
    </row>
    <row r="966" ht="12.75" customHeight="1">
      <c r="A966" s="68"/>
      <c r="B966" s="59"/>
      <c r="C966" s="59"/>
      <c r="D966" s="59"/>
      <c r="E966" s="59"/>
      <c r="F966" s="59"/>
      <c r="K966" s="25"/>
    </row>
    <row r="967" ht="12.75" customHeight="1">
      <c r="A967" s="68"/>
      <c r="B967" s="59"/>
      <c r="C967" s="59"/>
      <c r="D967" s="59"/>
      <c r="E967" s="59"/>
      <c r="F967" s="59"/>
      <c r="K967" s="25"/>
    </row>
    <row r="968" ht="12.75" customHeight="1">
      <c r="A968" s="68"/>
      <c r="B968" s="59"/>
      <c r="C968" s="59"/>
      <c r="D968" s="59"/>
      <c r="E968" s="59"/>
      <c r="F968" s="59"/>
      <c r="K968" s="25"/>
    </row>
    <row r="969" ht="12.75" customHeight="1">
      <c r="A969" s="68"/>
      <c r="B969" s="59"/>
      <c r="C969" s="59"/>
      <c r="D969" s="59"/>
      <c r="E969" s="59"/>
      <c r="F969" s="59"/>
      <c r="K969" s="25"/>
    </row>
    <row r="970" ht="12.75" customHeight="1">
      <c r="A970" s="68"/>
      <c r="B970" s="59"/>
      <c r="C970" s="59"/>
      <c r="D970" s="59"/>
      <c r="E970" s="59"/>
      <c r="F970" s="59"/>
      <c r="K970" s="25"/>
    </row>
    <row r="971" ht="12.75" customHeight="1">
      <c r="A971" s="68"/>
      <c r="B971" s="59"/>
      <c r="C971" s="59"/>
      <c r="D971" s="59"/>
      <c r="E971" s="59"/>
      <c r="F971" s="59"/>
      <c r="K971" s="25"/>
    </row>
    <row r="972" ht="12.75" customHeight="1">
      <c r="A972" s="68"/>
      <c r="B972" s="59"/>
      <c r="C972" s="59"/>
      <c r="D972" s="59"/>
      <c r="E972" s="59"/>
      <c r="F972" s="59"/>
      <c r="K972" s="25"/>
    </row>
    <row r="973" ht="12.75" customHeight="1">
      <c r="A973" s="68"/>
      <c r="B973" s="59"/>
      <c r="C973" s="59"/>
      <c r="D973" s="59"/>
      <c r="E973" s="59"/>
      <c r="F973" s="59"/>
      <c r="K973" s="25"/>
    </row>
    <row r="974" ht="12.75" customHeight="1">
      <c r="A974" s="68"/>
      <c r="B974" s="59"/>
      <c r="C974" s="59"/>
      <c r="D974" s="59"/>
      <c r="E974" s="59"/>
      <c r="F974" s="59"/>
      <c r="K974" s="25"/>
    </row>
    <row r="975" ht="12.75" customHeight="1">
      <c r="A975" s="68"/>
      <c r="B975" s="59"/>
      <c r="C975" s="59"/>
      <c r="D975" s="59"/>
      <c r="E975" s="59"/>
      <c r="F975" s="59"/>
      <c r="K975" s="25"/>
    </row>
    <row r="976" ht="12.75" customHeight="1">
      <c r="A976" s="68"/>
      <c r="B976" s="59"/>
      <c r="C976" s="59"/>
      <c r="D976" s="59"/>
      <c r="E976" s="59"/>
      <c r="F976" s="59"/>
      <c r="K976" s="25"/>
    </row>
    <row r="977" ht="12.75" customHeight="1">
      <c r="A977" s="68"/>
      <c r="B977" s="59"/>
      <c r="C977" s="59"/>
      <c r="D977" s="59"/>
      <c r="E977" s="59"/>
      <c r="F977" s="59"/>
      <c r="K977" s="25"/>
    </row>
    <row r="978" ht="12.75" customHeight="1">
      <c r="A978" s="68"/>
      <c r="B978" s="59"/>
      <c r="C978" s="59"/>
      <c r="D978" s="59"/>
      <c r="E978" s="59"/>
      <c r="F978" s="59"/>
      <c r="K978" s="25"/>
    </row>
    <row r="979" ht="12.75" customHeight="1">
      <c r="A979" s="68"/>
      <c r="B979" s="59"/>
      <c r="C979" s="59"/>
      <c r="D979" s="59"/>
      <c r="E979" s="59"/>
      <c r="F979" s="59"/>
      <c r="K979" s="25"/>
    </row>
    <row r="980" ht="12.75" customHeight="1">
      <c r="A980" s="68"/>
      <c r="B980" s="59"/>
      <c r="C980" s="59"/>
      <c r="D980" s="59"/>
      <c r="E980" s="59"/>
      <c r="F980" s="59"/>
      <c r="K980" s="25"/>
    </row>
    <row r="981" ht="12.75" customHeight="1">
      <c r="A981" s="68"/>
      <c r="B981" s="59"/>
      <c r="C981" s="59"/>
      <c r="D981" s="59"/>
      <c r="E981" s="59"/>
      <c r="F981" s="59"/>
      <c r="K981" s="25"/>
    </row>
    <row r="982" ht="12.75" customHeight="1">
      <c r="A982" s="68"/>
      <c r="B982" s="59"/>
      <c r="C982" s="59"/>
      <c r="D982" s="59"/>
      <c r="E982" s="59"/>
      <c r="F982" s="59"/>
      <c r="K982" s="25"/>
    </row>
    <row r="983" ht="12.75" customHeight="1">
      <c r="A983" s="68"/>
      <c r="B983" s="59"/>
      <c r="C983" s="59"/>
      <c r="D983" s="59"/>
      <c r="E983" s="59"/>
      <c r="F983" s="59"/>
      <c r="K983" s="25"/>
    </row>
    <row r="984" ht="12.75" customHeight="1">
      <c r="A984" s="68"/>
      <c r="B984" s="59"/>
      <c r="C984" s="59"/>
      <c r="D984" s="59"/>
      <c r="E984" s="59"/>
      <c r="F984" s="59"/>
      <c r="K984" s="25"/>
    </row>
    <row r="985" ht="12.75" customHeight="1">
      <c r="A985" s="68"/>
      <c r="B985" s="59"/>
      <c r="C985" s="59"/>
      <c r="D985" s="59"/>
      <c r="E985" s="59"/>
      <c r="F985" s="59"/>
      <c r="K985" s="25"/>
    </row>
    <row r="986" ht="12.75" customHeight="1">
      <c r="A986" s="68"/>
      <c r="B986" s="59"/>
      <c r="C986" s="59"/>
      <c r="D986" s="59"/>
      <c r="E986" s="59"/>
      <c r="F986" s="59"/>
      <c r="K986" s="25"/>
    </row>
    <row r="987" ht="12.75" customHeight="1">
      <c r="A987" s="68"/>
      <c r="B987" s="59"/>
      <c r="C987" s="59"/>
      <c r="D987" s="59"/>
      <c r="E987" s="59"/>
      <c r="F987" s="59"/>
      <c r="K987" s="25"/>
    </row>
    <row r="988" ht="12.75" customHeight="1">
      <c r="A988" s="68"/>
      <c r="B988" s="59"/>
      <c r="C988" s="59"/>
      <c r="D988" s="59"/>
      <c r="E988" s="59"/>
      <c r="F988" s="59"/>
      <c r="K988" s="25"/>
    </row>
    <row r="989" ht="12.75" customHeight="1">
      <c r="A989" s="68"/>
      <c r="B989" s="59"/>
      <c r="C989" s="59"/>
      <c r="D989" s="59"/>
      <c r="E989" s="59"/>
      <c r="F989" s="59"/>
      <c r="K989" s="25"/>
    </row>
    <row r="990" ht="12.75" customHeight="1">
      <c r="A990" s="68"/>
      <c r="B990" s="59"/>
      <c r="C990" s="59"/>
      <c r="D990" s="59"/>
      <c r="E990" s="59"/>
      <c r="F990" s="59"/>
      <c r="K990" s="25"/>
    </row>
    <row r="991" ht="12.75" customHeight="1">
      <c r="A991" s="68"/>
      <c r="B991" s="59"/>
      <c r="C991" s="59"/>
      <c r="D991" s="59"/>
      <c r="E991" s="59"/>
      <c r="F991" s="59"/>
      <c r="K991" s="25"/>
    </row>
    <row r="992" ht="12.75" customHeight="1">
      <c r="A992" s="68"/>
      <c r="B992" s="59"/>
      <c r="C992" s="59"/>
      <c r="D992" s="59"/>
      <c r="E992" s="59"/>
      <c r="F992" s="59"/>
      <c r="K992" s="25"/>
    </row>
    <row r="993" ht="12.75" customHeight="1">
      <c r="A993" s="68"/>
      <c r="B993" s="59"/>
      <c r="C993" s="59"/>
      <c r="D993" s="59"/>
      <c r="E993" s="59"/>
      <c r="F993" s="59"/>
      <c r="K993" s="25"/>
    </row>
    <row r="994" ht="12.75" customHeight="1">
      <c r="A994" s="68"/>
      <c r="B994" s="59"/>
      <c r="C994" s="59"/>
      <c r="D994" s="59"/>
      <c r="E994" s="59"/>
      <c r="F994" s="59"/>
      <c r="K994" s="25"/>
    </row>
    <row r="995" ht="12.75" customHeight="1">
      <c r="A995" s="68"/>
      <c r="B995" s="59"/>
      <c r="C995" s="59"/>
      <c r="D995" s="59"/>
      <c r="E995" s="59"/>
      <c r="F995" s="59"/>
      <c r="K995" s="25"/>
    </row>
    <row r="996" ht="12.75" customHeight="1">
      <c r="A996" s="68"/>
      <c r="B996" s="59"/>
      <c r="C996" s="59"/>
      <c r="D996" s="59"/>
      <c r="E996" s="59"/>
      <c r="F996" s="59"/>
      <c r="K996" s="25"/>
    </row>
    <row r="997" ht="12.75" customHeight="1">
      <c r="A997" s="68"/>
      <c r="B997" s="59"/>
      <c r="C997" s="59"/>
      <c r="D997" s="59"/>
      <c r="E997" s="59"/>
      <c r="F997" s="59"/>
      <c r="K997" s="25"/>
    </row>
    <row r="998" ht="12.75" customHeight="1">
      <c r="A998" s="68"/>
      <c r="B998" s="59"/>
      <c r="C998" s="59"/>
      <c r="D998" s="59"/>
      <c r="E998" s="59"/>
      <c r="F998" s="59"/>
      <c r="K998" s="25"/>
    </row>
    <row r="999" ht="12.75" customHeight="1">
      <c r="A999" s="68"/>
      <c r="B999" s="59"/>
      <c r="C999" s="59"/>
      <c r="D999" s="59"/>
      <c r="E999" s="59"/>
      <c r="F999" s="59"/>
      <c r="K999" s="25"/>
    </row>
    <row r="1000" ht="12.75" customHeight="1">
      <c r="A1000" s="68"/>
      <c r="B1000" s="59"/>
      <c r="C1000" s="59"/>
      <c r="D1000" s="59"/>
      <c r="E1000" s="59"/>
      <c r="F1000" s="59"/>
      <c r="K1000" s="2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26" width="10.63"/>
  </cols>
  <sheetData>
    <row r="1" ht="12.75" customHeight="1">
      <c r="A1" s="68">
        <v>2.0</v>
      </c>
      <c r="B1" s="59">
        <f t="shared" ref="B1:B31" si="1">D1-C1</f>
        <v>20588</v>
      </c>
      <c r="C1" s="59">
        <f>3353+559</f>
        <v>3912</v>
      </c>
      <c r="D1" s="59">
        <f>21000+3500</f>
        <v>24500</v>
      </c>
      <c r="E1" s="59">
        <f t="shared" ref="E1:E31" si="2">D1*2.3681%</f>
        <v>580.1845</v>
      </c>
      <c r="F1" s="59">
        <f t="shared" ref="F1:F31" si="3">D1-E1</f>
        <v>23919.8155</v>
      </c>
      <c r="M1" s="68">
        <v>2.0</v>
      </c>
      <c r="N1" s="59">
        <f>21000+3500</f>
        <v>24500</v>
      </c>
    </row>
    <row r="2" ht="12.75" customHeight="1">
      <c r="A2" s="68">
        <v>2.0</v>
      </c>
      <c r="B2" s="59">
        <f t="shared" si="1"/>
        <v>5588</v>
      </c>
      <c r="C2" s="59">
        <f>527+535</f>
        <v>1062</v>
      </c>
      <c r="D2" s="59">
        <f>3300+3350</f>
        <v>6650</v>
      </c>
      <c r="E2" s="59">
        <f t="shared" si="2"/>
        <v>157.47865</v>
      </c>
      <c r="F2" s="59">
        <f t="shared" si="3"/>
        <v>6492.52135</v>
      </c>
      <c r="M2" s="68">
        <v>2.0</v>
      </c>
      <c r="N2" s="59">
        <f>3300+3350</f>
        <v>6650</v>
      </c>
    </row>
    <row r="3" ht="12.75" customHeight="1">
      <c r="A3" s="68">
        <v>3.0</v>
      </c>
      <c r="B3" s="59">
        <f t="shared" si="1"/>
        <v>17983</v>
      </c>
      <c r="C3" s="59">
        <f>1038+1437+942</f>
        <v>3417</v>
      </c>
      <c r="D3" s="59">
        <f>6500+9000+5900</f>
        <v>21400</v>
      </c>
      <c r="E3" s="59">
        <f t="shared" si="2"/>
        <v>506.7734</v>
      </c>
      <c r="F3" s="59">
        <f t="shared" si="3"/>
        <v>20893.2266</v>
      </c>
      <c r="M3" s="68">
        <v>3.0</v>
      </c>
      <c r="N3" s="59">
        <f>6500+9000+5900</f>
        <v>21400</v>
      </c>
    </row>
    <row r="4" ht="12.75" customHeight="1">
      <c r="A4" s="68">
        <v>0.0</v>
      </c>
      <c r="B4" s="59">
        <f t="shared" si="1"/>
        <v>0</v>
      </c>
      <c r="C4" s="59">
        <v>0.0</v>
      </c>
      <c r="D4" s="59">
        <v>0.0</v>
      </c>
      <c r="E4" s="59">
        <f t="shared" si="2"/>
        <v>0</v>
      </c>
      <c r="F4" s="59">
        <f t="shared" si="3"/>
        <v>0</v>
      </c>
      <c r="M4" s="68">
        <v>0.0</v>
      </c>
      <c r="N4" s="59">
        <v>0.0</v>
      </c>
    </row>
    <row r="5" ht="12.75" customHeight="1">
      <c r="A5" s="68">
        <v>0.0</v>
      </c>
      <c r="B5" s="59">
        <f t="shared" si="1"/>
        <v>0</v>
      </c>
      <c r="C5" s="59">
        <v>0.0</v>
      </c>
      <c r="D5" s="59">
        <v>0.0</v>
      </c>
      <c r="E5" s="59">
        <f t="shared" si="2"/>
        <v>0</v>
      </c>
      <c r="F5" s="59">
        <f t="shared" si="3"/>
        <v>0</v>
      </c>
      <c r="M5" s="68">
        <v>0.0</v>
      </c>
      <c r="N5" s="59">
        <v>0.0</v>
      </c>
    </row>
    <row r="6" ht="12.75" customHeight="1">
      <c r="A6" s="68">
        <v>2.0</v>
      </c>
      <c r="B6" s="59">
        <f t="shared" si="1"/>
        <v>10840</v>
      </c>
      <c r="C6" s="59">
        <f>399+1661</f>
        <v>2060</v>
      </c>
      <c r="D6" s="59">
        <f>2500+10400</f>
        <v>12900</v>
      </c>
      <c r="E6" s="59">
        <f t="shared" si="2"/>
        <v>305.4849</v>
      </c>
      <c r="F6" s="59">
        <f t="shared" si="3"/>
        <v>12594.5151</v>
      </c>
      <c r="M6" s="68">
        <v>2.0</v>
      </c>
      <c r="N6" s="59">
        <f>2500+10400</f>
        <v>12900</v>
      </c>
    </row>
    <row r="7" ht="12.75" customHeight="1">
      <c r="A7" s="68">
        <v>6.0</v>
      </c>
      <c r="B7" s="59">
        <f t="shared" si="1"/>
        <v>51974</v>
      </c>
      <c r="C7" s="59">
        <f>3401+319+1038+3026+160+1932</f>
        <v>9876</v>
      </c>
      <c r="D7" s="59">
        <f>21300+2000+6500+18950+1000+12100</f>
        <v>61850</v>
      </c>
      <c r="E7" s="59">
        <f t="shared" si="2"/>
        <v>1464.66985</v>
      </c>
      <c r="F7" s="59">
        <f t="shared" si="3"/>
        <v>60385.33015</v>
      </c>
      <c r="M7" s="68">
        <v>6.0</v>
      </c>
      <c r="N7" s="59">
        <f>21300+2000+6500+18950+1000+12100</f>
        <v>61850</v>
      </c>
    </row>
    <row r="8" ht="12.75" customHeight="1">
      <c r="A8" s="68">
        <v>4.0</v>
      </c>
      <c r="B8" s="59">
        <f t="shared" si="1"/>
        <v>36008</v>
      </c>
      <c r="C8" s="59">
        <f>878+1661+399+3904</f>
        <v>6842</v>
      </c>
      <c r="D8" s="59">
        <f>5500+10400+2500+24450</f>
        <v>42850</v>
      </c>
      <c r="E8" s="59">
        <f t="shared" si="2"/>
        <v>1014.73085</v>
      </c>
      <c r="F8" s="59">
        <f t="shared" si="3"/>
        <v>41835.26915</v>
      </c>
      <c r="M8" s="68">
        <v>4.0</v>
      </c>
      <c r="N8" s="59">
        <f>5500+10400+2500+24450</f>
        <v>42850</v>
      </c>
    </row>
    <row r="9" ht="12.75" customHeight="1">
      <c r="A9" s="68">
        <v>2.0</v>
      </c>
      <c r="B9" s="59">
        <f t="shared" si="1"/>
        <v>9327</v>
      </c>
      <c r="C9" s="59">
        <f>176+1597</f>
        <v>1773</v>
      </c>
      <c r="D9" s="59">
        <f>1100+10000</f>
        <v>11100</v>
      </c>
      <c r="E9" s="59">
        <f t="shared" si="2"/>
        <v>262.8591</v>
      </c>
      <c r="F9" s="59">
        <f t="shared" si="3"/>
        <v>10837.1409</v>
      </c>
      <c r="M9" s="68">
        <v>2.0</v>
      </c>
      <c r="N9" s="59">
        <f>1100+10000</f>
        <v>11100</v>
      </c>
    </row>
    <row r="10" ht="12.75" customHeight="1">
      <c r="A10" s="68">
        <v>2.0</v>
      </c>
      <c r="B10" s="59">
        <f t="shared" si="1"/>
        <v>2774</v>
      </c>
      <c r="C10" s="59">
        <f>255+271</f>
        <v>526</v>
      </c>
      <c r="D10" s="59">
        <f>1600+1700</f>
        <v>3300</v>
      </c>
      <c r="E10" s="59">
        <f t="shared" si="2"/>
        <v>78.1473</v>
      </c>
      <c r="F10" s="59">
        <f t="shared" si="3"/>
        <v>3221.8527</v>
      </c>
      <c r="M10" s="68">
        <v>2.0</v>
      </c>
      <c r="N10" s="59">
        <f>1600+1700</f>
        <v>3300</v>
      </c>
    </row>
    <row r="11" ht="12.75" customHeight="1">
      <c r="A11" s="68">
        <v>2.0</v>
      </c>
      <c r="B11" s="59">
        <f t="shared" si="1"/>
        <v>11681</v>
      </c>
      <c r="C11" s="59">
        <f>1341+878</f>
        <v>2219</v>
      </c>
      <c r="D11" s="59">
        <f>8400+5500</f>
        <v>13900</v>
      </c>
      <c r="E11" s="59">
        <f t="shared" si="2"/>
        <v>329.1659</v>
      </c>
      <c r="F11" s="59">
        <f t="shared" si="3"/>
        <v>13570.8341</v>
      </c>
      <c r="M11" s="68">
        <v>2.0</v>
      </c>
      <c r="N11" s="59">
        <f>8400+5500</f>
        <v>13900</v>
      </c>
    </row>
    <row r="12" ht="12.75" customHeight="1">
      <c r="A12" s="68">
        <v>1.0</v>
      </c>
      <c r="B12" s="59">
        <f t="shared" si="1"/>
        <v>4118</v>
      </c>
      <c r="C12" s="59">
        <v>782.0</v>
      </c>
      <c r="D12" s="59">
        <v>4900.0</v>
      </c>
      <c r="E12" s="59">
        <f t="shared" si="2"/>
        <v>116.0369</v>
      </c>
      <c r="F12" s="59">
        <f t="shared" si="3"/>
        <v>4783.9631</v>
      </c>
      <c r="M12" s="68">
        <v>1.0</v>
      </c>
      <c r="N12" s="59">
        <v>4900.0</v>
      </c>
    </row>
    <row r="13" ht="12.75" customHeight="1">
      <c r="A13" s="68">
        <v>9.0</v>
      </c>
      <c r="B13" s="59">
        <f t="shared" si="1"/>
        <v>64916</v>
      </c>
      <c r="C13" s="59">
        <f>798+4790+1006+1182+287+1972+1980+255+64</f>
        <v>12334</v>
      </c>
      <c r="D13" s="59">
        <f>5000+30000+6300+7400+1800+12350+12400+1600+400</f>
        <v>77250</v>
      </c>
      <c r="E13" s="59">
        <f t="shared" si="2"/>
        <v>1829.35725</v>
      </c>
      <c r="F13" s="59">
        <f t="shared" si="3"/>
        <v>75420.64275</v>
      </c>
      <c r="M13" s="68">
        <v>9.0</v>
      </c>
      <c r="N13" s="59">
        <f>5000+30000+6300+7400+1800+12350+12400+1600+400</f>
        <v>77250</v>
      </c>
    </row>
    <row r="14" ht="12.75" customHeight="1">
      <c r="A14" s="68">
        <v>6.0</v>
      </c>
      <c r="B14" s="59">
        <f t="shared" si="1"/>
        <v>31849</v>
      </c>
      <c r="C14" s="59">
        <f>607+958+543+319+958+2666</f>
        <v>6051</v>
      </c>
      <c r="D14" s="59">
        <f>3800+6000+3400+2000+6000+16700</f>
        <v>37900</v>
      </c>
      <c r="E14" s="59">
        <f t="shared" si="2"/>
        <v>897.5099</v>
      </c>
      <c r="F14" s="59">
        <f t="shared" si="3"/>
        <v>37002.4901</v>
      </c>
      <c r="M14" s="68">
        <v>6.0</v>
      </c>
      <c r="N14" s="59">
        <f>3800+6000+3400+2000+6000+16700</f>
        <v>37900</v>
      </c>
    </row>
    <row r="15" ht="12.75" customHeight="1">
      <c r="A15" s="68">
        <v>4.0</v>
      </c>
      <c r="B15" s="59">
        <f t="shared" si="1"/>
        <v>49579</v>
      </c>
      <c r="C15" s="59">
        <f>128+519+1110+7664</f>
        <v>9421</v>
      </c>
      <c r="D15" s="59">
        <f>800+3250+6950+48000</f>
        <v>59000</v>
      </c>
      <c r="E15" s="59">
        <f t="shared" si="2"/>
        <v>1397.179</v>
      </c>
      <c r="F15" s="59">
        <f t="shared" si="3"/>
        <v>57602.821</v>
      </c>
      <c r="M15" s="68">
        <v>4.0</v>
      </c>
      <c r="N15" s="59">
        <f>800+3250+6950+48000</f>
        <v>59000</v>
      </c>
    </row>
    <row r="16" ht="12.75" customHeight="1">
      <c r="A16" s="68">
        <v>4.0</v>
      </c>
      <c r="B16" s="59">
        <f t="shared" si="1"/>
        <v>16471</v>
      </c>
      <c r="C16" s="59">
        <f>271+814+1565+479</f>
        <v>3129</v>
      </c>
      <c r="D16" s="59">
        <f>1700+5100+9800+3000</f>
        <v>19600</v>
      </c>
      <c r="E16" s="59">
        <f t="shared" si="2"/>
        <v>464.1476</v>
      </c>
      <c r="F16" s="59">
        <f t="shared" si="3"/>
        <v>19135.8524</v>
      </c>
      <c r="M16" s="68">
        <v>4.0</v>
      </c>
      <c r="N16" s="59">
        <f>1700+5100+9800+3000</f>
        <v>19600</v>
      </c>
    </row>
    <row r="17" ht="12.75" customHeight="1">
      <c r="A17" s="68">
        <v>7.0</v>
      </c>
      <c r="B17" s="59">
        <f t="shared" si="1"/>
        <v>44539</v>
      </c>
      <c r="C17" s="59">
        <f>918+255+742+2012+2283+479+1772</f>
        <v>8461</v>
      </c>
      <c r="D17" s="59">
        <f>5750+1600+4650+12600+14300+3000+11100</f>
        <v>53000</v>
      </c>
      <c r="E17" s="59">
        <f t="shared" si="2"/>
        <v>1255.093</v>
      </c>
      <c r="F17" s="59">
        <f t="shared" si="3"/>
        <v>51744.907</v>
      </c>
      <c r="M17" s="68">
        <v>7.0</v>
      </c>
      <c r="N17" s="59">
        <f>5750+1600+4650+12600+14300+3000+11100</f>
        <v>53000</v>
      </c>
    </row>
    <row r="18" ht="12.75" customHeight="1">
      <c r="A18" s="68">
        <v>3.0</v>
      </c>
      <c r="B18" s="59">
        <f t="shared" si="1"/>
        <v>17479</v>
      </c>
      <c r="C18" s="59">
        <f>1629+1309+383</f>
        <v>3321</v>
      </c>
      <c r="D18" s="59">
        <f>10200+8200+2400</f>
        <v>20800</v>
      </c>
      <c r="E18" s="59">
        <f t="shared" si="2"/>
        <v>492.5648</v>
      </c>
      <c r="F18" s="59">
        <f t="shared" si="3"/>
        <v>20307.4352</v>
      </c>
      <c r="M18" s="68">
        <v>3.0</v>
      </c>
      <c r="N18" s="59">
        <f>10200+8200+2400</f>
        <v>20800</v>
      </c>
    </row>
    <row r="19" ht="12.75" customHeight="1">
      <c r="A19" s="68">
        <v>9.0</v>
      </c>
      <c r="B19" s="59">
        <f t="shared" si="1"/>
        <v>27353</v>
      </c>
      <c r="C19" s="59">
        <f>144+543+798+1150+112+782+287+72+1309</f>
        <v>5197</v>
      </c>
      <c r="D19" s="59">
        <f>900+3400+5000+7200+700+4900+1800+450+8200</f>
        <v>32550</v>
      </c>
      <c r="E19" s="59">
        <f t="shared" si="2"/>
        <v>770.81655</v>
      </c>
      <c r="F19" s="59">
        <f t="shared" si="3"/>
        <v>31779.18345</v>
      </c>
      <c r="M19" s="68">
        <v>9.0</v>
      </c>
      <c r="N19" s="59">
        <f>900+3400+5000+7200+700+4900+1800+450+8200</f>
        <v>32550</v>
      </c>
    </row>
    <row r="20" ht="12.75" customHeight="1">
      <c r="A20" s="68">
        <v>4.0</v>
      </c>
      <c r="B20" s="59">
        <f t="shared" si="1"/>
        <v>10841</v>
      </c>
      <c r="C20" s="59">
        <f>239+415+878+527</f>
        <v>2059</v>
      </c>
      <c r="D20" s="59">
        <f>1500+2600+5500+3300</f>
        <v>12900</v>
      </c>
      <c r="E20" s="59">
        <f t="shared" si="2"/>
        <v>305.4849</v>
      </c>
      <c r="F20" s="59">
        <f t="shared" si="3"/>
        <v>12594.5151</v>
      </c>
      <c r="M20" s="68">
        <v>4.0</v>
      </c>
      <c r="N20" s="59">
        <f>1500+2600+5500+3300</f>
        <v>12900</v>
      </c>
    </row>
    <row r="21" ht="12.75" customHeight="1">
      <c r="A21" s="68">
        <v>6.0</v>
      </c>
      <c r="B21" s="59">
        <f t="shared" si="1"/>
        <v>26261</v>
      </c>
      <c r="C21" s="59">
        <f>1126+1405+431+335+479+1213</f>
        <v>4989</v>
      </c>
      <c r="D21" s="59">
        <f>7050+8800+2700+2100+3000+7600</f>
        <v>31250</v>
      </c>
      <c r="E21" s="59">
        <f t="shared" si="2"/>
        <v>740.03125</v>
      </c>
      <c r="F21" s="59">
        <f t="shared" si="3"/>
        <v>30509.96875</v>
      </c>
      <c r="M21" s="68">
        <v>6.0</v>
      </c>
      <c r="N21" s="59">
        <f>7050+8800+2700+2100+3000+7600</f>
        <v>31250</v>
      </c>
    </row>
    <row r="22" ht="12.75" customHeight="1">
      <c r="A22" s="68">
        <v>2.0</v>
      </c>
      <c r="B22" s="59">
        <f t="shared" si="1"/>
        <v>6092</v>
      </c>
      <c r="C22" s="59">
        <f>703+455</f>
        <v>1158</v>
      </c>
      <c r="D22" s="59">
        <f>4400+2850</f>
        <v>7250</v>
      </c>
      <c r="E22" s="59">
        <f t="shared" si="2"/>
        <v>171.68725</v>
      </c>
      <c r="F22" s="59">
        <f t="shared" si="3"/>
        <v>7078.31275</v>
      </c>
      <c r="M22" s="68">
        <v>2.0</v>
      </c>
      <c r="N22" s="59">
        <f>4400+2850</f>
        <v>7250</v>
      </c>
    </row>
    <row r="23" ht="12.75" customHeight="1">
      <c r="A23" s="68">
        <v>4.0</v>
      </c>
      <c r="B23" s="59">
        <f t="shared" si="1"/>
        <v>22100</v>
      </c>
      <c r="C23" s="59">
        <f>1086+192+1597+1325</f>
        <v>4200</v>
      </c>
      <c r="D23" s="59">
        <f>6800+1200+10000+8300</f>
        <v>26300</v>
      </c>
      <c r="E23" s="59">
        <f t="shared" si="2"/>
        <v>622.8103</v>
      </c>
      <c r="F23" s="59">
        <f t="shared" si="3"/>
        <v>25677.1897</v>
      </c>
      <c r="M23" s="68">
        <v>4.0</v>
      </c>
      <c r="N23" s="59">
        <f>6800+1200+10000+8300</f>
        <v>26300</v>
      </c>
    </row>
    <row r="24" ht="12.75" customHeight="1">
      <c r="A24" s="68">
        <v>3.0</v>
      </c>
      <c r="B24" s="59">
        <f t="shared" si="1"/>
        <v>10000</v>
      </c>
      <c r="C24" s="59">
        <f>511+1229+160</f>
        <v>1900</v>
      </c>
      <c r="D24" s="59">
        <f>3200+7700+1000</f>
        <v>11900</v>
      </c>
      <c r="E24" s="59">
        <f t="shared" si="2"/>
        <v>281.8039</v>
      </c>
      <c r="F24" s="59">
        <f t="shared" si="3"/>
        <v>11618.1961</v>
      </c>
      <c r="M24" s="68">
        <v>3.0</v>
      </c>
      <c r="N24" s="59">
        <f>3200+7700+1000</f>
        <v>11900</v>
      </c>
    </row>
    <row r="25" ht="12.75" customHeight="1">
      <c r="A25" s="68">
        <v>6.0</v>
      </c>
      <c r="B25" s="59">
        <f t="shared" si="1"/>
        <v>13698</v>
      </c>
      <c r="C25" s="59">
        <f>295+990+160+479+375+303</f>
        <v>2602</v>
      </c>
      <c r="D25" s="59">
        <f>1850+6200+1000+3000+2350+1900</f>
        <v>16300</v>
      </c>
      <c r="E25" s="59">
        <f t="shared" si="2"/>
        <v>386.0003</v>
      </c>
      <c r="F25" s="59">
        <f t="shared" si="3"/>
        <v>15913.9997</v>
      </c>
      <c r="M25" s="68">
        <v>6.0</v>
      </c>
      <c r="N25" s="59">
        <f>1850+6200+1000+3000+2350+1900</f>
        <v>16300</v>
      </c>
    </row>
    <row r="26" ht="12.75" customHeight="1">
      <c r="A26" s="68">
        <v>7.0</v>
      </c>
      <c r="B26" s="59">
        <f t="shared" si="1"/>
        <v>52814</v>
      </c>
      <c r="C26" s="59">
        <f>639+1844+3832+351+623+1629+1118</f>
        <v>10036</v>
      </c>
      <c r="D26" s="59">
        <f>4000+11550+24000+2200+3900+10200+7000</f>
        <v>62850</v>
      </c>
      <c r="E26" s="59">
        <f t="shared" si="2"/>
        <v>1488.35085</v>
      </c>
      <c r="F26" s="59">
        <f t="shared" si="3"/>
        <v>61361.64915</v>
      </c>
      <c r="M26" s="68">
        <v>7.0</v>
      </c>
      <c r="N26" s="59">
        <f>4000+11550+24000+2200+3900+10200+7000</f>
        <v>62850</v>
      </c>
    </row>
    <row r="27" ht="12.75" customHeight="1">
      <c r="A27" s="68">
        <v>3.0</v>
      </c>
      <c r="B27" s="59">
        <f t="shared" si="1"/>
        <v>6219</v>
      </c>
      <c r="C27" s="59">
        <f>255+447+479</f>
        <v>1181</v>
      </c>
      <c r="D27" s="59">
        <f>1600+2800+3000</f>
        <v>7400</v>
      </c>
      <c r="E27" s="59">
        <f t="shared" si="2"/>
        <v>175.2394</v>
      </c>
      <c r="F27" s="59">
        <f t="shared" si="3"/>
        <v>7224.7606</v>
      </c>
      <c r="M27" s="68">
        <v>3.0</v>
      </c>
      <c r="N27" s="59">
        <f>1600+2800+3000</f>
        <v>7400</v>
      </c>
    </row>
    <row r="28" ht="12.75" customHeight="1">
      <c r="A28" s="68">
        <v>2.0</v>
      </c>
      <c r="B28" s="59">
        <f t="shared" si="1"/>
        <v>8571</v>
      </c>
      <c r="C28" s="59">
        <f>1150+479</f>
        <v>1629</v>
      </c>
      <c r="D28" s="59">
        <f>7200+3000</f>
        <v>10200</v>
      </c>
      <c r="E28" s="59">
        <f t="shared" si="2"/>
        <v>241.5462</v>
      </c>
      <c r="F28" s="59">
        <f t="shared" si="3"/>
        <v>9958.4538</v>
      </c>
      <c r="M28" s="68">
        <v>2.0</v>
      </c>
      <c r="N28" s="59">
        <f>7200+3000</f>
        <v>10200</v>
      </c>
    </row>
    <row r="29" ht="12.75" customHeight="1">
      <c r="A29" s="68">
        <v>3.0</v>
      </c>
      <c r="B29" s="59">
        <f t="shared" si="1"/>
        <v>68067</v>
      </c>
      <c r="C29" s="59">
        <f>10937+814+1182</f>
        <v>12933</v>
      </c>
      <c r="D29" s="59">
        <f>68500+5100+7400</f>
        <v>81000</v>
      </c>
      <c r="E29" s="59">
        <f t="shared" si="2"/>
        <v>1918.161</v>
      </c>
      <c r="F29" s="59">
        <f t="shared" si="3"/>
        <v>79081.839</v>
      </c>
      <c r="M29" s="68">
        <v>3.0</v>
      </c>
      <c r="N29" s="59">
        <f>68500+5100+7400</f>
        <v>81000</v>
      </c>
    </row>
    <row r="30" ht="12.75" customHeight="1">
      <c r="A30" s="68">
        <v>5.0</v>
      </c>
      <c r="B30" s="59">
        <f t="shared" si="1"/>
        <v>34832</v>
      </c>
      <c r="C30" s="59">
        <f>287+144+287+3353+2547</f>
        <v>6618</v>
      </c>
      <c r="D30" s="59">
        <f>1800+900+1800+21000+15950</f>
        <v>41450</v>
      </c>
      <c r="E30" s="59">
        <f t="shared" si="2"/>
        <v>981.57745</v>
      </c>
      <c r="F30" s="59">
        <f t="shared" si="3"/>
        <v>40468.42255</v>
      </c>
      <c r="M30" s="68">
        <v>5.0</v>
      </c>
      <c r="N30" s="59">
        <f>1800+900+1800+21000+15950</f>
        <v>41450</v>
      </c>
    </row>
    <row r="31" ht="12.75" customHeight="1">
      <c r="A31" s="68">
        <v>4.0</v>
      </c>
      <c r="B31" s="59">
        <f t="shared" si="1"/>
        <v>22563</v>
      </c>
      <c r="C31" s="59">
        <f>1573+192+1245+1277</f>
        <v>4287</v>
      </c>
      <c r="D31" s="59">
        <f>9850+1200+7800+8000</f>
        <v>26850</v>
      </c>
      <c r="E31" s="59">
        <f t="shared" si="2"/>
        <v>635.83485</v>
      </c>
      <c r="F31" s="59">
        <f t="shared" si="3"/>
        <v>26214.16515</v>
      </c>
      <c r="M31" s="68">
        <v>4.0</v>
      </c>
      <c r="N31" s="59">
        <f>9850+1200+7800+8000</f>
        <v>26850</v>
      </c>
    </row>
    <row r="32" ht="12.75" customHeight="1">
      <c r="A32" s="69">
        <f t="shared" ref="A32:F32" si="4">SUM(A1:A31)</f>
        <v>117</v>
      </c>
      <c r="B32" s="66">
        <f t="shared" si="4"/>
        <v>705125</v>
      </c>
      <c r="C32" s="66">
        <f t="shared" si="4"/>
        <v>133975</v>
      </c>
      <c r="D32" s="66">
        <f t="shared" si="4"/>
        <v>839100</v>
      </c>
      <c r="E32" s="67">
        <f t="shared" si="4"/>
        <v>19870.7271</v>
      </c>
      <c r="F32" s="67">
        <f t="shared" si="4"/>
        <v>819229.2729</v>
      </c>
      <c r="M32" s="68">
        <f t="shared" ref="M32:N32" si="5">SUM(M1:M31)</f>
        <v>117</v>
      </c>
      <c r="N32" s="68">
        <f t="shared" si="5"/>
        <v>839100</v>
      </c>
    </row>
    <row r="33" ht="12.75" customHeight="1">
      <c r="A33" s="68"/>
      <c r="B33" s="59"/>
      <c r="C33" s="59"/>
      <c r="D33" s="59"/>
      <c r="E33" s="59"/>
      <c r="F33" s="59"/>
    </row>
    <row r="34" ht="12.75" customHeight="1">
      <c r="A34" s="68"/>
      <c r="B34" s="59"/>
      <c r="C34" s="59"/>
      <c r="D34" s="59"/>
      <c r="E34" s="59"/>
      <c r="F34" s="59"/>
    </row>
    <row r="35" ht="12.75" customHeight="1">
      <c r="A35" s="68"/>
      <c r="B35" s="59"/>
      <c r="C35" s="59"/>
      <c r="D35" s="59"/>
      <c r="E35" s="59"/>
      <c r="F35" s="59"/>
    </row>
    <row r="36" ht="12.75" customHeight="1">
      <c r="A36" s="68"/>
      <c r="B36" s="59"/>
      <c r="C36" s="59"/>
      <c r="D36" s="59"/>
      <c r="E36" s="59"/>
      <c r="F36" s="59"/>
    </row>
    <row r="37" ht="12.75" customHeight="1">
      <c r="A37" s="68"/>
      <c r="B37" s="59"/>
      <c r="C37" s="59"/>
      <c r="D37" s="59"/>
      <c r="E37" s="59"/>
      <c r="F37" s="59"/>
    </row>
    <row r="38" ht="12.75" customHeight="1">
      <c r="A38" s="68"/>
      <c r="B38" s="59"/>
      <c r="C38" s="59"/>
      <c r="D38" s="59"/>
      <c r="E38" s="59"/>
      <c r="F38" s="59"/>
    </row>
    <row r="39" ht="12.75" customHeight="1">
      <c r="A39" s="68"/>
      <c r="B39" s="59"/>
      <c r="C39" s="59"/>
      <c r="D39" s="59"/>
      <c r="E39" s="59"/>
      <c r="F39" s="59"/>
    </row>
    <row r="40" ht="12.75" customHeight="1">
      <c r="A40" s="68"/>
      <c r="B40" s="59"/>
      <c r="C40" s="59"/>
      <c r="D40" s="59"/>
      <c r="E40" s="59"/>
      <c r="F40" s="59"/>
    </row>
    <row r="41" ht="12.75" customHeight="1">
      <c r="A41" s="68"/>
      <c r="B41" s="59"/>
      <c r="C41" s="59"/>
      <c r="D41" s="59"/>
      <c r="E41" s="59"/>
      <c r="F41" s="59"/>
    </row>
    <row r="42" ht="12.75" customHeight="1">
      <c r="A42" s="68"/>
      <c r="B42" s="59"/>
      <c r="C42" s="59"/>
      <c r="D42" s="59"/>
      <c r="E42" s="59"/>
      <c r="F42" s="59"/>
    </row>
    <row r="43" ht="12.75" customHeight="1">
      <c r="A43" s="68"/>
      <c r="B43" s="59"/>
      <c r="C43" s="59"/>
      <c r="D43" s="59"/>
      <c r="E43" s="59"/>
      <c r="F43" s="59"/>
    </row>
    <row r="44" ht="12.75" customHeight="1">
      <c r="A44" s="68"/>
      <c r="B44" s="59"/>
      <c r="C44" s="59"/>
      <c r="D44" s="59"/>
      <c r="E44" s="59"/>
      <c r="F44" s="59"/>
    </row>
    <row r="45" ht="12.75" customHeight="1">
      <c r="A45" s="68"/>
      <c r="B45" s="59"/>
      <c r="C45" s="59"/>
      <c r="D45" s="59"/>
      <c r="E45" s="59"/>
      <c r="F45" s="59"/>
    </row>
    <row r="46" ht="12.75" customHeight="1">
      <c r="A46" s="68"/>
      <c r="B46" s="59"/>
      <c r="C46" s="59"/>
      <c r="D46" s="59"/>
      <c r="E46" s="59"/>
      <c r="F46" s="59"/>
    </row>
    <row r="47" ht="12.75" customHeight="1">
      <c r="A47" s="68"/>
      <c r="B47" s="59"/>
      <c r="C47" s="59"/>
      <c r="D47" s="59"/>
      <c r="E47" s="59"/>
      <c r="F47" s="59"/>
    </row>
    <row r="48" ht="12.75" customHeight="1">
      <c r="A48" s="68"/>
      <c r="B48" s="59"/>
      <c r="C48" s="59"/>
      <c r="D48" s="59"/>
      <c r="E48" s="59"/>
      <c r="F48" s="59"/>
    </row>
    <row r="49" ht="12.75" customHeight="1">
      <c r="A49" s="68"/>
      <c r="B49" s="59"/>
      <c r="C49" s="59"/>
      <c r="D49" s="59"/>
      <c r="E49" s="59"/>
      <c r="F49" s="59"/>
    </row>
    <row r="50" ht="12.75" customHeight="1">
      <c r="A50" s="68"/>
      <c r="B50" s="59"/>
      <c r="C50" s="59"/>
      <c r="D50" s="59"/>
      <c r="E50" s="59"/>
      <c r="F50" s="59"/>
    </row>
    <row r="51" ht="12.75" customHeight="1">
      <c r="A51" s="68"/>
      <c r="B51" s="59"/>
      <c r="C51" s="59"/>
      <c r="D51" s="59"/>
      <c r="E51" s="59"/>
      <c r="F51" s="59"/>
    </row>
    <row r="52" ht="12.75" customHeight="1">
      <c r="A52" s="68"/>
      <c r="B52" s="59"/>
      <c r="C52" s="59"/>
      <c r="D52" s="59"/>
      <c r="E52" s="59"/>
      <c r="F52" s="59"/>
    </row>
    <row r="53" ht="12.75" customHeight="1">
      <c r="A53" s="68"/>
      <c r="B53" s="59"/>
      <c r="C53" s="59"/>
      <c r="D53" s="59"/>
      <c r="E53" s="59"/>
      <c r="F53" s="59"/>
    </row>
    <row r="54" ht="12.75" customHeight="1">
      <c r="A54" s="68"/>
      <c r="B54" s="59"/>
      <c r="C54" s="59"/>
      <c r="D54" s="59"/>
      <c r="E54" s="59"/>
      <c r="F54" s="59"/>
    </row>
    <row r="55" ht="12.75" customHeight="1">
      <c r="A55" s="68"/>
      <c r="B55" s="59"/>
      <c r="C55" s="59"/>
      <c r="D55" s="59"/>
      <c r="E55" s="59"/>
      <c r="F55" s="59"/>
    </row>
    <row r="56" ht="12.75" customHeight="1">
      <c r="A56" s="68"/>
      <c r="B56" s="59"/>
      <c r="C56" s="59"/>
      <c r="D56" s="59"/>
      <c r="E56" s="59"/>
      <c r="F56" s="59"/>
    </row>
    <row r="57" ht="12.75" customHeight="1">
      <c r="A57" s="68"/>
      <c r="B57" s="59"/>
      <c r="C57" s="59"/>
      <c r="D57" s="59"/>
      <c r="E57" s="59"/>
      <c r="F57" s="59"/>
    </row>
    <row r="58" ht="12.75" customHeight="1">
      <c r="A58" s="68"/>
      <c r="B58" s="59"/>
      <c r="C58" s="59"/>
      <c r="D58" s="59"/>
      <c r="E58" s="59"/>
      <c r="F58" s="59"/>
    </row>
    <row r="59" ht="12.75" customHeight="1">
      <c r="A59" s="68"/>
      <c r="B59" s="59"/>
      <c r="C59" s="59"/>
      <c r="D59" s="59"/>
      <c r="E59" s="59"/>
      <c r="F59" s="59"/>
    </row>
    <row r="60" ht="12.75" customHeight="1">
      <c r="A60" s="68"/>
      <c r="B60" s="59"/>
      <c r="C60" s="59"/>
      <c r="D60" s="59"/>
      <c r="E60" s="59"/>
      <c r="F60" s="59"/>
    </row>
    <row r="61" ht="12.75" customHeight="1">
      <c r="A61" s="68"/>
      <c r="B61" s="59"/>
      <c r="C61" s="59"/>
      <c r="D61" s="59"/>
      <c r="E61" s="59"/>
      <c r="F61" s="59"/>
    </row>
    <row r="62" ht="12.75" customHeight="1">
      <c r="A62" s="68"/>
      <c r="B62" s="59"/>
      <c r="C62" s="59"/>
      <c r="D62" s="59"/>
      <c r="E62" s="59"/>
      <c r="F62" s="59"/>
    </row>
    <row r="63" ht="12.75" customHeight="1">
      <c r="A63" s="68"/>
      <c r="B63" s="59"/>
      <c r="C63" s="59"/>
      <c r="D63" s="59"/>
      <c r="E63" s="59"/>
      <c r="F63" s="59"/>
    </row>
    <row r="64" ht="12.75" customHeight="1">
      <c r="A64" s="68"/>
      <c r="B64" s="59"/>
      <c r="C64" s="59"/>
      <c r="D64" s="59"/>
      <c r="E64" s="59"/>
      <c r="F64" s="59"/>
    </row>
    <row r="65" ht="12.75" customHeight="1">
      <c r="A65" s="68"/>
      <c r="B65" s="59"/>
      <c r="C65" s="59"/>
      <c r="D65" s="59"/>
      <c r="E65" s="59"/>
      <c r="F65" s="59"/>
    </row>
    <row r="66" ht="12.75" customHeight="1">
      <c r="A66" s="68"/>
      <c r="B66" s="59"/>
      <c r="C66" s="59"/>
      <c r="D66" s="59"/>
      <c r="E66" s="59"/>
      <c r="F66" s="59"/>
    </row>
    <row r="67" ht="12.75" customHeight="1">
      <c r="A67" s="68"/>
      <c r="B67" s="59"/>
      <c r="C67" s="59"/>
      <c r="D67" s="59"/>
      <c r="E67" s="59"/>
      <c r="F67" s="59"/>
    </row>
    <row r="68" ht="12.75" customHeight="1">
      <c r="A68" s="68"/>
      <c r="B68" s="59"/>
      <c r="C68" s="59"/>
      <c r="D68" s="59"/>
      <c r="E68" s="59"/>
      <c r="F68" s="59"/>
    </row>
    <row r="69" ht="12.75" customHeight="1">
      <c r="A69" s="68"/>
      <c r="B69" s="59"/>
      <c r="C69" s="59"/>
      <c r="D69" s="59"/>
      <c r="E69" s="59"/>
      <c r="F69" s="59"/>
    </row>
    <row r="70" ht="12.75" customHeight="1">
      <c r="A70" s="68"/>
      <c r="B70" s="59"/>
      <c r="C70" s="59"/>
      <c r="D70" s="59"/>
      <c r="E70" s="59"/>
      <c r="F70" s="59"/>
    </row>
    <row r="71" ht="12.75" customHeight="1">
      <c r="A71" s="68"/>
      <c r="B71" s="59"/>
      <c r="C71" s="59"/>
      <c r="D71" s="59"/>
      <c r="E71" s="59"/>
      <c r="F71" s="59"/>
    </row>
    <row r="72" ht="12.75" customHeight="1">
      <c r="A72" s="68"/>
      <c r="B72" s="59"/>
      <c r="C72" s="59"/>
      <c r="D72" s="59"/>
      <c r="E72" s="59"/>
      <c r="F72" s="59"/>
    </row>
    <row r="73" ht="12.75" customHeight="1">
      <c r="A73" s="68"/>
      <c r="B73" s="59"/>
      <c r="C73" s="59"/>
      <c r="D73" s="59"/>
      <c r="E73" s="59"/>
      <c r="F73" s="59"/>
    </row>
    <row r="74" ht="12.75" customHeight="1">
      <c r="A74" s="68"/>
      <c r="B74" s="59"/>
      <c r="C74" s="59"/>
      <c r="D74" s="59"/>
      <c r="E74" s="59"/>
      <c r="F74" s="59"/>
    </row>
    <row r="75" ht="12.75" customHeight="1">
      <c r="A75" s="68"/>
      <c r="B75" s="59"/>
      <c r="C75" s="59"/>
      <c r="D75" s="59"/>
      <c r="E75" s="59"/>
      <c r="F75" s="59"/>
    </row>
    <row r="76" ht="12.75" customHeight="1">
      <c r="A76" s="68"/>
      <c r="B76" s="59"/>
      <c r="C76" s="59"/>
      <c r="D76" s="59"/>
      <c r="E76" s="59"/>
      <c r="F76" s="59"/>
    </row>
    <row r="77" ht="12.75" customHeight="1">
      <c r="A77" s="68"/>
      <c r="B77" s="59"/>
      <c r="C77" s="59"/>
      <c r="D77" s="59"/>
      <c r="E77" s="59"/>
      <c r="F77" s="59"/>
    </row>
    <row r="78" ht="12.75" customHeight="1">
      <c r="A78" s="68"/>
      <c r="B78" s="59"/>
      <c r="C78" s="59"/>
      <c r="D78" s="59"/>
      <c r="E78" s="59"/>
      <c r="F78" s="59"/>
    </row>
    <row r="79" ht="12.75" customHeight="1">
      <c r="A79" s="68"/>
      <c r="B79" s="59"/>
      <c r="C79" s="59"/>
      <c r="D79" s="59"/>
      <c r="E79" s="59"/>
      <c r="F79" s="59"/>
    </row>
    <row r="80" ht="12.75" customHeight="1">
      <c r="A80" s="68"/>
      <c r="B80" s="59"/>
      <c r="C80" s="59"/>
      <c r="D80" s="59"/>
      <c r="E80" s="59"/>
      <c r="F80" s="59"/>
    </row>
    <row r="81" ht="12.75" customHeight="1">
      <c r="A81" s="68"/>
      <c r="B81" s="59"/>
      <c r="C81" s="59"/>
      <c r="D81" s="59"/>
      <c r="E81" s="59"/>
      <c r="F81" s="59"/>
    </row>
    <row r="82" ht="12.75" customHeight="1">
      <c r="A82" s="68"/>
      <c r="B82" s="59"/>
      <c r="C82" s="59"/>
      <c r="D82" s="59"/>
      <c r="E82" s="59"/>
      <c r="F82" s="59"/>
    </row>
    <row r="83" ht="12.75" customHeight="1">
      <c r="A83" s="68"/>
      <c r="B83" s="59"/>
      <c r="C83" s="59"/>
      <c r="D83" s="59"/>
      <c r="E83" s="59"/>
      <c r="F83" s="59"/>
    </row>
    <row r="84" ht="12.75" customHeight="1">
      <c r="A84" s="68"/>
      <c r="B84" s="59"/>
      <c r="C84" s="59"/>
      <c r="D84" s="59"/>
      <c r="E84" s="59"/>
      <c r="F84" s="59"/>
    </row>
    <row r="85" ht="12.75" customHeight="1">
      <c r="A85" s="68"/>
      <c r="B85" s="59"/>
      <c r="C85" s="59"/>
      <c r="D85" s="59"/>
      <c r="E85" s="59"/>
      <c r="F85" s="59"/>
    </row>
    <row r="86" ht="12.75" customHeight="1">
      <c r="A86" s="68"/>
      <c r="B86" s="59"/>
      <c r="C86" s="59"/>
      <c r="D86" s="59"/>
      <c r="E86" s="59"/>
      <c r="F86" s="59"/>
    </row>
    <row r="87" ht="12.75" customHeight="1">
      <c r="A87" s="68"/>
      <c r="B87" s="59"/>
      <c r="C87" s="59"/>
      <c r="D87" s="59"/>
      <c r="E87" s="59"/>
      <c r="F87" s="59"/>
    </row>
    <row r="88" ht="12.75" customHeight="1">
      <c r="A88" s="68"/>
      <c r="B88" s="59"/>
      <c r="C88" s="59"/>
      <c r="D88" s="59"/>
      <c r="E88" s="59"/>
      <c r="F88" s="59"/>
    </row>
    <row r="89" ht="12.75" customHeight="1">
      <c r="A89" s="68"/>
      <c r="B89" s="59"/>
      <c r="C89" s="59"/>
      <c r="D89" s="59"/>
      <c r="E89" s="59"/>
      <c r="F89" s="59"/>
    </row>
    <row r="90" ht="12.75" customHeight="1">
      <c r="A90" s="68"/>
      <c r="B90" s="59"/>
      <c r="C90" s="59"/>
      <c r="D90" s="59"/>
      <c r="E90" s="59"/>
      <c r="F90" s="59"/>
    </row>
    <row r="91" ht="12.75" customHeight="1">
      <c r="A91" s="68"/>
      <c r="B91" s="59"/>
      <c r="C91" s="59"/>
      <c r="D91" s="59"/>
      <c r="E91" s="59"/>
      <c r="F91" s="59"/>
    </row>
    <row r="92" ht="12.75" customHeight="1">
      <c r="A92" s="68"/>
      <c r="B92" s="59"/>
      <c r="C92" s="59"/>
      <c r="D92" s="59"/>
      <c r="E92" s="59"/>
      <c r="F92" s="59"/>
    </row>
    <row r="93" ht="12.75" customHeight="1">
      <c r="A93" s="68"/>
      <c r="B93" s="59"/>
      <c r="C93" s="59"/>
      <c r="D93" s="59"/>
      <c r="E93" s="59"/>
      <c r="F93" s="59"/>
    </row>
    <row r="94" ht="12.75" customHeight="1">
      <c r="A94" s="68"/>
      <c r="B94" s="59"/>
      <c r="C94" s="59"/>
      <c r="D94" s="59"/>
      <c r="E94" s="59"/>
      <c r="F94" s="59"/>
    </row>
    <row r="95" ht="12.75" customHeight="1">
      <c r="A95" s="68"/>
      <c r="B95" s="59"/>
      <c r="C95" s="59"/>
      <c r="D95" s="59"/>
      <c r="E95" s="59"/>
      <c r="F95" s="59"/>
    </row>
    <row r="96" ht="12.75" customHeight="1">
      <c r="A96" s="68"/>
      <c r="B96" s="59"/>
      <c r="C96" s="59"/>
      <c r="D96" s="59"/>
      <c r="E96" s="59"/>
      <c r="F96" s="59"/>
    </row>
    <row r="97" ht="12.75" customHeight="1">
      <c r="A97" s="68"/>
      <c r="B97" s="59"/>
      <c r="C97" s="59"/>
      <c r="D97" s="59"/>
      <c r="E97" s="59"/>
      <c r="F97" s="59"/>
    </row>
    <row r="98" ht="12.75" customHeight="1">
      <c r="A98" s="68"/>
      <c r="B98" s="59"/>
      <c r="C98" s="59"/>
      <c r="D98" s="59"/>
      <c r="E98" s="59"/>
      <c r="F98" s="59"/>
    </row>
    <row r="99" ht="12.75" customHeight="1">
      <c r="A99" s="68"/>
      <c r="B99" s="59"/>
      <c r="C99" s="59"/>
      <c r="D99" s="59"/>
      <c r="E99" s="59"/>
      <c r="F99" s="59"/>
    </row>
    <row r="100" ht="12.75" customHeight="1">
      <c r="A100" s="68"/>
      <c r="B100" s="59"/>
      <c r="C100" s="59"/>
      <c r="D100" s="59"/>
      <c r="E100" s="59"/>
      <c r="F100" s="59"/>
    </row>
    <row r="101" ht="12.75" customHeight="1">
      <c r="A101" s="68"/>
      <c r="B101" s="59"/>
      <c r="C101" s="59"/>
      <c r="D101" s="59"/>
      <c r="E101" s="59"/>
      <c r="F101" s="59"/>
    </row>
    <row r="102" ht="12.75" customHeight="1">
      <c r="A102" s="68"/>
      <c r="B102" s="59"/>
      <c r="C102" s="59"/>
      <c r="D102" s="59"/>
      <c r="E102" s="59"/>
      <c r="F102" s="59"/>
    </row>
    <row r="103" ht="12.75" customHeight="1">
      <c r="A103" s="68"/>
      <c r="B103" s="59"/>
      <c r="C103" s="59"/>
      <c r="D103" s="59"/>
      <c r="E103" s="59"/>
      <c r="F103" s="59"/>
    </row>
    <row r="104" ht="12.75" customHeight="1">
      <c r="A104" s="68"/>
      <c r="B104" s="59"/>
      <c r="C104" s="59"/>
      <c r="D104" s="59"/>
      <c r="E104" s="59"/>
      <c r="F104" s="59"/>
    </row>
    <row r="105" ht="12.75" customHeight="1">
      <c r="A105" s="68"/>
      <c r="B105" s="59"/>
      <c r="C105" s="59"/>
      <c r="D105" s="59"/>
      <c r="E105" s="59"/>
      <c r="F105" s="59"/>
    </row>
    <row r="106" ht="12.75" customHeight="1">
      <c r="A106" s="68"/>
      <c r="B106" s="59"/>
      <c r="C106" s="59"/>
      <c r="D106" s="59"/>
      <c r="E106" s="59"/>
      <c r="F106" s="59"/>
    </row>
    <row r="107" ht="12.75" customHeight="1">
      <c r="A107" s="68"/>
      <c r="B107" s="59"/>
      <c r="C107" s="59"/>
      <c r="D107" s="59"/>
      <c r="E107" s="59"/>
      <c r="F107" s="59"/>
    </row>
    <row r="108" ht="12.75" customHeight="1">
      <c r="A108" s="68"/>
      <c r="B108" s="59"/>
      <c r="C108" s="59"/>
      <c r="D108" s="59"/>
      <c r="E108" s="59"/>
      <c r="F108" s="59"/>
    </row>
    <row r="109" ht="12.75" customHeight="1">
      <c r="A109" s="68"/>
      <c r="B109" s="59"/>
      <c r="C109" s="59"/>
      <c r="D109" s="59"/>
      <c r="E109" s="59"/>
      <c r="F109" s="59"/>
    </row>
    <row r="110" ht="12.75" customHeight="1">
      <c r="A110" s="68"/>
      <c r="B110" s="59"/>
      <c r="C110" s="59"/>
      <c r="D110" s="59"/>
      <c r="E110" s="59"/>
      <c r="F110" s="59"/>
    </row>
    <row r="111" ht="12.75" customHeight="1">
      <c r="A111" s="68"/>
      <c r="B111" s="59"/>
      <c r="C111" s="59"/>
      <c r="D111" s="59"/>
      <c r="E111" s="59"/>
      <c r="F111" s="59"/>
    </row>
    <row r="112" ht="12.75" customHeight="1">
      <c r="A112" s="68"/>
      <c r="B112" s="59"/>
      <c r="C112" s="59"/>
      <c r="D112" s="59"/>
      <c r="E112" s="59"/>
      <c r="F112" s="59"/>
    </row>
    <row r="113" ht="12.75" customHeight="1">
      <c r="A113" s="68"/>
      <c r="B113" s="59"/>
      <c r="C113" s="59"/>
      <c r="D113" s="59"/>
      <c r="E113" s="59"/>
      <c r="F113" s="59"/>
    </row>
    <row r="114" ht="12.75" customHeight="1">
      <c r="A114" s="68"/>
      <c r="B114" s="59"/>
      <c r="C114" s="59"/>
      <c r="D114" s="59"/>
      <c r="E114" s="59"/>
      <c r="F114" s="59"/>
    </row>
    <row r="115" ht="12.75" customHeight="1">
      <c r="A115" s="68"/>
      <c r="B115" s="59"/>
      <c r="C115" s="59"/>
      <c r="D115" s="59"/>
      <c r="E115" s="59"/>
      <c r="F115" s="59"/>
    </row>
    <row r="116" ht="12.75" customHeight="1">
      <c r="A116" s="68"/>
      <c r="B116" s="59"/>
      <c r="C116" s="59"/>
      <c r="D116" s="59"/>
      <c r="E116" s="59"/>
      <c r="F116" s="59"/>
    </row>
    <row r="117" ht="12.75" customHeight="1">
      <c r="A117" s="68"/>
      <c r="B117" s="59"/>
      <c r="C117" s="59"/>
      <c r="D117" s="59"/>
      <c r="E117" s="59"/>
      <c r="F117" s="59"/>
    </row>
    <row r="118" ht="12.75" customHeight="1">
      <c r="A118" s="68"/>
      <c r="B118" s="59"/>
      <c r="C118" s="59"/>
      <c r="D118" s="59"/>
      <c r="E118" s="59"/>
      <c r="F118" s="59"/>
    </row>
    <row r="119" ht="12.75" customHeight="1">
      <c r="A119" s="68"/>
      <c r="B119" s="59"/>
      <c r="C119" s="59"/>
      <c r="D119" s="59"/>
      <c r="E119" s="59"/>
      <c r="F119" s="59"/>
    </row>
    <row r="120" ht="12.75" customHeight="1">
      <c r="A120" s="68"/>
      <c r="B120" s="59"/>
      <c r="C120" s="59"/>
      <c r="D120" s="59"/>
      <c r="E120" s="59"/>
      <c r="F120" s="59"/>
    </row>
    <row r="121" ht="12.75" customHeight="1">
      <c r="A121" s="68"/>
      <c r="B121" s="59"/>
      <c r="C121" s="59"/>
      <c r="D121" s="59"/>
      <c r="E121" s="59"/>
      <c r="F121" s="59"/>
    </row>
    <row r="122" ht="12.75" customHeight="1">
      <c r="A122" s="68"/>
      <c r="B122" s="59"/>
      <c r="C122" s="59"/>
      <c r="D122" s="59"/>
      <c r="E122" s="59"/>
      <c r="F122" s="59"/>
    </row>
    <row r="123" ht="12.75" customHeight="1">
      <c r="A123" s="68"/>
      <c r="B123" s="59"/>
      <c r="C123" s="59"/>
      <c r="D123" s="59"/>
      <c r="E123" s="59"/>
      <c r="F123" s="59"/>
    </row>
    <row r="124" ht="12.75" customHeight="1">
      <c r="A124" s="68"/>
      <c r="B124" s="59"/>
      <c r="C124" s="59"/>
      <c r="D124" s="59"/>
      <c r="E124" s="59"/>
      <c r="F124" s="59"/>
    </row>
    <row r="125" ht="12.75" customHeight="1">
      <c r="A125" s="68"/>
      <c r="B125" s="59"/>
      <c r="C125" s="59"/>
      <c r="D125" s="59"/>
      <c r="E125" s="59"/>
      <c r="F125" s="59"/>
    </row>
    <row r="126" ht="12.75" customHeight="1">
      <c r="A126" s="68"/>
      <c r="B126" s="59"/>
      <c r="C126" s="59"/>
      <c r="D126" s="59"/>
      <c r="E126" s="59"/>
      <c r="F126" s="59"/>
    </row>
    <row r="127" ht="12.75" customHeight="1">
      <c r="A127" s="68"/>
      <c r="B127" s="59"/>
      <c r="C127" s="59"/>
      <c r="D127" s="59"/>
      <c r="E127" s="59"/>
      <c r="F127" s="59"/>
    </row>
    <row r="128" ht="12.75" customHeight="1">
      <c r="A128" s="68"/>
      <c r="B128" s="59"/>
      <c r="C128" s="59"/>
      <c r="D128" s="59"/>
      <c r="E128" s="59"/>
      <c r="F128" s="59"/>
    </row>
    <row r="129" ht="12.75" customHeight="1">
      <c r="A129" s="68"/>
      <c r="B129" s="59"/>
      <c r="C129" s="59"/>
      <c r="D129" s="59"/>
      <c r="E129" s="59"/>
      <c r="F129" s="59"/>
    </row>
    <row r="130" ht="12.75" customHeight="1">
      <c r="A130" s="68"/>
      <c r="B130" s="59"/>
      <c r="C130" s="59"/>
      <c r="D130" s="59"/>
      <c r="E130" s="59"/>
      <c r="F130" s="59"/>
    </row>
    <row r="131" ht="12.75" customHeight="1">
      <c r="A131" s="68"/>
      <c r="B131" s="59"/>
      <c r="C131" s="59"/>
      <c r="D131" s="59"/>
      <c r="E131" s="59"/>
      <c r="F131" s="59"/>
    </row>
    <row r="132" ht="12.75" customHeight="1">
      <c r="A132" s="68"/>
      <c r="B132" s="59"/>
      <c r="C132" s="59"/>
      <c r="D132" s="59"/>
      <c r="E132" s="59"/>
      <c r="F132" s="59"/>
    </row>
    <row r="133" ht="12.75" customHeight="1">
      <c r="A133" s="68"/>
      <c r="B133" s="59"/>
      <c r="C133" s="59"/>
      <c r="D133" s="59"/>
      <c r="E133" s="59"/>
      <c r="F133" s="59"/>
    </row>
    <row r="134" ht="12.75" customHeight="1">
      <c r="A134" s="68"/>
      <c r="B134" s="59"/>
      <c r="C134" s="59"/>
      <c r="D134" s="59"/>
      <c r="E134" s="59"/>
      <c r="F134" s="59"/>
    </row>
    <row r="135" ht="12.75" customHeight="1">
      <c r="A135" s="68"/>
      <c r="B135" s="59"/>
      <c r="C135" s="59"/>
      <c r="D135" s="59"/>
      <c r="E135" s="59"/>
      <c r="F135" s="59"/>
    </row>
    <row r="136" ht="12.75" customHeight="1">
      <c r="A136" s="68"/>
      <c r="B136" s="59"/>
      <c r="C136" s="59"/>
      <c r="D136" s="59"/>
      <c r="E136" s="59"/>
      <c r="F136" s="59"/>
    </row>
    <row r="137" ht="12.75" customHeight="1">
      <c r="A137" s="68"/>
      <c r="B137" s="59"/>
      <c r="C137" s="59"/>
      <c r="D137" s="59"/>
      <c r="E137" s="59"/>
      <c r="F137" s="59"/>
    </row>
    <row r="138" ht="12.75" customHeight="1">
      <c r="A138" s="68"/>
      <c r="B138" s="59"/>
      <c r="C138" s="59"/>
      <c r="D138" s="59"/>
      <c r="E138" s="59"/>
      <c r="F138" s="59"/>
    </row>
    <row r="139" ht="12.75" customHeight="1">
      <c r="A139" s="68"/>
      <c r="B139" s="59"/>
      <c r="C139" s="59"/>
      <c r="D139" s="59"/>
      <c r="E139" s="59"/>
      <c r="F139" s="59"/>
    </row>
    <row r="140" ht="12.75" customHeight="1">
      <c r="A140" s="68"/>
      <c r="B140" s="59"/>
      <c r="C140" s="59"/>
      <c r="D140" s="59"/>
      <c r="E140" s="59"/>
      <c r="F140" s="59"/>
    </row>
    <row r="141" ht="12.75" customHeight="1">
      <c r="A141" s="68"/>
      <c r="B141" s="59"/>
      <c r="C141" s="59"/>
      <c r="D141" s="59"/>
      <c r="E141" s="59"/>
      <c r="F141" s="59"/>
    </row>
    <row r="142" ht="12.75" customHeight="1">
      <c r="A142" s="68"/>
      <c r="B142" s="59"/>
      <c r="C142" s="59"/>
      <c r="D142" s="59"/>
      <c r="E142" s="59"/>
      <c r="F142" s="59"/>
    </row>
    <row r="143" ht="12.75" customHeight="1">
      <c r="A143" s="68"/>
      <c r="B143" s="59"/>
      <c r="C143" s="59"/>
      <c r="D143" s="59"/>
      <c r="E143" s="59"/>
      <c r="F143" s="59"/>
    </row>
    <row r="144" ht="12.75" customHeight="1">
      <c r="A144" s="68"/>
      <c r="B144" s="59"/>
      <c r="C144" s="59"/>
      <c r="D144" s="59"/>
      <c r="E144" s="59"/>
      <c r="F144" s="59"/>
    </row>
    <row r="145" ht="12.75" customHeight="1">
      <c r="A145" s="68"/>
      <c r="B145" s="59"/>
      <c r="C145" s="59"/>
      <c r="D145" s="59"/>
      <c r="E145" s="59"/>
      <c r="F145" s="59"/>
    </row>
    <row r="146" ht="12.75" customHeight="1">
      <c r="A146" s="68"/>
      <c r="B146" s="59"/>
      <c r="C146" s="59"/>
      <c r="D146" s="59"/>
      <c r="E146" s="59"/>
      <c r="F146" s="59"/>
    </row>
    <row r="147" ht="12.75" customHeight="1">
      <c r="A147" s="68"/>
      <c r="B147" s="59"/>
      <c r="C147" s="59"/>
      <c r="D147" s="59"/>
      <c r="E147" s="59"/>
      <c r="F147" s="59"/>
    </row>
    <row r="148" ht="12.75" customHeight="1">
      <c r="A148" s="68"/>
      <c r="B148" s="59"/>
      <c r="C148" s="59"/>
      <c r="D148" s="59"/>
      <c r="E148" s="59"/>
      <c r="F148" s="59"/>
    </row>
    <row r="149" ht="12.75" customHeight="1">
      <c r="A149" s="68"/>
      <c r="B149" s="59"/>
      <c r="C149" s="59"/>
      <c r="D149" s="59"/>
      <c r="E149" s="59"/>
      <c r="F149" s="59"/>
    </row>
    <row r="150" ht="12.75" customHeight="1">
      <c r="A150" s="68"/>
      <c r="B150" s="59"/>
      <c r="C150" s="59"/>
      <c r="D150" s="59"/>
      <c r="E150" s="59"/>
      <c r="F150" s="59"/>
    </row>
    <row r="151" ht="12.75" customHeight="1">
      <c r="A151" s="68"/>
      <c r="B151" s="59"/>
      <c r="C151" s="59"/>
      <c r="D151" s="59"/>
      <c r="E151" s="59"/>
      <c r="F151" s="59"/>
    </row>
    <row r="152" ht="12.75" customHeight="1">
      <c r="A152" s="68"/>
      <c r="B152" s="59"/>
      <c r="C152" s="59"/>
      <c r="D152" s="59"/>
      <c r="E152" s="59"/>
      <c r="F152" s="59"/>
    </row>
    <row r="153" ht="12.75" customHeight="1">
      <c r="A153" s="68"/>
      <c r="B153" s="59"/>
      <c r="C153" s="59"/>
      <c r="D153" s="59"/>
      <c r="E153" s="59"/>
      <c r="F153" s="59"/>
    </row>
    <row r="154" ht="12.75" customHeight="1">
      <c r="A154" s="68"/>
      <c r="B154" s="59"/>
      <c r="C154" s="59"/>
      <c r="D154" s="59"/>
      <c r="E154" s="59"/>
      <c r="F154" s="59"/>
    </row>
    <row r="155" ht="12.75" customHeight="1">
      <c r="A155" s="68"/>
      <c r="B155" s="59"/>
      <c r="C155" s="59"/>
      <c r="D155" s="59"/>
      <c r="E155" s="59"/>
      <c r="F155" s="59"/>
    </row>
    <row r="156" ht="12.75" customHeight="1">
      <c r="A156" s="68"/>
      <c r="B156" s="59"/>
      <c r="C156" s="59"/>
      <c r="D156" s="59"/>
      <c r="E156" s="59"/>
      <c r="F156" s="59"/>
    </row>
    <row r="157" ht="12.75" customHeight="1">
      <c r="A157" s="68"/>
      <c r="B157" s="59"/>
      <c r="C157" s="59"/>
      <c r="D157" s="59"/>
      <c r="E157" s="59"/>
      <c r="F157" s="59"/>
    </row>
    <row r="158" ht="12.75" customHeight="1">
      <c r="A158" s="68"/>
      <c r="B158" s="59"/>
      <c r="C158" s="59"/>
      <c r="D158" s="59"/>
      <c r="E158" s="59"/>
      <c r="F158" s="59"/>
    </row>
    <row r="159" ht="12.75" customHeight="1">
      <c r="A159" s="68"/>
      <c r="B159" s="59"/>
      <c r="C159" s="59"/>
      <c r="D159" s="59"/>
      <c r="E159" s="59"/>
      <c r="F159" s="59"/>
    </row>
    <row r="160" ht="12.75" customHeight="1">
      <c r="A160" s="68"/>
      <c r="B160" s="59"/>
      <c r="C160" s="59"/>
      <c r="D160" s="59"/>
      <c r="E160" s="59"/>
      <c r="F160" s="59"/>
    </row>
    <row r="161" ht="12.75" customHeight="1">
      <c r="A161" s="68"/>
      <c r="B161" s="59"/>
      <c r="C161" s="59"/>
      <c r="D161" s="59"/>
      <c r="E161" s="59"/>
      <c r="F161" s="59"/>
    </row>
    <row r="162" ht="12.75" customHeight="1">
      <c r="A162" s="68"/>
      <c r="B162" s="59"/>
      <c r="C162" s="59"/>
      <c r="D162" s="59"/>
      <c r="E162" s="59"/>
      <c r="F162" s="59"/>
    </row>
    <row r="163" ht="12.75" customHeight="1">
      <c r="A163" s="68"/>
      <c r="B163" s="59"/>
      <c r="C163" s="59"/>
      <c r="D163" s="59"/>
      <c r="E163" s="59"/>
      <c r="F163" s="59"/>
    </row>
    <row r="164" ht="12.75" customHeight="1">
      <c r="A164" s="68"/>
      <c r="B164" s="59"/>
      <c r="C164" s="59"/>
      <c r="D164" s="59"/>
      <c r="E164" s="59"/>
      <c r="F164" s="59"/>
    </row>
    <row r="165" ht="12.75" customHeight="1">
      <c r="A165" s="68"/>
      <c r="B165" s="59"/>
      <c r="C165" s="59"/>
      <c r="D165" s="59"/>
      <c r="E165" s="59"/>
      <c r="F165" s="59"/>
    </row>
    <row r="166" ht="12.75" customHeight="1">
      <c r="A166" s="68"/>
      <c r="B166" s="59"/>
      <c r="C166" s="59"/>
      <c r="D166" s="59"/>
      <c r="E166" s="59"/>
      <c r="F166" s="59"/>
    </row>
    <row r="167" ht="12.75" customHeight="1">
      <c r="A167" s="68"/>
      <c r="B167" s="59"/>
      <c r="C167" s="59"/>
      <c r="D167" s="59"/>
      <c r="E167" s="59"/>
      <c r="F167" s="59"/>
    </row>
    <row r="168" ht="12.75" customHeight="1">
      <c r="A168" s="68"/>
      <c r="B168" s="59"/>
      <c r="C168" s="59"/>
      <c r="D168" s="59"/>
      <c r="E168" s="59"/>
      <c r="F168" s="59"/>
    </row>
    <row r="169" ht="12.75" customHeight="1">
      <c r="A169" s="68"/>
      <c r="B169" s="59"/>
      <c r="C169" s="59"/>
      <c r="D169" s="59"/>
      <c r="E169" s="59"/>
      <c r="F169" s="59"/>
    </row>
    <row r="170" ht="12.75" customHeight="1">
      <c r="A170" s="68"/>
      <c r="B170" s="59"/>
      <c r="C170" s="59"/>
      <c r="D170" s="59"/>
      <c r="E170" s="59"/>
      <c r="F170" s="59"/>
    </row>
    <row r="171" ht="12.75" customHeight="1">
      <c r="A171" s="68"/>
      <c r="B171" s="59"/>
      <c r="C171" s="59"/>
      <c r="D171" s="59"/>
      <c r="E171" s="59"/>
      <c r="F171" s="59"/>
    </row>
    <row r="172" ht="12.75" customHeight="1">
      <c r="A172" s="68"/>
      <c r="B172" s="59"/>
      <c r="C172" s="59"/>
      <c r="D172" s="59"/>
      <c r="E172" s="59"/>
      <c r="F172" s="59"/>
    </row>
    <row r="173" ht="12.75" customHeight="1">
      <c r="A173" s="68"/>
      <c r="B173" s="59"/>
      <c r="C173" s="59"/>
      <c r="D173" s="59"/>
      <c r="E173" s="59"/>
      <c r="F173" s="59"/>
    </row>
    <row r="174" ht="12.75" customHeight="1">
      <c r="A174" s="68"/>
      <c r="B174" s="59"/>
      <c r="C174" s="59"/>
      <c r="D174" s="59"/>
      <c r="E174" s="59"/>
      <c r="F174" s="59"/>
    </row>
    <row r="175" ht="12.75" customHeight="1">
      <c r="A175" s="68"/>
      <c r="B175" s="59"/>
      <c r="C175" s="59"/>
      <c r="D175" s="59"/>
      <c r="E175" s="59"/>
      <c r="F175" s="59"/>
    </row>
    <row r="176" ht="12.75" customHeight="1">
      <c r="A176" s="68"/>
      <c r="B176" s="59"/>
      <c r="C176" s="59"/>
      <c r="D176" s="59"/>
      <c r="E176" s="59"/>
      <c r="F176" s="59"/>
    </row>
    <row r="177" ht="12.75" customHeight="1">
      <c r="A177" s="68"/>
      <c r="B177" s="59"/>
      <c r="C177" s="59"/>
      <c r="D177" s="59"/>
      <c r="E177" s="59"/>
      <c r="F177" s="59"/>
    </row>
    <row r="178" ht="12.75" customHeight="1">
      <c r="A178" s="68"/>
      <c r="B178" s="59"/>
      <c r="C178" s="59"/>
      <c r="D178" s="59"/>
      <c r="E178" s="59"/>
      <c r="F178" s="59"/>
    </row>
    <row r="179" ht="12.75" customHeight="1">
      <c r="A179" s="68"/>
      <c r="B179" s="59"/>
      <c r="C179" s="59"/>
      <c r="D179" s="59"/>
      <c r="E179" s="59"/>
      <c r="F179" s="59"/>
    </row>
    <row r="180" ht="12.75" customHeight="1">
      <c r="A180" s="68"/>
      <c r="B180" s="59"/>
      <c r="C180" s="59"/>
      <c r="D180" s="59"/>
      <c r="E180" s="59"/>
      <c r="F180" s="59"/>
    </row>
    <row r="181" ht="12.75" customHeight="1">
      <c r="A181" s="68"/>
      <c r="B181" s="59"/>
      <c r="C181" s="59"/>
      <c r="D181" s="59"/>
      <c r="E181" s="59"/>
      <c r="F181" s="59"/>
    </row>
    <row r="182" ht="12.75" customHeight="1">
      <c r="A182" s="68"/>
      <c r="B182" s="59"/>
      <c r="C182" s="59"/>
      <c r="D182" s="59"/>
      <c r="E182" s="59"/>
      <c r="F182" s="59"/>
    </row>
    <row r="183" ht="12.75" customHeight="1">
      <c r="A183" s="68"/>
      <c r="B183" s="59"/>
      <c r="C183" s="59"/>
      <c r="D183" s="59"/>
      <c r="E183" s="59"/>
      <c r="F183" s="59"/>
    </row>
    <row r="184" ht="12.75" customHeight="1">
      <c r="A184" s="68"/>
      <c r="B184" s="59"/>
      <c r="C184" s="59"/>
      <c r="D184" s="59"/>
      <c r="E184" s="59"/>
      <c r="F184" s="59"/>
    </row>
    <row r="185" ht="12.75" customHeight="1">
      <c r="A185" s="68"/>
      <c r="B185" s="59"/>
      <c r="C185" s="59"/>
      <c r="D185" s="59"/>
      <c r="E185" s="59"/>
      <c r="F185" s="59"/>
    </row>
    <row r="186" ht="12.75" customHeight="1">
      <c r="A186" s="68"/>
      <c r="B186" s="59"/>
      <c r="C186" s="59"/>
      <c r="D186" s="59"/>
      <c r="E186" s="59"/>
      <c r="F186" s="59"/>
    </row>
    <row r="187" ht="12.75" customHeight="1">
      <c r="A187" s="68"/>
      <c r="B187" s="59"/>
      <c r="C187" s="59"/>
      <c r="D187" s="59"/>
      <c r="E187" s="59"/>
      <c r="F187" s="59"/>
    </row>
    <row r="188" ht="12.75" customHeight="1">
      <c r="A188" s="68"/>
      <c r="B188" s="59"/>
      <c r="C188" s="59"/>
      <c r="D188" s="59"/>
      <c r="E188" s="59"/>
      <c r="F188" s="59"/>
    </row>
    <row r="189" ht="12.75" customHeight="1">
      <c r="A189" s="68"/>
      <c r="B189" s="59"/>
      <c r="C189" s="59"/>
      <c r="D189" s="59"/>
      <c r="E189" s="59"/>
      <c r="F189" s="59"/>
    </row>
    <row r="190" ht="12.75" customHeight="1">
      <c r="A190" s="68"/>
      <c r="B190" s="59"/>
      <c r="C190" s="59"/>
      <c r="D190" s="59"/>
      <c r="E190" s="59"/>
      <c r="F190" s="59"/>
    </row>
    <row r="191" ht="12.75" customHeight="1">
      <c r="A191" s="68"/>
      <c r="B191" s="59"/>
      <c r="C191" s="59"/>
      <c r="D191" s="59"/>
      <c r="E191" s="59"/>
      <c r="F191" s="59"/>
    </row>
    <row r="192" ht="12.75" customHeight="1">
      <c r="A192" s="68"/>
      <c r="B192" s="59"/>
      <c r="C192" s="59"/>
      <c r="D192" s="59"/>
      <c r="E192" s="59"/>
      <c r="F192" s="59"/>
    </row>
    <row r="193" ht="12.75" customHeight="1">
      <c r="A193" s="68"/>
      <c r="B193" s="59"/>
      <c r="C193" s="59"/>
      <c r="D193" s="59"/>
      <c r="E193" s="59"/>
      <c r="F193" s="59"/>
    </row>
    <row r="194" ht="12.75" customHeight="1">
      <c r="A194" s="68"/>
      <c r="B194" s="59"/>
      <c r="C194" s="59"/>
      <c r="D194" s="59"/>
      <c r="E194" s="59"/>
      <c r="F194" s="59"/>
    </row>
    <row r="195" ht="12.75" customHeight="1">
      <c r="A195" s="68"/>
      <c r="B195" s="59"/>
      <c r="C195" s="59"/>
      <c r="D195" s="59"/>
      <c r="E195" s="59"/>
      <c r="F195" s="59"/>
    </row>
    <row r="196" ht="12.75" customHeight="1">
      <c r="A196" s="68"/>
      <c r="B196" s="59"/>
      <c r="C196" s="59"/>
      <c r="D196" s="59"/>
      <c r="E196" s="59"/>
      <c r="F196" s="59"/>
    </row>
    <row r="197" ht="12.75" customHeight="1">
      <c r="A197" s="68"/>
      <c r="B197" s="59"/>
      <c r="C197" s="59"/>
      <c r="D197" s="59"/>
      <c r="E197" s="59"/>
      <c r="F197" s="59"/>
    </row>
    <row r="198" ht="12.75" customHeight="1">
      <c r="A198" s="68"/>
      <c r="B198" s="59"/>
      <c r="C198" s="59"/>
      <c r="D198" s="59"/>
      <c r="E198" s="59"/>
      <c r="F198" s="59"/>
    </row>
    <row r="199" ht="12.75" customHeight="1">
      <c r="A199" s="68"/>
      <c r="B199" s="59"/>
      <c r="C199" s="59"/>
      <c r="D199" s="59"/>
      <c r="E199" s="59"/>
      <c r="F199" s="59"/>
    </row>
    <row r="200" ht="12.75" customHeight="1">
      <c r="A200" s="68"/>
      <c r="B200" s="59"/>
      <c r="C200" s="59"/>
      <c r="D200" s="59"/>
      <c r="E200" s="59"/>
      <c r="F200" s="59"/>
    </row>
    <row r="201" ht="12.75" customHeight="1">
      <c r="A201" s="68"/>
      <c r="B201" s="59"/>
      <c r="C201" s="59"/>
      <c r="D201" s="59"/>
      <c r="E201" s="59"/>
      <c r="F201" s="59"/>
    </row>
    <row r="202" ht="12.75" customHeight="1">
      <c r="A202" s="68"/>
      <c r="B202" s="59"/>
      <c r="C202" s="59"/>
      <c r="D202" s="59"/>
      <c r="E202" s="59"/>
      <c r="F202" s="59"/>
    </row>
    <row r="203" ht="12.75" customHeight="1">
      <c r="A203" s="68"/>
      <c r="B203" s="59"/>
      <c r="C203" s="59"/>
      <c r="D203" s="59"/>
      <c r="E203" s="59"/>
      <c r="F203" s="59"/>
    </row>
    <row r="204" ht="12.75" customHeight="1">
      <c r="A204" s="68"/>
      <c r="B204" s="59"/>
      <c r="C204" s="59"/>
      <c r="D204" s="59"/>
      <c r="E204" s="59"/>
      <c r="F204" s="59"/>
    </row>
    <row r="205" ht="12.75" customHeight="1">
      <c r="A205" s="68"/>
      <c r="B205" s="59"/>
      <c r="C205" s="59"/>
      <c r="D205" s="59"/>
      <c r="E205" s="59"/>
      <c r="F205" s="59"/>
    </row>
    <row r="206" ht="12.75" customHeight="1">
      <c r="A206" s="68"/>
      <c r="B206" s="59"/>
      <c r="C206" s="59"/>
      <c r="D206" s="59"/>
      <c r="E206" s="59"/>
      <c r="F206" s="59"/>
    </row>
    <row r="207" ht="12.75" customHeight="1">
      <c r="A207" s="68"/>
      <c r="B207" s="59"/>
      <c r="C207" s="59"/>
      <c r="D207" s="59"/>
      <c r="E207" s="59"/>
      <c r="F207" s="59"/>
    </row>
    <row r="208" ht="12.75" customHeight="1">
      <c r="A208" s="68"/>
      <c r="B208" s="59"/>
      <c r="C208" s="59"/>
      <c r="D208" s="59"/>
      <c r="E208" s="59"/>
      <c r="F208" s="59"/>
    </row>
    <row r="209" ht="12.75" customHeight="1">
      <c r="A209" s="68"/>
      <c r="B209" s="59"/>
      <c r="C209" s="59"/>
      <c r="D209" s="59"/>
      <c r="E209" s="59"/>
      <c r="F209" s="59"/>
    </row>
    <row r="210" ht="12.75" customHeight="1">
      <c r="A210" s="68"/>
      <c r="B210" s="59"/>
      <c r="C210" s="59"/>
      <c r="D210" s="59"/>
      <c r="E210" s="59"/>
      <c r="F210" s="59"/>
    </row>
    <row r="211" ht="12.75" customHeight="1">
      <c r="A211" s="68"/>
      <c r="B211" s="59"/>
      <c r="C211" s="59"/>
      <c r="D211" s="59"/>
      <c r="E211" s="59"/>
      <c r="F211" s="59"/>
    </row>
    <row r="212" ht="12.75" customHeight="1">
      <c r="A212" s="68"/>
      <c r="B212" s="59"/>
      <c r="C212" s="59"/>
      <c r="D212" s="59"/>
      <c r="E212" s="59"/>
      <c r="F212" s="59"/>
    </row>
    <row r="213" ht="12.75" customHeight="1">
      <c r="A213" s="68"/>
      <c r="B213" s="59"/>
      <c r="C213" s="59"/>
      <c r="D213" s="59"/>
      <c r="E213" s="59"/>
      <c r="F213" s="59"/>
    </row>
    <row r="214" ht="12.75" customHeight="1">
      <c r="A214" s="68"/>
      <c r="B214" s="59"/>
      <c r="C214" s="59"/>
      <c r="D214" s="59"/>
      <c r="E214" s="59"/>
      <c r="F214" s="59"/>
    </row>
    <row r="215" ht="12.75" customHeight="1">
      <c r="A215" s="68"/>
      <c r="B215" s="59"/>
      <c r="C215" s="59"/>
      <c r="D215" s="59"/>
      <c r="E215" s="59"/>
      <c r="F215" s="59"/>
    </row>
    <row r="216" ht="12.75" customHeight="1">
      <c r="A216" s="68"/>
      <c r="B216" s="59"/>
      <c r="C216" s="59"/>
      <c r="D216" s="59"/>
      <c r="E216" s="59"/>
      <c r="F216" s="59"/>
    </row>
    <row r="217" ht="12.75" customHeight="1">
      <c r="A217" s="68"/>
      <c r="B217" s="59"/>
      <c r="C217" s="59"/>
      <c r="D217" s="59"/>
      <c r="E217" s="59"/>
      <c r="F217" s="59"/>
    </row>
    <row r="218" ht="12.75" customHeight="1">
      <c r="A218" s="68"/>
      <c r="B218" s="59"/>
      <c r="C218" s="59"/>
      <c r="D218" s="59"/>
      <c r="E218" s="59"/>
      <c r="F218" s="59"/>
    </row>
    <row r="219" ht="12.75" customHeight="1">
      <c r="A219" s="68"/>
      <c r="B219" s="59"/>
      <c r="C219" s="59"/>
      <c r="D219" s="59"/>
      <c r="E219" s="59"/>
      <c r="F219" s="59"/>
    </row>
    <row r="220" ht="12.75" customHeight="1">
      <c r="A220" s="68"/>
      <c r="B220" s="59"/>
      <c r="C220" s="59"/>
      <c r="D220" s="59"/>
      <c r="E220" s="59"/>
      <c r="F220" s="59"/>
    </row>
    <row r="221" ht="12.75" customHeight="1">
      <c r="A221" s="68"/>
      <c r="B221" s="59"/>
      <c r="C221" s="59"/>
      <c r="D221" s="59"/>
      <c r="E221" s="59"/>
      <c r="F221" s="59"/>
    </row>
    <row r="222" ht="12.75" customHeight="1">
      <c r="A222" s="68"/>
      <c r="B222" s="59"/>
      <c r="C222" s="59"/>
      <c r="D222" s="59"/>
      <c r="E222" s="59"/>
      <c r="F222" s="59"/>
    </row>
    <row r="223" ht="12.75" customHeight="1">
      <c r="A223" s="68"/>
      <c r="B223" s="59"/>
      <c r="C223" s="59"/>
      <c r="D223" s="59"/>
      <c r="E223" s="59"/>
      <c r="F223" s="59"/>
    </row>
    <row r="224" ht="12.75" customHeight="1">
      <c r="A224" s="68"/>
      <c r="B224" s="59"/>
      <c r="C224" s="59"/>
      <c r="D224" s="59"/>
      <c r="E224" s="59"/>
      <c r="F224" s="59"/>
    </row>
    <row r="225" ht="12.75" customHeight="1">
      <c r="A225" s="68"/>
      <c r="B225" s="59"/>
      <c r="C225" s="59"/>
      <c r="D225" s="59"/>
      <c r="E225" s="59"/>
      <c r="F225" s="59"/>
    </row>
    <row r="226" ht="12.75" customHeight="1">
      <c r="A226" s="68"/>
      <c r="B226" s="59"/>
      <c r="C226" s="59"/>
      <c r="D226" s="59"/>
      <c r="E226" s="59"/>
      <c r="F226" s="59"/>
    </row>
    <row r="227" ht="12.75" customHeight="1">
      <c r="A227" s="68"/>
      <c r="B227" s="59"/>
      <c r="C227" s="59"/>
      <c r="D227" s="59"/>
      <c r="E227" s="59"/>
      <c r="F227" s="59"/>
    </row>
    <row r="228" ht="12.75" customHeight="1">
      <c r="A228" s="68"/>
      <c r="B228" s="59"/>
      <c r="C228" s="59"/>
      <c r="D228" s="59"/>
      <c r="E228" s="59"/>
      <c r="F228" s="59"/>
    </row>
    <row r="229" ht="12.75" customHeight="1">
      <c r="A229" s="68"/>
      <c r="B229" s="59"/>
      <c r="C229" s="59"/>
      <c r="D229" s="59"/>
      <c r="E229" s="59"/>
      <c r="F229" s="59"/>
    </row>
    <row r="230" ht="12.75" customHeight="1">
      <c r="A230" s="68"/>
      <c r="B230" s="59"/>
      <c r="C230" s="59"/>
      <c r="D230" s="59"/>
      <c r="E230" s="59"/>
      <c r="F230" s="59"/>
    </row>
    <row r="231" ht="12.75" customHeight="1">
      <c r="A231" s="68"/>
      <c r="B231" s="59"/>
      <c r="C231" s="59"/>
      <c r="D231" s="59"/>
      <c r="E231" s="59"/>
      <c r="F231" s="59"/>
    </row>
    <row r="232" ht="12.75" customHeight="1">
      <c r="A232" s="68"/>
      <c r="B232" s="59"/>
      <c r="C232" s="59"/>
      <c r="D232" s="59"/>
      <c r="E232" s="59"/>
      <c r="F232" s="59"/>
    </row>
    <row r="233" ht="12.75" customHeight="1">
      <c r="A233" s="68"/>
      <c r="B233" s="59"/>
      <c r="C233" s="59"/>
      <c r="D233" s="59"/>
      <c r="E233" s="59"/>
      <c r="F233" s="59"/>
    </row>
    <row r="234" ht="12.75" customHeight="1">
      <c r="A234" s="68"/>
      <c r="B234" s="59"/>
      <c r="C234" s="59"/>
      <c r="D234" s="59"/>
      <c r="E234" s="59"/>
      <c r="F234" s="59"/>
    </row>
    <row r="235" ht="12.75" customHeight="1">
      <c r="A235" s="68"/>
      <c r="B235" s="59"/>
      <c r="C235" s="59"/>
      <c r="D235" s="59"/>
      <c r="E235" s="59"/>
      <c r="F235" s="59"/>
    </row>
    <row r="236" ht="12.75" customHeight="1">
      <c r="A236" s="68"/>
      <c r="B236" s="59"/>
      <c r="C236" s="59"/>
      <c r="D236" s="59"/>
      <c r="E236" s="59"/>
      <c r="F236" s="59"/>
    </row>
    <row r="237" ht="12.75" customHeight="1">
      <c r="A237" s="68"/>
      <c r="B237" s="59"/>
      <c r="C237" s="59"/>
      <c r="D237" s="59"/>
      <c r="E237" s="59"/>
      <c r="F237" s="59"/>
    </row>
    <row r="238" ht="12.75" customHeight="1">
      <c r="A238" s="68"/>
      <c r="B238" s="59"/>
      <c r="C238" s="59"/>
      <c r="D238" s="59"/>
      <c r="E238" s="59"/>
      <c r="F238" s="59"/>
    </row>
    <row r="239" ht="12.75" customHeight="1">
      <c r="A239" s="68"/>
      <c r="B239" s="59"/>
      <c r="C239" s="59"/>
      <c r="D239" s="59"/>
      <c r="E239" s="59"/>
      <c r="F239" s="59"/>
    </row>
    <row r="240" ht="12.75" customHeight="1">
      <c r="A240" s="68"/>
      <c r="B240" s="59"/>
      <c r="C240" s="59"/>
      <c r="D240" s="59"/>
      <c r="E240" s="59"/>
      <c r="F240" s="59"/>
    </row>
    <row r="241" ht="12.75" customHeight="1">
      <c r="A241" s="68"/>
      <c r="B241" s="59"/>
      <c r="C241" s="59"/>
      <c r="D241" s="59"/>
      <c r="E241" s="59"/>
      <c r="F241" s="59"/>
    </row>
    <row r="242" ht="12.75" customHeight="1">
      <c r="A242" s="68"/>
      <c r="B242" s="59"/>
      <c r="C242" s="59"/>
      <c r="D242" s="59"/>
      <c r="E242" s="59"/>
      <c r="F242" s="59"/>
    </row>
    <row r="243" ht="12.75" customHeight="1">
      <c r="A243" s="68"/>
      <c r="B243" s="59"/>
      <c r="C243" s="59"/>
      <c r="D243" s="59"/>
      <c r="E243" s="59"/>
      <c r="F243" s="59"/>
    </row>
    <row r="244" ht="12.75" customHeight="1">
      <c r="A244" s="68"/>
      <c r="B244" s="59"/>
      <c r="C244" s="59"/>
      <c r="D244" s="59"/>
      <c r="E244" s="59"/>
      <c r="F244" s="59"/>
    </row>
    <row r="245" ht="12.75" customHeight="1">
      <c r="A245" s="68"/>
      <c r="B245" s="59"/>
      <c r="C245" s="59"/>
      <c r="D245" s="59"/>
      <c r="E245" s="59"/>
      <c r="F245" s="59"/>
    </row>
    <row r="246" ht="12.75" customHeight="1">
      <c r="A246" s="68"/>
      <c r="B246" s="59"/>
      <c r="C246" s="59"/>
      <c r="D246" s="59"/>
      <c r="E246" s="59"/>
      <c r="F246" s="59"/>
    </row>
    <row r="247" ht="12.75" customHeight="1">
      <c r="A247" s="68"/>
      <c r="B247" s="59"/>
      <c r="C247" s="59"/>
      <c r="D247" s="59"/>
      <c r="E247" s="59"/>
      <c r="F247" s="59"/>
    </row>
    <row r="248" ht="12.75" customHeight="1">
      <c r="A248" s="68"/>
      <c r="B248" s="59"/>
      <c r="C248" s="59"/>
      <c r="D248" s="59"/>
      <c r="E248" s="59"/>
      <c r="F248" s="59"/>
    </row>
    <row r="249" ht="12.75" customHeight="1">
      <c r="A249" s="68"/>
      <c r="B249" s="59"/>
      <c r="C249" s="59"/>
      <c r="D249" s="59"/>
      <c r="E249" s="59"/>
      <c r="F249" s="59"/>
    </row>
    <row r="250" ht="12.75" customHeight="1">
      <c r="A250" s="68"/>
      <c r="B250" s="59"/>
      <c r="C250" s="59"/>
      <c r="D250" s="59"/>
      <c r="E250" s="59"/>
      <c r="F250" s="59"/>
    </row>
    <row r="251" ht="12.75" customHeight="1">
      <c r="A251" s="68"/>
      <c r="B251" s="59"/>
      <c r="C251" s="59"/>
      <c r="D251" s="59"/>
      <c r="E251" s="59"/>
      <c r="F251" s="59"/>
    </row>
    <row r="252" ht="12.75" customHeight="1">
      <c r="A252" s="68"/>
      <c r="B252" s="59"/>
      <c r="C252" s="59"/>
      <c r="D252" s="59"/>
      <c r="E252" s="59"/>
      <c r="F252" s="59"/>
    </row>
    <row r="253" ht="12.75" customHeight="1">
      <c r="A253" s="68"/>
      <c r="B253" s="59"/>
      <c r="C253" s="59"/>
      <c r="D253" s="59"/>
      <c r="E253" s="59"/>
      <c r="F253" s="59"/>
    </row>
    <row r="254" ht="12.75" customHeight="1">
      <c r="A254" s="68"/>
      <c r="B254" s="59"/>
      <c r="C254" s="59"/>
      <c r="D254" s="59"/>
      <c r="E254" s="59"/>
      <c r="F254" s="59"/>
    </row>
    <row r="255" ht="12.75" customHeight="1">
      <c r="A255" s="68"/>
      <c r="B255" s="59"/>
      <c r="C255" s="59"/>
      <c r="D255" s="59"/>
      <c r="E255" s="59"/>
      <c r="F255" s="59"/>
    </row>
    <row r="256" ht="12.75" customHeight="1">
      <c r="A256" s="68"/>
      <c r="B256" s="59"/>
      <c r="C256" s="59"/>
      <c r="D256" s="59"/>
      <c r="E256" s="59"/>
      <c r="F256" s="59"/>
    </row>
    <row r="257" ht="12.75" customHeight="1">
      <c r="A257" s="68"/>
      <c r="B257" s="59"/>
      <c r="C257" s="59"/>
      <c r="D257" s="59"/>
      <c r="E257" s="59"/>
      <c r="F257" s="59"/>
    </row>
    <row r="258" ht="12.75" customHeight="1">
      <c r="A258" s="68"/>
      <c r="B258" s="59"/>
      <c r="C258" s="59"/>
      <c r="D258" s="59"/>
      <c r="E258" s="59"/>
      <c r="F258" s="59"/>
    </row>
    <row r="259" ht="12.75" customHeight="1">
      <c r="A259" s="68"/>
      <c r="B259" s="59"/>
      <c r="C259" s="59"/>
      <c r="D259" s="59"/>
      <c r="E259" s="59"/>
      <c r="F259" s="59"/>
    </row>
    <row r="260" ht="12.75" customHeight="1">
      <c r="A260" s="68"/>
      <c r="B260" s="59"/>
      <c r="C260" s="59"/>
      <c r="D260" s="59"/>
      <c r="E260" s="59"/>
      <c r="F260" s="59"/>
    </row>
    <row r="261" ht="12.75" customHeight="1">
      <c r="A261" s="68"/>
      <c r="B261" s="59"/>
      <c r="C261" s="59"/>
      <c r="D261" s="59"/>
      <c r="E261" s="59"/>
      <c r="F261" s="59"/>
    </row>
    <row r="262" ht="12.75" customHeight="1">
      <c r="A262" s="68"/>
      <c r="B262" s="59"/>
      <c r="C262" s="59"/>
      <c r="D262" s="59"/>
      <c r="E262" s="59"/>
      <c r="F262" s="59"/>
    </row>
    <row r="263" ht="12.75" customHeight="1">
      <c r="A263" s="68"/>
      <c r="B263" s="59"/>
      <c r="C263" s="59"/>
      <c r="D263" s="59"/>
      <c r="E263" s="59"/>
      <c r="F263" s="59"/>
    </row>
    <row r="264" ht="12.75" customHeight="1">
      <c r="A264" s="68"/>
      <c r="B264" s="59"/>
      <c r="C264" s="59"/>
      <c r="D264" s="59"/>
      <c r="E264" s="59"/>
      <c r="F264" s="59"/>
    </row>
    <row r="265" ht="12.75" customHeight="1">
      <c r="A265" s="68"/>
      <c r="B265" s="59"/>
      <c r="C265" s="59"/>
      <c r="D265" s="59"/>
      <c r="E265" s="59"/>
      <c r="F265" s="59"/>
    </row>
    <row r="266" ht="12.75" customHeight="1">
      <c r="A266" s="68"/>
      <c r="B266" s="59"/>
      <c r="C266" s="59"/>
      <c r="D266" s="59"/>
      <c r="E266" s="59"/>
      <c r="F266" s="59"/>
    </row>
    <row r="267" ht="12.75" customHeight="1">
      <c r="A267" s="68"/>
      <c r="B267" s="59"/>
      <c r="C267" s="59"/>
      <c r="D267" s="59"/>
      <c r="E267" s="59"/>
      <c r="F267" s="59"/>
    </row>
    <row r="268" ht="12.75" customHeight="1">
      <c r="A268" s="68"/>
      <c r="B268" s="59"/>
      <c r="C268" s="59"/>
      <c r="D268" s="59"/>
      <c r="E268" s="59"/>
      <c r="F268" s="59"/>
    </row>
    <row r="269" ht="12.75" customHeight="1">
      <c r="A269" s="68"/>
      <c r="B269" s="59"/>
      <c r="C269" s="59"/>
      <c r="D269" s="59"/>
      <c r="E269" s="59"/>
      <c r="F269" s="59"/>
    </row>
    <row r="270" ht="12.75" customHeight="1">
      <c r="A270" s="68"/>
      <c r="B270" s="59"/>
      <c r="C270" s="59"/>
      <c r="D270" s="59"/>
      <c r="E270" s="59"/>
      <c r="F270" s="59"/>
    </row>
    <row r="271" ht="12.75" customHeight="1">
      <c r="A271" s="68"/>
      <c r="B271" s="59"/>
      <c r="C271" s="59"/>
      <c r="D271" s="59"/>
      <c r="E271" s="59"/>
      <c r="F271" s="59"/>
    </row>
    <row r="272" ht="12.75" customHeight="1">
      <c r="A272" s="68"/>
      <c r="B272" s="59"/>
      <c r="C272" s="59"/>
      <c r="D272" s="59"/>
      <c r="E272" s="59"/>
      <c r="F272" s="59"/>
    </row>
    <row r="273" ht="12.75" customHeight="1">
      <c r="A273" s="68"/>
      <c r="B273" s="59"/>
      <c r="C273" s="59"/>
      <c r="D273" s="59"/>
      <c r="E273" s="59"/>
      <c r="F273" s="59"/>
    </row>
    <row r="274" ht="12.75" customHeight="1">
      <c r="A274" s="68"/>
      <c r="B274" s="59"/>
      <c r="C274" s="59"/>
      <c r="D274" s="59"/>
      <c r="E274" s="59"/>
      <c r="F274" s="59"/>
    </row>
    <row r="275" ht="12.75" customHeight="1">
      <c r="A275" s="68"/>
      <c r="B275" s="59"/>
      <c r="C275" s="59"/>
      <c r="D275" s="59"/>
      <c r="E275" s="59"/>
      <c r="F275" s="59"/>
    </row>
    <row r="276" ht="12.75" customHeight="1">
      <c r="A276" s="68"/>
      <c r="B276" s="59"/>
      <c r="C276" s="59"/>
      <c r="D276" s="59"/>
      <c r="E276" s="59"/>
      <c r="F276" s="59"/>
    </row>
    <row r="277" ht="12.75" customHeight="1">
      <c r="A277" s="68"/>
      <c r="B277" s="59"/>
      <c r="C277" s="59"/>
      <c r="D277" s="59"/>
      <c r="E277" s="59"/>
      <c r="F277" s="59"/>
    </row>
    <row r="278" ht="12.75" customHeight="1">
      <c r="A278" s="68"/>
      <c r="B278" s="59"/>
      <c r="C278" s="59"/>
      <c r="D278" s="59"/>
      <c r="E278" s="59"/>
      <c r="F278" s="59"/>
    </row>
    <row r="279" ht="12.75" customHeight="1">
      <c r="A279" s="68"/>
      <c r="B279" s="59"/>
      <c r="C279" s="59"/>
      <c r="D279" s="59"/>
      <c r="E279" s="59"/>
      <c r="F279" s="59"/>
    </row>
    <row r="280" ht="12.75" customHeight="1">
      <c r="A280" s="68"/>
      <c r="B280" s="59"/>
      <c r="C280" s="59"/>
      <c r="D280" s="59"/>
      <c r="E280" s="59"/>
      <c r="F280" s="59"/>
    </row>
    <row r="281" ht="12.75" customHeight="1">
      <c r="A281" s="68"/>
      <c r="B281" s="59"/>
      <c r="C281" s="59"/>
      <c r="D281" s="59"/>
      <c r="E281" s="59"/>
      <c r="F281" s="59"/>
    </row>
    <row r="282" ht="12.75" customHeight="1">
      <c r="A282" s="68"/>
      <c r="B282" s="59"/>
      <c r="C282" s="59"/>
      <c r="D282" s="59"/>
      <c r="E282" s="59"/>
      <c r="F282" s="59"/>
    </row>
    <row r="283" ht="12.75" customHeight="1">
      <c r="A283" s="68"/>
      <c r="B283" s="59"/>
      <c r="C283" s="59"/>
      <c r="D283" s="59"/>
      <c r="E283" s="59"/>
      <c r="F283" s="59"/>
    </row>
    <row r="284" ht="12.75" customHeight="1">
      <c r="A284" s="68"/>
      <c r="B284" s="59"/>
      <c r="C284" s="59"/>
      <c r="D284" s="59"/>
      <c r="E284" s="59"/>
      <c r="F284" s="59"/>
    </row>
    <row r="285" ht="12.75" customHeight="1">
      <c r="A285" s="68"/>
      <c r="B285" s="59"/>
      <c r="C285" s="59"/>
      <c r="D285" s="59"/>
      <c r="E285" s="59"/>
      <c r="F285" s="59"/>
    </row>
    <row r="286" ht="12.75" customHeight="1">
      <c r="A286" s="68"/>
      <c r="B286" s="59"/>
      <c r="C286" s="59"/>
      <c r="D286" s="59"/>
      <c r="E286" s="59"/>
      <c r="F286" s="59"/>
    </row>
    <row r="287" ht="12.75" customHeight="1">
      <c r="A287" s="68"/>
      <c r="B287" s="59"/>
      <c r="C287" s="59"/>
      <c r="D287" s="59"/>
      <c r="E287" s="59"/>
      <c r="F287" s="59"/>
    </row>
    <row r="288" ht="12.75" customHeight="1">
      <c r="A288" s="68"/>
      <c r="B288" s="59"/>
      <c r="C288" s="59"/>
      <c r="D288" s="59"/>
      <c r="E288" s="59"/>
      <c r="F288" s="59"/>
    </row>
    <row r="289" ht="12.75" customHeight="1">
      <c r="A289" s="68"/>
      <c r="B289" s="59"/>
      <c r="C289" s="59"/>
      <c r="D289" s="59"/>
      <c r="E289" s="59"/>
      <c r="F289" s="59"/>
    </row>
    <row r="290" ht="12.75" customHeight="1">
      <c r="A290" s="68"/>
      <c r="B290" s="59"/>
      <c r="C290" s="59"/>
      <c r="D290" s="59"/>
      <c r="E290" s="59"/>
      <c r="F290" s="59"/>
    </row>
    <row r="291" ht="12.75" customHeight="1">
      <c r="A291" s="68"/>
      <c r="B291" s="59"/>
      <c r="C291" s="59"/>
      <c r="D291" s="59"/>
      <c r="E291" s="59"/>
      <c r="F291" s="59"/>
    </row>
    <row r="292" ht="12.75" customHeight="1">
      <c r="A292" s="68"/>
      <c r="B292" s="59"/>
      <c r="C292" s="59"/>
      <c r="D292" s="59"/>
      <c r="E292" s="59"/>
      <c r="F292" s="59"/>
    </row>
    <row r="293" ht="12.75" customHeight="1">
      <c r="A293" s="68"/>
      <c r="B293" s="59"/>
      <c r="C293" s="59"/>
      <c r="D293" s="59"/>
      <c r="E293" s="59"/>
      <c r="F293" s="59"/>
    </row>
    <row r="294" ht="12.75" customHeight="1">
      <c r="A294" s="68"/>
      <c r="B294" s="59"/>
      <c r="C294" s="59"/>
      <c r="D294" s="59"/>
      <c r="E294" s="59"/>
      <c r="F294" s="59"/>
    </row>
    <row r="295" ht="12.75" customHeight="1">
      <c r="A295" s="68"/>
      <c r="B295" s="59"/>
      <c r="C295" s="59"/>
      <c r="D295" s="59"/>
      <c r="E295" s="59"/>
      <c r="F295" s="59"/>
    </row>
    <row r="296" ht="12.75" customHeight="1">
      <c r="A296" s="68"/>
      <c r="B296" s="59"/>
      <c r="C296" s="59"/>
      <c r="D296" s="59"/>
      <c r="E296" s="59"/>
      <c r="F296" s="59"/>
    </row>
    <row r="297" ht="12.75" customHeight="1">
      <c r="A297" s="68"/>
      <c r="B297" s="59"/>
      <c r="C297" s="59"/>
      <c r="D297" s="59"/>
      <c r="E297" s="59"/>
      <c r="F297" s="59"/>
    </row>
    <row r="298" ht="12.75" customHeight="1">
      <c r="A298" s="68"/>
      <c r="B298" s="59"/>
      <c r="C298" s="59"/>
      <c r="D298" s="59"/>
      <c r="E298" s="59"/>
      <c r="F298" s="59"/>
    </row>
    <row r="299" ht="12.75" customHeight="1">
      <c r="A299" s="68"/>
      <c r="B299" s="59"/>
      <c r="C299" s="59"/>
      <c r="D299" s="59"/>
      <c r="E299" s="59"/>
      <c r="F299" s="59"/>
    </row>
    <row r="300" ht="12.75" customHeight="1">
      <c r="A300" s="68"/>
      <c r="B300" s="59"/>
      <c r="C300" s="59"/>
      <c r="D300" s="59"/>
      <c r="E300" s="59"/>
      <c r="F300" s="59"/>
    </row>
    <row r="301" ht="12.75" customHeight="1">
      <c r="A301" s="68"/>
      <c r="B301" s="59"/>
      <c r="C301" s="59"/>
      <c r="D301" s="59"/>
      <c r="E301" s="59"/>
      <c r="F301" s="59"/>
    </row>
    <row r="302" ht="12.75" customHeight="1">
      <c r="A302" s="68"/>
      <c r="B302" s="59"/>
      <c r="C302" s="59"/>
      <c r="D302" s="59"/>
      <c r="E302" s="59"/>
      <c r="F302" s="59"/>
    </row>
    <row r="303" ht="12.75" customHeight="1">
      <c r="A303" s="68"/>
      <c r="B303" s="59"/>
      <c r="C303" s="59"/>
      <c r="D303" s="59"/>
      <c r="E303" s="59"/>
      <c r="F303" s="59"/>
    </row>
    <row r="304" ht="12.75" customHeight="1">
      <c r="A304" s="68"/>
      <c r="B304" s="59"/>
      <c r="C304" s="59"/>
      <c r="D304" s="59"/>
      <c r="E304" s="59"/>
      <c r="F304" s="59"/>
    </row>
    <row r="305" ht="12.75" customHeight="1">
      <c r="A305" s="68"/>
      <c r="B305" s="59"/>
      <c r="C305" s="59"/>
      <c r="D305" s="59"/>
      <c r="E305" s="59"/>
      <c r="F305" s="59"/>
    </row>
    <row r="306" ht="12.75" customHeight="1">
      <c r="A306" s="68"/>
      <c r="B306" s="59"/>
      <c r="C306" s="59"/>
      <c r="D306" s="59"/>
      <c r="E306" s="59"/>
      <c r="F306" s="59"/>
    </row>
    <row r="307" ht="12.75" customHeight="1">
      <c r="A307" s="68"/>
      <c r="B307" s="59"/>
      <c r="C307" s="59"/>
      <c r="D307" s="59"/>
      <c r="E307" s="59"/>
      <c r="F307" s="59"/>
    </row>
    <row r="308" ht="12.75" customHeight="1">
      <c r="A308" s="68"/>
      <c r="B308" s="59"/>
      <c r="C308" s="59"/>
      <c r="D308" s="59"/>
      <c r="E308" s="59"/>
      <c r="F308" s="59"/>
    </row>
    <row r="309" ht="12.75" customHeight="1">
      <c r="A309" s="68"/>
      <c r="B309" s="59"/>
      <c r="C309" s="59"/>
      <c r="D309" s="59"/>
      <c r="E309" s="59"/>
      <c r="F309" s="59"/>
    </row>
    <row r="310" ht="12.75" customHeight="1">
      <c r="A310" s="68"/>
      <c r="B310" s="59"/>
      <c r="C310" s="59"/>
      <c r="D310" s="59"/>
      <c r="E310" s="59"/>
      <c r="F310" s="59"/>
    </row>
    <row r="311" ht="12.75" customHeight="1">
      <c r="A311" s="68"/>
      <c r="B311" s="59"/>
      <c r="C311" s="59"/>
      <c r="D311" s="59"/>
      <c r="E311" s="59"/>
      <c r="F311" s="59"/>
    </row>
    <row r="312" ht="12.75" customHeight="1">
      <c r="A312" s="68"/>
      <c r="B312" s="59"/>
      <c r="C312" s="59"/>
      <c r="D312" s="59"/>
      <c r="E312" s="59"/>
      <c r="F312" s="59"/>
    </row>
    <row r="313" ht="12.75" customHeight="1">
      <c r="A313" s="68"/>
      <c r="B313" s="59"/>
      <c r="C313" s="59"/>
      <c r="D313" s="59"/>
      <c r="E313" s="59"/>
      <c r="F313" s="59"/>
    </row>
    <row r="314" ht="12.75" customHeight="1">
      <c r="A314" s="68"/>
      <c r="B314" s="59"/>
      <c r="C314" s="59"/>
      <c r="D314" s="59"/>
      <c r="E314" s="59"/>
      <c r="F314" s="59"/>
    </row>
    <row r="315" ht="12.75" customHeight="1">
      <c r="A315" s="68"/>
      <c r="B315" s="59"/>
      <c r="C315" s="59"/>
      <c r="D315" s="59"/>
      <c r="E315" s="59"/>
      <c r="F315" s="59"/>
    </row>
    <row r="316" ht="12.75" customHeight="1">
      <c r="A316" s="68"/>
      <c r="B316" s="59"/>
      <c r="C316" s="59"/>
      <c r="D316" s="59"/>
      <c r="E316" s="59"/>
      <c r="F316" s="59"/>
    </row>
    <row r="317" ht="12.75" customHeight="1">
      <c r="A317" s="68"/>
      <c r="B317" s="59"/>
      <c r="C317" s="59"/>
      <c r="D317" s="59"/>
      <c r="E317" s="59"/>
      <c r="F317" s="59"/>
    </row>
    <row r="318" ht="12.75" customHeight="1">
      <c r="A318" s="68"/>
      <c r="B318" s="59"/>
      <c r="C318" s="59"/>
      <c r="D318" s="59"/>
      <c r="E318" s="59"/>
      <c r="F318" s="59"/>
    </row>
    <row r="319" ht="12.75" customHeight="1">
      <c r="A319" s="68"/>
      <c r="B319" s="59"/>
      <c r="C319" s="59"/>
      <c r="D319" s="59"/>
      <c r="E319" s="59"/>
      <c r="F319" s="59"/>
    </row>
    <row r="320" ht="12.75" customHeight="1">
      <c r="A320" s="68"/>
      <c r="B320" s="59"/>
      <c r="C320" s="59"/>
      <c r="D320" s="59"/>
      <c r="E320" s="59"/>
      <c r="F320" s="59"/>
    </row>
    <row r="321" ht="12.75" customHeight="1">
      <c r="A321" s="68"/>
      <c r="B321" s="59"/>
      <c r="C321" s="59"/>
      <c r="D321" s="59"/>
      <c r="E321" s="59"/>
      <c r="F321" s="59"/>
    </row>
    <row r="322" ht="12.75" customHeight="1">
      <c r="A322" s="68"/>
      <c r="B322" s="59"/>
      <c r="C322" s="59"/>
      <c r="D322" s="59"/>
      <c r="E322" s="59"/>
      <c r="F322" s="59"/>
    </row>
    <row r="323" ht="12.75" customHeight="1">
      <c r="A323" s="68"/>
      <c r="B323" s="59"/>
      <c r="C323" s="59"/>
      <c r="D323" s="59"/>
      <c r="E323" s="59"/>
      <c r="F323" s="59"/>
    </row>
    <row r="324" ht="12.75" customHeight="1">
      <c r="A324" s="68"/>
      <c r="B324" s="59"/>
      <c r="C324" s="59"/>
      <c r="D324" s="59"/>
      <c r="E324" s="59"/>
      <c r="F324" s="59"/>
    </row>
    <row r="325" ht="12.75" customHeight="1">
      <c r="A325" s="68"/>
      <c r="B325" s="59"/>
      <c r="C325" s="59"/>
      <c r="D325" s="59"/>
      <c r="E325" s="59"/>
      <c r="F325" s="59"/>
    </row>
    <row r="326" ht="12.75" customHeight="1">
      <c r="A326" s="68"/>
      <c r="B326" s="59"/>
      <c r="C326" s="59"/>
      <c r="D326" s="59"/>
      <c r="E326" s="59"/>
      <c r="F326" s="59"/>
    </row>
    <row r="327" ht="12.75" customHeight="1">
      <c r="A327" s="68"/>
      <c r="B327" s="59"/>
      <c r="C327" s="59"/>
      <c r="D327" s="59"/>
      <c r="E327" s="59"/>
      <c r="F327" s="59"/>
    </row>
    <row r="328" ht="12.75" customHeight="1">
      <c r="A328" s="68"/>
      <c r="B328" s="59"/>
      <c r="C328" s="59"/>
      <c r="D328" s="59"/>
      <c r="E328" s="59"/>
      <c r="F328" s="59"/>
    </row>
    <row r="329" ht="12.75" customHeight="1">
      <c r="A329" s="68"/>
      <c r="B329" s="59"/>
      <c r="C329" s="59"/>
      <c r="D329" s="59"/>
      <c r="E329" s="59"/>
      <c r="F329" s="59"/>
    </row>
    <row r="330" ht="12.75" customHeight="1">
      <c r="A330" s="68"/>
      <c r="B330" s="59"/>
      <c r="C330" s="59"/>
      <c r="D330" s="59"/>
      <c r="E330" s="59"/>
      <c r="F330" s="59"/>
    </row>
    <row r="331" ht="12.75" customHeight="1">
      <c r="A331" s="68"/>
      <c r="B331" s="59"/>
      <c r="C331" s="59"/>
      <c r="D331" s="59"/>
      <c r="E331" s="59"/>
      <c r="F331" s="59"/>
    </row>
    <row r="332" ht="12.75" customHeight="1">
      <c r="A332" s="68"/>
      <c r="B332" s="59"/>
      <c r="C332" s="59"/>
      <c r="D332" s="59"/>
      <c r="E332" s="59"/>
      <c r="F332" s="59"/>
    </row>
    <row r="333" ht="12.75" customHeight="1">
      <c r="A333" s="68"/>
      <c r="B333" s="59"/>
      <c r="C333" s="59"/>
      <c r="D333" s="59"/>
      <c r="E333" s="59"/>
      <c r="F333" s="59"/>
    </row>
    <row r="334" ht="12.75" customHeight="1">
      <c r="A334" s="68"/>
      <c r="B334" s="59"/>
      <c r="C334" s="59"/>
      <c r="D334" s="59"/>
      <c r="E334" s="59"/>
      <c r="F334" s="59"/>
    </row>
    <row r="335" ht="12.75" customHeight="1">
      <c r="A335" s="68"/>
      <c r="B335" s="59"/>
      <c r="C335" s="59"/>
      <c r="D335" s="59"/>
      <c r="E335" s="59"/>
      <c r="F335" s="59"/>
    </row>
    <row r="336" ht="12.75" customHeight="1">
      <c r="A336" s="68"/>
      <c r="B336" s="59"/>
      <c r="C336" s="59"/>
      <c r="D336" s="59"/>
      <c r="E336" s="59"/>
      <c r="F336" s="59"/>
    </row>
    <row r="337" ht="12.75" customHeight="1">
      <c r="A337" s="68"/>
      <c r="B337" s="59"/>
      <c r="C337" s="59"/>
      <c r="D337" s="59"/>
      <c r="E337" s="59"/>
      <c r="F337" s="59"/>
    </row>
    <row r="338" ht="12.75" customHeight="1">
      <c r="A338" s="68"/>
      <c r="B338" s="59"/>
      <c r="C338" s="59"/>
      <c r="D338" s="59"/>
      <c r="E338" s="59"/>
      <c r="F338" s="59"/>
    </row>
    <row r="339" ht="12.75" customHeight="1">
      <c r="A339" s="68"/>
      <c r="B339" s="59"/>
      <c r="C339" s="59"/>
      <c r="D339" s="59"/>
      <c r="E339" s="59"/>
      <c r="F339" s="59"/>
    </row>
    <row r="340" ht="12.75" customHeight="1">
      <c r="A340" s="68"/>
      <c r="B340" s="59"/>
      <c r="C340" s="59"/>
      <c r="D340" s="59"/>
      <c r="E340" s="59"/>
      <c r="F340" s="59"/>
    </row>
    <row r="341" ht="12.75" customHeight="1">
      <c r="A341" s="68"/>
      <c r="B341" s="59"/>
      <c r="C341" s="59"/>
      <c r="D341" s="59"/>
      <c r="E341" s="59"/>
      <c r="F341" s="59"/>
    </row>
    <row r="342" ht="12.75" customHeight="1">
      <c r="A342" s="68"/>
      <c r="B342" s="59"/>
      <c r="C342" s="59"/>
      <c r="D342" s="59"/>
      <c r="E342" s="59"/>
      <c r="F342" s="59"/>
    </row>
    <row r="343" ht="12.75" customHeight="1">
      <c r="A343" s="68"/>
      <c r="B343" s="59"/>
      <c r="C343" s="59"/>
      <c r="D343" s="59"/>
      <c r="E343" s="59"/>
      <c r="F343" s="59"/>
    </row>
    <row r="344" ht="12.75" customHeight="1">
      <c r="A344" s="68"/>
      <c r="B344" s="59"/>
      <c r="C344" s="59"/>
      <c r="D344" s="59"/>
      <c r="E344" s="59"/>
      <c r="F344" s="59"/>
    </row>
    <row r="345" ht="12.75" customHeight="1">
      <c r="A345" s="68"/>
      <c r="B345" s="59"/>
      <c r="C345" s="59"/>
      <c r="D345" s="59"/>
      <c r="E345" s="59"/>
      <c r="F345" s="59"/>
    </row>
    <row r="346" ht="12.75" customHeight="1">
      <c r="A346" s="68"/>
      <c r="B346" s="59"/>
      <c r="C346" s="59"/>
      <c r="D346" s="59"/>
      <c r="E346" s="59"/>
      <c r="F346" s="59"/>
    </row>
    <row r="347" ht="12.75" customHeight="1">
      <c r="A347" s="68"/>
      <c r="B347" s="59"/>
      <c r="C347" s="59"/>
      <c r="D347" s="59"/>
      <c r="E347" s="59"/>
      <c r="F347" s="59"/>
    </row>
    <row r="348" ht="12.75" customHeight="1">
      <c r="A348" s="68"/>
      <c r="B348" s="59"/>
      <c r="C348" s="59"/>
      <c r="D348" s="59"/>
      <c r="E348" s="59"/>
      <c r="F348" s="59"/>
    </row>
    <row r="349" ht="12.75" customHeight="1">
      <c r="A349" s="68"/>
      <c r="B349" s="59"/>
      <c r="C349" s="59"/>
      <c r="D349" s="59"/>
      <c r="E349" s="59"/>
      <c r="F349" s="59"/>
    </row>
    <row r="350" ht="12.75" customHeight="1">
      <c r="A350" s="68"/>
      <c r="B350" s="59"/>
      <c r="C350" s="59"/>
      <c r="D350" s="59"/>
      <c r="E350" s="59"/>
      <c r="F350" s="59"/>
    </row>
    <row r="351" ht="12.75" customHeight="1">
      <c r="A351" s="68"/>
      <c r="B351" s="59"/>
      <c r="C351" s="59"/>
      <c r="D351" s="59"/>
      <c r="E351" s="59"/>
      <c r="F351" s="59"/>
    </row>
    <row r="352" ht="12.75" customHeight="1">
      <c r="A352" s="68"/>
      <c r="B352" s="59"/>
      <c r="C352" s="59"/>
      <c r="D352" s="59"/>
      <c r="E352" s="59"/>
      <c r="F352" s="59"/>
    </row>
    <row r="353" ht="12.75" customHeight="1">
      <c r="A353" s="68"/>
      <c r="B353" s="59"/>
      <c r="C353" s="59"/>
      <c r="D353" s="59"/>
      <c r="E353" s="59"/>
      <c r="F353" s="59"/>
    </row>
    <row r="354" ht="12.75" customHeight="1">
      <c r="A354" s="68"/>
      <c r="B354" s="59"/>
      <c r="C354" s="59"/>
      <c r="D354" s="59"/>
      <c r="E354" s="59"/>
      <c r="F354" s="59"/>
    </row>
    <row r="355" ht="12.75" customHeight="1">
      <c r="A355" s="68"/>
      <c r="B355" s="59"/>
      <c r="C355" s="59"/>
      <c r="D355" s="59"/>
      <c r="E355" s="59"/>
      <c r="F355" s="59"/>
    </row>
    <row r="356" ht="12.75" customHeight="1">
      <c r="A356" s="68"/>
      <c r="B356" s="59"/>
      <c r="C356" s="59"/>
      <c r="D356" s="59"/>
      <c r="E356" s="59"/>
      <c r="F356" s="59"/>
    </row>
    <row r="357" ht="12.75" customHeight="1">
      <c r="A357" s="68"/>
      <c r="B357" s="59"/>
      <c r="C357" s="59"/>
      <c r="D357" s="59"/>
      <c r="E357" s="59"/>
      <c r="F357" s="59"/>
    </row>
    <row r="358" ht="12.75" customHeight="1">
      <c r="A358" s="68"/>
      <c r="B358" s="59"/>
      <c r="C358" s="59"/>
      <c r="D358" s="59"/>
      <c r="E358" s="59"/>
      <c r="F358" s="59"/>
    </row>
    <row r="359" ht="12.75" customHeight="1">
      <c r="A359" s="68"/>
      <c r="B359" s="59"/>
      <c r="C359" s="59"/>
      <c r="D359" s="59"/>
      <c r="E359" s="59"/>
      <c r="F359" s="59"/>
    </row>
    <row r="360" ht="12.75" customHeight="1">
      <c r="A360" s="68"/>
      <c r="B360" s="59"/>
      <c r="C360" s="59"/>
      <c r="D360" s="59"/>
      <c r="E360" s="59"/>
      <c r="F360" s="59"/>
    </row>
    <row r="361" ht="12.75" customHeight="1">
      <c r="A361" s="68"/>
      <c r="B361" s="59"/>
      <c r="C361" s="59"/>
      <c r="D361" s="59"/>
      <c r="E361" s="59"/>
      <c r="F361" s="59"/>
    </row>
    <row r="362" ht="12.75" customHeight="1">
      <c r="A362" s="68"/>
      <c r="B362" s="59"/>
      <c r="C362" s="59"/>
      <c r="D362" s="59"/>
      <c r="E362" s="59"/>
      <c r="F362" s="59"/>
    </row>
    <row r="363" ht="12.75" customHeight="1">
      <c r="A363" s="68"/>
      <c r="B363" s="59"/>
      <c r="C363" s="59"/>
      <c r="D363" s="59"/>
      <c r="E363" s="59"/>
      <c r="F363" s="59"/>
    </row>
    <row r="364" ht="12.75" customHeight="1">
      <c r="A364" s="68"/>
      <c r="B364" s="59"/>
      <c r="C364" s="59"/>
      <c r="D364" s="59"/>
      <c r="E364" s="59"/>
      <c r="F364" s="59"/>
    </row>
    <row r="365" ht="12.75" customHeight="1">
      <c r="A365" s="68"/>
      <c r="B365" s="59"/>
      <c r="C365" s="59"/>
      <c r="D365" s="59"/>
      <c r="E365" s="59"/>
      <c r="F365" s="59"/>
    </row>
    <row r="366" ht="12.75" customHeight="1">
      <c r="A366" s="68"/>
      <c r="B366" s="59"/>
      <c r="C366" s="59"/>
      <c r="D366" s="59"/>
      <c r="E366" s="59"/>
      <c r="F366" s="59"/>
    </row>
    <row r="367" ht="12.75" customHeight="1">
      <c r="A367" s="68"/>
      <c r="B367" s="59"/>
      <c r="C367" s="59"/>
      <c r="D367" s="59"/>
      <c r="E367" s="59"/>
      <c r="F367" s="59"/>
    </row>
    <row r="368" ht="12.75" customHeight="1">
      <c r="A368" s="68"/>
      <c r="B368" s="59"/>
      <c r="C368" s="59"/>
      <c r="D368" s="59"/>
      <c r="E368" s="59"/>
      <c r="F368" s="59"/>
    </row>
    <row r="369" ht="12.75" customHeight="1">
      <c r="A369" s="68"/>
      <c r="B369" s="59"/>
      <c r="C369" s="59"/>
      <c r="D369" s="59"/>
      <c r="E369" s="59"/>
      <c r="F369" s="59"/>
    </row>
    <row r="370" ht="12.75" customHeight="1">
      <c r="A370" s="68"/>
      <c r="B370" s="59"/>
      <c r="C370" s="59"/>
      <c r="D370" s="59"/>
      <c r="E370" s="59"/>
      <c r="F370" s="59"/>
    </row>
    <row r="371" ht="12.75" customHeight="1">
      <c r="A371" s="68"/>
      <c r="B371" s="59"/>
      <c r="C371" s="59"/>
      <c r="D371" s="59"/>
      <c r="E371" s="59"/>
      <c r="F371" s="59"/>
    </row>
    <row r="372" ht="12.75" customHeight="1">
      <c r="A372" s="68"/>
      <c r="B372" s="59"/>
      <c r="C372" s="59"/>
      <c r="D372" s="59"/>
      <c r="E372" s="59"/>
      <c r="F372" s="59"/>
    </row>
    <row r="373" ht="12.75" customHeight="1">
      <c r="A373" s="68"/>
      <c r="B373" s="59"/>
      <c r="C373" s="59"/>
      <c r="D373" s="59"/>
      <c r="E373" s="59"/>
      <c r="F373" s="59"/>
    </row>
    <row r="374" ht="12.75" customHeight="1">
      <c r="A374" s="68"/>
      <c r="B374" s="59"/>
      <c r="C374" s="59"/>
      <c r="D374" s="59"/>
      <c r="E374" s="59"/>
      <c r="F374" s="59"/>
    </row>
    <row r="375" ht="12.75" customHeight="1">
      <c r="A375" s="68"/>
      <c r="B375" s="59"/>
      <c r="C375" s="59"/>
      <c r="D375" s="59"/>
      <c r="E375" s="59"/>
      <c r="F375" s="59"/>
    </row>
    <row r="376" ht="12.75" customHeight="1">
      <c r="A376" s="68"/>
      <c r="B376" s="59"/>
      <c r="C376" s="59"/>
      <c r="D376" s="59"/>
      <c r="E376" s="59"/>
      <c r="F376" s="59"/>
    </row>
    <row r="377" ht="12.75" customHeight="1">
      <c r="A377" s="68"/>
      <c r="B377" s="59"/>
      <c r="C377" s="59"/>
      <c r="D377" s="59"/>
      <c r="E377" s="59"/>
      <c r="F377" s="59"/>
    </row>
    <row r="378" ht="12.75" customHeight="1">
      <c r="A378" s="68"/>
      <c r="B378" s="59"/>
      <c r="C378" s="59"/>
      <c r="D378" s="59"/>
      <c r="E378" s="59"/>
      <c r="F378" s="59"/>
    </row>
    <row r="379" ht="12.75" customHeight="1">
      <c r="A379" s="68"/>
      <c r="B379" s="59"/>
      <c r="C379" s="59"/>
      <c r="D379" s="59"/>
      <c r="E379" s="59"/>
      <c r="F379" s="59"/>
    </row>
    <row r="380" ht="12.75" customHeight="1">
      <c r="A380" s="68"/>
      <c r="B380" s="59"/>
      <c r="C380" s="59"/>
      <c r="D380" s="59"/>
      <c r="E380" s="59"/>
      <c r="F380" s="59"/>
    </row>
    <row r="381" ht="12.75" customHeight="1">
      <c r="A381" s="68"/>
      <c r="B381" s="59"/>
      <c r="C381" s="59"/>
      <c r="D381" s="59"/>
      <c r="E381" s="59"/>
      <c r="F381" s="59"/>
    </row>
    <row r="382" ht="12.75" customHeight="1">
      <c r="A382" s="68"/>
      <c r="B382" s="59"/>
      <c r="C382" s="59"/>
      <c r="D382" s="59"/>
      <c r="E382" s="59"/>
      <c r="F382" s="59"/>
    </row>
    <row r="383" ht="12.75" customHeight="1">
      <c r="A383" s="68"/>
      <c r="B383" s="59"/>
      <c r="C383" s="59"/>
      <c r="D383" s="59"/>
      <c r="E383" s="59"/>
      <c r="F383" s="59"/>
    </row>
    <row r="384" ht="12.75" customHeight="1">
      <c r="A384" s="68"/>
      <c r="B384" s="59"/>
      <c r="C384" s="59"/>
      <c r="D384" s="59"/>
      <c r="E384" s="59"/>
      <c r="F384" s="59"/>
    </row>
    <row r="385" ht="12.75" customHeight="1">
      <c r="A385" s="68"/>
      <c r="B385" s="59"/>
      <c r="C385" s="59"/>
      <c r="D385" s="59"/>
      <c r="E385" s="59"/>
      <c r="F385" s="59"/>
    </row>
    <row r="386" ht="12.75" customHeight="1">
      <c r="A386" s="68"/>
      <c r="B386" s="59"/>
      <c r="C386" s="59"/>
      <c r="D386" s="59"/>
      <c r="E386" s="59"/>
      <c r="F386" s="59"/>
    </row>
    <row r="387" ht="12.75" customHeight="1">
      <c r="A387" s="68"/>
      <c r="B387" s="59"/>
      <c r="C387" s="59"/>
      <c r="D387" s="59"/>
      <c r="E387" s="59"/>
      <c r="F387" s="59"/>
    </row>
    <row r="388" ht="12.75" customHeight="1">
      <c r="A388" s="68"/>
      <c r="B388" s="59"/>
      <c r="C388" s="59"/>
      <c r="D388" s="59"/>
      <c r="E388" s="59"/>
      <c r="F388" s="59"/>
    </row>
    <row r="389" ht="12.75" customHeight="1">
      <c r="A389" s="68"/>
      <c r="B389" s="59"/>
      <c r="C389" s="59"/>
      <c r="D389" s="59"/>
      <c r="E389" s="59"/>
      <c r="F389" s="59"/>
    </row>
    <row r="390" ht="12.75" customHeight="1">
      <c r="A390" s="68"/>
      <c r="B390" s="59"/>
      <c r="C390" s="59"/>
      <c r="D390" s="59"/>
      <c r="E390" s="59"/>
      <c r="F390" s="59"/>
    </row>
    <row r="391" ht="12.75" customHeight="1">
      <c r="A391" s="68"/>
      <c r="B391" s="59"/>
      <c r="C391" s="59"/>
      <c r="D391" s="59"/>
      <c r="E391" s="59"/>
      <c r="F391" s="59"/>
    </row>
    <row r="392" ht="12.75" customHeight="1">
      <c r="A392" s="68"/>
      <c r="B392" s="59"/>
      <c r="C392" s="59"/>
      <c r="D392" s="59"/>
      <c r="E392" s="59"/>
      <c r="F392" s="59"/>
    </row>
    <row r="393" ht="12.75" customHeight="1">
      <c r="A393" s="68"/>
      <c r="B393" s="59"/>
      <c r="C393" s="59"/>
      <c r="D393" s="59"/>
      <c r="E393" s="59"/>
      <c r="F393" s="59"/>
    </row>
    <row r="394" ht="12.75" customHeight="1">
      <c r="A394" s="68"/>
      <c r="B394" s="59"/>
      <c r="C394" s="59"/>
      <c r="D394" s="59"/>
      <c r="E394" s="59"/>
      <c r="F394" s="59"/>
    </row>
    <row r="395" ht="12.75" customHeight="1">
      <c r="A395" s="68"/>
      <c r="B395" s="59"/>
      <c r="C395" s="59"/>
      <c r="D395" s="59"/>
      <c r="E395" s="59"/>
      <c r="F395" s="59"/>
    </row>
    <row r="396" ht="12.75" customHeight="1">
      <c r="A396" s="68"/>
      <c r="B396" s="59"/>
      <c r="C396" s="59"/>
      <c r="D396" s="59"/>
      <c r="E396" s="59"/>
      <c r="F396" s="59"/>
    </row>
    <row r="397" ht="12.75" customHeight="1">
      <c r="A397" s="68"/>
      <c r="B397" s="59"/>
      <c r="C397" s="59"/>
      <c r="D397" s="59"/>
      <c r="E397" s="59"/>
      <c r="F397" s="59"/>
    </row>
    <row r="398" ht="12.75" customHeight="1">
      <c r="A398" s="68"/>
      <c r="B398" s="59"/>
      <c r="C398" s="59"/>
      <c r="D398" s="59"/>
      <c r="E398" s="59"/>
      <c r="F398" s="59"/>
    </row>
    <row r="399" ht="12.75" customHeight="1">
      <c r="A399" s="68"/>
      <c r="B399" s="59"/>
      <c r="C399" s="59"/>
      <c r="D399" s="59"/>
      <c r="E399" s="59"/>
      <c r="F399" s="59"/>
    </row>
    <row r="400" ht="12.75" customHeight="1">
      <c r="A400" s="68"/>
      <c r="B400" s="59"/>
      <c r="C400" s="59"/>
      <c r="D400" s="59"/>
      <c r="E400" s="59"/>
      <c r="F400" s="59"/>
    </row>
    <row r="401" ht="12.75" customHeight="1">
      <c r="A401" s="68"/>
      <c r="B401" s="59"/>
      <c r="C401" s="59"/>
      <c r="D401" s="59"/>
      <c r="E401" s="59"/>
      <c r="F401" s="59"/>
    </row>
    <row r="402" ht="12.75" customHeight="1">
      <c r="A402" s="68"/>
      <c r="B402" s="59"/>
      <c r="C402" s="59"/>
      <c r="D402" s="59"/>
      <c r="E402" s="59"/>
      <c r="F402" s="59"/>
    </row>
    <row r="403" ht="12.75" customHeight="1">
      <c r="A403" s="68"/>
      <c r="B403" s="59"/>
      <c r="C403" s="59"/>
      <c r="D403" s="59"/>
      <c r="E403" s="59"/>
      <c r="F403" s="59"/>
    </row>
    <row r="404" ht="12.75" customHeight="1">
      <c r="A404" s="68"/>
      <c r="B404" s="59"/>
      <c r="C404" s="59"/>
      <c r="D404" s="59"/>
      <c r="E404" s="59"/>
      <c r="F404" s="59"/>
    </row>
    <row r="405" ht="12.75" customHeight="1">
      <c r="A405" s="68"/>
      <c r="B405" s="59"/>
      <c r="C405" s="59"/>
      <c r="D405" s="59"/>
      <c r="E405" s="59"/>
      <c r="F405" s="59"/>
    </row>
    <row r="406" ht="12.75" customHeight="1">
      <c r="A406" s="68"/>
      <c r="B406" s="59"/>
      <c r="C406" s="59"/>
      <c r="D406" s="59"/>
      <c r="E406" s="59"/>
      <c r="F406" s="59"/>
    </row>
    <row r="407" ht="12.75" customHeight="1">
      <c r="A407" s="68"/>
      <c r="B407" s="59"/>
      <c r="C407" s="59"/>
      <c r="D407" s="59"/>
      <c r="E407" s="59"/>
      <c r="F407" s="59"/>
    </row>
    <row r="408" ht="12.75" customHeight="1">
      <c r="A408" s="68"/>
      <c r="B408" s="59"/>
      <c r="C408" s="59"/>
      <c r="D408" s="59"/>
      <c r="E408" s="59"/>
      <c r="F408" s="59"/>
    </row>
    <row r="409" ht="12.75" customHeight="1">
      <c r="A409" s="68"/>
      <c r="B409" s="59"/>
      <c r="C409" s="59"/>
      <c r="D409" s="59"/>
      <c r="E409" s="59"/>
      <c r="F409" s="59"/>
    </row>
    <row r="410" ht="12.75" customHeight="1">
      <c r="A410" s="68"/>
      <c r="B410" s="59"/>
      <c r="C410" s="59"/>
      <c r="D410" s="59"/>
      <c r="E410" s="59"/>
      <c r="F410" s="59"/>
    </row>
    <row r="411" ht="12.75" customHeight="1">
      <c r="A411" s="68"/>
      <c r="B411" s="59"/>
      <c r="C411" s="59"/>
      <c r="D411" s="59"/>
      <c r="E411" s="59"/>
      <c r="F411" s="59"/>
    </row>
    <row r="412" ht="12.75" customHeight="1">
      <c r="A412" s="68"/>
      <c r="B412" s="59"/>
      <c r="C412" s="59"/>
      <c r="D412" s="59"/>
      <c r="E412" s="59"/>
      <c r="F412" s="59"/>
    </row>
    <row r="413" ht="12.75" customHeight="1">
      <c r="A413" s="68"/>
      <c r="B413" s="59"/>
      <c r="C413" s="59"/>
      <c r="D413" s="59"/>
      <c r="E413" s="59"/>
      <c r="F413" s="59"/>
    </row>
    <row r="414" ht="12.75" customHeight="1">
      <c r="A414" s="68"/>
      <c r="B414" s="59"/>
      <c r="C414" s="59"/>
      <c r="D414" s="59"/>
      <c r="E414" s="59"/>
      <c r="F414" s="59"/>
    </row>
    <row r="415" ht="12.75" customHeight="1">
      <c r="A415" s="68"/>
      <c r="B415" s="59"/>
      <c r="C415" s="59"/>
      <c r="D415" s="59"/>
      <c r="E415" s="59"/>
      <c r="F415" s="59"/>
    </row>
    <row r="416" ht="12.75" customHeight="1">
      <c r="A416" s="68"/>
      <c r="B416" s="59"/>
      <c r="C416" s="59"/>
      <c r="D416" s="59"/>
      <c r="E416" s="59"/>
      <c r="F416" s="59"/>
    </row>
    <row r="417" ht="12.75" customHeight="1">
      <c r="A417" s="68"/>
      <c r="B417" s="59"/>
      <c r="C417" s="59"/>
      <c r="D417" s="59"/>
      <c r="E417" s="59"/>
      <c r="F417" s="59"/>
    </row>
    <row r="418" ht="12.75" customHeight="1">
      <c r="A418" s="68"/>
      <c r="B418" s="59"/>
      <c r="C418" s="59"/>
      <c r="D418" s="59"/>
      <c r="E418" s="59"/>
      <c r="F418" s="59"/>
    </row>
    <row r="419" ht="12.75" customHeight="1">
      <c r="A419" s="68"/>
      <c r="B419" s="59"/>
      <c r="C419" s="59"/>
      <c r="D419" s="59"/>
      <c r="E419" s="59"/>
      <c r="F419" s="59"/>
    </row>
    <row r="420" ht="12.75" customHeight="1">
      <c r="A420" s="68"/>
      <c r="B420" s="59"/>
      <c r="C420" s="59"/>
      <c r="D420" s="59"/>
      <c r="E420" s="59"/>
      <c r="F420" s="59"/>
    </row>
    <row r="421" ht="12.75" customHeight="1">
      <c r="A421" s="68"/>
      <c r="B421" s="59"/>
      <c r="C421" s="59"/>
      <c r="D421" s="59"/>
      <c r="E421" s="59"/>
      <c r="F421" s="59"/>
    </row>
    <row r="422" ht="12.75" customHeight="1">
      <c r="A422" s="68"/>
      <c r="B422" s="59"/>
      <c r="C422" s="59"/>
      <c r="D422" s="59"/>
      <c r="E422" s="59"/>
      <c r="F422" s="59"/>
    </row>
    <row r="423" ht="12.75" customHeight="1">
      <c r="A423" s="68"/>
      <c r="B423" s="59"/>
      <c r="C423" s="59"/>
      <c r="D423" s="59"/>
      <c r="E423" s="59"/>
      <c r="F423" s="59"/>
    </row>
    <row r="424" ht="12.75" customHeight="1">
      <c r="A424" s="68"/>
      <c r="B424" s="59"/>
      <c r="C424" s="59"/>
      <c r="D424" s="59"/>
      <c r="E424" s="59"/>
      <c r="F424" s="59"/>
    </row>
    <row r="425" ht="12.75" customHeight="1">
      <c r="A425" s="68"/>
      <c r="B425" s="59"/>
      <c r="C425" s="59"/>
      <c r="D425" s="59"/>
      <c r="E425" s="59"/>
      <c r="F425" s="59"/>
    </row>
    <row r="426" ht="12.75" customHeight="1">
      <c r="A426" s="68"/>
      <c r="B426" s="59"/>
      <c r="C426" s="59"/>
      <c r="D426" s="59"/>
      <c r="E426" s="59"/>
      <c r="F426" s="59"/>
    </row>
    <row r="427" ht="12.75" customHeight="1">
      <c r="A427" s="68"/>
      <c r="B427" s="59"/>
      <c r="C427" s="59"/>
      <c r="D427" s="59"/>
      <c r="E427" s="59"/>
      <c r="F427" s="59"/>
    </row>
    <row r="428" ht="12.75" customHeight="1">
      <c r="A428" s="68"/>
      <c r="B428" s="59"/>
      <c r="C428" s="59"/>
      <c r="D428" s="59"/>
      <c r="E428" s="59"/>
      <c r="F428" s="59"/>
    </row>
    <row r="429" ht="12.75" customHeight="1">
      <c r="A429" s="68"/>
      <c r="B429" s="59"/>
      <c r="C429" s="59"/>
      <c r="D429" s="59"/>
      <c r="E429" s="59"/>
      <c r="F429" s="59"/>
    </row>
    <row r="430" ht="12.75" customHeight="1">
      <c r="A430" s="68"/>
      <c r="B430" s="59"/>
      <c r="C430" s="59"/>
      <c r="D430" s="59"/>
      <c r="E430" s="59"/>
      <c r="F430" s="59"/>
    </row>
    <row r="431" ht="12.75" customHeight="1">
      <c r="A431" s="68"/>
      <c r="B431" s="59"/>
      <c r="C431" s="59"/>
      <c r="D431" s="59"/>
      <c r="E431" s="59"/>
      <c r="F431" s="59"/>
    </row>
    <row r="432" ht="12.75" customHeight="1">
      <c r="A432" s="68"/>
      <c r="B432" s="59"/>
      <c r="C432" s="59"/>
      <c r="D432" s="59"/>
      <c r="E432" s="59"/>
      <c r="F432" s="59"/>
    </row>
    <row r="433" ht="12.75" customHeight="1">
      <c r="A433" s="68"/>
      <c r="B433" s="59"/>
      <c r="C433" s="59"/>
      <c r="D433" s="59"/>
      <c r="E433" s="59"/>
      <c r="F433" s="59"/>
    </row>
    <row r="434" ht="12.75" customHeight="1">
      <c r="A434" s="68"/>
      <c r="B434" s="59"/>
      <c r="C434" s="59"/>
      <c r="D434" s="59"/>
      <c r="E434" s="59"/>
      <c r="F434" s="59"/>
    </row>
    <row r="435" ht="12.75" customHeight="1">
      <c r="A435" s="68"/>
      <c r="B435" s="59"/>
      <c r="C435" s="59"/>
      <c r="D435" s="59"/>
      <c r="E435" s="59"/>
      <c r="F435" s="59"/>
    </row>
    <row r="436" ht="12.75" customHeight="1">
      <c r="A436" s="68"/>
      <c r="B436" s="59"/>
      <c r="C436" s="59"/>
      <c r="D436" s="59"/>
      <c r="E436" s="59"/>
      <c r="F436" s="59"/>
    </row>
    <row r="437" ht="12.75" customHeight="1">
      <c r="A437" s="68"/>
      <c r="B437" s="59"/>
      <c r="C437" s="59"/>
      <c r="D437" s="59"/>
      <c r="E437" s="59"/>
      <c r="F437" s="59"/>
    </row>
    <row r="438" ht="12.75" customHeight="1">
      <c r="A438" s="68"/>
      <c r="B438" s="59"/>
      <c r="C438" s="59"/>
      <c r="D438" s="59"/>
      <c r="E438" s="59"/>
      <c r="F438" s="59"/>
    </row>
    <row r="439" ht="12.75" customHeight="1">
      <c r="A439" s="68"/>
      <c r="B439" s="59"/>
      <c r="C439" s="59"/>
      <c r="D439" s="59"/>
      <c r="E439" s="59"/>
      <c r="F439" s="59"/>
    </row>
    <row r="440" ht="12.75" customHeight="1">
      <c r="A440" s="68"/>
      <c r="B440" s="59"/>
      <c r="C440" s="59"/>
      <c r="D440" s="59"/>
      <c r="E440" s="59"/>
      <c r="F440" s="59"/>
    </row>
    <row r="441" ht="12.75" customHeight="1">
      <c r="A441" s="68"/>
      <c r="B441" s="59"/>
      <c r="C441" s="59"/>
      <c r="D441" s="59"/>
      <c r="E441" s="59"/>
      <c r="F441" s="59"/>
    </row>
    <row r="442" ht="12.75" customHeight="1">
      <c r="A442" s="68"/>
      <c r="B442" s="59"/>
      <c r="C442" s="59"/>
      <c r="D442" s="59"/>
      <c r="E442" s="59"/>
      <c r="F442" s="59"/>
    </row>
    <row r="443" ht="12.75" customHeight="1">
      <c r="A443" s="68"/>
      <c r="B443" s="59"/>
      <c r="C443" s="59"/>
      <c r="D443" s="59"/>
      <c r="E443" s="59"/>
      <c r="F443" s="59"/>
    </row>
    <row r="444" ht="12.75" customHeight="1">
      <c r="A444" s="68"/>
      <c r="B444" s="59"/>
      <c r="C444" s="59"/>
      <c r="D444" s="59"/>
      <c r="E444" s="59"/>
      <c r="F444" s="59"/>
    </row>
    <row r="445" ht="12.75" customHeight="1">
      <c r="A445" s="68"/>
      <c r="B445" s="59"/>
      <c r="C445" s="59"/>
      <c r="D445" s="59"/>
      <c r="E445" s="59"/>
      <c r="F445" s="59"/>
    </row>
    <row r="446" ht="12.75" customHeight="1">
      <c r="A446" s="68"/>
      <c r="B446" s="59"/>
      <c r="C446" s="59"/>
      <c r="D446" s="59"/>
      <c r="E446" s="59"/>
      <c r="F446" s="59"/>
    </row>
    <row r="447" ht="12.75" customHeight="1">
      <c r="A447" s="68"/>
      <c r="B447" s="59"/>
      <c r="C447" s="59"/>
      <c r="D447" s="59"/>
      <c r="E447" s="59"/>
      <c r="F447" s="59"/>
    </row>
    <row r="448" ht="12.75" customHeight="1">
      <c r="A448" s="68"/>
      <c r="B448" s="59"/>
      <c r="C448" s="59"/>
      <c r="D448" s="59"/>
      <c r="E448" s="59"/>
      <c r="F448" s="59"/>
    </row>
    <row r="449" ht="12.75" customHeight="1">
      <c r="A449" s="68"/>
      <c r="B449" s="59"/>
      <c r="C449" s="59"/>
      <c r="D449" s="59"/>
      <c r="E449" s="59"/>
      <c r="F449" s="59"/>
    </row>
    <row r="450" ht="12.75" customHeight="1">
      <c r="A450" s="68"/>
      <c r="B450" s="59"/>
      <c r="C450" s="59"/>
      <c r="D450" s="59"/>
      <c r="E450" s="59"/>
      <c r="F450" s="59"/>
    </row>
    <row r="451" ht="12.75" customHeight="1">
      <c r="A451" s="68"/>
      <c r="B451" s="59"/>
      <c r="C451" s="59"/>
      <c r="D451" s="59"/>
      <c r="E451" s="59"/>
      <c r="F451" s="59"/>
    </row>
    <row r="452" ht="12.75" customHeight="1">
      <c r="A452" s="68"/>
      <c r="B452" s="59"/>
      <c r="C452" s="59"/>
      <c r="D452" s="59"/>
      <c r="E452" s="59"/>
      <c r="F452" s="59"/>
    </row>
    <row r="453" ht="12.75" customHeight="1">
      <c r="A453" s="68"/>
      <c r="B453" s="59"/>
      <c r="C453" s="59"/>
      <c r="D453" s="59"/>
      <c r="E453" s="59"/>
      <c r="F453" s="59"/>
    </row>
    <row r="454" ht="12.75" customHeight="1">
      <c r="A454" s="68"/>
      <c r="B454" s="59"/>
      <c r="C454" s="59"/>
      <c r="D454" s="59"/>
      <c r="E454" s="59"/>
      <c r="F454" s="59"/>
    </row>
    <row r="455" ht="12.75" customHeight="1">
      <c r="A455" s="68"/>
      <c r="B455" s="59"/>
      <c r="C455" s="59"/>
      <c r="D455" s="59"/>
      <c r="E455" s="59"/>
      <c r="F455" s="59"/>
    </row>
    <row r="456" ht="12.75" customHeight="1">
      <c r="A456" s="68"/>
      <c r="B456" s="59"/>
      <c r="C456" s="59"/>
      <c r="D456" s="59"/>
      <c r="E456" s="59"/>
      <c r="F456" s="59"/>
    </row>
    <row r="457" ht="12.75" customHeight="1">
      <c r="A457" s="68"/>
      <c r="B457" s="59"/>
      <c r="C457" s="59"/>
      <c r="D457" s="59"/>
      <c r="E457" s="59"/>
      <c r="F457" s="59"/>
    </row>
    <row r="458" ht="12.75" customHeight="1">
      <c r="A458" s="68"/>
      <c r="B458" s="59"/>
      <c r="C458" s="59"/>
      <c r="D458" s="59"/>
      <c r="E458" s="59"/>
      <c r="F458" s="59"/>
    </row>
    <row r="459" ht="12.75" customHeight="1">
      <c r="A459" s="68"/>
      <c r="B459" s="59"/>
      <c r="C459" s="59"/>
      <c r="D459" s="59"/>
      <c r="E459" s="59"/>
      <c r="F459" s="59"/>
    </row>
    <row r="460" ht="12.75" customHeight="1">
      <c r="A460" s="68"/>
      <c r="B460" s="59"/>
      <c r="C460" s="59"/>
      <c r="D460" s="59"/>
      <c r="E460" s="59"/>
      <c r="F460" s="59"/>
    </row>
    <row r="461" ht="12.75" customHeight="1">
      <c r="A461" s="68"/>
      <c r="B461" s="59"/>
      <c r="C461" s="59"/>
      <c r="D461" s="59"/>
      <c r="E461" s="59"/>
      <c r="F461" s="59"/>
    </row>
    <row r="462" ht="12.75" customHeight="1">
      <c r="A462" s="68"/>
      <c r="B462" s="59"/>
      <c r="C462" s="59"/>
      <c r="D462" s="59"/>
      <c r="E462" s="59"/>
      <c r="F462" s="59"/>
    </row>
    <row r="463" ht="12.75" customHeight="1">
      <c r="A463" s="68"/>
      <c r="B463" s="59"/>
      <c r="C463" s="59"/>
      <c r="D463" s="59"/>
      <c r="E463" s="59"/>
      <c r="F463" s="59"/>
    </row>
    <row r="464" ht="12.75" customHeight="1">
      <c r="A464" s="68"/>
      <c r="B464" s="59"/>
      <c r="C464" s="59"/>
      <c r="D464" s="59"/>
      <c r="E464" s="59"/>
      <c r="F464" s="59"/>
    </row>
    <row r="465" ht="12.75" customHeight="1">
      <c r="A465" s="68"/>
      <c r="B465" s="59"/>
      <c r="C465" s="59"/>
      <c r="D465" s="59"/>
      <c r="E465" s="59"/>
      <c r="F465" s="59"/>
    </row>
    <row r="466" ht="12.75" customHeight="1">
      <c r="A466" s="68"/>
      <c r="B466" s="59"/>
      <c r="C466" s="59"/>
      <c r="D466" s="59"/>
      <c r="E466" s="59"/>
      <c r="F466" s="59"/>
    </row>
    <row r="467" ht="12.75" customHeight="1">
      <c r="A467" s="68"/>
      <c r="B467" s="59"/>
      <c r="C467" s="59"/>
      <c r="D467" s="59"/>
      <c r="E467" s="59"/>
      <c r="F467" s="59"/>
    </row>
    <row r="468" ht="12.75" customHeight="1">
      <c r="A468" s="68"/>
      <c r="B468" s="59"/>
      <c r="C468" s="59"/>
      <c r="D468" s="59"/>
      <c r="E468" s="59"/>
      <c r="F468" s="59"/>
    </row>
    <row r="469" ht="12.75" customHeight="1">
      <c r="A469" s="68"/>
      <c r="B469" s="59"/>
      <c r="C469" s="59"/>
      <c r="D469" s="59"/>
      <c r="E469" s="59"/>
      <c r="F469" s="59"/>
    </row>
    <row r="470" ht="12.75" customHeight="1">
      <c r="A470" s="68"/>
      <c r="B470" s="59"/>
      <c r="C470" s="59"/>
      <c r="D470" s="59"/>
      <c r="E470" s="59"/>
      <c r="F470" s="59"/>
    </row>
    <row r="471" ht="12.75" customHeight="1">
      <c r="A471" s="68"/>
      <c r="B471" s="59"/>
      <c r="C471" s="59"/>
      <c r="D471" s="59"/>
      <c r="E471" s="59"/>
      <c r="F471" s="59"/>
    </row>
    <row r="472" ht="12.75" customHeight="1">
      <c r="A472" s="68"/>
      <c r="B472" s="59"/>
      <c r="C472" s="59"/>
      <c r="D472" s="59"/>
      <c r="E472" s="59"/>
      <c r="F472" s="59"/>
    </row>
    <row r="473" ht="12.75" customHeight="1">
      <c r="A473" s="68"/>
      <c r="B473" s="59"/>
      <c r="C473" s="59"/>
      <c r="D473" s="59"/>
      <c r="E473" s="59"/>
      <c r="F473" s="59"/>
    </row>
    <row r="474" ht="12.75" customHeight="1">
      <c r="A474" s="68"/>
      <c r="B474" s="59"/>
      <c r="C474" s="59"/>
      <c r="D474" s="59"/>
      <c r="E474" s="59"/>
      <c r="F474" s="59"/>
    </row>
    <row r="475" ht="12.75" customHeight="1">
      <c r="A475" s="68"/>
      <c r="B475" s="59"/>
      <c r="C475" s="59"/>
      <c r="D475" s="59"/>
      <c r="E475" s="59"/>
      <c r="F475" s="59"/>
    </row>
    <row r="476" ht="12.75" customHeight="1">
      <c r="A476" s="68"/>
      <c r="B476" s="59"/>
      <c r="C476" s="59"/>
      <c r="D476" s="59"/>
      <c r="E476" s="59"/>
      <c r="F476" s="59"/>
    </row>
    <row r="477" ht="12.75" customHeight="1">
      <c r="A477" s="68"/>
      <c r="B477" s="59"/>
      <c r="C477" s="59"/>
      <c r="D477" s="59"/>
      <c r="E477" s="59"/>
      <c r="F477" s="59"/>
    </row>
    <row r="478" ht="12.75" customHeight="1">
      <c r="A478" s="68"/>
      <c r="B478" s="59"/>
      <c r="C478" s="59"/>
      <c r="D478" s="59"/>
      <c r="E478" s="59"/>
      <c r="F478" s="59"/>
    </row>
    <row r="479" ht="12.75" customHeight="1">
      <c r="A479" s="68"/>
      <c r="B479" s="59"/>
      <c r="C479" s="59"/>
      <c r="D479" s="59"/>
      <c r="E479" s="59"/>
      <c r="F479" s="59"/>
    </row>
    <row r="480" ht="12.75" customHeight="1">
      <c r="A480" s="68"/>
      <c r="B480" s="59"/>
      <c r="C480" s="59"/>
      <c r="D480" s="59"/>
      <c r="E480" s="59"/>
      <c r="F480" s="59"/>
    </row>
    <row r="481" ht="12.75" customHeight="1">
      <c r="A481" s="68"/>
      <c r="B481" s="59"/>
      <c r="C481" s="59"/>
      <c r="D481" s="59"/>
      <c r="E481" s="59"/>
      <c r="F481" s="59"/>
    </row>
    <row r="482" ht="12.75" customHeight="1">
      <c r="A482" s="68"/>
      <c r="B482" s="59"/>
      <c r="C482" s="59"/>
      <c r="D482" s="59"/>
      <c r="E482" s="59"/>
      <c r="F482" s="59"/>
    </row>
    <row r="483" ht="12.75" customHeight="1">
      <c r="A483" s="68"/>
      <c r="B483" s="59"/>
      <c r="C483" s="59"/>
      <c r="D483" s="59"/>
      <c r="E483" s="59"/>
      <c r="F483" s="59"/>
    </row>
    <row r="484" ht="12.75" customHeight="1">
      <c r="A484" s="68"/>
      <c r="B484" s="59"/>
      <c r="C484" s="59"/>
      <c r="D484" s="59"/>
      <c r="E484" s="59"/>
      <c r="F484" s="59"/>
    </row>
    <row r="485" ht="12.75" customHeight="1">
      <c r="A485" s="68"/>
      <c r="B485" s="59"/>
      <c r="C485" s="59"/>
      <c r="D485" s="59"/>
      <c r="E485" s="59"/>
      <c r="F485" s="59"/>
    </row>
    <row r="486" ht="12.75" customHeight="1">
      <c r="A486" s="68"/>
      <c r="B486" s="59"/>
      <c r="C486" s="59"/>
      <c r="D486" s="59"/>
      <c r="E486" s="59"/>
      <c r="F486" s="59"/>
    </row>
    <row r="487" ht="12.75" customHeight="1">
      <c r="A487" s="68"/>
      <c r="B487" s="59"/>
      <c r="C487" s="59"/>
      <c r="D487" s="59"/>
      <c r="E487" s="59"/>
      <c r="F487" s="59"/>
    </row>
    <row r="488" ht="12.75" customHeight="1">
      <c r="A488" s="68"/>
      <c r="B488" s="59"/>
      <c r="C488" s="59"/>
      <c r="D488" s="59"/>
      <c r="E488" s="59"/>
      <c r="F488" s="59"/>
    </row>
    <row r="489" ht="12.75" customHeight="1">
      <c r="A489" s="68"/>
      <c r="B489" s="59"/>
      <c r="C489" s="59"/>
      <c r="D489" s="59"/>
      <c r="E489" s="59"/>
      <c r="F489" s="59"/>
    </row>
    <row r="490" ht="12.75" customHeight="1">
      <c r="A490" s="68"/>
      <c r="B490" s="59"/>
      <c r="C490" s="59"/>
      <c r="D490" s="59"/>
      <c r="E490" s="59"/>
      <c r="F490" s="59"/>
    </row>
    <row r="491" ht="12.75" customHeight="1">
      <c r="A491" s="68"/>
      <c r="B491" s="59"/>
      <c r="C491" s="59"/>
      <c r="D491" s="59"/>
      <c r="E491" s="59"/>
      <c r="F491" s="59"/>
    </row>
    <row r="492" ht="12.75" customHeight="1">
      <c r="A492" s="68"/>
      <c r="B492" s="59"/>
      <c r="C492" s="59"/>
      <c r="D492" s="59"/>
      <c r="E492" s="59"/>
      <c r="F492" s="59"/>
    </row>
    <row r="493" ht="12.75" customHeight="1">
      <c r="A493" s="68"/>
      <c r="B493" s="59"/>
      <c r="C493" s="59"/>
      <c r="D493" s="59"/>
      <c r="E493" s="59"/>
      <c r="F493" s="59"/>
    </row>
    <row r="494" ht="12.75" customHeight="1">
      <c r="A494" s="68"/>
      <c r="B494" s="59"/>
      <c r="C494" s="59"/>
      <c r="D494" s="59"/>
      <c r="E494" s="59"/>
      <c r="F494" s="59"/>
    </row>
    <row r="495" ht="12.75" customHeight="1">
      <c r="A495" s="68"/>
      <c r="B495" s="59"/>
      <c r="C495" s="59"/>
      <c r="D495" s="59"/>
      <c r="E495" s="59"/>
      <c r="F495" s="59"/>
    </row>
    <row r="496" ht="12.75" customHeight="1">
      <c r="A496" s="68"/>
      <c r="B496" s="59"/>
      <c r="C496" s="59"/>
      <c r="D496" s="59"/>
      <c r="E496" s="59"/>
      <c r="F496" s="59"/>
    </row>
    <row r="497" ht="12.75" customHeight="1">
      <c r="A497" s="68"/>
      <c r="B497" s="59"/>
      <c r="C497" s="59"/>
      <c r="D497" s="59"/>
      <c r="E497" s="59"/>
      <c r="F497" s="59"/>
    </row>
    <row r="498" ht="12.75" customHeight="1">
      <c r="A498" s="68"/>
      <c r="B498" s="59"/>
      <c r="C498" s="59"/>
      <c r="D498" s="59"/>
      <c r="E498" s="59"/>
      <c r="F498" s="59"/>
    </row>
    <row r="499" ht="12.75" customHeight="1">
      <c r="A499" s="68"/>
      <c r="B499" s="59"/>
      <c r="C499" s="59"/>
      <c r="D499" s="59"/>
      <c r="E499" s="59"/>
      <c r="F499" s="59"/>
    </row>
    <row r="500" ht="12.75" customHeight="1">
      <c r="A500" s="68"/>
      <c r="B500" s="59"/>
      <c r="C500" s="59"/>
      <c r="D500" s="59"/>
      <c r="E500" s="59"/>
      <c r="F500" s="59"/>
    </row>
    <row r="501" ht="12.75" customHeight="1">
      <c r="A501" s="68"/>
      <c r="B501" s="59"/>
      <c r="C501" s="59"/>
      <c r="D501" s="59"/>
      <c r="E501" s="59"/>
      <c r="F501" s="59"/>
    </row>
    <row r="502" ht="12.75" customHeight="1">
      <c r="A502" s="68"/>
      <c r="B502" s="59"/>
      <c r="C502" s="59"/>
      <c r="D502" s="59"/>
      <c r="E502" s="59"/>
      <c r="F502" s="59"/>
    </row>
    <row r="503" ht="12.75" customHeight="1">
      <c r="A503" s="68"/>
      <c r="B503" s="59"/>
      <c r="C503" s="59"/>
      <c r="D503" s="59"/>
      <c r="E503" s="59"/>
      <c r="F503" s="59"/>
    </row>
    <row r="504" ht="12.75" customHeight="1">
      <c r="A504" s="68"/>
      <c r="B504" s="59"/>
      <c r="C504" s="59"/>
      <c r="D504" s="59"/>
      <c r="E504" s="59"/>
      <c r="F504" s="59"/>
    </row>
    <row r="505" ht="12.75" customHeight="1">
      <c r="A505" s="68"/>
      <c r="B505" s="59"/>
      <c r="C505" s="59"/>
      <c r="D505" s="59"/>
      <c r="E505" s="59"/>
      <c r="F505" s="59"/>
    </row>
    <row r="506" ht="12.75" customHeight="1">
      <c r="A506" s="68"/>
      <c r="B506" s="59"/>
      <c r="C506" s="59"/>
      <c r="D506" s="59"/>
      <c r="E506" s="59"/>
      <c r="F506" s="59"/>
    </row>
    <row r="507" ht="12.75" customHeight="1">
      <c r="A507" s="68"/>
      <c r="B507" s="59"/>
      <c r="C507" s="59"/>
      <c r="D507" s="59"/>
      <c r="E507" s="59"/>
      <c r="F507" s="59"/>
    </row>
    <row r="508" ht="12.75" customHeight="1">
      <c r="A508" s="68"/>
      <c r="B508" s="59"/>
      <c r="C508" s="59"/>
      <c r="D508" s="59"/>
      <c r="E508" s="59"/>
      <c r="F508" s="59"/>
    </row>
    <row r="509" ht="12.75" customHeight="1">
      <c r="A509" s="68"/>
      <c r="B509" s="59"/>
      <c r="C509" s="59"/>
      <c r="D509" s="59"/>
      <c r="E509" s="59"/>
      <c r="F509" s="59"/>
    </row>
    <row r="510" ht="12.75" customHeight="1">
      <c r="A510" s="68"/>
      <c r="B510" s="59"/>
      <c r="C510" s="59"/>
      <c r="D510" s="59"/>
      <c r="E510" s="59"/>
      <c r="F510" s="59"/>
    </row>
    <row r="511" ht="12.75" customHeight="1">
      <c r="A511" s="68"/>
      <c r="B511" s="59"/>
      <c r="C511" s="59"/>
      <c r="D511" s="59"/>
      <c r="E511" s="59"/>
      <c r="F511" s="59"/>
    </row>
    <row r="512" ht="12.75" customHeight="1">
      <c r="A512" s="68"/>
      <c r="B512" s="59"/>
      <c r="C512" s="59"/>
      <c r="D512" s="59"/>
      <c r="E512" s="59"/>
      <c r="F512" s="59"/>
    </row>
    <row r="513" ht="12.75" customHeight="1">
      <c r="A513" s="68"/>
      <c r="B513" s="59"/>
      <c r="C513" s="59"/>
      <c r="D513" s="59"/>
      <c r="E513" s="59"/>
      <c r="F513" s="59"/>
    </row>
    <row r="514" ht="12.75" customHeight="1">
      <c r="A514" s="68"/>
      <c r="B514" s="59"/>
      <c r="C514" s="59"/>
      <c r="D514" s="59"/>
      <c r="E514" s="59"/>
      <c r="F514" s="59"/>
    </row>
    <row r="515" ht="12.75" customHeight="1">
      <c r="A515" s="68"/>
      <c r="B515" s="59"/>
      <c r="C515" s="59"/>
      <c r="D515" s="59"/>
      <c r="E515" s="59"/>
      <c r="F515" s="59"/>
    </row>
    <row r="516" ht="12.75" customHeight="1">
      <c r="A516" s="68"/>
      <c r="B516" s="59"/>
      <c r="C516" s="59"/>
      <c r="D516" s="59"/>
      <c r="E516" s="59"/>
      <c r="F516" s="59"/>
    </row>
    <row r="517" ht="12.75" customHeight="1">
      <c r="A517" s="68"/>
      <c r="B517" s="59"/>
      <c r="C517" s="59"/>
      <c r="D517" s="59"/>
      <c r="E517" s="59"/>
      <c r="F517" s="59"/>
    </row>
    <row r="518" ht="12.75" customHeight="1">
      <c r="A518" s="68"/>
      <c r="B518" s="59"/>
      <c r="C518" s="59"/>
      <c r="D518" s="59"/>
      <c r="E518" s="59"/>
      <c r="F518" s="59"/>
    </row>
    <row r="519" ht="12.75" customHeight="1">
      <c r="A519" s="68"/>
      <c r="B519" s="59"/>
      <c r="C519" s="59"/>
      <c r="D519" s="59"/>
      <c r="E519" s="59"/>
      <c r="F519" s="59"/>
    </row>
    <row r="520" ht="12.75" customHeight="1">
      <c r="A520" s="68"/>
      <c r="B520" s="59"/>
      <c r="C520" s="59"/>
      <c r="D520" s="59"/>
      <c r="E520" s="59"/>
      <c r="F520" s="59"/>
    </row>
    <row r="521" ht="12.75" customHeight="1">
      <c r="A521" s="68"/>
      <c r="B521" s="59"/>
      <c r="C521" s="59"/>
      <c r="D521" s="59"/>
      <c r="E521" s="59"/>
      <c r="F521" s="59"/>
    </row>
    <row r="522" ht="12.75" customHeight="1">
      <c r="A522" s="68"/>
      <c r="B522" s="59"/>
      <c r="C522" s="59"/>
      <c r="D522" s="59"/>
      <c r="E522" s="59"/>
      <c r="F522" s="59"/>
    </row>
    <row r="523" ht="12.75" customHeight="1">
      <c r="A523" s="68"/>
      <c r="B523" s="59"/>
      <c r="C523" s="59"/>
      <c r="D523" s="59"/>
      <c r="E523" s="59"/>
      <c r="F523" s="59"/>
    </row>
    <row r="524" ht="12.75" customHeight="1">
      <c r="A524" s="68"/>
      <c r="B524" s="59"/>
      <c r="C524" s="59"/>
      <c r="D524" s="59"/>
      <c r="E524" s="59"/>
      <c r="F524" s="59"/>
    </row>
    <row r="525" ht="12.75" customHeight="1">
      <c r="A525" s="68"/>
      <c r="B525" s="59"/>
      <c r="C525" s="59"/>
      <c r="D525" s="59"/>
      <c r="E525" s="59"/>
      <c r="F525" s="59"/>
    </row>
    <row r="526" ht="12.75" customHeight="1">
      <c r="A526" s="68"/>
      <c r="B526" s="59"/>
      <c r="C526" s="59"/>
      <c r="D526" s="59"/>
      <c r="E526" s="59"/>
      <c r="F526" s="59"/>
    </row>
    <row r="527" ht="12.75" customHeight="1">
      <c r="A527" s="68"/>
      <c r="B527" s="59"/>
      <c r="C527" s="59"/>
      <c r="D527" s="59"/>
      <c r="E527" s="59"/>
      <c r="F527" s="59"/>
    </row>
    <row r="528" ht="12.75" customHeight="1">
      <c r="A528" s="68"/>
      <c r="B528" s="59"/>
      <c r="C528" s="59"/>
      <c r="D528" s="59"/>
      <c r="E528" s="59"/>
      <c r="F528" s="59"/>
    </row>
    <row r="529" ht="12.75" customHeight="1">
      <c r="A529" s="68"/>
      <c r="B529" s="59"/>
      <c r="C529" s="59"/>
      <c r="D529" s="59"/>
      <c r="E529" s="59"/>
      <c r="F529" s="59"/>
    </row>
    <row r="530" ht="12.75" customHeight="1">
      <c r="A530" s="68"/>
      <c r="B530" s="59"/>
      <c r="C530" s="59"/>
      <c r="D530" s="59"/>
      <c r="E530" s="59"/>
      <c r="F530" s="59"/>
    </row>
    <row r="531" ht="12.75" customHeight="1">
      <c r="A531" s="68"/>
      <c r="B531" s="59"/>
      <c r="C531" s="59"/>
      <c r="D531" s="59"/>
      <c r="E531" s="59"/>
      <c r="F531" s="59"/>
    </row>
    <row r="532" ht="12.75" customHeight="1">
      <c r="A532" s="68"/>
      <c r="B532" s="59"/>
      <c r="C532" s="59"/>
      <c r="D532" s="59"/>
      <c r="E532" s="59"/>
      <c r="F532" s="59"/>
    </row>
    <row r="533" ht="12.75" customHeight="1">
      <c r="A533" s="68"/>
      <c r="B533" s="59"/>
      <c r="C533" s="59"/>
      <c r="D533" s="59"/>
      <c r="E533" s="59"/>
      <c r="F533" s="59"/>
    </row>
    <row r="534" ht="12.75" customHeight="1">
      <c r="A534" s="68"/>
      <c r="B534" s="59"/>
      <c r="C534" s="59"/>
      <c r="D534" s="59"/>
      <c r="E534" s="59"/>
      <c r="F534" s="59"/>
    </row>
    <row r="535" ht="12.75" customHeight="1">
      <c r="A535" s="68"/>
      <c r="B535" s="59"/>
      <c r="C535" s="59"/>
      <c r="D535" s="59"/>
      <c r="E535" s="59"/>
      <c r="F535" s="59"/>
    </row>
    <row r="536" ht="12.75" customHeight="1">
      <c r="A536" s="68"/>
      <c r="B536" s="59"/>
      <c r="C536" s="59"/>
      <c r="D536" s="59"/>
      <c r="E536" s="59"/>
      <c r="F536" s="59"/>
    </row>
    <row r="537" ht="12.75" customHeight="1">
      <c r="A537" s="68"/>
      <c r="B537" s="59"/>
      <c r="C537" s="59"/>
      <c r="D537" s="59"/>
      <c r="E537" s="59"/>
      <c r="F537" s="59"/>
    </row>
    <row r="538" ht="12.75" customHeight="1">
      <c r="A538" s="68"/>
      <c r="B538" s="59"/>
      <c r="C538" s="59"/>
      <c r="D538" s="59"/>
      <c r="E538" s="59"/>
      <c r="F538" s="59"/>
    </row>
    <row r="539" ht="12.75" customHeight="1">
      <c r="A539" s="68"/>
      <c r="B539" s="59"/>
      <c r="C539" s="59"/>
      <c r="D539" s="59"/>
      <c r="E539" s="59"/>
      <c r="F539" s="59"/>
    </row>
    <row r="540" ht="12.75" customHeight="1">
      <c r="A540" s="68"/>
      <c r="B540" s="59"/>
      <c r="C540" s="59"/>
      <c r="D540" s="59"/>
      <c r="E540" s="59"/>
      <c r="F540" s="59"/>
    </row>
    <row r="541" ht="12.75" customHeight="1">
      <c r="A541" s="68"/>
      <c r="B541" s="59"/>
      <c r="C541" s="59"/>
      <c r="D541" s="59"/>
      <c r="E541" s="59"/>
      <c r="F541" s="59"/>
    </row>
    <row r="542" ht="12.75" customHeight="1">
      <c r="A542" s="68"/>
      <c r="B542" s="59"/>
      <c r="C542" s="59"/>
      <c r="D542" s="59"/>
      <c r="E542" s="59"/>
      <c r="F542" s="59"/>
    </row>
    <row r="543" ht="12.75" customHeight="1">
      <c r="A543" s="68"/>
      <c r="B543" s="59"/>
      <c r="C543" s="59"/>
      <c r="D543" s="59"/>
      <c r="E543" s="59"/>
      <c r="F543" s="59"/>
    </row>
    <row r="544" ht="12.75" customHeight="1">
      <c r="A544" s="68"/>
      <c r="B544" s="59"/>
      <c r="C544" s="59"/>
      <c r="D544" s="59"/>
      <c r="E544" s="59"/>
      <c r="F544" s="59"/>
    </row>
    <row r="545" ht="12.75" customHeight="1">
      <c r="A545" s="68"/>
      <c r="B545" s="59"/>
      <c r="C545" s="59"/>
      <c r="D545" s="59"/>
      <c r="E545" s="59"/>
      <c r="F545" s="59"/>
    </row>
    <row r="546" ht="12.75" customHeight="1">
      <c r="A546" s="68"/>
      <c r="B546" s="59"/>
      <c r="C546" s="59"/>
      <c r="D546" s="59"/>
      <c r="E546" s="59"/>
      <c r="F546" s="59"/>
    </row>
    <row r="547" ht="12.75" customHeight="1">
      <c r="A547" s="68"/>
      <c r="B547" s="59"/>
      <c r="C547" s="59"/>
      <c r="D547" s="59"/>
      <c r="E547" s="59"/>
      <c r="F547" s="59"/>
    </row>
    <row r="548" ht="12.75" customHeight="1">
      <c r="A548" s="68"/>
      <c r="B548" s="59"/>
      <c r="C548" s="59"/>
      <c r="D548" s="59"/>
      <c r="E548" s="59"/>
      <c r="F548" s="59"/>
    </row>
    <row r="549" ht="12.75" customHeight="1">
      <c r="A549" s="68"/>
      <c r="B549" s="59"/>
      <c r="C549" s="59"/>
      <c r="D549" s="59"/>
      <c r="E549" s="59"/>
      <c r="F549" s="59"/>
    </row>
    <row r="550" ht="12.75" customHeight="1">
      <c r="A550" s="68"/>
      <c r="B550" s="59"/>
      <c r="C550" s="59"/>
      <c r="D550" s="59"/>
      <c r="E550" s="59"/>
      <c r="F550" s="59"/>
    </row>
    <row r="551" ht="12.75" customHeight="1">
      <c r="A551" s="68"/>
      <c r="B551" s="59"/>
      <c r="C551" s="59"/>
      <c r="D551" s="59"/>
      <c r="E551" s="59"/>
      <c r="F551" s="59"/>
    </row>
    <row r="552" ht="12.75" customHeight="1">
      <c r="A552" s="68"/>
      <c r="B552" s="59"/>
      <c r="C552" s="59"/>
      <c r="D552" s="59"/>
      <c r="E552" s="59"/>
      <c r="F552" s="59"/>
    </row>
    <row r="553" ht="12.75" customHeight="1">
      <c r="A553" s="68"/>
      <c r="B553" s="59"/>
      <c r="C553" s="59"/>
      <c r="D553" s="59"/>
      <c r="E553" s="59"/>
      <c r="F553" s="59"/>
    </row>
    <row r="554" ht="12.75" customHeight="1">
      <c r="A554" s="68"/>
      <c r="B554" s="59"/>
      <c r="C554" s="59"/>
      <c r="D554" s="59"/>
      <c r="E554" s="59"/>
      <c r="F554" s="59"/>
    </row>
    <row r="555" ht="12.75" customHeight="1">
      <c r="A555" s="68"/>
      <c r="B555" s="59"/>
      <c r="C555" s="59"/>
      <c r="D555" s="59"/>
      <c r="E555" s="59"/>
      <c r="F555" s="59"/>
    </row>
    <row r="556" ht="12.75" customHeight="1">
      <c r="A556" s="68"/>
      <c r="B556" s="59"/>
      <c r="C556" s="59"/>
      <c r="D556" s="59"/>
      <c r="E556" s="59"/>
      <c r="F556" s="59"/>
    </row>
    <row r="557" ht="12.75" customHeight="1">
      <c r="A557" s="68"/>
      <c r="B557" s="59"/>
      <c r="C557" s="59"/>
      <c r="D557" s="59"/>
      <c r="E557" s="59"/>
      <c r="F557" s="59"/>
    </row>
    <row r="558" ht="12.75" customHeight="1">
      <c r="A558" s="68"/>
      <c r="B558" s="59"/>
      <c r="C558" s="59"/>
      <c r="D558" s="59"/>
      <c r="E558" s="59"/>
      <c r="F558" s="59"/>
    </row>
    <row r="559" ht="12.75" customHeight="1">
      <c r="A559" s="68"/>
      <c r="B559" s="59"/>
      <c r="C559" s="59"/>
      <c r="D559" s="59"/>
      <c r="E559" s="59"/>
      <c r="F559" s="59"/>
    </row>
    <row r="560" ht="12.75" customHeight="1">
      <c r="A560" s="68"/>
      <c r="B560" s="59"/>
      <c r="C560" s="59"/>
      <c r="D560" s="59"/>
      <c r="E560" s="59"/>
      <c r="F560" s="59"/>
    </row>
    <row r="561" ht="12.75" customHeight="1">
      <c r="A561" s="68"/>
      <c r="B561" s="59"/>
      <c r="C561" s="59"/>
      <c r="D561" s="59"/>
      <c r="E561" s="59"/>
      <c r="F561" s="59"/>
    </row>
    <row r="562" ht="12.75" customHeight="1">
      <c r="A562" s="68"/>
      <c r="B562" s="59"/>
      <c r="C562" s="59"/>
      <c r="D562" s="59"/>
      <c r="E562" s="59"/>
      <c r="F562" s="59"/>
    </row>
    <row r="563" ht="12.75" customHeight="1">
      <c r="A563" s="68"/>
      <c r="B563" s="59"/>
      <c r="C563" s="59"/>
      <c r="D563" s="59"/>
      <c r="E563" s="59"/>
      <c r="F563" s="59"/>
    </row>
    <row r="564" ht="12.75" customHeight="1">
      <c r="A564" s="68"/>
      <c r="B564" s="59"/>
      <c r="C564" s="59"/>
      <c r="D564" s="59"/>
      <c r="E564" s="59"/>
      <c r="F564" s="59"/>
    </row>
    <row r="565" ht="12.75" customHeight="1">
      <c r="A565" s="68"/>
      <c r="B565" s="59"/>
      <c r="C565" s="59"/>
      <c r="D565" s="59"/>
      <c r="E565" s="59"/>
      <c r="F565" s="59"/>
    </row>
    <row r="566" ht="12.75" customHeight="1">
      <c r="A566" s="68"/>
      <c r="B566" s="59"/>
      <c r="C566" s="59"/>
      <c r="D566" s="59"/>
      <c r="E566" s="59"/>
      <c r="F566" s="59"/>
    </row>
    <row r="567" ht="12.75" customHeight="1">
      <c r="A567" s="68"/>
      <c r="B567" s="59"/>
      <c r="C567" s="59"/>
      <c r="D567" s="59"/>
      <c r="E567" s="59"/>
      <c r="F567" s="59"/>
    </row>
    <row r="568" ht="12.75" customHeight="1">
      <c r="A568" s="68"/>
      <c r="B568" s="59"/>
      <c r="C568" s="59"/>
      <c r="D568" s="59"/>
      <c r="E568" s="59"/>
      <c r="F568" s="59"/>
    </row>
    <row r="569" ht="12.75" customHeight="1">
      <c r="A569" s="68"/>
      <c r="B569" s="59"/>
      <c r="C569" s="59"/>
      <c r="D569" s="59"/>
      <c r="E569" s="59"/>
      <c r="F569" s="59"/>
    </row>
    <row r="570" ht="12.75" customHeight="1">
      <c r="A570" s="68"/>
      <c r="B570" s="59"/>
      <c r="C570" s="59"/>
      <c r="D570" s="59"/>
      <c r="E570" s="59"/>
      <c r="F570" s="59"/>
    </row>
    <row r="571" ht="12.75" customHeight="1">
      <c r="A571" s="68"/>
      <c r="B571" s="59"/>
      <c r="C571" s="59"/>
      <c r="D571" s="59"/>
      <c r="E571" s="59"/>
      <c r="F571" s="59"/>
    </row>
    <row r="572" ht="12.75" customHeight="1">
      <c r="A572" s="68"/>
      <c r="B572" s="59"/>
      <c r="C572" s="59"/>
      <c r="D572" s="59"/>
      <c r="E572" s="59"/>
      <c r="F572" s="59"/>
    </row>
    <row r="573" ht="12.75" customHeight="1">
      <c r="A573" s="68"/>
      <c r="B573" s="59"/>
      <c r="C573" s="59"/>
      <c r="D573" s="59"/>
      <c r="E573" s="59"/>
      <c r="F573" s="59"/>
    </row>
    <row r="574" ht="12.75" customHeight="1">
      <c r="A574" s="68"/>
      <c r="B574" s="59"/>
      <c r="C574" s="59"/>
      <c r="D574" s="59"/>
      <c r="E574" s="59"/>
      <c r="F574" s="59"/>
    </row>
    <row r="575" ht="12.75" customHeight="1">
      <c r="A575" s="68"/>
      <c r="B575" s="59"/>
      <c r="C575" s="59"/>
      <c r="D575" s="59"/>
      <c r="E575" s="59"/>
      <c r="F575" s="59"/>
    </row>
    <row r="576" ht="12.75" customHeight="1">
      <c r="A576" s="68"/>
      <c r="B576" s="59"/>
      <c r="C576" s="59"/>
      <c r="D576" s="59"/>
      <c r="E576" s="59"/>
      <c r="F576" s="59"/>
    </row>
    <row r="577" ht="12.75" customHeight="1">
      <c r="A577" s="68"/>
      <c r="B577" s="59"/>
      <c r="C577" s="59"/>
      <c r="D577" s="59"/>
      <c r="E577" s="59"/>
      <c r="F577" s="59"/>
    </row>
    <row r="578" ht="12.75" customHeight="1">
      <c r="A578" s="68"/>
      <c r="B578" s="59"/>
      <c r="C578" s="59"/>
      <c r="D578" s="59"/>
      <c r="E578" s="59"/>
      <c r="F578" s="59"/>
    </row>
    <row r="579" ht="12.75" customHeight="1">
      <c r="A579" s="68"/>
      <c r="B579" s="59"/>
      <c r="C579" s="59"/>
      <c r="D579" s="59"/>
      <c r="E579" s="59"/>
      <c r="F579" s="59"/>
    </row>
    <row r="580" ht="12.75" customHeight="1">
      <c r="A580" s="68"/>
      <c r="B580" s="59"/>
      <c r="C580" s="59"/>
      <c r="D580" s="59"/>
      <c r="E580" s="59"/>
      <c r="F580" s="59"/>
    </row>
    <row r="581" ht="12.75" customHeight="1">
      <c r="A581" s="68"/>
      <c r="B581" s="59"/>
      <c r="C581" s="59"/>
      <c r="D581" s="59"/>
      <c r="E581" s="59"/>
      <c r="F581" s="59"/>
    </row>
    <row r="582" ht="12.75" customHeight="1">
      <c r="A582" s="68"/>
      <c r="B582" s="59"/>
      <c r="C582" s="59"/>
      <c r="D582" s="59"/>
      <c r="E582" s="59"/>
      <c r="F582" s="59"/>
    </row>
    <row r="583" ht="12.75" customHeight="1">
      <c r="A583" s="68"/>
      <c r="B583" s="59"/>
      <c r="C583" s="59"/>
      <c r="D583" s="59"/>
      <c r="E583" s="59"/>
      <c r="F583" s="59"/>
    </row>
    <row r="584" ht="12.75" customHeight="1">
      <c r="A584" s="68"/>
      <c r="B584" s="59"/>
      <c r="C584" s="59"/>
      <c r="D584" s="59"/>
      <c r="E584" s="59"/>
      <c r="F584" s="59"/>
    </row>
    <row r="585" ht="12.75" customHeight="1">
      <c r="A585" s="68"/>
      <c r="B585" s="59"/>
      <c r="C585" s="59"/>
      <c r="D585" s="59"/>
      <c r="E585" s="59"/>
      <c r="F585" s="59"/>
    </row>
    <row r="586" ht="12.75" customHeight="1">
      <c r="A586" s="68"/>
      <c r="B586" s="59"/>
      <c r="C586" s="59"/>
      <c r="D586" s="59"/>
      <c r="E586" s="59"/>
      <c r="F586" s="59"/>
    </row>
    <row r="587" ht="12.75" customHeight="1">
      <c r="A587" s="68"/>
      <c r="B587" s="59"/>
      <c r="C587" s="59"/>
      <c r="D587" s="59"/>
      <c r="E587" s="59"/>
      <c r="F587" s="59"/>
    </row>
    <row r="588" ht="12.75" customHeight="1">
      <c r="A588" s="68"/>
      <c r="B588" s="59"/>
      <c r="C588" s="59"/>
      <c r="D588" s="59"/>
      <c r="E588" s="59"/>
      <c r="F588" s="59"/>
    </row>
    <row r="589" ht="12.75" customHeight="1">
      <c r="A589" s="68"/>
      <c r="B589" s="59"/>
      <c r="C589" s="59"/>
      <c r="D589" s="59"/>
      <c r="E589" s="59"/>
      <c r="F589" s="59"/>
    </row>
    <row r="590" ht="12.75" customHeight="1">
      <c r="A590" s="68"/>
      <c r="B590" s="59"/>
      <c r="C590" s="59"/>
      <c r="D590" s="59"/>
      <c r="E590" s="59"/>
      <c r="F590" s="59"/>
    </row>
    <row r="591" ht="12.75" customHeight="1">
      <c r="A591" s="68"/>
      <c r="B591" s="59"/>
      <c r="C591" s="59"/>
      <c r="D591" s="59"/>
      <c r="E591" s="59"/>
      <c r="F591" s="59"/>
    </row>
    <row r="592" ht="12.75" customHeight="1">
      <c r="A592" s="68"/>
      <c r="B592" s="59"/>
      <c r="C592" s="59"/>
      <c r="D592" s="59"/>
      <c r="E592" s="59"/>
      <c r="F592" s="59"/>
    </row>
    <row r="593" ht="12.75" customHeight="1">
      <c r="A593" s="68"/>
      <c r="B593" s="59"/>
      <c r="C593" s="59"/>
      <c r="D593" s="59"/>
      <c r="E593" s="59"/>
      <c r="F593" s="59"/>
    </row>
    <row r="594" ht="12.75" customHeight="1">
      <c r="A594" s="68"/>
      <c r="B594" s="59"/>
      <c r="C594" s="59"/>
      <c r="D594" s="59"/>
      <c r="E594" s="59"/>
      <c r="F594" s="59"/>
    </row>
    <row r="595" ht="12.75" customHeight="1">
      <c r="A595" s="68"/>
      <c r="B595" s="59"/>
      <c r="C595" s="59"/>
      <c r="D595" s="59"/>
      <c r="E595" s="59"/>
      <c r="F595" s="59"/>
    </row>
    <row r="596" ht="12.75" customHeight="1">
      <c r="A596" s="68"/>
      <c r="B596" s="59"/>
      <c r="C596" s="59"/>
      <c r="D596" s="59"/>
      <c r="E596" s="59"/>
      <c r="F596" s="59"/>
    </row>
    <row r="597" ht="12.75" customHeight="1">
      <c r="A597" s="68"/>
      <c r="B597" s="59"/>
      <c r="C597" s="59"/>
      <c r="D597" s="59"/>
      <c r="E597" s="59"/>
      <c r="F597" s="59"/>
    </row>
    <row r="598" ht="12.75" customHeight="1">
      <c r="A598" s="68"/>
      <c r="B598" s="59"/>
      <c r="C598" s="59"/>
      <c r="D598" s="59"/>
      <c r="E598" s="59"/>
      <c r="F598" s="59"/>
    </row>
    <row r="599" ht="12.75" customHeight="1">
      <c r="A599" s="68"/>
      <c r="B599" s="59"/>
      <c r="C599" s="59"/>
      <c r="D599" s="59"/>
      <c r="E599" s="59"/>
      <c r="F599" s="59"/>
    </row>
    <row r="600" ht="12.75" customHeight="1">
      <c r="A600" s="68"/>
      <c r="B600" s="59"/>
      <c r="C600" s="59"/>
      <c r="D600" s="59"/>
      <c r="E600" s="59"/>
      <c r="F600" s="59"/>
    </row>
    <row r="601" ht="12.75" customHeight="1">
      <c r="A601" s="68"/>
      <c r="B601" s="59"/>
      <c r="C601" s="59"/>
      <c r="D601" s="59"/>
      <c r="E601" s="59"/>
      <c r="F601" s="59"/>
    </row>
    <row r="602" ht="12.75" customHeight="1">
      <c r="A602" s="68"/>
      <c r="B602" s="59"/>
      <c r="C602" s="59"/>
      <c r="D602" s="59"/>
      <c r="E602" s="59"/>
      <c r="F602" s="59"/>
    </row>
    <row r="603" ht="12.75" customHeight="1">
      <c r="A603" s="68"/>
      <c r="B603" s="59"/>
      <c r="C603" s="59"/>
      <c r="D603" s="59"/>
      <c r="E603" s="59"/>
      <c r="F603" s="59"/>
    </row>
    <row r="604" ht="12.75" customHeight="1">
      <c r="A604" s="68"/>
      <c r="B604" s="59"/>
      <c r="C604" s="59"/>
      <c r="D604" s="59"/>
      <c r="E604" s="59"/>
      <c r="F604" s="59"/>
    </row>
    <row r="605" ht="12.75" customHeight="1">
      <c r="A605" s="68"/>
      <c r="B605" s="59"/>
      <c r="C605" s="59"/>
      <c r="D605" s="59"/>
      <c r="E605" s="59"/>
      <c r="F605" s="59"/>
    </row>
    <row r="606" ht="12.75" customHeight="1">
      <c r="A606" s="68"/>
      <c r="B606" s="59"/>
      <c r="C606" s="59"/>
      <c r="D606" s="59"/>
      <c r="E606" s="59"/>
      <c r="F606" s="59"/>
    </row>
    <row r="607" ht="12.75" customHeight="1">
      <c r="A607" s="68"/>
      <c r="B607" s="59"/>
      <c r="C607" s="59"/>
      <c r="D607" s="59"/>
      <c r="E607" s="59"/>
      <c r="F607" s="59"/>
    </row>
    <row r="608" ht="12.75" customHeight="1">
      <c r="A608" s="68"/>
      <c r="B608" s="59"/>
      <c r="C608" s="59"/>
      <c r="D608" s="59"/>
      <c r="E608" s="59"/>
      <c r="F608" s="59"/>
    </row>
    <row r="609" ht="12.75" customHeight="1">
      <c r="A609" s="68"/>
      <c r="B609" s="59"/>
      <c r="C609" s="59"/>
      <c r="D609" s="59"/>
      <c r="E609" s="59"/>
      <c r="F609" s="59"/>
    </row>
    <row r="610" ht="12.75" customHeight="1">
      <c r="A610" s="68"/>
      <c r="B610" s="59"/>
      <c r="C610" s="59"/>
      <c r="D610" s="59"/>
      <c r="E610" s="59"/>
      <c r="F610" s="59"/>
    </row>
    <row r="611" ht="12.75" customHeight="1">
      <c r="A611" s="68"/>
      <c r="B611" s="59"/>
      <c r="C611" s="59"/>
      <c r="D611" s="59"/>
      <c r="E611" s="59"/>
      <c r="F611" s="59"/>
    </row>
    <row r="612" ht="12.75" customHeight="1">
      <c r="A612" s="68"/>
      <c r="B612" s="59"/>
      <c r="C612" s="59"/>
      <c r="D612" s="59"/>
      <c r="E612" s="59"/>
      <c r="F612" s="59"/>
    </row>
    <row r="613" ht="12.75" customHeight="1">
      <c r="A613" s="68"/>
      <c r="B613" s="59"/>
      <c r="C613" s="59"/>
      <c r="D613" s="59"/>
      <c r="E613" s="59"/>
      <c r="F613" s="59"/>
    </row>
    <row r="614" ht="12.75" customHeight="1">
      <c r="A614" s="68"/>
      <c r="B614" s="59"/>
      <c r="C614" s="59"/>
      <c r="D614" s="59"/>
      <c r="E614" s="59"/>
      <c r="F614" s="59"/>
    </row>
    <row r="615" ht="12.75" customHeight="1">
      <c r="A615" s="68"/>
      <c r="B615" s="59"/>
      <c r="C615" s="59"/>
      <c r="D615" s="59"/>
      <c r="E615" s="59"/>
      <c r="F615" s="59"/>
    </row>
    <row r="616" ht="12.75" customHeight="1">
      <c r="A616" s="68"/>
      <c r="B616" s="59"/>
      <c r="C616" s="59"/>
      <c r="D616" s="59"/>
      <c r="E616" s="59"/>
      <c r="F616" s="59"/>
    </row>
    <row r="617" ht="12.75" customHeight="1">
      <c r="A617" s="68"/>
      <c r="B617" s="59"/>
      <c r="C617" s="59"/>
      <c r="D617" s="59"/>
      <c r="E617" s="59"/>
      <c r="F617" s="59"/>
    </row>
    <row r="618" ht="12.75" customHeight="1">
      <c r="A618" s="68"/>
      <c r="B618" s="59"/>
      <c r="C618" s="59"/>
      <c r="D618" s="59"/>
      <c r="E618" s="59"/>
      <c r="F618" s="59"/>
    </row>
    <row r="619" ht="12.75" customHeight="1">
      <c r="A619" s="68"/>
      <c r="B619" s="59"/>
      <c r="C619" s="59"/>
      <c r="D619" s="59"/>
      <c r="E619" s="59"/>
      <c r="F619" s="59"/>
    </row>
    <row r="620" ht="12.75" customHeight="1">
      <c r="A620" s="68"/>
      <c r="B620" s="59"/>
      <c r="C620" s="59"/>
      <c r="D620" s="59"/>
      <c r="E620" s="59"/>
      <c r="F620" s="59"/>
    </row>
    <row r="621" ht="12.75" customHeight="1">
      <c r="A621" s="68"/>
      <c r="B621" s="59"/>
      <c r="C621" s="59"/>
      <c r="D621" s="59"/>
      <c r="E621" s="59"/>
      <c r="F621" s="59"/>
    </row>
    <row r="622" ht="12.75" customHeight="1">
      <c r="A622" s="68"/>
      <c r="B622" s="59"/>
      <c r="C622" s="59"/>
      <c r="D622" s="59"/>
      <c r="E622" s="59"/>
      <c r="F622" s="59"/>
    </row>
    <row r="623" ht="12.75" customHeight="1">
      <c r="A623" s="68"/>
      <c r="B623" s="59"/>
      <c r="C623" s="59"/>
      <c r="D623" s="59"/>
      <c r="E623" s="59"/>
      <c r="F623" s="59"/>
    </row>
    <row r="624" ht="12.75" customHeight="1">
      <c r="A624" s="68"/>
      <c r="B624" s="59"/>
      <c r="C624" s="59"/>
      <c r="D624" s="59"/>
      <c r="E624" s="59"/>
      <c r="F624" s="59"/>
    </row>
    <row r="625" ht="12.75" customHeight="1">
      <c r="A625" s="68"/>
      <c r="B625" s="59"/>
      <c r="C625" s="59"/>
      <c r="D625" s="59"/>
      <c r="E625" s="59"/>
      <c r="F625" s="59"/>
    </row>
    <row r="626" ht="12.75" customHeight="1">
      <c r="A626" s="68"/>
      <c r="B626" s="59"/>
      <c r="C626" s="59"/>
      <c r="D626" s="59"/>
      <c r="E626" s="59"/>
      <c r="F626" s="59"/>
    </row>
    <row r="627" ht="12.75" customHeight="1">
      <c r="A627" s="68"/>
      <c r="B627" s="59"/>
      <c r="C627" s="59"/>
      <c r="D627" s="59"/>
      <c r="E627" s="59"/>
      <c r="F627" s="59"/>
    </row>
    <row r="628" ht="12.75" customHeight="1">
      <c r="A628" s="68"/>
      <c r="B628" s="59"/>
      <c r="C628" s="59"/>
      <c r="D628" s="59"/>
      <c r="E628" s="59"/>
      <c r="F628" s="59"/>
    </row>
    <row r="629" ht="12.75" customHeight="1">
      <c r="A629" s="68"/>
      <c r="B629" s="59"/>
      <c r="C629" s="59"/>
      <c r="D629" s="59"/>
      <c r="E629" s="59"/>
      <c r="F629" s="59"/>
    </row>
    <row r="630" ht="12.75" customHeight="1">
      <c r="A630" s="68"/>
      <c r="B630" s="59"/>
      <c r="C630" s="59"/>
      <c r="D630" s="59"/>
      <c r="E630" s="59"/>
      <c r="F630" s="59"/>
    </row>
    <row r="631" ht="12.75" customHeight="1">
      <c r="A631" s="68"/>
      <c r="B631" s="59"/>
      <c r="C631" s="59"/>
      <c r="D631" s="59"/>
      <c r="E631" s="59"/>
      <c r="F631" s="59"/>
    </row>
    <row r="632" ht="12.75" customHeight="1">
      <c r="A632" s="68"/>
      <c r="B632" s="59"/>
      <c r="C632" s="59"/>
      <c r="D632" s="59"/>
      <c r="E632" s="59"/>
      <c r="F632" s="59"/>
    </row>
    <row r="633" ht="12.75" customHeight="1">
      <c r="A633" s="68"/>
      <c r="B633" s="59"/>
      <c r="C633" s="59"/>
      <c r="D633" s="59"/>
      <c r="E633" s="59"/>
      <c r="F633" s="59"/>
    </row>
    <row r="634" ht="12.75" customHeight="1">
      <c r="A634" s="68"/>
      <c r="B634" s="59"/>
      <c r="C634" s="59"/>
      <c r="D634" s="59"/>
      <c r="E634" s="59"/>
      <c r="F634" s="59"/>
    </row>
    <row r="635" ht="12.75" customHeight="1">
      <c r="A635" s="68"/>
      <c r="B635" s="59"/>
      <c r="C635" s="59"/>
      <c r="D635" s="59"/>
      <c r="E635" s="59"/>
      <c r="F635" s="59"/>
    </row>
    <row r="636" ht="12.75" customHeight="1">
      <c r="A636" s="68"/>
      <c r="B636" s="59"/>
      <c r="C636" s="59"/>
      <c r="D636" s="59"/>
      <c r="E636" s="59"/>
      <c r="F636" s="59"/>
    </row>
    <row r="637" ht="12.75" customHeight="1">
      <c r="A637" s="68"/>
      <c r="B637" s="59"/>
      <c r="C637" s="59"/>
      <c r="D637" s="59"/>
      <c r="E637" s="59"/>
      <c r="F637" s="59"/>
    </row>
    <row r="638" ht="12.75" customHeight="1">
      <c r="A638" s="68"/>
      <c r="B638" s="59"/>
      <c r="C638" s="59"/>
      <c r="D638" s="59"/>
      <c r="E638" s="59"/>
      <c r="F638" s="59"/>
    </row>
    <row r="639" ht="12.75" customHeight="1">
      <c r="A639" s="68"/>
      <c r="B639" s="59"/>
      <c r="C639" s="59"/>
      <c r="D639" s="59"/>
      <c r="E639" s="59"/>
      <c r="F639" s="59"/>
    </row>
    <row r="640" ht="12.75" customHeight="1">
      <c r="A640" s="68"/>
      <c r="B640" s="59"/>
      <c r="C640" s="59"/>
      <c r="D640" s="59"/>
      <c r="E640" s="59"/>
      <c r="F640" s="59"/>
    </row>
    <row r="641" ht="12.75" customHeight="1">
      <c r="A641" s="68"/>
      <c r="B641" s="59"/>
      <c r="C641" s="59"/>
      <c r="D641" s="59"/>
      <c r="E641" s="59"/>
      <c r="F641" s="59"/>
    </row>
    <row r="642" ht="12.75" customHeight="1">
      <c r="A642" s="68"/>
      <c r="B642" s="59"/>
      <c r="C642" s="59"/>
      <c r="D642" s="59"/>
      <c r="E642" s="59"/>
      <c r="F642" s="59"/>
    </row>
    <row r="643" ht="12.75" customHeight="1">
      <c r="A643" s="68"/>
      <c r="B643" s="59"/>
      <c r="C643" s="59"/>
      <c r="D643" s="59"/>
      <c r="E643" s="59"/>
      <c r="F643" s="59"/>
    </row>
    <row r="644" ht="12.75" customHeight="1">
      <c r="A644" s="68"/>
      <c r="B644" s="59"/>
      <c r="C644" s="59"/>
      <c r="D644" s="59"/>
      <c r="E644" s="59"/>
      <c r="F644" s="59"/>
    </row>
    <row r="645" ht="12.75" customHeight="1">
      <c r="A645" s="68"/>
      <c r="B645" s="59"/>
      <c r="C645" s="59"/>
      <c r="D645" s="59"/>
      <c r="E645" s="59"/>
      <c r="F645" s="59"/>
    </row>
    <row r="646" ht="12.75" customHeight="1">
      <c r="A646" s="68"/>
      <c r="B646" s="59"/>
      <c r="C646" s="59"/>
      <c r="D646" s="59"/>
      <c r="E646" s="59"/>
      <c r="F646" s="59"/>
    </row>
    <row r="647" ht="12.75" customHeight="1">
      <c r="A647" s="68"/>
      <c r="B647" s="59"/>
      <c r="C647" s="59"/>
      <c r="D647" s="59"/>
      <c r="E647" s="59"/>
      <c r="F647" s="59"/>
    </row>
    <row r="648" ht="12.75" customHeight="1">
      <c r="A648" s="68"/>
      <c r="B648" s="59"/>
      <c r="C648" s="59"/>
      <c r="D648" s="59"/>
      <c r="E648" s="59"/>
      <c r="F648" s="59"/>
    </row>
    <row r="649" ht="12.75" customHeight="1">
      <c r="A649" s="68"/>
      <c r="B649" s="59"/>
      <c r="C649" s="59"/>
      <c r="D649" s="59"/>
      <c r="E649" s="59"/>
      <c r="F649" s="59"/>
    </row>
    <row r="650" ht="12.75" customHeight="1">
      <c r="A650" s="68"/>
      <c r="B650" s="59"/>
      <c r="C650" s="59"/>
      <c r="D650" s="59"/>
      <c r="E650" s="59"/>
      <c r="F650" s="59"/>
    </row>
    <row r="651" ht="12.75" customHeight="1">
      <c r="A651" s="68"/>
      <c r="B651" s="59"/>
      <c r="C651" s="59"/>
      <c r="D651" s="59"/>
      <c r="E651" s="59"/>
      <c r="F651" s="59"/>
    </row>
    <row r="652" ht="12.75" customHeight="1">
      <c r="A652" s="68"/>
      <c r="B652" s="59"/>
      <c r="C652" s="59"/>
      <c r="D652" s="59"/>
      <c r="E652" s="59"/>
      <c r="F652" s="59"/>
    </row>
    <row r="653" ht="12.75" customHeight="1">
      <c r="A653" s="68"/>
      <c r="B653" s="59"/>
      <c r="C653" s="59"/>
      <c r="D653" s="59"/>
      <c r="E653" s="59"/>
      <c r="F653" s="59"/>
    </row>
    <row r="654" ht="12.75" customHeight="1">
      <c r="A654" s="68"/>
      <c r="B654" s="59"/>
      <c r="C654" s="59"/>
      <c r="D654" s="59"/>
      <c r="E654" s="59"/>
      <c r="F654" s="59"/>
    </row>
    <row r="655" ht="12.75" customHeight="1">
      <c r="A655" s="68"/>
      <c r="B655" s="59"/>
      <c r="C655" s="59"/>
      <c r="D655" s="59"/>
      <c r="E655" s="59"/>
      <c r="F655" s="59"/>
    </row>
    <row r="656" ht="12.75" customHeight="1">
      <c r="A656" s="68"/>
      <c r="B656" s="59"/>
      <c r="C656" s="59"/>
      <c r="D656" s="59"/>
      <c r="E656" s="59"/>
      <c r="F656" s="59"/>
    </row>
    <row r="657" ht="12.75" customHeight="1">
      <c r="A657" s="68"/>
      <c r="B657" s="59"/>
      <c r="C657" s="59"/>
      <c r="D657" s="59"/>
      <c r="E657" s="59"/>
      <c r="F657" s="59"/>
    </row>
    <row r="658" ht="12.75" customHeight="1">
      <c r="A658" s="68"/>
      <c r="B658" s="59"/>
      <c r="C658" s="59"/>
      <c r="D658" s="59"/>
      <c r="E658" s="59"/>
      <c r="F658" s="59"/>
    </row>
    <row r="659" ht="12.75" customHeight="1">
      <c r="A659" s="68"/>
      <c r="B659" s="59"/>
      <c r="C659" s="59"/>
      <c r="D659" s="59"/>
      <c r="E659" s="59"/>
      <c r="F659" s="59"/>
    </row>
    <row r="660" ht="12.75" customHeight="1">
      <c r="A660" s="68"/>
      <c r="B660" s="59"/>
      <c r="C660" s="59"/>
      <c r="D660" s="59"/>
      <c r="E660" s="59"/>
      <c r="F660" s="59"/>
    </row>
    <row r="661" ht="12.75" customHeight="1">
      <c r="A661" s="68"/>
      <c r="B661" s="59"/>
      <c r="C661" s="59"/>
      <c r="D661" s="59"/>
      <c r="E661" s="59"/>
      <c r="F661" s="59"/>
    </row>
    <row r="662" ht="12.75" customHeight="1">
      <c r="A662" s="68"/>
      <c r="B662" s="59"/>
      <c r="C662" s="59"/>
      <c r="D662" s="59"/>
      <c r="E662" s="59"/>
      <c r="F662" s="59"/>
    </row>
    <row r="663" ht="12.75" customHeight="1">
      <c r="A663" s="68"/>
      <c r="B663" s="59"/>
      <c r="C663" s="59"/>
      <c r="D663" s="59"/>
      <c r="E663" s="59"/>
      <c r="F663" s="59"/>
    </row>
    <row r="664" ht="12.75" customHeight="1">
      <c r="A664" s="68"/>
      <c r="B664" s="59"/>
      <c r="C664" s="59"/>
      <c r="D664" s="59"/>
      <c r="E664" s="59"/>
      <c r="F664" s="59"/>
    </row>
    <row r="665" ht="12.75" customHeight="1">
      <c r="A665" s="68"/>
      <c r="B665" s="59"/>
      <c r="C665" s="59"/>
      <c r="D665" s="59"/>
      <c r="E665" s="59"/>
      <c r="F665" s="59"/>
    </row>
    <row r="666" ht="12.75" customHeight="1">
      <c r="A666" s="68"/>
      <c r="B666" s="59"/>
      <c r="C666" s="59"/>
      <c r="D666" s="59"/>
      <c r="E666" s="59"/>
      <c r="F666" s="59"/>
    </row>
    <row r="667" ht="12.75" customHeight="1">
      <c r="A667" s="68"/>
      <c r="B667" s="59"/>
      <c r="C667" s="59"/>
      <c r="D667" s="59"/>
      <c r="E667" s="59"/>
      <c r="F667" s="59"/>
    </row>
    <row r="668" ht="12.75" customHeight="1">
      <c r="A668" s="68"/>
      <c r="B668" s="59"/>
      <c r="C668" s="59"/>
      <c r="D668" s="59"/>
      <c r="E668" s="59"/>
      <c r="F668" s="59"/>
    </row>
    <row r="669" ht="12.75" customHeight="1">
      <c r="A669" s="68"/>
      <c r="B669" s="59"/>
      <c r="C669" s="59"/>
      <c r="D669" s="59"/>
      <c r="E669" s="59"/>
      <c r="F669" s="59"/>
    </row>
    <row r="670" ht="12.75" customHeight="1">
      <c r="A670" s="68"/>
      <c r="B670" s="59"/>
      <c r="C670" s="59"/>
      <c r="D670" s="59"/>
      <c r="E670" s="59"/>
      <c r="F670" s="59"/>
    </row>
    <row r="671" ht="12.75" customHeight="1">
      <c r="A671" s="68"/>
      <c r="B671" s="59"/>
      <c r="C671" s="59"/>
      <c r="D671" s="59"/>
      <c r="E671" s="59"/>
      <c r="F671" s="59"/>
    </row>
    <row r="672" ht="12.75" customHeight="1">
      <c r="A672" s="68"/>
      <c r="B672" s="59"/>
      <c r="C672" s="59"/>
      <c r="D672" s="59"/>
      <c r="E672" s="59"/>
      <c r="F672" s="59"/>
    </row>
    <row r="673" ht="12.75" customHeight="1">
      <c r="A673" s="68"/>
      <c r="B673" s="59"/>
      <c r="C673" s="59"/>
      <c r="D673" s="59"/>
      <c r="E673" s="59"/>
      <c r="F673" s="59"/>
    </row>
    <row r="674" ht="12.75" customHeight="1">
      <c r="A674" s="68"/>
      <c r="B674" s="59"/>
      <c r="C674" s="59"/>
      <c r="D674" s="59"/>
      <c r="E674" s="59"/>
      <c r="F674" s="59"/>
    </row>
    <row r="675" ht="12.75" customHeight="1">
      <c r="A675" s="68"/>
      <c r="B675" s="59"/>
      <c r="C675" s="59"/>
      <c r="D675" s="59"/>
      <c r="E675" s="59"/>
      <c r="F675" s="59"/>
    </row>
    <row r="676" ht="12.75" customHeight="1">
      <c r="A676" s="68"/>
      <c r="B676" s="59"/>
      <c r="C676" s="59"/>
      <c r="D676" s="59"/>
      <c r="E676" s="59"/>
      <c r="F676" s="59"/>
    </row>
    <row r="677" ht="12.75" customHeight="1">
      <c r="A677" s="68"/>
      <c r="B677" s="59"/>
      <c r="C677" s="59"/>
      <c r="D677" s="59"/>
      <c r="E677" s="59"/>
      <c r="F677" s="59"/>
    </row>
    <row r="678" ht="12.75" customHeight="1">
      <c r="A678" s="68"/>
      <c r="B678" s="59"/>
      <c r="C678" s="59"/>
      <c r="D678" s="59"/>
      <c r="E678" s="59"/>
      <c r="F678" s="59"/>
    </row>
    <row r="679" ht="12.75" customHeight="1">
      <c r="A679" s="68"/>
      <c r="B679" s="59"/>
      <c r="C679" s="59"/>
      <c r="D679" s="59"/>
      <c r="E679" s="59"/>
      <c r="F679" s="59"/>
    </row>
    <row r="680" ht="12.75" customHeight="1">
      <c r="A680" s="68"/>
      <c r="B680" s="59"/>
      <c r="C680" s="59"/>
      <c r="D680" s="59"/>
      <c r="E680" s="59"/>
      <c r="F680" s="59"/>
    </row>
    <row r="681" ht="12.75" customHeight="1">
      <c r="A681" s="68"/>
      <c r="B681" s="59"/>
      <c r="C681" s="59"/>
      <c r="D681" s="59"/>
      <c r="E681" s="59"/>
      <c r="F681" s="59"/>
    </row>
    <row r="682" ht="12.75" customHeight="1">
      <c r="A682" s="68"/>
      <c r="B682" s="59"/>
      <c r="C682" s="59"/>
      <c r="D682" s="59"/>
      <c r="E682" s="59"/>
      <c r="F682" s="59"/>
    </row>
    <row r="683" ht="12.75" customHeight="1">
      <c r="A683" s="68"/>
      <c r="B683" s="59"/>
      <c r="C683" s="59"/>
      <c r="D683" s="59"/>
      <c r="E683" s="59"/>
      <c r="F683" s="59"/>
    </row>
    <row r="684" ht="12.75" customHeight="1">
      <c r="A684" s="68"/>
      <c r="B684" s="59"/>
      <c r="C684" s="59"/>
      <c r="D684" s="59"/>
      <c r="E684" s="59"/>
      <c r="F684" s="59"/>
    </row>
    <row r="685" ht="12.75" customHeight="1">
      <c r="A685" s="68"/>
      <c r="B685" s="59"/>
      <c r="C685" s="59"/>
      <c r="D685" s="59"/>
      <c r="E685" s="59"/>
      <c r="F685" s="59"/>
    </row>
    <row r="686" ht="12.75" customHeight="1">
      <c r="A686" s="68"/>
      <c r="B686" s="59"/>
      <c r="C686" s="59"/>
      <c r="D686" s="59"/>
      <c r="E686" s="59"/>
      <c r="F686" s="59"/>
    </row>
    <row r="687" ht="12.75" customHeight="1">
      <c r="A687" s="68"/>
      <c r="B687" s="59"/>
      <c r="C687" s="59"/>
      <c r="D687" s="59"/>
      <c r="E687" s="59"/>
      <c r="F687" s="59"/>
    </row>
    <row r="688" ht="12.75" customHeight="1">
      <c r="A688" s="68"/>
      <c r="B688" s="59"/>
      <c r="C688" s="59"/>
      <c r="D688" s="59"/>
      <c r="E688" s="59"/>
      <c r="F688" s="59"/>
    </row>
    <row r="689" ht="12.75" customHeight="1">
      <c r="A689" s="68"/>
      <c r="B689" s="59"/>
      <c r="C689" s="59"/>
      <c r="D689" s="59"/>
      <c r="E689" s="59"/>
      <c r="F689" s="59"/>
    </row>
    <row r="690" ht="12.75" customHeight="1">
      <c r="A690" s="68"/>
      <c r="B690" s="59"/>
      <c r="C690" s="59"/>
      <c r="D690" s="59"/>
      <c r="E690" s="59"/>
      <c r="F690" s="59"/>
    </row>
    <row r="691" ht="12.75" customHeight="1">
      <c r="A691" s="68"/>
      <c r="B691" s="59"/>
      <c r="C691" s="59"/>
      <c r="D691" s="59"/>
      <c r="E691" s="59"/>
      <c r="F691" s="59"/>
    </row>
    <row r="692" ht="12.75" customHeight="1">
      <c r="A692" s="68"/>
      <c r="B692" s="59"/>
      <c r="C692" s="59"/>
      <c r="D692" s="59"/>
      <c r="E692" s="59"/>
      <c r="F692" s="59"/>
    </row>
    <row r="693" ht="12.75" customHeight="1">
      <c r="A693" s="68"/>
      <c r="B693" s="59"/>
      <c r="C693" s="59"/>
      <c r="D693" s="59"/>
      <c r="E693" s="59"/>
      <c r="F693" s="59"/>
    </row>
    <row r="694" ht="12.75" customHeight="1">
      <c r="A694" s="68"/>
      <c r="B694" s="59"/>
      <c r="C694" s="59"/>
      <c r="D694" s="59"/>
      <c r="E694" s="59"/>
      <c r="F694" s="59"/>
    </row>
    <row r="695" ht="12.75" customHeight="1">
      <c r="A695" s="68"/>
      <c r="B695" s="59"/>
      <c r="C695" s="59"/>
      <c r="D695" s="59"/>
      <c r="E695" s="59"/>
      <c r="F695" s="59"/>
    </row>
    <row r="696" ht="12.75" customHeight="1">
      <c r="A696" s="68"/>
      <c r="B696" s="59"/>
      <c r="C696" s="59"/>
      <c r="D696" s="59"/>
      <c r="E696" s="59"/>
      <c r="F696" s="59"/>
    </row>
    <row r="697" ht="12.75" customHeight="1">
      <c r="A697" s="68"/>
      <c r="B697" s="59"/>
      <c r="C697" s="59"/>
      <c r="D697" s="59"/>
      <c r="E697" s="59"/>
      <c r="F697" s="59"/>
    </row>
    <row r="698" ht="12.75" customHeight="1">
      <c r="A698" s="68"/>
      <c r="B698" s="59"/>
      <c r="C698" s="59"/>
      <c r="D698" s="59"/>
      <c r="E698" s="59"/>
      <c r="F698" s="59"/>
    </row>
    <row r="699" ht="12.75" customHeight="1">
      <c r="A699" s="68"/>
      <c r="B699" s="59"/>
      <c r="C699" s="59"/>
      <c r="D699" s="59"/>
      <c r="E699" s="59"/>
      <c r="F699" s="59"/>
    </row>
    <row r="700" ht="12.75" customHeight="1">
      <c r="A700" s="68"/>
      <c r="B700" s="59"/>
      <c r="C700" s="59"/>
      <c r="D700" s="59"/>
      <c r="E700" s="59"/>
      <c r="F700" s="59"/>
    </row>
    <row r="701" ht="12.75" customHeight="1">
      <c r="A701" s="68"/>
      <c r="B701" s="59"/>
      <c r="C701" s="59"/>
      <c r="D701" s="59"/>
      <c r="E701" s="59"/>
      <c r="F701" s="59"/>
    </row>
    <row r="702" ht="12.75" customHeight="1">
      <c r="A702" s="68"/>
      <c r="B702" s="59"/>
      <c r="C702" s="59"/>
      <c r="D702" s="59"/>
      <c r="E702" s="59"/>
      <c r="F702" s="59"/>
    </row>
    <row r="703" ht="12.75" customHeight="1">
      <c r="A703" s="68"/>
      <c r="B703" s="59"/>
      <c r="C703" s="59"/>
      <c r="D703" s="59"/>
      <c r="E703" s="59"/>
      <c r="F703" s="59"/>
    </row>
    <row r="704" ht="12.75" customHeight="1">
      <c r="A704" s="68"/>
      <c r="B704" s="59"/>
      <c r="C704" s="59"/>
      <c r="D704" s="59"/>
      <c r="E704" s="59"/>
      <c r="F704" s="59"/>
    </row>
    <row r="705" ht="12.75" customHeight="1">
      <c r="A705" s="68"/>
      <c r="B705" s="59"/>
      <c r="C705" s="59"/>
      <c r="D705" s="59"/>
      <c r="E705" s="59"/>
      <c r="F705" s="59"/>
    </row>
    <row r="706" ht="12.75" customHeight="1">
      <c r="A706" s="68"/>
      <c r="B706" s="59"/>
      <c r="C706" s="59"/>
      <c r="D706" s="59"/>
      <c r="E706" s="59"/>
      <c r="F706" s="59"/>
    </row>
    <row r="707" ht="12.75" customHeight="1">
      <c r="A707" s="68"/>
      <c r="B707" s="59"/>
      <c r="C707" s="59"/>
      <c r="D707" s="59"/>
      <c r="E707" s="59"/>
      <c r="F707" s="59"/>
    </row>
    <row r="708" ht="12.75" customHeight="1">
      <c r="A708" s="68"/>
      <c r="B708" s="59"/>
      <c r="C708" s="59"/>
      <c r="D708" s="59"/>
      <c r="E708" s="59"/>
      <c r="F708" s="59"/>
    </row>
    <row r="709" ht="12.75" customHeight="1">
      <c r="A709" s="68"/>
      <c r="B709" s="59"/>
      <c r="C709" s="59"/>
      <c r="D709" s="59"/>
      <c r="E709" s="59"/>
      <c r="F709" s="59"/>
    </row>
    <row r="710" ht="12.75" customHeight="1">
      <c r="A710" s="68"/>
      <c r="B710" s="59"/>
      <c r="C710" s="59"/>
      <c r="D710" s="59"/>
      <c r="E710" s="59"/>
      <c r="F710" s="59"/>
    </row>
    <row r="711" ht="12.75" customHeight="1">
      <c r="A711" s="68"/>
      <c r="B711" s="59"/>
      <c r="C711" s="59"/>
      <c r="D711" s="59"/>
      <c r="E711" s="59"/>
      <c r="F711" s="59"/>
    </row>
    <row r="712" ht="12.75" customHeight="1">
      <c r="A712" s="68"/>
      <c r="B712" s="59"/>
      <c r="C712" s="59"/>
      <c r="D712" s="59"/>
      <c r="E712" s="59"/>
      <c r="F712" s="59"/>
    </row>
    <row r="713" ht="12.75" customHeight="1">
      <c r="A713" s="68"/>
      <c r="B713" s="59"/>
      <c r="C713" s="59"/>
      <c r="D713" s="59"/>
      <c r="E713" s="59"/>
      <c r="F713" s="59"/>
    </row>
    <row r="714" ht="12.75" customHeight="1">
      <c r="A714" s="68"/>
      <c r="B714" s="59"/>
      <c r="C714" s="59"/>
      <c r="D714" s="59"/>
      <c r="E714" s="59"/>
      <c r="F714" s="59"/>
    </row>
    <row r="715" ht="12.75" customHeight="1">
      <c r="A715" s="68"/>
      <c r="B715" s="59"/>
      <c r="C715" s="59"/>
      <c r="D715" s="59"/>
      <c r="E715" s="59"/>
      <c r="F715" s="59"/>
    </row>
    <row r="716" ht="12.75" customHeight="1">
      <c r="A716" s="68"/>
      <c r="B716" s="59"/>
      <c r="C716" s="59"/>
      <c r="D716" s="59"/>
      <c r="E716" s="59"/>
      <c r="F716" s="59"/>
    </row>
    <row r="717" ht="12.75" customHeight="1">
      <c r="A717" s="68"/>
      <c r="B717" s="59"/>
      <c r="C717" s="59"/>
      <c r="D717" s="59"/>
      <c r="E717" s="59"/>
      <c r="F717" s="59"/>
    </row>
    <row r="718" ht="12.75" customHeight="1">
      <c r="A718" s="68"/>
      <c r="B718" s="59"/>
      <c r="C718" s="59"/>
      <c r="D718" s="59"/>
      <c r="E718" s="59"/>
      <c r="F718" s="59"/>
    </row>
    <row r="719" ht="12.75" customHeight="1">
      <c r="A719" s="68"/>
      <c r="B719" s="59"/>
      <c r="C719" s="59"/>
      <c r="D719" s="59"/>
      <c r="E719" s="59"/>
      <c r="F719" s="59"/>
    </row>
    <row r="720" ht="12.75" customHeight="1">
      <c r="A720" s="68"/>
      <c r="B720" s="59"/>
      <c r="C720" s="59"/>
      <c r="D720" s="59"/>
      <c r="E720" s="59"/>
      <c r="F720" s="59"/>
    </row>
    <row r="721" ht="12.75" customHeight="1">
      <c r="A721" s="68"/>
      <c r="B721" s="59"/>
      <c r="C721" s="59"/>
      <c r="D721" s="59"/>
      <c r="E721" s="59"/>
      <c r="F721" s="59"/>
    </row>
    <row r="722" ht="12.75" customHeight="1">
      <c r="A722" s="68"/>
      <c r="B722" s="59"/>
      <c r="C722" s="59"/>
      <c r="D722" s="59"/>
      <c r="E722" s="59"/>
      <c r="F722" s="59"/>
    </row>
    <row r="723" ht="12.75" customHeight="1">
      <c r="A723" s="68"/>
      <c r="B723" s="59"/>
      <c r="C723" s="59"/>
      <c r="D723" s="59"/>
      <c r="E723" s="59"/>
      <c r="F723" s="59"/>
    </row>
    <row r="724" ht="12.75" customHeight="1">
      <c r="A724" s="68"/>
      <c r="B724" s="59"/>
      <c r="C724" s="59"/>
      <c r="D724" s="59"/>
      <c r="E724" s="59"/>
      <c r="F724" s="59"/>
    </row>
    <row r="725" ht="12.75" customHeight="1">
      <c r="A725" s="68"/>
      <c r="B725" s="59"/>
      <c r="C725" s="59"/>
      <c r="D725" s="59"/>
      <c r="E725" s="59"/>
      <c r="F725" s="59"/>
    </row>
    <row r="726" ht="12.75" customHeight="1">
      <c r="A726" s="68"/>
      <c r="B726" s="59"/>
      <c r="C726" s="59"/>
      <c r="D726" s="59"/>
      <c r="E726" s="59"/>
      <c r="F726" s="59"/>
    </row>
    <row r="727" ht="12.75" customHeight="1">
      <c r="A727" s="68"/>
      <c r="B727" s="59"/>
      <c r="C727" s="59"/>
      <c r="D727" s="59"/>
      <c r="E727" s="59"/>
      <c r="F727" s="59"/>
    </row>
    <row r="728" ht="12.75" customHeight="1">
      <c r="A728" s="68"/>
      <c r="B728" s="59"/>
      <c r="C728" s="59"/>
      <c r="D728" s="59"/>
      <c r="E728" s="59"/>
      <c r="F728" s="59"/>
    </row>
    <row r="729" ht="12.75" customHeight="1">
      <c r="A729" s="68"/>
      <c r="B729" s="59"/>
      <c r="C729" s="59"/>
      <c r="D729" s="59"/>
      <c r="E729" s="59"/>
      <c r="F729" s="59"/>
    </row>
    <row r="730" ht="12.75" customHeight="1">
      <c r="A730" s="68"/>
      <c r="B730" s="59"/>
      <c r="C730" s="59"/>
      <c r="D730" s="59"/>
      <c r="E730" s="59"/>
      <c r="F730" s="59"/>
    </row>
    <row r="731" ht="12.75" customHeight="1">
      <c r="A731" s="68"/>
      <c r="B731" s="59"/>
      <c r="C731" s="59"/>
      <c r="D731" s="59"/>
      <c r="E731" s="59"/>
      <c r="F731" s="59"/>
    </row>
    <row r="732" ht="12.75" customHeight="1">
      <c r="A732" s="68"/>
      <c r="B732" s="59"/>
      <c r="C732" s="59"/>
      <c r="D732" s="59"/>
      <c r="E732" s="59"/>
      <c r="F732" s="59"/>
    </row>
    <row r="733" ht="12.75" customHeight="1">
      <c r="A733" s="68"/>
      <c r="B733" s="59"/>
      <c r="C733" s="59"/>
      <c r="D733" s="59"/>
      <c r="E733" s="59"/>
      <c r="F733" s="59"/>
    </row>
    <row r="734" ht="12.75" customHeight="1">
      <c r="A734" s="68"/>
      <c r="B734" s="59"/>
      <c r="C734" s="59"/>
      <c r="D734" s="59"/>
      <c r="E734" s="59"/>
      <c r="F734" s="59"/>
    </row>
    <row r="735" ht="12.75" customHeight="1">
      <c r="A735" s="68"/>
      <c r="B735" s="59"/>
      <c r="C735" s="59"/>
      <c r="D735" s="59"/>
      <c r="E735" s="59"/>
      <c r="F735" s="59"/>
    </row>
    <row r="736" ht="12.75" customHeight="1">
      <c r="A736" s="68"/>
      <c r="B736" s="59"/>
      <c r="C736" s="59"/>
      <c r="D736" s="59"/>
      <c r="E736" s="59"/>
      <c r="F736" s="59"/>
    </row>
    <row r="737" ht="12.75" customHeight="1">
      <c r="A737" s="68"/>
      <c r="B737" s="59"/>
      <c r="C737" s="59"/>
      <c r="D737" s="59"/>
      <c r="E737" s="59"/>
      <c r="F737" s="59"/>
    </row>
    <row r="738" ht="12.75" customHeight="1">
      <c r="A738" s="68"/>
      <c r="B738" s="59"/>
      <c r="C738" s="59"/>
      <c r="D738" s="59"/>
      <c r="E738" s="59"/>
      <c r="F738" s="59"/>
    </row>
    <row r="739" ht="12.75" customHeight="1">
      <c r="A739" s="68"/>
      <c r="B739" s="59"/>
      <c r="C739" s="59"/>
      <c r="D739" s="59"/>
      <c r="E739" s="59"/>
      <c r="F739" s="59"/>
    </row>
    <row r="740" ht="12.75" customHeight="1">
      <c r="A740" s="68"/>
      <c r="B740" s="59"/>
      <c r="C740" s="59"/>
      <c r="D740" s="59"/>
      <c r="E740" s="59"/>
      <c r="F740" s="59"/>
    </row>
    <row r="741" ht="12.75" customHeight="1">
      <c r="A741" s="68"/>
      <c r="B741" s="59"/>
      <c r="C741" s="59"/>
      <c r="D741" s="59"/>
      <c r="E741" s="59"/>
      <c r="F741" s="59"/>
    </row>
    <row r="742" ht="12.75" customHeight="1">
      <c r="A742" s="68"/>
      <c r="B742" s="59"/>
      <c r="C742" s="59"/>
      <c r="D742" s="59"/>
      <c r="E742" s="59"/>
      <c r="F742" s="59"/>
    </row>
    <row r="743" ht="12.75" customHeight="1">
      <c r="A743" s="68"/>
      <c r="B743" s="59"/>
      <c r="C743" s="59"/>
      <c r="D743" s="59"/>
      <c r="E743" s="59"/>
      <c r="F743" s="59"/>
    </row>
    <row r="744" ht="12.75" customHeight="1">
      <c r="A744" s="68"/>
      <c r="B744" s="59"/>
      <c r="C744" s="59"/>
      <c r="D744" s="59"/>
      <c r="E744" s="59"/>
      <c r="F744" s="59"/>
    </row>
    <row r="745" ht="12.75" customHeight="1">
      <c r="A745" s="68"/>
      <c r="B745" s="59"/>
      <c r="C745" s="59"/>
      <c r="D745" s="59"/>
      <c r="E745" s="59"/>
      <c r="F745" s="59"/>
    </row>
    <row r="746" ht="12.75" customHeight="1">
      <c r="A746" s="68"/>
      <c r="B746" s="59"/>
      <c r="C746" s="59"/>
      <c r="D746" s="59"/>
      <c r="E746" s="59"/>
      <c r="F746" s="59"/>
    </row>
    <row r="747" ht="12.75" customHeight="1">
      <c r="A747" s="68"/>
      <c r="B747" s="59"/>
      <c r="C747" s="59"/>
      <c r="D747" s="59"/>
      <c r="E747" s="59"/>
      <c r="F747" s="59"/>
    </row>
    <row r="748" ht="12.75" customHeight="1">
      <c r="A748" s="68"/>
      <c r="B748" s="59"/>
      <c r="C748" s="59"/>
      <c r="D748" s="59"/>
      <c r="E748" s="59"/>
      <c r="F748" s="59"/>
    </row>
    <row r="749" ht="12.75" customHeight="1">
      <c r="A749" s="68"/>
      <c r="B749" s="59"/>
      <c r="C749" s="59"/>
      <c r="D749" s="59"/>
      <c r="E749" s="59"/>
      <c r="F749" s="59"/>
    </row>
    <row r="750" ht="12.75" customHeight="1">
      <c r="A750" s="68"/>
      <c r="B750" s="59"/>
      <c r="C750" s="59"/>
      <c r="D750" s="59"/>
      <c r="E750" s="59"/>
      <c r="F750" s="59"/>
    </row>
    <row r="751" ht="12.75" customHeight="1">
      <c r="A751" s="68"/>
      <c r="B751" s="59"/>
      <c r="C751" s="59"/>
      <c r="D751" s="59"/>
      <c r="E751" s="59"/>
      <c r="F751" s="59"/>
    </row>
    <row r="752" ht="12.75" customHeight="1">
      <c r="A752" s="68"/>
      <c r="B752" s="59"/>
      <c r="C752" s="59"/>
      <c r="D752" s="59"/>
      <c r="E752" s="59"/>
      <c r="F752" s="59"/>
    </row>
    <row r="753" ht="12.75" customHeight="1">
      <c r="A753" s="68"/>
      <c r="B753" s="59"/>
      <c r="C753" s="59"/>
      <c r="D753" s="59"/>
      <c r="E753" s="59"/>
      <c r="F753" s="59"/>
    </row>
    <row r="754" ht="12.75" customHeight="1">
      <c r="A754" s="68"/>
      <c r="B754" s="59"/>
      <c r="C754" s="59"/>
      <c r="D754" s="59"/>
      <c r="E754" s="59"/>
      <c r="F754" s="59"/>
    </row>
    <row r="755" ht="12.75" customHeight="1">
      <c r="A755" s="68"/>
      <c r="B755" s="59"/>
      <c r="C755" s="59"/>
      <c r="D755" s="59"/>
      <c r="E755" s="59"/>
      <c r="F755" s="59"/>
    </row>
    <row r="756" ht="12.75" customHeight="1">
      <c r="A756" s="68"/>
      <c r="B756" s="59"/>
      <c r="C756" s="59"/>
      <c r="D756" s="59"/>
      <c r="E756" s="59"/>
      <c r="F756" s="59"/>
    </row>
    <row r="757" ht="12.75" customHeight="1">
      <c r="A757" s="68"/>
      <c r="B757" s="59"/>
      <c r="C757" s="59"/>
      <c r="D757" s="59"/>
      <c r="E757" s="59"/>
      <c r="F757" s="59"/>
    </row>
    <row r="758" ht="12.75" customHeight="1">
      <c r="A758" s="68"/>
      <c r="B758" s="59"/>
      <c r="C758" s="59"/>
      <c r="D758" s="59"/>
      <c r="E758" s="59"/>
      <c r="F758" s="59"/>
    </row>
    <row r="759" ht="12.75" customHeight="1">
      <c r="A759" s="68"/>
      <c r="B759" s="59"/>
      <c r="C759" s="59"/>
      <c r="D759" s="59"/>
      <c r="E759" s="59"/>
      <c r="F759" s="59"/>
    </row>
    <row r="760" ht="12.75" customHeight="1">
      <c r="A760" s="68"/>
      <c r="B760" s="59"/>
      <c r="C760" s="59"/>
      <c r="D760" s="59"/>
      <c r="E760" s="59"/>
      <c r="F760" s="59"/>
    </row>
    <row r="761" ht="12.75" customHeight="1">
      <c r="A761" s="68"/>
      <c r="B761" s="59"/>
      <c r="C761" s="59"/>
      <c r="D761" s="59"/>
      <c r="E761" s="59"/>
      <c r="F761" s="59"/>
    </row>
    <row r="762" ht="12.75" customHeight="1">
      <c r="A762" s="68"/>
      <c r="B762" s="59"/>
      <c r="C762" s="59"/>
      <c r="D762" s="59"/>
      <c r="E762" s="59"/>
      <c r="F762" s="59"/>
    </row>
    <row r="763" ht="12.75" customHeight="1">
      <c r="A763" s="68"/>
      <c r="B763" s="59"/>
      <c r="C763" s="59"/>
      <c r="D763" s="59"/>
      <c r="E763" s="59"/>
      <c r="F763" s="59"/>
    </row>
    <row r="764" ht="12.75" customHeight="1">
      <c r="A764" s="68"/>
      <c r="B764" s="59"/>
      <c r="C764" s="59"/>
      <c r="D764" s="59"/>
      <c r="E764" s="59"/>
      <c r="F764" s="59"/>
    </row>
    <row r="765" ht="12.75" customHeight="1">
      <c r="A765" s="68"/>
      <c r="B765" s="59"/>
      <c r="C765" s="59"/>
      <c r="D765" s="59"/>
      <c r="E765" s="59"/>
      <c r="F765" s="59"/>
    </row>
    <row r="766" ht="12.75" customHeight="1">
      <c r="A766" s="68"/>
      <c r="B766" s="59"/>
      <c r="C766" s="59"/>
      <c r="D766" s="59"/>
      <c r="E766" s="59"/>
      <c r="F766" s="59"/>
    </row>
    <row r="767" ht="12.75" customHeight="1">
      <c r="A767" s="68"/>
      <c r="B767" s="59"/>
      <c r="C767" s="59"/>
      <c r="D767" s="59"/>
      <c r="E767" s="59"/>
      <c r="F767" s="59"/>
    </row>
    <row r="768" ht="12.75" customHeight="1">
      <c r="A768" s="68"/>
      <c r="B768" s="59"/>
      <c r="C768" s="59"/>
      <c r="D768" s="59"/>
      <c r="E768" s="59"/>
      <c r="F768" s="59"/>
    </row>
    <row r="769" ht="12.75" customHeight="1">
      <c r="A769" s="68"/>
      <c r="B769" s="59"/>
      <c r="C769" s="59"/>
      <c r="D769" s="59"/>
      <c r="E769" s="59"/>
      <c r="F769" s="59"/>
    </row>
    <row r="770" ht="12.75" customHeight="1">
      <c r="A770" s="68"/>
      <c r="B770" s="59"/>
      <c r="C770" s="59"/>
      <c r="D770" s="59"/>
      <c r="E770" s="59"/>
      <c r="F770" s="59"/>
    </row>
    <row r="771" ht="12.75" customHeight="1">
      <c r="A771" s="68"/>
      <c r="B771" s="59"/>
      <c r="C771" s="59"/>
      <c r="D771" s="59"/>
      <c r="E771" s="59"/>
      <c r="F771" s="59"/>
    </row>
    <row r="772" ht="12.75" customHeight="1">
      <c r="A772" s="68"/>
      <c r="B772" s="59"/>
      <c r="C772" s="59"/>
      <c r="D772" s="59"/>
      <c r="E772" s="59"/>
      <c r="F772" s="59"/>
    </row>
    <row r="773" ht="12.75" customHeight="1">
      <c r="A773" s="68"/>
      <c r="B773" s="59"/>
      <c r="C773" s="59"/>
      <c r="D773" s="59"/>
      <c r="E773" s="59"/>
      <c r="F773" s="59"/>
    </row>
    <row r="774" ht="12.75" customHeight="1">
      <c r="A774" s="68"/>
      <c r="B774" s="59"/>
      <c r="C774" s="59"/>
      <c r="D774" s="59"/>
      <c r="E774" s="59"/>
      <c r="F774" s="59"/>
    </row>
    <row r="775" ht="12.75" customHeight="1">
      <c r="A775" s="68"/>
      <c r="B775" s="59"/>
      <c r="C775" s="59"/>
      <c r="D775" s="59"/>
      <c r="E775" s="59"/>
      <c r="F775" s="59"/>
    </row>
    <row r="776" ht="12.75" customHeight="1">
      <c r="A776" s="68"/>
      <c r="B776" s="59"/>
      <c r="C776" s="59"/>
      <c r="D776" s="59"/>
      <c r="E776" s="59"/>
      <c r="F776" s="59"/>
    </row>
    <row r="777" ht="12.75" customHeight="1">
      <c r="A777" s="68"/>
      <c r="B777" s="59"/>
      <c r="C777" s="59"/>
      <c r="D777" s="59"/>
      <c r="E777" s="59"/>
      <c r="F777" s="59"/>
    </row>
    <row r="778" ht="12.75" customHeight="1">
      <c r="A778" s="68"/>
      <c r="B778" s="59"/>
      <c r="C778" s="59"/>
      <c r="D778" s="59"/>
      <c r="E778" s="59"/>
      <c r="F778" s="59"/>
    </row>
    <row r="779" ht="12.75" customHeight="1">
      <c r="A779" s="68"/>
      <c r="B779" s="59"/>
      <c r="C779" s="59"/>
      <c r="D779" s="59"/>
      <c r="E779" s="59"/>
      <c r="F779" s="59"/>
    </row>
    <row r="780" ht="12.75" customHeight="1">
      <c r="A780" s="68"/>
      <c r="B780" s="59"/>
      <c r="C780" s="59"/>
      <c r="D780" s="59"/>
      <c r="E780" s="59"/>
      <c r="F780" s="59"/>
    </row>
    <row r="781" ht="12.75" customHeight="1">
      <c r="A781" s="68"/>
      <c r="B781" s="59"/>
      <c r="C781" s="59"/>
      <c r="D781" s="59"/>
      <c r="E781" s="59"/>
      <c r="F781" s="59"/>
    </row>
    <row r="782" ht="12.75" customHeight="1">
      <c r="A782" s="68"/>
      <c r="B782" s="59"/>
      <c r="C782" s="59"/>
      <c r="D782" s="59"/>
      <c r="E782" s="59"/>
      <c r="F782" s="59"/>
    </row>
    <row r="783" ht="12.75" customHeight="1">
      <c r="A783" s="68"/>
      <c r="B783" s="59"/>
      <c r="C783" s="59"/>
      <c r="D783" s="59"/>
      <c r="E783" s="59"/>
      <c r="F783" s="59"/>
    </row>
    <row r="784" ht="12.75" customHeight="1">
      <c r="A784" s="68"/>
      <c r="B784" s="59"/>
      <c r="C784" s="59"/>
      <c r="D784" s="59"/>
      <c r="E784" s="59"/>
      <c r="F784" s="59"/>
    </row>
    <row r="785" ht="12.75" customHeight="1">
      <c r="A785" s="68"/>
      <c r="B785" s="59"/>
      <c r="C785" s="59"/>
      <c r="D785" s="59"/>
      <c r="E785" s="59"/>
      <c r="F785" s="59"/>
    </row>
    <row r="786" ht="12.75" customHeight="1">
      <c r="A786" s="68"/>
      <c r="B786" s="59"/>
      <c r="C786" s="59"/>
      <c r="D786" s="59"/>
      <c r="E786" s="59"/>
      <c r="F786" s="59"/>
    </row>
    <row r="787" ht="12.75" customHeight="1">
      <c r="A787" s="68"/>
      <c r="B787" s="59"/>
      <c r="C787" s="59"/>
      <c r="D787" s="59"/>
      <c r="E787" s="59"/>
      <c r="F787" s="59"/>
    </row>
    <row r="788" ht="12.75" customHeight="1">
      <c r="A788" s="68"/>
      <c r="B788" s="59"/>
      <c r="C788" s="59"/>
      <c r="D788" s="59"/>
      <c r="E788" s="59"/>
      <c r="F788" s="59"/>
    </row>
    <row r="789" ht="12.75" customHeight="1">
      <c r="A789" s="68"/>
      <c r="B789" s="59"/>
      <c r="C789" s="59"/>
      <c r="D789" s="59"/>
      <c r="E789" s="59"/>
      <c r="F789" s="59"/>
    </row>
    <row r="790" ht="12.75" customHeight="1">
      <c r="A790" s="68"/>
      <c r="B790" s="59"/>
      <c r="C790" s="59"/>
      <c r="D790" s="59"/>
      <c r="E790" s="59"/>
      <c r="F790" s="59"/>
    </row>
    <row r="791" ht="12.75" customHeight="1">
      <c r="A791" s="68"/>
      <c r="B791" s="59"/>
      <c r="C791" s="59"/>
      <c r="D791" s="59"/>
      <c r="E791" s="59"/>
      <c r="F791" s="59"/>
    </row>
    <row r="792" ht="12.75" customHeight="1">
      <c r="A792" s="68"/>
      <c r="B792" s="59"/>
      <c r="C792" s="59"/>
      <c r="D792" s="59"/>
      <c r="E792" s="59"/>
      <c r="F792" s="59"/>
    </row>
    <row r="793" ht="12.75" customHeight="1">
      <c r="A793" s="68"/>
      <c r="B793" s="59"/>
      <c r="C793" s="59"/>
      <c r="D793" s="59"/>
      <c r="E793" s="59"/>
      <c r="F793" s="59"/>
    </row>
    <row r="794" ht="12.75" customHeight="1">
      <c r="A794" s="68"/>
      <c r="B794" s="59"/>
      <c r="C794" s="59"/>
      <c r="D794" s="59"/>
      <c r="E794" s="59"/>
      <c r="F794" s="59"/>
    </row>
    <row r="795" ht="12.75" customHeight="1">
      <c r="A795" s="68"/>
      <c r="B795" s="59"/>
      <c r="C795" s="59"/>
      <c r="D795" s="59"/>
      <c r="E795" s="59"/>
      <c r="F795" s="59"/>
    </row>
    <row r="796" ht="12.75" customHeight="1">
      <c r="A796" s="68"/>
      <c r="B796" s="59"/>
      <c r="C796" s="59"/>
      <c r="D796" s="59"/>
      <c r="E796" s="59"/>
      <c r="F796" s="59"/>
    </row>
    <row r="797" ht="12.75" customHeight="1">
      <c r="A797" s="68"/>
      <c r="B797" s="59"/>
      <c r="C797" s="59"/>
      <c r="D797" s="59"/>
      <c r="E797" s="59"/>
      <c r="F797" s="59"/>
    </row>
    <row r="798" ht="12.75" customHeight="1">
      <c r="A798" s="68"/>
      <c r="B798" s="59"/>
      <c r="C798" s="59"/>
      <c r="D798" s="59"/>
      <c r="E798" s="59"/>
      <c r="F798" s="59"/>
    </row>
    <row r="799" ht="12.75" customHeight="1">
      <c r="A799" s="68"/>
      <c r="B799" s="59"/>
      <c r="C799" s="59"/>
      <c r="D799" s="59"/>
      <c r="E799" s="59"/>
      <c r="F799" s="59"/>
    </row>
    <row r="800" ht="12.75" customHeight="1">
      <c r="A800" s="68"/>
      <c r="B800" s="59"/>
      <c r="C800" s="59"/>
      <c r="D800" s="59"/>
      <c r="E800" s="59"/>
      <c r="F800" s="59"/>
    </row>
    <row r="801" ht="12.75" customHeight="1">
      <c r="A801" s="68"/>
      <c r="B801" s="59"/>
      <c r="C801" s="59"/>
      <c r="D801" s="59"/>
      <c r="E801" s="59"/>
      <c r="F801" s="59"/>
    </row>
    <row r="802" ht="12.75" customHeight="1">
      <c r="A802" s="68"/>
      <c r="B802" s="59"/>
      <c r="C802" s="59"/>
      <c r="D802" s="59"/>
      <c r="E802" s="59"/>
      <c r="F802" s="59"/>
    </row>
    <row r="803" ht="12.75" customHeight="1">
      <c r="A803" s="68"/>
      <c r="B803" s="59"/>
      <c r="C803" s="59"/>
      <c r="D803" s="59"/>
      <c r="E803" s="59"/>
      <c r="F803" s="59"/>
    </row>
    <row r="804" ht="12.75" customHeight="1">
      <c r="A804" s="68"/>
      <c r="B804" s="59"/>
      <c r="C804" s="59"/>
      <c r="D804" s="59"/>
      <c r="E804" s="59"/>
      <c r="F804" s="59"/>
    </row>
    <row r="805" ht="12.75" customHeight="1">
      <c r="A805" s="68"/>
      <c r="B805" s="59"/>
      <c r="C805" s="59"/>
      <c r="D805" s="59"/>
      <c r="E805" s="59"/>
      <c r="F805" s="59"/>
    </row>
    <row r="806" ht="12.75" customHeight="1">
      <c r="A806" s="68"/>
      <c r="B806" s="59"/>
      <c r="C806" s="59"/>
      <c r="D806" s="59"/>
      <c r="E806" s="59"/>
      <c r="F806" s="59"/>
    </row>
    <row r="807" ht="12.75" customHeight="1">
      <c r="A807" s="68"/>
      <c r="B807" s="59"/>
      <c r="C807" s="59"/>
      <c r="D807" s="59"/>
      <c r="E807" s="59"/>
      <c r="F807" s="59"/>
    </row>
    <row r="808" ht="12.75" customHeight="1">
      <c r="A808" s="68"/>
      <c r="B808" s="59"/>
      <c r="C808" s="59"/>
      <c r="D808" s="59"/>
      <c r="E808" s="59"/>
      <c r="F808" s="59"/>
    </row>
    <row r="809" ht="12.75" customHeight="1">
      <c r="A809" s="68"/>
      <c r="B809" s="59"/>
      <c r="C809" s="59"/>
      <c r="D809" s="59"/>
      <c r="E809" s="59"/>
      <c r="F809" s="59"/>
    </row>
    <row r="810" ht="12.75" customHeight="1">
      <c r="A810" s="68"/>
      <c r="B810" s="59"/>
      <c r="C810" s="59"/>
      <c r="D810" s="59"/>
      <c r="E810" s="59"/>
      <c r="F810" s="59"/>
    </row>
    <row r="811" ht="12.75" customHeight="1">
      <c r="A811" s="68"/>
      <c r="B811" s="59"/>
      <c r="C811" s="59"/>
      <c r="D811" s="59"/>
      <c r="E811" s="59"/>
      <c r="F811" s="59"/>
    </row>
    <row r="812" ht="12.75" customHeight="1">
      <c r="A812" s="68"/>
      <c r="B812" s="59"/>
      <c r="C812" s="59"/>
      <c r="D812" s="59"/>
      <c r="E812" s="59"/>
      <c r="F812" s="59"/>
    </row>
    <row r="813" ht="12.75" customHeight="1">
      <c r="A813" s="68"/>
      <c r="B813" s="59"/>
      <c r="C813" s="59"/>
      <c r="D813" s="59"/>
      <c r="E813" s="59"/>
      <c r="F813" s="59"/>
    </row>
    <row r="814" ht="12.75" customHeight="1">
      <c r="A814" s="68"/>
      <c r="B814" s="59"/>
      <c r="C814" s="59"/>
      <c r="D814" s="59"/>
      <c r="E814" s="59"/>
      <c r="F814" s="59"/>
    </row>
    <row r="815" ht="12.75" customHeight="1">
      <c r="A815" s="68"/>
      <c r="B815" s="59"/>
      <c r="C815" s="59"/>
      <c r="D815" s="59"/>
      <c r="E815" s="59"/>
      <c r="F815" s="59"/>
    </row>
    <row r="816" ht="12.75" customHeight="1">
      <c r="A816" s="68"/>
      <c r="B816" s="59"/>
      <c r="C816" s="59"/>
      <c r="D816" s="59"/>
      <c r="E816" s="59"/>
      <c r="F816" s="59"/>
    </row>
    <row r="817" ht="12.75" customHeight="1">
      <c r="A817" s="68"/>
      <c r="B817" s="59"/>
      <c r="C817" s="59"/>
      <c r="D817" s="59"/>
      <c r="E817" s="59"/>
      <c r="F817" s="59"/>
    </row>
    <row r="818" ht="12.75" customHeight="1">
      <c r="A818" s="68"/>
      <c r="B818" s="59"/>
      <c r="C818" s="59"/>
      <c r="D818" s="59"/>
      <c r="E818" s="59"/>
      <c r="F818" s="59"/>
    </row>
    <row r="819" ht="12.75" customHeight="1">
      <c r="A819" s="68"/>
      <c r="B819" s="59"/>
      <c r="C819" s="59"/>
      <c r="D819" s="59"/>
      <c r="E819" s="59"/>
      <c r="F819" s="59"/>
    </row>
    <row r="820" ht="12.75" customHeight="1">
      <c r="A820" s="68"/>
      <c r="B820" s="59"/>
      <c r="C820" s="59"/>
      <c r="D820" s="59"/>
      <c r="E820" s="59"/>
      <c r="F820" s="59"/>
    </row>
    <row r="821" ht="12.75" customHeight="1">
      <c r="A821" s="68"/>
      <c r="B821" s="59"/>
      <c r="C821" s="59"/>
      <c r="D821" s="59"/>
      <c r="E821" s="59"/>
      <c r="F821" s="59"/>
    </row>
    <row r="822" ht="12.75" customHeight="1">
      <c r="A822" s="68"/>
      <c r="B822" s="59"/>
      <c r="C822" s="59"/>
      <c r="D822" s="59"/>
      <c r="E822" s="59"/>
      <c r="F822" s="59"/>
    </row>
    <row r="823" ht="12.75" customHeight="1">
      <c r="A823" s="68"/>
      <c r="B823" s="59"/>
      <c r="C823" s="59"/>
      <c r="D823" s="59"/>
      <c r="E823" s="59"/>
      <c r="F823" s="59"/>
    </row>
    <row r="824" ht="12.75" customHeight="1">
      <c r="A824" s="68"/>
      <c r="B824" s="59"/>
      <c r="C824" s="59"/>
      <c r="D824" s="59"/>
      <c r="E824" s="59"/>
      <c r="F824" s="59"/>
    </row>
    <row r="825" ht="12.75" customHeight="1">
      <c r="A825" s="68"/>
      <c r="B825" s="59"/>
      <c r="C825" s="59"/>
      <c r="D825" s="59"/>
      <c r="E825" s="59"/>
      <c r="F825" s="59"/>
    </row>
    <row r="826" ht="12.75" customHeight="1">
      <c r="A826" s="68"/>
      <c r="B826" s="59"/>
      <c r="C826" s="59"/>
      <c r="D826" s="59"/>
      <c r="E826" s="59"/>
      <c r="F826" s="59"/>
    </row>
    <row r="827" ht="12.75" customHeight="1">
      <c r="A827" s="68"/>
      <c r="B827" s="59"/>
      <c r="C827" s="59"/>
      <c r="D827" s="59"/>
      <c r="E827" s="59"/>
      <c r="F827" s="59"/>
    </row>
    <row r="828" ht="12.75" customHeight="1">
      <c r="A828" s="68"/>
      <c r="B828" s="59"/>
      <c r="C828" s="59"/>
      <c r="D828" s="59"/>
      <c r="E828" s="59"/>
      <c r="F828" s="59"/>
    </row>
    <row r="829" ht="12.75" customHeight="1">
      <c r="A829" s="68"/>
      <c r="B829" s="59"/>
      <c r="C829" s="59"/>
      <c r="D829" s="59"/>
      <c r="E829" s="59"/>
      <c r="F829" s="59"/>
    </row>
    <row r="830" ht="12.75" customHeight="1">
      <c r="A830" s="68"/>
      <c r="B830" s="59"/>
      <c r="C830" s="59"/>
      <c r="D830" s="59"/>
      <c r="E830" s="59"/>
      <c r="F830" s="59"/>
    </row>
    <row r="831" ht="12.75" customHeight="1">
      <c r="A831" s="68"/>
      <c r="B831" s="59"/>
      <c r="C831" s="59"/>
      <c r="D831" s="59"/>
      <c r="E831" s="59"/>
      <c r="F831" s="59"/>
    </row>
    <row r="832" ht="12.75" customHeight="1">
      <c r="A832" s="68"/>
      <c r="B832" s="59"/>
      <c r="C832" s="59"/>
      <c r="D832" s="59"/>
      <c r="E832" s="59"/>
      <c r="F832" s="59"/>
    </row>
    <row r="833" ht="12.75" customHeight="1">
      <c r="A833" s="68"/>
      <c r="B833" s="59"/>
      <c r="C833" s="59"/>
      <c r="D833" s="59"/>
      <c r="E833" s="59"/>
      <c r="F833" s="59"/>
    </row>
    <row r="834" ht="12.75" customHeight="1">
      <c r="A834" s="68"/>
      <c r="B834" s="59"/>
      <c r="C834" s="59"/>
      <c r="D834" s="59"/>
      <c r="E834" s="59"/>
      <c r="F834" s="59"/>
    </row>
    <row r="835" ht="12.75" customHeight="1">
      <c r="A835" s="68"/>
      <c r="B835" s="59"/>
      <c r="C835" s="59"/>
      <c r="D835" s="59"/>
      <c r="E835" s="59"/>
      <c r="F835" s="59"/>
    </row>
    <row r="836" ht="12.75" customHeight="1">
      <c r="A836" s="68"/>
      <c r="B836" s="59"/>
      <c r="C836" s="59"/>
      <c r="D836" s="59"/>
      <c r="E836" s="59"/>
      <c r="F836" s="59"/>
    </row>
    <row r="837" ht="12.75" customHeight="1">
      <c r="A837" s="68"/>
      <c r="B837" s="59"/>
      <c r="C837" s="59"/>
      <c r="D837" s="59"/>
      <c r="E837" s="59"/>
      <c r="F837" s="59"/>
    </row>
    <row r="838" ht="12.75" customHeight="1">
      <c r="A838" s="68"/>
      <c r="B838" s="59"/>
      <c r="C838" s="59"/>
      <c r="D838" s="59"/>
      <c r="E838" s="59"/>
      <c r="F838" s="59"/>
    </row>
    <row r="839" ht="12.75" customHeight="1">
      <c r="A839" s="68"/>
      <c r="B839" s="59"/>
      <c r="C839" s="59"/>
      <c r="D839" s="59"/>
      <c r="E839" s="59"/>
      <c r="F839" s="59"/>
    </row>
    <row r="840" ht="12.75" customHeight="1">
      <c r="A840" s="68"/>
      <c r="B840" s="59"/>
      <c r="C840" s="59"/>
      <c r="D840" s="59"/>
      <c r="E840" s="59"/>
      <c r="F840" s="59"/>
    </row>
    <row r="841" ht="12.75" customHeight="1">
      <c r="A841" s="68"/>
      <c r="B841" s="59"/>
      <c r="C841" s="59"/>
      <c r="D841" s="59"/>
      <c r="E841" s="59"/>
      <c r="F841" s="59"/>
    </row>
    <row r="842" ht="12.75" customHeight="1">
      <c r="A842" s="68"/>
      <c r="B842" s="59"/>
      <c r="C842" s="59"/>
      <c r="D842" s="59"/>
      <c r="E842" s="59"/>
      <c r="F842" s="59"/>
    </row>
    <row r="843" ht="12.75" customHeight="1">
      <c r="A843" s="68"/>
      <c r="B843" s="59"/>
      <c r="C843" s="59"/>
      <c r="D843" s="59"/>
      <c r="E843" s="59"/>
      <c r="F843" s="59"/>
    </row>
    <row r="844" ht="12.75" customHeight="1">
      <c r="A844" s="68"/>
      <c r="B844" s="59"/>
      <c r="C844" s="59"/>
      <c r="D844" s="59"/>
      <c r="E844" s="59"/>
      <c r="F844" s="59"/>
    </row>
    <row r="845" ht="12.75" customHeight="1">
      <c r="A845" s="68"/>
      <c r="B845" s="59"/>
      <c r="C845" s="59"/>
      <c r="D845" s="59"/>
      <c r="E845" s="59"/>
      <c r="F845" s="59"/>
    </row>
    <row r="846" ht="12.75" customHeight="1">
      <c r="A846" s="68"/>
      <c r="B846" s="59"/>
      <c r="C846" s="59"/>
      <c r="D846" s="59"/>
      <c r="E846" s="59"/>
      <c r="F846" s="59"/>
    </row>
    <row r="847" ht="12.75" customHeight="1">
      <c r="A847" s="68"/>
      <c r="B847" s="59"/>
      <c r="C847" s="59"/>
      <c r="D847" s="59"/>
      <c r="E847" s="59"/>
      <c r="F847" s="59"/>
    </row>
    <row r="848" ht="12.75" customHeight="1">
      <c r="A848" s="68"/>
      <c r="B848" s="59"/>
      <c r="C848" s="59"/>
      <c r="D848" s="59"/>
      <c r="E848" s="59"/>
      <c r="F848" s="59"/>
    </row>
    <row r="849" ht="12.75" customHeight="1">
      <c r="A849" s="68"/>
      <c r="B849" s="59"/>
      <c r="C849" s="59"/>
      <c r="D849" s="59"/>
      <c r="E849" s="59"/>
      <c r="F849" s="59"/>
    </row>
    <row r="850" ht="12.75" customHeight="1">
      <c r="A850" s="68"/>
      <c r="B850" s="59"/>
      <c r="C850" s="59"/>
      <c r="D850" s="59"/>
      <c r="E850" s="59"/>
      <c r="F850" s="59"/>
    </row>
    <row r="851" ht="12.75" customHeight="1">
      <c r="A851" s="68"/>
      <c r="B851" s="59"/>
      <c r="C851" s="59"/>
      <c r="D851" s="59"/>
      <c r="E851" s="59"/>
      <c r="F851" s="59"/>
    </row>
    <row r="852" ht="12.75" customHeight="1">
      <c r="A852" s="68"/>
      <c r="B852" s="59"/>
      <c r="C852" s="59"/>
      <c r="D852" s="59"/>
      <c r="E852" s="59"/>
      <c r="F852" s="59"/>
    </row>
    <row r="853" ht="12.75" customHeight="1">
      <c r="A853" s="68"/>
      <c r="B853" s="59"/>
      <c r="C853" s="59"/>
      <c r="D853" s="59"/>
      <c r="E853" s="59"/>
      <c r="F853" s="59"/>
    </row>
    <row r="854" ht="12.75" customHeight="1">
      <c r="A854" s="68"/>
      <c r="B854" s="59"/>
      <c r="C854" s="59"/>
      <c r="D854" s="59"/>
      <c r="E854" s="59"/>
      <c r="F854" s="59"/>
    </row>
    <row r="855" ht="12.75" customHeight="1">
      <c r="A855" s="68"/>
      <c r="B855" s="59"/>
      <c r="C855" s="59"/>
      <c r="D855" s="59"/>
      <c r="E855" s="59"/>
      <c r="F855" s="59"/>
    </row>
    <row r="856" ht="12.75" customHeight="1">
      <c r="A856" s="68"/>
      <c r="B856" s="59"/>
      <c r="C856" s="59"/>
      <c r="D856" s="59"/>
      <c r="E856" s="59"/>
      <c r="F856" s="59"/>
    </row>
    <row r="857" ht="12.75" customHeight="1">
      <c r="A857" s="68"/>
      <c r="B857" s="59"/>
      <c r="C857" s="59"/>
      <c r="D857" s="59"/>
      <c r="E857" s="59"/>
      <c r="F857" s="59"/>
    </row>
    <row r="858" ht="12.75" customHeight="1">
      <c r="A858" s="68"/>
      <c r="B858" s="59"/>
      <c r="C858" s="59"/>
      <c r="D858" s="59"/>
      <c r="E858" s="59"/>
      <c r="F858" s="59"/>
    </row>
    <row r="859" ht="12.75" customHeight="1">
      <c r="A859" s="68"/>
      <c r="B859" s="59"/>
      <c r="C859" s="59"/>
      <c r="D859" s="59"/>
      <c r="E859" s="59"/>
      <c r="F859" s="59"/>
    </row>
    <row r="860" ht="12.75" customHeight="1">
      <c r="A860" s="68"/>
      <c r="B860" s="59"/>
      <c r="C860" s="59"/>
      <c r="D860" s="59"/>
      <c r="E860" s="59"/>
      <c r="F860" s="59"/>
    </row>
    <row r="861" ht="12.75" customHeight="1">
      <c r="A861" s="68"/>
      <c r="B861" s="59"/>
      <c r="C861" s="59"/>
      <c r="D861" s="59"/>
      <c r="E861" s="59"/>
      <c r="F861" s="59"/>
    </row>
    <row r="862" ht="12.75" customHeight="1">
      <c r="A862" s="68"/>
      <c r="B862" s="59"/>
      <c r="C862" s="59"/>
      <c r="D862" s="59"/>
      <c r="E862" s="59"/>
      <c r="F862" s="59"/>
    </row>
    <row r="863" ht="12.75" customHeight="1">
      <c r="A863" s="68"/>
      <c r="B863" s="59"/>
      <c r="C863" s="59"/>
      <c r="D863" s="59"/>
      <c r="E863" s="59"/>
      <c r="F863" s="59"/>
    </row>
    <row r="864" ht="12.75" customHeight="1">
      <c r="A864" s="68"/>
      <c r="B864" s="59"/>
      <c r="C864" s="59"/>
      <c r="D864" s="59"/>
      <c r="E864" s="59"/>
      <c r="F864" s="59"/>
    </row>
    <row r="865" ht="12.75" customHeight="1">
      <c r="A865" s="68"/>
      <c r="B865" s="59"/>
      <c r="C865" s="59"/>
      <c r="D865" s="59"/>
      <c r="E865" s="59"/>
      <c r="F865" s="59"/>
    </row>
    <row r="866" ht="12.75" customHeight="1">
      <c r="A866" s="68"/>
      <c r="B866" s="59"/>
      <c r="C866" s="59"/>
      <c r="D866" s="59"/>
      <c r="E866" s="59"/>
      <c r="F866" s="59"/>
    </row>
    <row r="867" ht="12.75" customHeight="1">
      <c r="A867" s="68"/>
      <c r="B867" s="59"/>
      <c r="C867" s="59"/>
      <c r="D867" s="59"/>
      <c r="E867" s="59"/>
      <c r="F867" s="59"/>
    </row>
    <row r="868" ht="12.75" customHeight="1">
      <c r="A868" s="68"/>
      <c r="B868" s="59"/>
      <c r="C868" s="59"/>
      <c r="D868" s="59"/>
      <c r="E868" s="59"/>
      <c r="F868" s="59"/>
    </row>
    <row r="869" ht="12.75" customHeight="1">
      <c r="A869" s="68"/>
      <c r="B869" s="59"/>
      <c r="C869" s="59"/>
      <c r="D869" s="59"/>
      <c r="E869" s="59"/>
      <c r="F869" s="59"/>
    </row>
    <row r="870" ht="12.75" customHeight="1">
      <c r="A870" s="68"/>
      <c r="B870" s="59"/>
      <c r="C870" s="59"/>
      <c r="D870" s="59"/>
      <c r="E870" s="59"/>
      <c r="F870" s="59"/>
    </row>
    <row r="871" ht="12.75" customHeight="1">
      <c r="A871" s="68"/>
      <c r="B871" s="59"/>
      <c r="C871" s="59"/>
      <c r="D871" s="59"/>
      <c r="E871" s="59"/>
      <c r="F871" s="59"/>
    </row>
    <row r="872" ht="12.75" customHeight="1">
      <c r="A872" s="68"/>
      <c r="B872" s="59"/>
      <c r="C872" s="59"/>
      <c r="D872" s="59"/>
      <c r="E872" s="59"/>
      <c r="F872" s="59"/>
    </row>
    <row r="873" ht="12.75" customHeight="1">
      <c r="A873" s="68"/>
      <c r="B873" s="59"/>
      <c r="C873" s="59"/>
      <c r="D873" s="59"/>
      <c r="E873" s="59"/>
      <c r="F873" s="59"/>
    </row>
    <row r="874" ht="12.75" customHeight="1">
      <c r="A874" s="68"/>
      <c r="B874" s="59"/>
      <c r="C874" s="59"/>
      <c r="D874" s="59"/>
      <c r="E874" s="59"/>
      <c r="F874" s="59"/>
    </row>
    <row r="875" ht="12.75" customHeight="1">
      <c r="A875" s="68"/>
      <c r="B875" s="59"/>
      <c r="C875" s="59"/>
      <c r="D875" s="59"/>
      <c r="E875" s="59"/>
      <c r="F875" s="59"/>
    </row>
    <row r="876" ht="12.75" customHeight="1">
      <c r="A876" s="68"/>
      <c r="B876" s="59"/>
      <c r="C876" s="59"/>
      <c r="D876" s="59"/>
      <c r="E876" s="59"/>
      <c r="F876" s="59"/>
    </row>
    <row r="877" ht="12.75" customHeight="1">
      <c r="A877" s="68"/>
      <c r="B877" s="59"/>
      <c r="C877" s="59"/>
      <c r="D877" s="59"/>
      <c r="E877" s="59"/>
      <c r="F877" s="59"/>
    </row>
    <row r="878" ht="12.75" customHeight="1">
      <c r="A878" s="68"/>
      <c r="B878" s="59"/>
      <c r="C878" s="59"/>
      <c r="D878" s="59"/>
      <c r="E878" s="59"/>
      <c r="F878" s="59"/>
    </row>
    <row r="879" ht="12.75" customHeight="1">
      <c r="A879" s="68"/>
      <c r="B879" s="59"/>
      <c r="C879" s="59"/>
      <c r="D879" s="59"/>
      <c r="E879" s="59"/>
      <c r="F879" s="59"/>
    </row>
    <row r="880" ht="12.75" customHeight="1">
      <c r="A880" s="68"/>
      <c r="B880" s="59"/>
      <c r="C880" s="59"/>
      <c r="D880" s="59"/>
      <c r="E880" s="59"/>
      <c r="F880" s="59"/>
    </row>
    <row r="881" ht="12.75" customHeight="1">
      <c r="A881" s="68"/>
      <c r="B881" s="59"/>
      <c r="C881" s="59"/>
      <c r="D881" s="59"/>
      <c r="E881" s="59"/>
      <c r="F881" s="59"/>
    </row>
    <row r="882" ht="12.75" customHeight="1">
      <c r="A882" s="68"/>
      <c r="B882" s="59"/>
      <c r="C882" s="59"/>
      <c r="D882" s="59"/>
      <c r="E882" s="59"/>
      <c r="F882" s="59"/>
    </row>
    <row r="883" ht="12.75" customHeight="1">
      <c r="A883" s="68"/>
      <c r="B883" s="59"/>
      <c r="C883" s="59"/>
      <c r="D883" s="59"/>
      <c r="E883" s="59"/>
      <c r="F883" s="59"/>
    </row>
    <row r="884" ht="12.75" customHeight="1">
      <c r="A884" s="68"/>
      <c r="B884" s="59"/>
      <c r="C884" s="59"/>
      <c r="D884" s="59"/>
      <c r="E884" s="59"/>
      <c r="F884" s="59"/>
    </row>
    <row r="885" ht="12.75" customHeight="1">
      <c r="A885" s="68"/>
      <c r="B885" s="59"/>
      <c r="C885" s="59"/>
      <c r="D885" s="59"/>
      <c r="E885" s="59"/>
      <c r="F885" s="59"/>
    </row>
    <row r="886" ht="12.75" customHeight="1">
      <c r="A886" s="68"/>
      <c r="B886" s="59"/>
      <c r="C886" s="59"/>
      <c r="D886" s="59"/>
      <c r="E886" s="59"/>
      <c r="F886" s="59"/>
    </row>
    <row r="887" ht="12.75" customHeight="1">
      <c r="A887" s="68"/>
      <c r="B887" s="59"/>
      <c r="C887" s="59"/>
      <c r="D887" s="59"/>
      <c r="E887" s="59"/>
      <c r="F887" s="59"/>
    </row>
    <row r="888" ht="12.75" customHeight="1">
      <c r="A888" s="68"/>
      <c r="B888" s="59"/>
      <c r="C888" s="59"/>
      <c r="D888" s="59"/>
      <c r="E888" s="59"/>
      <c r="F888" s="59"/>
    </row>
    <row r="889" ht="12.75" customHeight="1">
      <c r="A889" s="68"/>
      <c r="B889" s="59"/>
      <c r="C889" s="59"/>
      <c r="D889" s="59"/>
      <c r="E889" s="59"/>
      <c r="F889" s="59"/>
    </row>
    <row r="890" ht="12.75" customHeight="1">
      <c r="A890" s="68"/>
      <c r="B890" s="59"/>
      <c r="C890" s="59"/>
      <c r="D890" s="59"/>
      <c r="E890" s="59"/>
      <c r="F890" s="59"/>
    </row>
    <row r="891" ht="12.75" customHeight="1">
      <c r="A891" s="68"/>
      <c r="B891" s="59"/>
      <c r="C891" s="59"/>
      <c r="D891" s="59"/>
      <c r="E891" s="59"/>
      <c r="F891" s="59"/>
    </row>
    <row r="892" ht="12.75" customHeight="1">
      <c r="A892" s="68"/>
      <c r="B892" s="59"/>
      <c r="C892" s="59"/>
      <c r="D892" s="59"/>
      <c r="E892" s="59"/>
      <c r="F892" s="59"/>
    </row>
    <row r="893" ht="12.75" customHeight="1">
      <c r="A893" s="68"/>
      <c r="B893" s="59"/>
      <c r="C893" s="59"/>
      <c r="D893" s="59"/>
      <c r="E893" s="59"/>
      <c r="F893" s="59"/>
    </row>
    <row r="894" ht="12.75" customHeight="1">
      <c r="A894" s="68"/>
      <c r="B894" s="59"/>
      <c r="C894" s="59"/>
      <c r="D894" s="59"/>
      <c r="E894" s="59"/>
      <c r="F894" s="59"/>
    </row>
    <row r="895" ht="12.75" customHeight="1">
      <c r="A895" s="68"/>
      <c r="B895" s="59"/>
      <c r="C895" s="59"/>
      <c r="D895" s="59"/>
      <c r="E895" s="59"/>
      <c r="F895" s="59"/>
    </row>
    <row r="896" ht="12.75" customHeight="1">
      <c r="A896" s="68"/>
      <c r="B896" s="59"/>
      <c r="C896" s="59"/>
      <c r="D896" s="59"/>
      <c r="E896" s="59"/>
      <c r="F896" s="59"/>
    </row>
    <row r="897" ht="12.75" customHeight="1">
      <c r="A897" s="68"/>
      <c r="B897" s="59"/>
      <c r="C897" s="59"/>
      <c r="D897" s="59"/>
      <c r="E897" s="59"/>
      <c r="F897" s="59"/>
    </row>
    <row r="898" ht="12.75" customHeight="1">
      <c r="A898" s="68"/>
      <c r="B898" s="59"/>
      <c r="C898" s="59"/>
      <c r="D898" s="59"/>
      <c r="E898" s="59"/>
      <c r="F898" s="59"/>
    </row>
    <row r="899" ht="12.75" customHeight="1">
      <c r="A899" s="68"/>
      <c r="B899" s="59"/>
      <c r="C899" s="59"/>
      <c r="D899" s="59"/>
      <c r="E899" s="59"/>
      <c r="F899" s="59"/>
    </row>
    <row r="900" ht="12.75" customHeight="1">
      <c r="A900" s="68"/>
      <c r="B900" s="59"/>
      <c r="C900" s="59"/>
      <c r="D900" s="59"/>
      <c r="E900" s="59"/>
      <c r="F900" s="59"/>
    </row>
    <row r="901" ht="12.75" customHeight="1">
      <c r="A901" s="68"/>
      <c r="B901" s="59"/>
      <c r="C901" s="59"/>
      <c r="D901" s="59"/>
      <c r="E901" s="59"/>
      <c r="F901" s="59"/>
    </row>
    <row r="902" ht="12.75" customHeight="1">
      <c r="A902" s="68"/>
      <c r="B902" s="59"/>
      <c r="C902" s="59"/>
      <c r="D902" s="59"/>
      <c r="E902" s="59"/>
      <c r="F902" s="59"/>
    </row>
    <row r="903" ht="12.75" customHeight="1">
      <c r="A903" s="68"/>
      <c r="B903" s="59"/>
      <c r="C903" s="59"/>
      <c r="D903" s="59"/>
      <c r="E903" s="59"/>
      <c r="F903" s="59"/>
    </row>
    <row r="904" ht="12.75" customHeight="1">
      <c r="A904" s="68"/>
      <c r="B904" s="59"/>
      <c r="C904" s="59"/>
      <c r="D904" s="59"/>
      <c r="E904" s="59"/>
      <c r="F904" s="59"/>
    </row>
    <row r="905" ht="12.75" customHeight="1">
      <c r="A905" s="68"/>
      <c r="B905" s="59"/>
      <c r="C905" s="59"/>
      <c r="D905" s="59"/>
      <c r="E905" s="59"/>
      <c r="F905" s="59"/>
    </row>
    <row r="906" ht="12.75" customHeight="1">
      <c r="A906" s="68"/>
      <c r="B906" s="59"/>
      <c r="C906" s="59"/>
      <c r="D906" s="59"/>
      <c r="E906" s="59"/>
      <c r="F906" s="59"/>
    </row>
    <row r="907" ht="12.75" customHeight="1">
      <c r="A907" s="68"/>
      <c r="B907" s="59"/>
      <c r="C907" s="59"/>
      <c r="D907" s="59"/>
      <c r="E907" s="59"/>
      <c r="F907" s="59"/>
    </row>
    <row r="908" ht="12.75" customHeight="1">
      <c r="A908" s="68"/>
      <c r="B908" s="59"/>
      <c r="C908" s="59"/>
      <c r="D908" s="59"/>
      <c r="E908" s="59"/>
      <c r="F908" s="59"/>
    </row>
    <row r="909" ht="12.75" customHeight="1">
      <c r="A909" s="68"/>
      <c r="B909" s="59"/>
      <c r="C909" s="59"/>
      <c r="D909" s="59"/>
      <c r="E909" s="59"/>
      <c r="F909" s="59"/>
    </row>
    <row r="910" ht="12.75" customHeight="1">
      <c r="A910" s="68"/>
      <c r="B910" s="59"/>
      <c r="C910" s="59"/>
      <c r="D910" s="59"/>
      <c r="E910" s="59"/>
      <c r="F910" s="59"/>
    </row>
    <row r="911" ht="12.75" customHeight="1">
      <c r="A911" s="68"/>
      <c r="B911" s="59"/>
      <c r="C911" s="59"/>
      <c r="D911" s="59"/>
      <c r="E911" s="59"/>
      <c r="F911" s="59"/>
    </row>
    <row r="912" ht="12.75" customHeight="1">
      <c r="A912" s="68"/>
      <c r="B912" s="59"/>
      <c r="C912" s="59"/>
      <c r="D912" s="59"/>
      <c r="E912" s="59"/>
      <c r="F912" s="59"/>
    </row>
    <row r="913" ht="12.75" customHeight="1">
      <c r="A913" s="68"/>
      <c r="B913" s="59"/>
      <c r="C913" s="59"/>
      <c r="D913" s="59"/>
      <c r="E913" s="59"/>
      <c r="F913" s="59"/>
    </row>
    <row r="914" ht="12.75" customHeight="1">
      <c r="A914" s="68"/>
      <c r="B914" s="59"/>
      <c r="C914" s="59"/>
      <c r="D914" s="59"/>
      <c r="E914" s="59"/>
      <c r="F914" s="59"/>
    </row>
    <row r="915" ht="12.75" customHeight="1">
      <c r="A915" s="68"/>
      <c r="B915" s="59"/>
      <c r="C915" s="59"/>
      <c r="D915" s="59"/>
      <c r="E915" s="59"/>
      <c r="F915" s="59"/>
    </row>
    <row r="916" ht="12.75" customHeight="1">
      <c r="A916" s="68"/>
      <c r="B916" s="59"/>
      <c r="C916" s="59"/>
      <c r="D916" s="59"/>
      <c r="E916" s="59"/>
      <c r="F916" s="59"/>
    </row>
    <row r="917" ht="12.75" customHeight="1">
      <c r="A917" s="68"/>
      <c r="B917" s="59"/>
      <c r="C917" s="59"/>
      <c r="D917" s="59"/>
      <c r="E917" s="59"/>
      <c r="F917" s="59"/>
    </row>
    <row r="918" ht="12.75" customHeight="1">
      <c r="A918" s="68"/>
      <c r="B918" s="59"/>
      <c r="C918" s="59"/>
      <c r="D918" s="59"/>
      <c r="E918" s="59"/>
      <c r="F918" s="59"/>
    </row>
    <row r="919" ht="12.75" customHeight="1">
      <c r="A919" s="68"/>
      <c r="B919" s="59"/>
      <c r="C919" s="59"/>
      <c r="D919" s="59"/>
      <c r="E919" s="59"/>
      <c r="F919" s="59"/>
    </row>
    <row r="920" ht="12.75" customHeight="1">
      <c r="A920" s="68"/>
      <c r="B920" s="59"/>
      <c r="C920" s="59"/>
      <c r="D920" s="59"/>
      <c r="E920" s="59"/>
      <c r="F920" s="59"/>
    </row>
    <row r="921" ht="12.75" customHeight="1">
      <c r="A921" s="68"/>
      <c r="B921" s="59"/>
      <c r="C921" s="59"/>
      <c r="D921" s="59"/>
      <c r="E921" s="59"/>
      <c r="F921" s="59"/>
    </row>
    <row r="922" ht="12.75" customHeight="1">
      <c r="A922" s="68"/>
      <c r="B922" s="59"/>
      <c r="C922" s="59"/>
      <c r="D922" s="59"/>
      <c r="E922" s="59"/>
      <c r="F922" s="59"/>
    </row>
    <row r="923" ht="12.75" customHeight="1">
      <c r="A923" s="68"/>
      <c r="B923" s="59"/>
      <c r="C923" s="59"/>
      <c r="D923" s="59"/>
      <c r="E923" s="59"/>
      <c r="F923" s="59"/>
    </row>
    <row r="924" ht="12.75" customHeight="1">
      <c r="A924" s="68"/>
      <c r="B924" s="59"/>
      <c r="C924" s="59"/>
      <c r="D924" s="59"/>
      <c r="E924" s="59"/>
      <c r="F924" s="59"/>
    </row>
    <row r="925" ht="12.75" customHeight="1">
      <c r="A925" s="68"/>
      <c r="B925" s="59"/>
      <c r="C925" s="59"/>
      <c r="D925" s="59"/>
      <c r="E925" s="59"/>
      <c r="F925" s="59"/>
    </row>
    <row r="926" ht="12.75" customHeight="1">
      <c r="A926" s="68"/>
      <c r="B926" s="59"/>
      <c r="C926" s="59"/>
      <c r="D926" s="59"/>
      <c r="E926" s="59"/>
      <c r="F926" s="59"/>
    </row>
    <row r="927" ht="12.75" customHeight="1">
      <c r="A927" s="68"/>
      <c r="B927" s="59"/>
      <c r="C927" s="59"/>
      <c r="D927" s="59"/>
      <c r="E927" s="59"/>
      <c r="F927" s="59"/>
    </row>
    <row r="928" ht="12.75" customHeight="1">
      <c r="A928" s="68"/>
      <c r="B928" s="59"/>
      <c r="C928" s="59"/>
      <c r="D928" s="59"/>
      <c r="E928" s="59"/>
      <c r="F928" s="59"/>
    </row>
    <row r="929" ht="12.75" customHeight="1">
      <c r="A929" s="68"/>
      <c r="B929" s="59"/>
      <c r="C929" s="59"/>
      <c r="D929" s="59"/>
      <c r="E929" s="59"/>
      <c r="F929" s="59"/>
    </row>
    <row r="930" ht="12.75" customHeight="1">
      <c r="A930" s="68"/>
      <c r="B930" s="59"/>
      <c r="C930" s="59"/>
      <c r="D930" s="59"/>
      <c r="E930" s="59"/>
      <c r="F930" s="59"/>
    </row>
    <row r="931" ht="12.75" customHeight="1">
      <c r="A931" s="68"/>
      <c r="B931" s="59"/>
      <c r="C931" s="59"/>
      <c r="D931" s="59"/>
      <c r="E931" s="59"/>
      <c r="F931" s="59"/>
    </row>
    <row r="932" ht="12.75" customHeight="1">
      <c r="A932" s="68"/>
      <c r="B932" s="59"/>
      <c r="C932" s="59"/>
      <c r="D932" s="59"/>
      <c r="E932" s="59"/>
      <c r="F932" s="59"/>
    </row>
    <row r="933" ht="12.75" customHeight="1">
      <c r="A933" s="68"/>
      <c r="B933" s="59"/>
      <c r="C933" s="59"/>
      <c r="D933" s="59"/>
      <c r="E933" s="59"/>
      <c r="F933" s="59"/>
    </row>
    <row r="934" ht="12.75" customHeight="1">
      <c r="A934" s="68"/>
      <c r="B934" s="59"/>
      <c r="C934" s="59"/>
      <c r="D934" s="59"/>
      <c r="E934" s="59"/>
      <c r="F934" s="59"/>
    </row>
    <row r="935" ht="12.75" customHeight="1">
      <c r="A935" s="68"/>
      <c r="B935" s="59"/>
      <c r="C935" s="59"/>
      <c r="D935" s="59"/>
      <c r="E935" s="59"/>
      <c r="F935" s="59"/>
    </row>
    <row r="936" ht="12.75" customHeight="1">
      <c r="A936" s="68"/>
      <c r="B936" s="59"/>
      <c r="C936" s="59"/>
      <c r="D936" s="59"/>
      <c r="E936" s="59"/>
      <c r="F936" s="59"/>
    </row>
    <row r="937" ht="12.75" customHeight="1">
      <c r="A937" s="68"/>
      <c r="B937" s="59"/>
      <c r="C937" s="59"/>
      <c r="D937" s="59"/>
      <c r="E937" s="59"/>
      <c r="F937" s="59"/>
    </row>
    <row r="938" ht="12.75" customHeight="1">
      <c r="A938" s="68"/>
      <c r="B938" s="59"/>
      <c r="C938" s="59"/>
      <c r="D938" s="59"/>
      <c r="E938" s="59"/>
      <c r="F938" s="59"/>
    </row>
    <row r="939" ht="12.75" customHeight="1">
      <c r="A939" s="68"/>
      <c r="B939" s="59"/>
      <c r="C939" s="59"/>
      <c r="D939" s="59"/>
      <c r="E939" s="59"/>
      <c r="F939" s="59"/>
    </row>
    <row r="940" ht="12.75" customHeight="1">
      <c r="A940" s="68"/>
      <c r="B940" s="59"/>
      <c r="C940" s="59"/>
      <c r="D940" s="59"/>
      <c r="E940" s="59"/>
      <c r="F940" s="59"/>
    </row>
    <row r="941" ht="12.75" customHeight="1">
      <c r="A941" s="68"/>
      <c r="B941" s="59"/>
      <c r="C941" s="59"/>
      <c r="D941" s="59"/>
      <c r="E941" s="59"/>
      <c r="F941" s="59"/>
    </row>
    <row r="942" ht="12.75" customHeight="1">
      <c r="A942" s="68"/>
      <c r="B942" s="59"/>
      <c r="C942" s="59"/>
      <c r="D942" s="59"/>
      <c r="E942" s="59"/>
      <c r="F942" s="59"/>
    </row>
    <row r="943" ht="12.75" customHeight="1">
      <c r="A943" s="68"/>
      <c r="B943" s="59"/>
      <c r="C943" s="59"/>
      <c r="D943" s="59"/>
      <c r="E943" s="59"/>
      <c r="F943" s="59"/>
    </row>
    <row r="944" ht="12.75" customHeight="1">
      <c r="A944" s="68"/>
      <c r="B944" s="59"/>
      <c r="C944" s="59"/>
      <c r="D944" s="59"/>
      <c r="E944" s="59"/>
      <c r="F944" s="59"/>
    </row>
    <row r="945" ht="12.75" customHeight="1">
      <c r="A945" s="68"/>
      <c r="B945" s="59"/>
      <c r="C945" s="59"/>
      <c r="D945" s="59"/>
      <c r="E945" s="59"/>
      <c r="F945" s="59"/>
    </row>
    <row r="946" ht="12.75" customHeight="1">
      <c r="A946" s="68"/>
      <c r="B946" s="59"/>
      <c r="C946" s="59"/>
      <c r="D946" s="59"/>
      <c r="E946" s="59"/>
      <c r="F946" s="59"/>
    </row>
    <row r="947" ht="12.75" customHeight="1">
      <c r="A947" s="68"/>
      <c r="B947" s="59"/>
      <c r="C947" s="59"/>
      <c r="D947" s="59"/>
      <c r="E947" s="59"/>
      <c r="F947" s="59"/>
    </row>
    <row r="948" ht="12.75" customHeight="1">
      <c r="A948" s="68"/>
      <c r="B948" s="59"/>
      <c r="C948" s="59"/>
      <c r="D948" s="59"/>
      <c r="E948" s="59"/>
      <c r="F948" s="59"/>
    </row>
    <row r="949" ht="12.75" customHeight="1">
      <c r="A949" s="68"/>
      <c r="B949" s="59"/>
      <c r="C949" s="59"/>
      <c r="D949" s="59"/>
      <c r="E949" s="59"/>
      <c r="F949" s="59"/>
    </row>
    <row r="950" ht="12.75" customHeight="1">
      <c r="A950" s="68"/>
      <c r="B950" s="59"/>
      <c r="C950" s="59"/>
      <c r="D950" s="59"/>
      <c r="E950" s="59"/>
      <c r="F950" s="59"/>
    </row>
    <row r="951" ht="12.75" customHeight="1">
      <c r="A951" s="68"/>
      <c r="B951" s="59"/>
      <c r="C951" s="59"/>
      <c r="D951" s="59"/>
      <c r="E951" s="59"/>
      <c r="F951" s="59"/>
    </row>
    <row r="952" ht="12.75" customHeight="1">
      <c r="A952" s="68"/>
      <c r="B952" s="59"/>
      <c r="C952" s="59"/>
      <c r="D952" s="59"/>
      <c r="E952" s="59"/>
      <c r="F952" s="59"/>
    </row>
    <row r="953" ht="12.75" customHeight="1">
      <c r="A953" s="68"/>
      <c r="B953" s="59"/>
      <c r="C953" s="59"/>
      <c r="D953" s="59"/>
      <c r="E953" s="59"/>
      <c r="F953" s="59"/>
    </row>
    <row r="954" ht="12.75" customHeight="1">
      <c r="A954" s="68"/>
      <c r="B954" s="59"/>
      <c r="C954" s="59"/>
      <c r="D954" s="59"/>
      <c r="E954" s="59"/>
      <c r="F954" s="59"/>
    </row>
    <row r="955" ht="12.75" customHeight="1">
      <c r="A955" s="68"/>
      <c r="B955" s="59"/>
      <c r="C955" s="59"/>
      <c r="D955" s="59"/>
      <c r="E955" s="59"/>
      <c r="F955" s="59"/>
    </row>
    <row r="956" ht="12.75" customHeight="1">
      <c r="A956" s="68"/>
      <c r="B956" s="59"/>
      <c r="C956" s="59"/>
      <c r="D956" s="59"/>
      <c r="E956" s="59"/>
      <c r="F956" s="59"/>
    </row>
    <row r="957" ht="12.75" customHeight="1">
      <c r="A957" s="68"/>
      <c r="B957" s="59"/>
      <c r="C957" s="59"/>
      <c r="D957" s="59"/>
      <c r="E957" s="59"/>
      <c r="F957" s="59"/>
    </row>
    <row r="958" ht="12.75" customHeight="1">
      <c r="A958" s="68"/>
      <c r="B958" s="59"/>
      <c r="C958" s="59"/>
      <c r="D958" s="59"/>
      <c r="E958" s="59"/>
      <c r="F958" s="59"/>
    </row>
    <row r="959" ht="12.75" customHeight="1">
      <c r="A959" s="68"/>
      <c r="B959" s="59"/>
      <c r="C959" s="59"/>
      <c r="D959" s="59"/>
      <c r="E959" s="59"/>
      <c r="F959" s="59"/>
    </row>
    <row r="960" ht="12.75" customHeight="1">
      <c r="A960" s="68"/>
      <c r="B960" s="59"/>
      <c r="C960" s="59"/>
      <c r="D960" s="59"/>
      <c r="E960" s="59"/>
      <c r="F960" s="59"/>
    </row>
    <row r="961" ht="12.75" customHeight="1">
      <c r="A961" s="68"/>
      <c r="B961" s="59"/>
      <c r="C961" s="59"/>
      <c r="D961" s="59"/>
      <c r="E961" s="59"/>
      <c r="F961" s="59"/>
    </row>
    <row r="962" ht="12.75" customHeight="1">
      <c r="A962" s="68"/>
      <c r="B962" s="59"/>
      <c r="C962" s="59"/>
      <c r="D962" s="59"/>
      <c r="E962" s="59"/>
      <c r="F962" s="59"/>
    </row>
    <row r="963" ht="12.75" customHeight="1">
      <c r="A963" s="68"/>
      <c r="B963" s="59"/>
      <c r="C963" s="59"/>
      <c r="D963" s="59"/>
      <c r="E963" s="59"/>
      <c r="F963" s="59"/>
    </row>
    <row r="964" ht="12.75" customHeight="1">
      <c r="A964" s="68"/>
      <c r="B964" s="59"/>
      <c r="C964" s="59"/>
      <c r="D964" s="59"/>
      <c r="E964" s="59"/>
      <c r="F964" s="59"/>
    </row>
    <row r="965" ht="12.75" customHeight="1">
      <c r="A965" s="68"/>
      <c r="B965" s="59"/>
      <c r="C965" s="59"/>
      <c r="D965" s="59"/>
      <c r="E965" s="59"/>
      <c r="F965" s="59"/>
    </row>
    <row r="966" ht="12.75" customHeight="1">
      <c r="A966" s="68"/>
      <c r="B966" s="59"/>
      <c r="C966" s="59"/>
      <c r="D966" s="59"/>
      <c r="E966" s="59"/>
      <c r="F966" s="59"/>
    </row>
    <row r="967" ht="12.75" customHeight="1">
      <c r="A967" s="68"/>
      <c r="B967" s="59"/>
      <c r="C967" s="59"/>
      <c r="D967" s="59"/>
      <c r="E967" s="59"/>
      <c r="F967" s="59"/>
    </row>
    <row r="968" ht="12.75" customHeight="1">
      <c r="A968" s="68"/>
      <c r="B968" s="59"/>
      <c r="C968" s="59"/>
      <c r="D968" s="59"/>
      <c r="E968" s="59"/>
      <c r="F968" s="59"/>
    </row>
    <row r="969" ht="12.75" customHeight="1">
      <c r="A969" s="68"/>
      <c r="B969" s="59"/>
      <c r="C969" s="59"/>
      <c r="D969" s="59"/>
      <c r="E969" s="59"/>
      <c r="F969" s="59"/>
    </row>
    <row r="970" ht="12.75" customHeight="1">
      <c r="A970" s="68"/>
      <c r="B970" s="59"/>
      <c r="C970" s="59"/>
      <c r="D970" s="59"/>
      <c r="E970" s="59"/>
      <c r="F970" s="59"/>
    </row>
    <row r="971" ht="12.75" customHeight="1">
      <c r="A971" s="68"/>
      <c r="B971" s="59"/>
      <c r="C971" s="59"/>
      <c r="D971" s="59"/>
      <c r="E971" s="59"/>
      <c r="F971" s="59"/>
    </row>
    <row r="972" ht="12.75" customHeight="1">
      <c r="A972" s="68"/>
      <c r="B972" s="59"/>
      <c r="C972" s="59"/>
      <c r="D972" s="59"/>
      <c r="E972" s="59"/>
      <c r="F972" s="59"/>
    </row>
    <row r="973" ht="12.75" customHeight="1">
      <c r="A973" s="68"/>
      <c r="B973" s="59"/>
      <c r="C973" s="59"/>
      <c r="D973" s="59"/>
      <c r="E973" s="59"/>
      <c r="F973" s="59"/>
    </row>
    <row r="974" ht="12.75" customHeight="1">
      <c r="A974" s="68"/>
      <c r="B974" s="59"/>
      <c r="C974" s="59"/>
      <c r="D974" s="59"/>
      <c r="E974" s="59"/>
      <c r="F974" s="59"/>
    </row>
    <row r="975" ht="12.75" customHeight="1">
      <c r="A975" s="68"/>
      <c r="B975" s="59"/>
      <c r="C975" s="59"/>
      <c r="D975" s="59"/>
      <c r="E975" s="59"/>
      <c r="F975" s="59"/>
    </row>
    <row r="976" ht="12.75" customHeight="1">
      <c r="A976" s="68"/>
      <c r="B976" s="59"/>
      <c r="C976" s="59"/>
      <c r="D976" s="59"/>
      <c r="E976" s="59"/>
      <c r="F976" s="59"/>
    </row>
    <row r="977" ht="12.75" customHeight="1">
      <c r="A977" s="68"/>
      <c r="B977" s="59"/>
      <c r="C977" s="59"/>
      <c r="D977" s="59"/>
      <c r="E977" s="59"/>
      <c r="F977" s="59"/>
    </row>
    <row r="978" ht="12.75" customHeight="1">
      <c r="A978" s="68"/>
      <c r="B978" s="59"/>
      <c r="C978" s="59"/>
      <c r="D978" s="59"/>
      <c r="E978" s="59"/>
      <c r="F978" s="59"/>
    </row>
    <row r="979" ht="12.75" customHeight="1">
      <c r="A979" s="68"/>
      <c r="B979" s="59"/>
      <c r="C979" s="59"/>
      <c r="D979" s="59"/>
      <c r="E979" s="59"/>
      <c r="F979" s="59"/>
    </row>
    <row r="980" ht="12.75" customHeight="1">
      <c r="A980" s="68"/>
      <c r="B980" s="59"/>
      <c r="C980" s="59"/>
      <c r="D980" s="59"/>
      <c r="E980" s="59"/>
      <c r="F980" s="59"/>
    </row>
    <row r="981" ht="12.75" customHeight="1">
      <c r="A981" s="68"/>
      <c r="B981" s="59"/>
      <c r="C981" s="59"/>
      <c r="D981" s="59"/>
      <c r="E981" s="59"/>
      <c r="F981" s="59"/>
    </row>
    <row r="982" ht="12.75" customHeight="1">
      <c r="A982" s="68"/>
      <c r="B982" s="59"/>
      <c r="C982" s="59"/>
      <c r="D982" s="59"/>
      <c r="E982" s="59"/>
      <c r="F982" s="59"/>
    </row>
    <row r="983" ht="12.75" customHeight="1">
      <c r="A983" s="68"/>
      <c r="B983" s="59"/>
      <c r="C983" s="59"/>
      <c r="D983" s="59"/>
      <c r="E983" s="59"/>
      <c r="F983" s="59"/>
    </row>
    <row r="984" ht="12.75" customHeight="1">
      <c r="A984" s="68"/>
      <c r="B984" s="59"/>
      <c r="C984" s="59"/>
      <c r="D984" s="59"/>
      <c r="E984" s="59"/>
      <c r="F984" s="59"/>
    </row>
    <row r="985" ht="12.75" customHeight="1">
      <c r="A985" s="68"/>
      <c r="B985" s="59"/>
      <c r="C985" s="59"/>
      <c r="D985" s="59"/>
      <c r="E985" s="59"/>
      <c r="F985" s="59"/>
    </row>
    <row r="986" ht="12.75" customHeight="1">
      <c r="A986" s="68"/>
      <c r="B986" s="59"/>
      <c r="C986" s="59"/>
      <c r="D986" s="59"/>
      <c r="E986" s="59"/>
      <c r="F986" s="59"/>
    </row>
    <row r="987" ht="12.75" customHeight="1">
      <c r="A987" s="68"/>
      <c r="B987" s="59"/>
      <c r="C987" s="59"/>
      <c r="D987" s="59"/>
      <c r="E987" s="59"/>
      <c r="F987" s="59"/>
    </row>
    <row r="988" ht="12.75" customHeight="1">
      <c r="A988" s="68"/>
      <c r="B988" s="59"/>
      <c r="C988" s="59"/>
      <c r="D988" s="59"/>
      <c r="E988" s="59"/>
      <c r="F988" s="59"/>
    </row>
    <row r="989" ht="12.75" customHeight="1">
      <c r="A989" s="68"/>
      <c r="B989" s="59"/>
      <c r="C989" s="59"/>
      <c r="D989" s="59"/>
      <c r="E989" s="59"/>
      <c r="F989" s="59"/>
    </row>
    <row r="990" ht="12.75" customHeight="1">
      <c r="A990" s="68"/>
      <c r="B990" s="59"/>
      <c r="C990" s="59"/>
      <c r="D990" s="59"/>
      <c r="E990" s="59"/>
      <c r="F990" s="59"/>
    </row>
    <row r="991" ht="12.75" customHeight="1">
      <c r="A991" s="68"/>
      <c r="B991" s="59"/>
      <c r="C991" s="59"/>
      <c r="D991" s="59"/>
      <c r="E991" s="59"/>
      <c r="F991" s="59"/>
    </row>
    <row r="992" ht="12.75" customHeight="1">
      <c r="A992" s="68"/>
      <c r="B992" s="59"/>
      <c r="C992" s="59"/>
      <c r="D992" s="59"/>
      <c r="E992" s="59"/>
      <c r="F992" s="59"/>
    </row>
    <row r="993" ht="12.75" customHeight="1">
      <c r="A993" s="68"/>
      <c r="B993" s="59"/>
      <c r="C993" s="59"/>
      <c r="D993" s="59"/>
      <c r="E993" s="59"/>
      <c r="F993" s="59"/>
    </row>
    <row r="994" ht="12.75" customHeight="1">
      <c r="A994" s="68"/>
      <c r="B994" s="59"/>
      <c r="C994" s="59"/>
      <c r="D994" s="59"/>
      <c r="E994" s="59"/>
      <c r="F994" s="59"/>
    </row>
    <row r="995" ht="12.75" customHeight="1">
      <c r="A995" s="68"/>
      <c r="B995" s="59"/>
      <c r="C995" s="59"/>
      <c r="D995" s="59"/>
      <c r="E995" s="59"/>
      <c r="F995" s="59"/>
    </row>
    <row r="996" ht="12.75" customHeight="1">
      <c r="A996" s="68"/>
      <c r="B996" s="59"/>
      <c r="C996" s="59"/>
      <c r="D996" s="59"/>
      <c r="E996" s="59"/>
      <c r="F996" s="59"/>
    </row>
    <row r="997" ht="12.75" customHeight="1">
      <c r="A997" s="68"/>
      <c r="B997" s="59"/>
      <c r="C997" s="59"/>
      <c r="D997" s="59"/>
      <c r="E997" s="59"/>
      <c r="F997" s="59"/>
    </row>
    <row r="998" ht="12.75" customHeight="1">
      <c r="A998" s="68"/>
      <c r="B998" s="59"/>
      <c r="C998" s="59"/>
      <c r="D998" s="59"/>
      <c r="E998" s="59"/>
      <c r="F998" s="59"/>
    </row>
    <row r="999" ht="12.75" customHeight="1">
      <c r="A999" s="68"/>
      <c r="B999" s="59"/>
      <c r="C999" s="59"/>
      <c r="D999" s="59"/>
      <c r="E999" s="59"/>
      <c r="F999" s="59"/>
    </row>
    <row r="1000" ht="12.75" customHeight="1">
      <c r="A1000" s="68"/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12" width="10.63"/>
    <col customWidth="1" min="13" max="13" width="4.75"/>
    <col customWidth="1" min="14" max="26" width="10.63"/>
  </cols>
  <sheetData>
    <row r="1" ht="12.75" customHeight="1">
      <c r="A1" s="41">
        <v>5.0</v>
      </c>
      <c r="B1" s="59">
        <f t="shared" ref="B1:B30" si="1">D1-C1</f>
        <v>25252</v>
      </c>
      <c r="C1" s="59">
        <f>407+1916+2076+160+239</f>
        <v>4798</v>
      </c>
      <c r="D1" s="59">
        <f>2550+12000+13000+1000+1500</f>
        <v>30050</v>
      </c>
      <c r="E1" s="59">
        <f t="shared" ref="E1:E30" si="2">D1*2.3681%</f>
        <v>711.61405</v>
      </c>
      <c r="F1" s="59">
        <f t="shared" ref="F1:F30" si="3">D1-E1</f>
        <v>29338.38595</v>
      </c>
      <c r="M1" s="41">
        <v>5.0</v>
      </c>
      <c r="N1" s="59">
        <f>2550+12000+13000+1000+1500</f>
        <v>30050</v>
      </c>
    </row>
    <row r="2" ht="12.75" customHeight="1">
      <c r="A2" s="41">
        <v>7.0</v>
      </c>
      <c r="B2" s="59">
        <f t="shared" si="1"/>
        <v>22185</v>
      </c>
      <c r="C2" s="59">
        <f>144+239+319+1134+862+958+559</f>
        <v>4215</v>
      </c>
      <c r="D2" s="59">
        <f>900+1500+2000+7100+5400+6000+3500</f>
        <v>26400</v>
      </c>
      <c r="E2" s="59">
        <f t="shared" si="2"/>
        <v>625.1784</v>
      </c>
      <c r="F2" s="59">
        <f t="shared" si="3"/>
        <v>25774.8216</v>
      </c>
      <c r="M2" s="41">
        <v>7.0</v>
      </c>
      <c r="N2" s="59">
        <f>900+1500+2000+7100+5400+6000+3500</f>
        <v>26400</v>
      </c>
    </row>
    <row r="3" ht="12.75" customHeight="1">
      <c r="A3" s="41">
        <v>1.0</v>
      </c>
      <c r="B3" s="59">
        <f t="shared" si="1"/>
        <v>2521</v>
      </c>
      <c r="C3" s="59">
        <v>479.0</v>
      </c>
      <c r="D3" s="59">
        <v>3000.0</v>
      </c>
      <c r="E3" s="59">
        <f t="shared" si="2"/>
        <v>71.043</v>
      </c>
      <c r="F3" s="59">
        <f t="shared" si="3"/>
        <v>2928.957</v>
      </c>
      <c r="M3" s="41">
        <v>1.0</v>
      </c>
      <c r="N3" s="59">
        <v>3000.0</v>
      </c>
    </row>
    <row r="4" ht="12.75" customHeight="1">
      <c r="A4" s="41">
        <v>5.0</v>
      </c>
      <c r="B4" s="59">
        <f t="shared" si="1"/>
        <v>22269</v>
      </c>
      <c r="C4" s="59">
        <f>655+1038+1229+910+399</f>
        <v>4231</v>
      </c>
      <c r="D4" s="59">
        <f>4100+6500+7700+5700+2500</f>
        <v>26500</v>
      </c>
      <c r="E4" s="59">
        <f t="shared" si="2"/>
        <v>627.5465</v>
      </c>
      <c r="F4" s="59">
        <f t="shared" si="3"/>
        <v>25872.4535</v>
      </c>
      <c r="M4" s="41">
        <v>5.0</v>
      </c>
      <c r="N4" s="59">
        <f>4100+6500+7700+5700+2500</f>
        <v>26500</v>
      </c>
    </row>
    <row r="5" ht="12.75" customHeight="1">
      <c r="A5" s="41">
        <v>5.0</v>
      </c>
      <c r="B5" s="59">
        <f t="shared" si="1"/>
        <v>17436</v>
      </c>
      <c r="C5" s="59">
        <f>607+160+591+575+1381</f>
        <v>3314</v>
      </c>
      <c r="D5" s="59">
        <f>3800+1000+3700+3600+8650</f>
        <v>20750</v>
      </c>
      <c r="E5" s="59">
        <f t="shared" si="2"/>
        <v>491.38075</v>
      </c>
      <c r="F5" s="59">
        <f t="shared" si="3"/>
        <v>20258.61925</v>
      </c>
      <c r="M5" s="41">
        <v>5.0</v>
      </c>
      <c r="N5" s="59">
        <f>3800+1000+3700+3600+8650</f>
        <v>20750</v>
      </c>
    </row>
    <row r="6" ht="12.75" customHeight="1">
      <c r="A6" s="41">
        <v>4.0</v>
      </c>
      <c r="B6" s="59">
        <f t="shared" si="1"/>
        <v>13025</v>
      </c>
      <c r="C6" s="59">
        <f>479+80+1357+559</f>
        <v>2475</v>
      </c>
      <c r="D6" s="59">
        <f>3000+500+8500+3500</f>
        <v>15500</v>
      </c>
      <c r="E6" s="59">
        <f t="shared" si="2"/>
        <v>367.0555</v>
      </c>
      <c r="F6" s="59">
        <f t="shared" si="3"/>
        <v>15132.9445</v>
      </c>
      <c r="M6" s="41">
        <v>4.0</v>
      </c>
      <c r="N6" s="59">
        <f>3000+500+8500+3500</f>
        <v>15500</v>
      </c>
    </row>
    <row r="7" ht="12.75" customHeight="1">
      <c r="A7" s="41">
        <v>8.0</v>
      </c>
      <c r="B7" s="59">
        <f t="shared" si="1"/>
        <v>48797</v>
      </c>
      <c r="C7" s="59">
        <f>511+1477+551+1392+1956+1597+1645+144</f>
        <v>9273</v>
      </c>
      <c r="D7" s="59">
        <f>3200+9250+3450+8720+12250+10000+10300+900</f>
        <v>58070</v>
      </c>
      <c r="E7" s="59">
        <f t="shared" si="2"/>
        <v>1375.15567</v>
      </c>
      <c r="F7" s="59">
        <f t="shared" si="3"/>
        <v>56694.84433</v>
      </c>
      <c r="M7" s="41">
        <v>8.0</v>
      </c>
      <c r="N7" s="59">
        <f>3200+9250+3450+8720+12250+10000+10300+900</f>
        <v>58070</v>
      </c>
    </row>
    <row r="8" ht="12.75" customHeight="1">
      <c r="A8" s="41">
        <v>6.0</v>
      </c>
      <c r="B8" s="59">
        <f t="shared" si="1"/>
        <v>40084</v>
      </c>
      <c r="C8" s="59">
        <f>1740+208+2634+431+1597+1006</f>
        <v>7616</v>
      </c>
      <c r="D8" s="59">
        <f>10900+1300+16500+2700+10000+6300</f>
        <v>47700</v>
      </c>
      <c r="E8" s="59">
        <f t="shared" si="2"/>
        <v>1129.5837</v>
      </c>
      <c r="F8" s="59">
        <f t="shared" si="3"/>
        <v>46570.4163</v>
      </c>
      <c r="M8" s="41">
        <v>6.0</v>
      </c>
      <c r="N8" s="59">
        <f>10900+1300+16500+2700+10000+6300</f>
        <v>47700</v>
      </c>
    </row>
    <row r="9" ht="12.75" customHeight="1">
      <c r="A9" s="41">
        <v>7.0</v>
      </c>
      <c r="B9" s="59">
        <f t="shared" si="1"/>
        <v>32311</v>
      </c>
      <c r="C9" s="59">
        <f>1597+407+798+623+511+1437+766</f>
        <v>6139</v>
      </c>
      <c r="D9" s="59">
        <f>10000+2550+5000+3900+3200+9000+4800</f>
        <v>38450</v>
      </c>
      <c r="E9" s="59">
        <f t="shared" si="2"/>
        <v>910.53445</v>
      </c>
      <c r="F9" s="59">
        <f t="shared" si="3"/>
        <v>37539.46555</v>
      </c>
      <c r="M9" s="41">
        <v>7.0</v>
      </c>
      <c r="N9" s="59">
        <f>10000+2550+5000+3900+3200+9000+4800</f>
        <v>38450</v>
      </c>
    </row>
    <row r="10" ht="12.75" customHeight="1">
      <c r="A10" s="41">
        <v>3.0</v>
      </c>
      <c r="B10" s="59">
        <f t="shared" si="1"/>
        <v>4454</v>
      </c>
      <c r="C10" s="59">
        <f>255+415+176</f>
        <v>846</v>
      </c>
      <c r="D10" s="59">
        <f>1600+2600+1100</f>
        <v>5300</v>
      </c>
      <c r="E10" s="59">
        <f t="shared" si="2"/>
        <v>125.5093</v>
      </c>
      <c r="F10" s="59">
        <f t="shared" si="3"/>
        <v>5174.4907</v>
      </c>
      <c r="M10" s="41">
        <v>3.0</v>
      </c>
      <c r="N10" s="59">
        <f>1600+2600+1100</f>
        <v>5300</v>
      </c>
    </row>
    <row r="11" ht="12.75" customHeight="1">
      <c r="A11" s="41">
        <v>5.0</v>
      </c>
      <c r="B11" s="59">
        <f t="shared" si="1"/>
        <v>15506</v>
      </c>
      <c r="C11" s="59">
        <f>255+255+1277+838+319</f>
        <v>2944</v>
      </c>
      <c r="D11" s="59">
        <f>1600+1600+8000+5250+2000</f>
        <v>18450</v>
      </c>
      <c r="E11" s="59">
        <f t="shared" si="2"/>
        <v>436.91445</v>
      </c>
      <c r="F11" s="59">
        <f t="shared" si="3"/>
        <v>18013.08555</v>
      </c>
      <c r="M11" s="41">
        <v>5.0</v>
      </c>
      <c r="N11" s="59">
        <f>1600+1600+8000+5250+2000</f>
        <v>18450</v>
      </c>
    </row>
    <row r="12" ht="12.75" customHeight="1">
      <c r="A12" s="41">
        <v>8.0</v>
      </c>
      <c r="B12" s="59">
        <f t="shared" si="1"/>
        <v>43109</v>
      </c>
      <c r="C12" s="59">
        <f>1182+1118+1022+319+399+2331+399+1421</f>
        <v>8191</v>
      </c>
      <c r="D12" s="59">
        <f>7400+7000+6400+2000+2500+14600+2500+8900</f>
        <v>51300</v>
      </c>
      <c r="E12" s="59">
        <f t="shared" si="2"/>
        <v>1214.8353</v>
      </c>
      <c r="F12" s="59">
        <f t="shared" si="3"/>
        <v>50085.1647</v>
      </c>
      <c r="M12" s="41">
        <v>8.0</v>
      </c>
      <c r="N12" s="59">
        <f>7400+7000+6400+2000+2500+14600+2500+8900</f>
        <v>51300</v>
      </c>
    </row>
    <row r="13" ht="12.75" customHeight="1">
      <c r="A13" s="41">
        <v>0.0</v>
      </c>
      <c r="B13" s="59">
        <f t="shared" si="1"/>
        <v>0</v>
      </c>
      <c r="C13" s="59">
        <v>0.0</v>
      </c>
      <c r="D13" s="59">
        <v>0.0</v>
      </c>
      <c r="E13" s="59">
        <f t="shared" si="2"/>
        <v>0</v>
      </c>
      <c r="F13" s="59">
        <f t="shared" si="3"/>
        <v>0</v>
      </c>
      <c r="M13" s="41">
        <v>0.0</v>
      </c>
      <c r="N13" s="59">
        <v>0.0</v>
      </c>
    </row>
    <row r="14" ht="12.75" customHeight="1">
      <c r="A14" s="41">
        <v>14.0</v>
      </c>
      <c r="B14" s="59">
        <f t="shared" si="1"/>
        <v>141513</v>
      </c>
      <c r="C14" s="59">
        <f>2139+1229+1118+255+4774+1253+958+271+4471+1437+6818+160+1389+615</f>
        <v>26887</v>
      </c>
      <c r="D14" s="59">
        <f>13400+7700+7000+1600+29900+7850+6000+1700+28000+9000+42700+1000+8700+3850</f>
        <v>168400</v>
      </c>
      <c r="E14" s="59">
        <f t="shared" si="2"/>
        <v>3987.8804</v>
      </c>
      <c r="F14" s="59">
        <f t="shared" si="3"/>
        <v>164412.1196</v>
      </c>
      <c r="M14" s="41">
        <v>14.0</v>
      </c>
      <c r="N14" s="59">
        <f>13400+7700+7000+1600+29900+7850+6000+1700+28000+9000+42700+1000+8700+3850</f>
        <v>168400</v>
      </c>
    </row>
    <row r="15" ht="12.75" customHeight="1">
      <c r="A15" s="41">
        <v>5.0</v>
      </c>
      <c r="B15" s="59">
        <f t="shared" si="1"/>
        <v>29075</v>
      </c>
      <c r="C15" s="59">
        <f>1357+695+1102+1333+1038</f>
        <v>5525</v>
      </c>
      <c r="D15" s="59">
        <f>8500+4350+6900+8350+6500</f>
        <v>34600</v>
      </c>
      <c r="E15" s="59">
        <f t="shared" si="2"/>
        <v>819.3626</v>
      </c>
      <c r="F15" s="59">
        <f t="shared" si="3"/>
        <v>33780.6374</v>
      </c>
      <c r="M15" s="41">
        <v>5.0</v>
      </c>
      <c r="N15" s="59">
        <f>8500+4350+6900+8350+6500</f>
        <v>34600</v>
      </c>
    </row>
    <row r="16" ht="12.75" customHeight="1">
      <c r="A16" s="41">
        <v>4.0</v>
      </c>
      <c r="B16" s="59">
        <f t="shared" si="1"/>
        <v>12312</v>
      </c>
      <c r="C16" s="59">
        <f>247+511+239+1341</f>
        <v>2338</v>
      </c>
      <c r="D16" s="59">
        <f>1550+3200+1500+8400</f>
        <v>14650</v>
      </c>
      <c r="E16" s="59">
        <f t="shared" si="2"/>
        <v>346.92665</v>
      </c>
      <c r="F16" s="59">
        <f t="shared" si="3"/>
        <v>14303.07335</v>
      </c>
      <c r="M16" s="41">
        <v>4.0</v>
      </c>
      <c r="N16" s="59">
        <f>1550+3200+1500+8400</f>
        <v>14650</v>
      </c>
    </row>
    <row r="17" ht="12.75" customHeight="1">
      <c r="A17" s="41">
        <v>2.0</v>
      </c>
      <c r="B17" s="59">
        <f t="shared" si="1"/>
        <v>19790</v>
      </c>
      <c r="C17" s="59">
        <f>192+3568</f>
        <v>3760</v>
      </c>
      <c r="D17" s="59">
        <f>1200+22350</f>
        <v>23550</v>
      </c>
      <c r="E17" s="59">
        <f t="shared" si="2"/>
        <v>557.68755</v>
      </c>
      <c r="F17" s="59">
        <f t="shared" si="3"/>
        <v>22992.31245</v>
      </c>
      <c r="M17" s="41">
        <v>2.0</v>
      </c>
      <c r="N17" s="59">
        <f>1200+22350</f>
        <v>23550</v>
      </c>
    </row>
    <row r="18" ht="12.75" customHeight="1">
      <c r="A18" s="41">
        <v>1.0</v>
      </c>
      <c r="B18" s="59">
        <f t="shared" si="1"/>
        <v>24370</v>
      </c>
      <c r="C18" s="59">
        <v>4630.0</v>
      </c>
      <c r="D18" s="59">
        <v>29000.0</v>
      </c>
      <c r="E18" s="59">
        <f t="shared" si="2"/>
        <v>686.749</v>
      </c>
      <c r="F18" s="59">
        <f t="shared" si="3"/>
        <v>28313.251</v>
      </c>
      <c r="M18" s="41">
        <v>1.0</v>
      </c>
      <c r="N18" s="59">
        <v>29000.0</v>
      </c>
    </row>
    <row r="19" ht="12.75" customHeight="1">
      <c r="A19" s="41">
        <v>1.0</v>
      </c>
      <c r="B19" s="59">
        <f t="shared" si="1"/>
        <v>12605</v>
      </c>
      <c r="C19" s="59">
        <v>2395.0</v>
      </c>
      <c r="D19" s="59">
        <v>15000.0</v>
      </c>
      <c r="E19" s="59">
        <f t="shared" si="2"/>
        <v>355.215</v>
      </c>
      <c r="F19" s="59">
        <f t="shared" si="3"/>
        <v>14644.785</v>
      </c>
      <c r="M19" s="41">
        <v>1.0</v>
      </c>
      <c r="N19" s="59">
        <v>15000.0</v>
      </c>
    </row>
    <row r="20" ht="12.75" customHeight="1">
      <c r="A20" s="41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M20" s="41">
        <v>0.0</v>
      </c>
      <c r="N20" s="59">
        <v>0.0</v>
      </c>
    </row>
    <row r="21" ht="12.75" customHeight="1">
      <c r="A21" s="41">
        <v>1.0</v>
      </c>
      <c r="B21" s="59">
        <f t="shared" si="1"/>
        <v>19328</v>
      </c>
      <c r="C21" s="59">
        <v>3672.0</v>
      </c>
      <c r="D21" s="59">
        <v>23000.0</v>
      </c>
      <c r="E21" s="59">
        <f t="shared" si="2"/>
        <v>544.663</v>
      </c>
      <c r="F21" s="59">
        <f t="shared" si="3"/>
        <v>22455.337</v>
      </c>
      <c r="M21" s="41">
        <v>1.0</v>
      </c>
      <c r="N21" s="59">
        <v>23000.0</v>
      </c>
    </row>
    <row r="22" ht="12.75" customHeight="1">
      <c r="A22" s="41">
        <v>1.0</v>
      </c>
      <c r="B22" s="59">
        <f t="shared" si="1"/>
        <v>3782</v>
      </c>
      <c r="C22" s="59">
        <v>718.0</v>
      </c>
      <c r="D22" s="59">
        <v>4500.0</v>
      </c>
      <c r="E22" s="59">
        <f t="shared" si="2"/>
        <v>106.5645</v>
      </c>
      <c r="F22" s="59">
        <f t="shared" si="3"/>
        <v>4393.4355</v>
      </c>
      <c r="M22" s="41">
        <v>1.0</v>
      </c>
      <c r="N22" s="59">
        <v>4500.0</v>
      </c>
    </row>
    <row r="23" ht="12.75" customHeight="1">
      <c r="A23" s="41">
        <v>0.0</v>
      </c>
      <c r="B23" s="59">
        <f t="shared" si="1"/>
        <v>0</v>
      </c>
      <c r="C23" s="59">
        <v>0.0</v>
      </c>
      <c r="D23" s="59">
        <v>0.0</v>
      </c>
      <c r="E23" s="59">
        <f t="shared" si="2"/>
        <v>0</v>
      </c>
      <c r="F23" s="59">
        <f t="shared" si="3"/>
        <v>0</v>
      </c>
      <c r="M23" s="41">
        <v>0.0</v>
      </c>
      <c r="N23" s="59">
        <v>0.0</v>
      </c>
    </row>
    <row r="24" ht="12.75" customHeight="1">
      <c r="A24" s="41">
        <v>0.0</v>
      </c>
      <c r="B24" s="59">
        <f t="shared" si="1"/>
        <v>0</v>
      </c>
      <c r="C24" s="59">
        <v>0.0</v>
      </c>
      <c r="D24" s="59">
        <v>0.0</v>
      </c>
      <c r="E24" s="59">
        <f t="shared" si="2"/>
        <v>0</v>
      </c>
      <c r="F24" s="59">
        <f t="shared" si="3"/>
        <v>0</v>
      </c>
      <c r="M24" s="41">
        <v>0.0</v>
      </c>
      <c r="N24" s="59">
        <v>0.0</v>
      </c>
    </row>
    <row r="25" ht="12.75" customHeight="1">
      <c r="A25" s="41">
        <v>4.0</v>
      </c>
      <c r="B25" s="59">
        <f t="shared" si="1"/>
        <v>9790</v>
      </c>
      <c r="C25" s="59">
        <f>479+854+80+447</f>
        <v>1860</v>
      </c>
      <c r="D25" s="59">
        <f>3000+5350+500+2800</f>
        <v>11650</v>
      </c>
      <c r="E25" s="59">
        <f t="shared" si="2"/>
        <v>275.88365</v>
      </c>
      <c r="F25" s="59">
        <f t="shared" si="3"/>
        <v>11374.11635</v>
      </c>
      <c r="M25" s="41">
        <v>4.0</v>
      </c>
      <c r="N25" s="59">
        <f>3000+5350+500+2800</f>
        <v>11650</v>
      </c>
    </row>
    <row r="26" ht="12.75" customHeight="1">
      <c r="A26" s="41">
        <v>4.0</v>
      </c>
      <c r="B26" s="59">
        <f t="shared" si="1"/>
        <v>14244</v>
      </c>
      <c r="C26" s="59">
        <f>1493+655+319+239</f>
        <v>2706</v>
      </c>
      <c r="D26" s="59">
        <f>9350+4100+2000+1500</f>
        <v>16950</v>
      </c>
      <c r="E26" s="59">
        <f t="shared" si="2"/>
        <v>401.39295</v>
      </c>
      <c r="F26" s="59">
        <f t="shared" si="3"/>
        <v>16548.60705</v>
      </c>
      <c r="M26" s="41">
        <v>4.0</v>
      </c>
      <c r="N26" s="59">
        <f>9350+4100+2000+1500</f>
        <v>16950</v>
      </c>
    </row>
    <row r="27" ht="12.75" customHeight="1">
      <c r="A27" s="41">
        <v>3.0</v>
      </c>
      <c r="B27" s="59">
        <f t="shared" si="1"/>
        <v>8404</v>
      </c>
      <c r="C27" s="59">
        <f>319+319+958</f>
        <v>1596</v>
      </c>
      <c r="D27" s="59">
        <f>2000+2000+6000</f>
        <v>10000</v>
      </c>
      <c r="E27" s="59">
        <f t="shared" si="2"/>
        <v>236.81</v>
      </c>
      <c r="F27" s="59">
        <f t="shared" si="3"/>
        <v>9763.19</v>
      </c>
      <c r="M27" s="41">
        <v>3.0</v>
      </c>
      <c r="N27" s="59">
        <f>2000+2000+6000</f>
        <v>10000</v>
      </c>
    </row>
    <row r="28" ht="12.75" customHeight="1">
      <c r="A28" s="41">
        <v>1.0</v>
      </c>
      <c r="B28" s="59">
        <f t="shared" si="1"/>
        <v>4034</v>
      </c>
      <c r="C28" s="59">
        <v>766.0</v>
      </c>
      <c r="D28" s="59">
        <v>4800.0</v>
      </c>
      <c r="E28" s="59">
        <f t="shared" si="2"/>
        <v>113.6688</v>
      </c>
      <c r="F28" s="59">
        <f t="shared" si="3"/>
        <v>4686.3312</v>
      </c>
      <c r="M28" s="41">
        <v>1.0</v>
      </c>
      <c r="N28" s="59">
        <v>4800.0</v>
      </c>
    </row>
    <row r="29" ht="12.75" customHeight="1">
      <c r="A29" s="41">
        <v>2.0</v>
      </c>
      <c r="B29" s="59">
        <f t="shared" si="1"/>
        <v>12563</v>
      </c>
      <c r="C29" s="59">
        <f>1118+1269</f>
        <v>2387</v>
      </c>
      <c r="D29" s="59">
        <f>7000+7950</f>
        <v>14950</v>
      </c>
      <c r="E29" s="59">
        <f t="shared" si="2"/>
        <v>354.03095</v>
      </c>
      <c r="F29" s="59">
        <f t="shared" si="3"/>
        <v>14595.96905</v>
      </c>
      <c r="M29" s="41">
        <v>2.0</v>
      </c>
      <c r="N29" s="59">
        <f>7000+7950</f>
        <v>14950</v>
      </c>
    </row>
    <row r="30" ht="12.75" customHeight="1">
      <c r="A30" s="41">
        <v>3.0</v>
      </c>
      <c r="B30" s="59">
        <f t="shared" si="1"/>
        <v>33068</v>
      </c>
      <c r="C30" s="59">
        <f>1014+4071+1197</f>
        <v>6282</v>
      </c>
      <c r="D30" s="59">
        <f>6350+25500+7500</f>
        <v>39350</v>
      </c>
      <c r="E30" s="59">
        <f t="shared" si="2"/>
        <v>931.84735</v>
      </c>
      <c r="F30" s="59">
        <f t="shared" si="3"/>
        <v>38418.15265</v>
      </c>
      <c r="M30" s="41">
        <v>3.0</v>
      </c>
      <c r="N30" s="59">
        <f>6350+25500+7500</f>
        <v>39350</v>
      </c>
    </row>
    <row r="31" ht="12.75" customHeight="1">
      <c r="A31" s="65">
        <f t="shared" ref="A31:F31" si="4">SUM(A1:A30)</f>
        <v>110</v>
      </c>
      <c r="B31" s="66">
        <f t="shared" si="4"/>
        <v>631827</v>
      </c>
      <c r="C31" s="66">
        <f t="shared" si="4"/>
        <v>120043</v>
      </c>
      <c r="D31" s="66">
        <f t="shared" si="4"/>
        <v>751870</v>
      </c>
      <c r="E31" s="67">
        <f t="shared" si="4"/>
        <v>17805.03347</v>
      </c>
      <c r="F31" s="70">
        <f t="shared" si="4"/>
        <v>734064.9665</v>
      </c>
      <c r="M31" s="65">
        <f t="shared" ref="M31:N31" si="5">SUM(M1:M30)</f>
        <v>110</v>
      </c>
      <c r="N31" s="66">
        <f t="shared" si="5"/>
        <v>751870</v>
      </c>
    </row>
    <row r="32" ht="12.75" customHeight="1">
      <c r="B32" s="59"/>
      <c r="C32" s="59"/>
      <c r="D32" s="59"/>
      <c r="E32" s="59"/>
      <c r="F32" s="59"/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59"/>
      <c r="D34" s="59"/>
      <c r="E34" s="59"/>
      <c r="F34" s="59"/>
    </row>
    <row r="35" ht="12.75" customHeight="1">
      <c r="B35" s="59"/>
      <c r="C35" s="59"/>
      <c r="D35" s="59"/>
      <c r="E35" s="59"/>
      <c r="F35" s="59"/>
      <c r="H35" s="37"/>
    </row>
    <row r="36" ht="12.75" customHeight="1">
      <c r="B36" s="59"/>
      <c r="C36" s="59"/>
      <c r="D36" s="59"/>
      <c r="E36" s="59"/>
      <c r="F36" s="59"/>
    </row>
    <row r="37" ht="12.75" customHeight="1">
      <c r="B37" s="59"/>
      <c r="C37" s="59"/>
      <c r="D37" s="59"/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8" width="10.63"/>
    <col customWidth="1" min="9" max="9" width="4.0"/>
    <col customWidth="1" min="10" max="26" width="10.63"/>
  </cols>
  <sheetData>
    <row r="1" ht="12.75" customHeight="1">
      <c r="A1" s="41">
        <v>0.0</v>
      </c>
      <c r="B1" s="59">
        <f t="shared" ref="B1:B31" si="1">D1-C1</f>
        <v>0</v>
      </c>
      <c r="C1" s="59">
        <v>0.0</v>
      </c>
      <c r="D1" s="59">
        <v>0.0</v>
      </c>
      <c r="E1" s="59">
        <f t="shared" ref="E1:E31" si="2">D1*2.3681%</f>
        <v>0</v>
      </c>
      <c r="F1" s="59">
        <f t="shared" ref="F1:F31" si="3">D1-E1</f>
        <v>0</v>
      </c>
      <c r="I1" s="41">
        <v>0.0</v>
      </c>
      <c r="J1" s="59">
        <v>0.0</v>
      </c>
    </row>
    <row r="2" ht="12.75" customHeight="1">
      <c r="A2" s="41">
        <v>4.0</v>
      </c>
      <c r="B2" s="59">
        <f t="shared" si="1"/>
        <v>15916</v>
      </c>
      <c r="C2" s="59">
        <f>621+679+287+1437</f>
        <v>3024</v>
      </c>
      <c r="D2" s="59">
        <f>3890+4250+1800+9000</f>
        <v>18940</v>
      </c>
      <c r="E2" s="59">
        <f t="shared" si="2"/>
        <v>448.51814</v>
      </c>
      <c r="F2" s="59">
        <f t="shared" si="3"/>
        <v>18491.48186</v>
      </c>
      <c r="I2" s="41">
        <v>4.0</v>
      </c>
      <c r="J2" s="59">
        <f>3890+4250+1800+9000</f>
        <v>18940</v>
      </c>
    </row>
    <row r="3" ht="12.75" customHeight="1">
      <c r="A3" s="41">
        <v>1.0</v>
      </c>
      <c r="B3" s="59">
        <f t="shared" si="1"/>
        <v>1008</v>
      </c>
      <c r="C3" s="59">
        <v>192.0</v>
      </c>
      <c r="D3" s="59">
        <v>1200.0</v>
      </c>
      <c r="E3" s="59">
        <f t="shared" si="2"/>
        <v>28.4172</v>
      </c>
      <c r="F3" s="59">
        <f t="shared" si="3"/>
        <v>1171.5828</v>
      </c>
      <c r="I3" s="41">
        <v>1.0</v>
      </c>
      <c r="J3" s="59">
        <v>1200.0</v>
      </c>
    </row>
    <row r="4" ht="12.75" customHeight="1">
      <c r="A4" s="41">
        <v>6.0</v>
      </c>
      <c r="B4" s="59">
        <f t="shared" si="1"/>
        <v>64832</v>
      </c>
      <c r="C4" s="59">
        <f>7552+734+1493+982+998+559</f>
        <v>12318</v>
      </c>
      <c r="D4" s="59">
        <f>47300+4600+9350+6150+6250+3500</f>
        <v>77150</v>
      </c>
      <c r="E4" s="59">
        <f t="shared" si="2"/>
        <v>1826.98915</v>
      </c>
      <c r="F4" s="59">
        <f t="shared" si="3"/>
        <v>75323.01085</v>
      </c>
      <c r="I4" s="41">
        <v>6.0</v>
      </c>
      <c r="J4" s="59">
        <f>47300+4600+9350+6150+6250+3500</f>
        <v>77150</v>
      </c>
    </row>
    <row r="5" ht="12.75" customHeight="1">
      <c r="A5" s="41">
        <v>7.0</v>
      </c>
      <c r="B5" s="59">
        <f t="shared" si="1"/>
        <v>27142</v>
      </c>
      <c r="C5" s="59">
        <f>495+1916+479+152+679+798+639</f>
        <v>5158</v>
      </c>
      <c r="D5" s="59">
        <f>3100+12000+3000+950+4250+5000+4000</f>
        <v>32300</v>
      </c>
      <c r="E5" s="59">
        <f t="shared" si="2"/>
        <v>764.8963</v>
      </c>
      <c r="F5" s="59">
        <f t="shared" si="3"/>
        <v>31535.1037</v>
      </c>
      <c r="I5" s="41">
        <v>7.0</v>
      </c>
      <c r="J5" s="59">
        <f>3100+12000+3000+950+4250+5000+4000</f>
        <v>32300</v>
      </c>
    </row>
    <row r="6" ht="12.75" customHeight="1">
      <c r="A6" s="41">
        <v>3.0</v>
      </c>
      <c r="B6" s="59">
        <f t="shared" si="1"/>
        <v>10169</v>
      </c>
      <c r="C6" s="59">
        <f>319+718+894</f>
        <v>1931</v>
      </c>
      <c r="D6" s="59">
        <f>2000+4500+5600</f>
        <v>12100</v>
      </c>
      <c r="E6" s="59">
        <f t="shared" si="2"/>
        <v>286.5401</v>
      </c>
      <c r="F6" s="59">
        <f t="shared" si="3"/>
        <v>11813.4599</v>
      </c>
      <c r="I6" s="41">
        <v>3.0</v>
      </c>
      <c r="J6" s="59">
        <f>2000+4500+5600</f>
        <v>12100</v>
      </c>
    </row>
    <row r="7" ht="12.75" customHeight="1">
      <c r="A7" s="41">
        <v>3.0</v>
      </c>
      <c r="B7" s="59">
        <f t="shared" si="1"/>
        <v>9832</v>
      </c>
      <c r="C7" s="59">
        <f>758+679+431</f>
        <v>1868</v>
      </c>
      <c r="D7" s="59">
        <f>4750+4250+2700</f>
        <v>11700</v>
      </c>
      <c r="E7" s="59">
        <f t="shared" si="2"/>
        <v>277.0677</v>
      </c>
      <c r="F7" s="59">
        <f t="shared" si="3"/>
        <v>11422.9323</v>
      </c>
      <c r="I7" s="41">
        <v>3.0</v>
      </c>
      <c r="J7" s="59">
        <f>4750+4250+2700</f>
        <v>11700</v>
      </c>
    </row>
    <row r="8" ht="12.75" customHeight="1">
      <c r="A8" s="41">
        <v>6.0</v>
      </c>
      <c r="B8" s="59">
        <f t="shared" si="1"/>
        <v>19160</v>
      </c>
      <c r="C8" s="59">
        <f>1245+782+559+112+607+335</f>
        <v>3640</v>
      </c>
      <c r="D8" s="59">
        <f>7800+4900+3500+700+3800+2100</f>
        <v>22800</v>
      </c>
      <c r="E8" s="59">
        <f t="shared" si="2"/>
        <v>539.9268</v>
      </c>
      <c r="F8" s="59">
        <f t="shared" si="3"/>
        <v>22260.0732</v>
      </c>
      <c r="I8" s="41">
        <v>6.0</v>
      </c>
      <c r="J8" s="59">
        <f>7800+4900+3500+700+3800+2100</f>
        <v>22800</v>
      </c>
    </row>
    <row r="9" ht="12.75" customHeight="1">
      <c r="A9" s="41">
        <v>3.0</v>
      </c>
      <c r="B9" s="59">
        <f t="shared" si="1"/>
        <v>24286</v>
      </c>
      <c r="C9" s="59">
        <f>399+1022+3193</f>
        <v>4614</v>
      </c>
      <c r="D9" s="59">
        <f>2500+6400+20000</f>
        <v>28900</v>
      </c>
      <c r="E9" s="59">
        <f t="shared" si="2"/>
        <v>684.3809</v>
      </c>
      <c r="F9" s="59">
        <f t="shared" si="3"/>
        <v>28215.6191</v>
      </c>
      <c r="I9" s="41">
        <v>3.0</v>
      </c>
      <c r="J9" s="59">
        <f>2500+6400+20000</f>
        <v>28900</v>
      </c>
    </row>
    <row r="10" ht="12.75" customHeight="1">
      <c r="A10" s="41">
        <v>14.0</v>
      </c>
      <c r="B10" s="59">
        <f t="shared" si="1"/>
        <v>96217</v>
      </c>
      <c r="C10" s="59">
        <f>1597+2555+2076+447+846+80+3257+535+766+639+1597+1964+1229+695</f>
        <v>18283</v>
      </c>
      <c r="D10" s="59">
        <f>10000+16000+13000+2800+5300+500+20400+3350+4800+4000+10000+12300+7700+4350</f>
        <v>114500</v>
      </c>
      <c r="E10" s="59">
        <f t="shared" si="2"/>
        <v>2711.4745</v>
      </c>
      <c r="F10" s="59">
        <f t="shared" si="3"/>
        <v>111788.5255</v>
      </c>
      <c r="I10" s="41">
        <v>14.0</v>
      </c>
      <c r="J10" s="59">
        <f>10000+16000+13000+2800+5300+500+20400+3350+4800+4000+10000+12300+7700+4350</f>
        <v>114500</v>
      </c>
    </row>
    <row r="11" ht="12.75" customHeight="1">
      <c r="A11" s="41">
        <v>9.0</v>
      </c>
      <c r="B11" s="59">
        <f t="shared" si="1"/>
        <v>49874</v>
      </c>
      <c r="C11" s="59">
        <f>1277+623+758+511+766+1972+1174+415+1980</f>
        <v>9476</v>
      </c>
      <c r="D11" s="59">
        <f>8000+3900+4750+3200+4800+12350+7350+2600+12400</f>
        <v>59350</v>
      </c>
      <c r="E11" s="59">
        <f t="shared" si="2"/>
        <v>1405.46735</v>
      </c>
      <c r="F11" s="59">
        <f t="shared" si="3"/>
        <v>57944.53265</v>
      </c>
      <c r="I11" s="41">
        <v>9.0</v>
      </c>
      <c r="J11" s="59">
        <f>8000+3900+4750+3200+4800+12350+7350+2600+12400</f>
        <v>59350</v>
      </c>
    </row>
    <row r="12" ht="12.75" customHeight="1">
      <c r="A12" s="41">
        <v>3.0</v>
      </c>
      <c r="B12" s="59">
        <f t="shared" si="1"/>
        <v>6723</v>
      </c>
      <c r="C12" s="59">
        <f>479+559+239</f>
        <v>1277</v>
      </c>
      <c r="D12" s="59">
        <f>3000+3500+1500</f>
        <v>8000</v>
      </c>
      <c r="E12" s="59">
        <f t="shared" si="2"/>
        <v>189.448</v>
      </c>
      <c r="F12" s="59">
        <f t="shared" si="3"/>
        <v>7810.552</v>
      </c>
      <c r="I12" s="41">
        <v>3.0</v>
      </c>
      <c r="J12" s="59">
        <f>3000+3500+1500</f>
        <v>8000</v>
      </c>
    </row>
    <row r="13" ht="12.75" customHeight="1">
      <c r="A13" s="41">
        <v>5.0</v>
      </c>
      <c r="B13" s="59">
        <f t="shared" si="1"/>
        <v>11848</v>
      </c>
      <c r="C13" s="59">
        <f>80+335+639+623+575</f>
        <v>2252</v>
      </c>
      <c r="D13" s="59">
        <f>500+2100+4000+3900+3600</f>
        <v>14100</v>
      </c>
      <c r="E13" s="59">
        <f t="shared" si="2"/>
        <v>333.9021</v>
      </c>
      <c r="F13" s="59">
        <f t="shared" si="3"/>
        <v>13766.0979</v>
      </c>
      <c r="I13" s="41">
        <v>5.0</v>
      </c>
      <c r="J13" s="59">
        <f>500+2100+4000+3900+3600</f>
        <v>14100</v>
      </c>
    </row>
    <row r="14" ht="12.75" customHeight="1">
      <c r="A14" s="41">
        <v>5.0</v>
      </c>
      <c r="B14" s="59">
        <f t="shared" si="1"/>
        <v>19832</v>
      </c>
      <c r="C14" s="59">
        <f>687+447+287+910+1437</f>
        <v>3768</v>
      </c>
      <c r="D14" s="59">
        <f>4300+2800+1800+5700+9000</f>
        <v>23600</v>
      </c>
      <c r="E14" s="59">
        <f t="shared" si="2"/>
        <v>558.8716</v>
      </c>
      <c r="F14" s="59">
        <f t="shared" si="3"/>
        <v>23041.1284</v>
      </c>
      <c r="I14" s="41">
        <v>5.0</v>
      </c>
      <c r="J14" s="59">
        <f>4300+2800+1800+5700+9000</f>
        <v>23600</v>
      </c>
    </row>
    <row r="15" ht="12.75" customHeight="1">
      <c r="A15" s="41">
        <v>6.0</v>
      </c>
      <c r="B15" s="59">
        <f t="shared" si="1"/>
        <v>19748</v>
      </c>
      <c r="C15" s="59">
        <f>567+750+934+224+239+1038</f>
        <v>3752</v>
      </c>
      <c r="D15" s="59">
        <f>3550+4700+5850+1400+1500+6500</f>
        <v>23500</v>
      </c>
      <c r="E15" s="59">
        <f t="shared" si="2"/>
        <v>556.5035</v>
      </c>
      <c r="F15" s="59">
        <f t="shared" si="3"/>
        <v>22943.4965</v>
      </c>
      <c r="I15" s="41">
        <v>6.0</v>
      </c>
      <c r="J15" s="59">
        <f>3550+4700+5850+1400+1500+6500</f>
        <v>23500</v>
      </c>
    </row>
    <row r="16" ht="12.75" customHeight="1">
      <c r="A16" s="41">
        <v>1.0</v>
      </c>
      <c r="B16" s="59">
        <f t="shared" si="1"/>
        <v>2521</v>
      </c>
      <c r="C16" s="59">
        <v>479.0</v>
      </c>
      <c r="D16" s="59">
        <v>3000.0</v>
      </c>
      <c r="E16" s="59">
        <f t="shared" si="2"/>
        <v>71.043</v>
      </c>
      <c r="F16" s="59">
        <f t="shared" si="3"/>
        <v>2928.957</v>
      </c>
      <c r="I16" s="41">
        <v>1.0</v>
      </c>
      <c r="J16" s="59">
        <v>3000.0</v>
      </c>
    </row>
    <row r="17" ht="12.75" customHeight="1">
      <c r="A17" s="41">
        <v>6.0</v>
      </c>
      <c r="B17" s="59">
        <f t="shared" si="1"/>
        <v>27227</v>
      </c>
      <c r="C17" s="59">
        <f>1197+1692+192+1277+671+144</f>
        <v>5173</v>
      </c>
      <c r="D17" s="59">
        <f>7500+10600+1200+8000+4200+900</f>
        <v>32400</v>
      </c>
      <c r="E17" s="59">
        <f t="shared" si="2"/>
        <v>767.2644</v>
      </c>
      <c r="F17" s="59">
        <f t="shared" si="3"/>
        <v>31632.7356</v>
      </c>
      <c r="I17" s="41">
        <v>6.0</v>
      </c>
      <c r="J17" s="59">
        <f>7500+10600+1200+8000+4200+900</f>
        <v>32400</v>
      </c>
    </row>
    <row r="18" ht="12.75" customHeight="1">
      <c r="A18" s="41">
        <v>7.0</v>
      </c>
      <c r="B18" s="59">
        <f t="shared" si="1"/>
        <v>54454</v>
      </c>
      <c r="C18" s="59">
        <f>1597+2698+255+838+2331+631+1996</f>
        <v>10346</v>
      </c>
      <c r="D18" s="59">
        <f>10000+16900+1600+5250+14600+3950+12500</f>
        <v>64800</v>
      </c>
      <c r="E18" s="59">
        <f t="shared" si="2"/>
        <v>1534.5288</v>
      </c>
      <c r="F18" s="59">
        <f t="shared" si="3"/>
        <v>63265.4712</v>
      </c>
      <c r="I18" s="41">
        <v>7.0</v>
      </c>
      <c r="J18" s="59">
        <f>10000+16900+1600+5250+14600+3950+12500</f>
        <v>64800</v>
      </c>
    </row>
    <row r="19" ht="12.75" customHeight="1">
      <c r="A19" s="41">
        <v>2.0</v>
      </c>
      <c r="B19" s="59">
        <f t="shared" si="1"/>
        <v>1765</v>
      </c>
      <c r="C19" s="59">
        <f>80+255</f>
        <v>335</v>
      </c>
      <c r="D19" s="59">
        <f>500+1600</f>
        <v>2100</v>
      </c>
      <c r="E19" s="59">
        <f t="shared" si="2"/>
        <v>49.7301</v>
      </c>
      <c r="F19" s="59">
        <f t="shared" si="3"/>
        <v>2050.2699</v>
      </c>
      <c r="I19" s="41">
        <v>2.0</v>
      </c>
      <c r="J19" s="59">
        <f>500+1600</f>
        <v>2100</v>
      </c>
    </row>
    <row r="20" ht="12.75" customHeight="1">
      <c r="A20" s="41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I20" s="41">
        <v>0.0</v>
      </c>
      <c r="J20" s="59">
        <v>0.0</v>
      </c>
    </row>
    <row r="21" ht="12.75" customHeight="1">
      <c r="A21" s="41">
        <v>9.0</v>
      </c>
      <c r="B21" s="59">
        <f t="shared" si="1"/>
        <v>40294</v>
      </c>
      <c r="C21" s="59">
        <f>575+1078+415+447+718+479+1389+639+1916</f>
        <v>7656</v>
      </c>
      <c r="D21" s="59">
        <f>3600+6750+2600+2800+4500+3000+8700+4000+12000</f>
        <v>47950</v>
      </c>
      <c r="E21" s="59">
        <f t="shared" si="2"/>
        <v>1135.50395</v>
      </c>
      <c r="F21" s="59">
        <f t="shared" si="3"/>
        <v>46814.49605</v>
      </c>
      <c r="I21" s="41">
        <v>9.0</v>
      </c>
      <c r="J21" s="59">
        <f>3600+6750+2600+2800+4500+3000+8700+4000+12000</f>
        <v>47950</v>
      </c>
    </row>
    <row r="22" ht="12.75" customHeight="1">
      <c r="A22" s="41">
        <v>7.0</v>
      </c>
      <c r="B22" s="59">
        <f t="shared" si="1"/>
        <v>28865</v>
      </c>
      <c r="C22" s="59">
        <f>1557+1485+80+726+399+623+615</f>
        <v>5485</v>
      </c>
      <c r="D22" s="59">
        <f>9750+9300+500+4550+2500+3900+3850</f>
        <v>34350</v>
      </c>
      <c r="E22" s="59">
        <f t="shared" si="2"/>
        <v>813.44235</v>
      </c>
      <c r="F22" s="59">
        <f t="shared" si="3"/>
        <v>33536.55765</v>
      </c>
      <c r="I22" s="41">
        <v>7.0</v>
      </c>
      <c r="J22" s="59">
        <f>9750+9300+500+4550+2500+3900+3850</f>
        <v>34350</v>
      </c>
    </row>
    <row r="23" ht="12.75" customHeight="1">
      <c r="A23" s="41">
        <v>4.0</v>
      </c>
      <c r="B23" s="59">
        <f t="shared" si="1"/>
        <v>16933</v>
      </c>
      <c r="C23" s="59">
        <f>2251+144+487+335</f>
        <v>3217</v>
      </c>
      <c r="D23" s="59">
        <f>14100+900+3050+2100</f>
        <v>20150</v>
      </c>
      <c r="E23" s="59">
        <f t="shared" si="2"/>
        <v>477.17215</v>
      </c>
      <c r="F23" s="59">
        <f t="shared" si="3"/>
        <v>19672.82785</v>
      </c>
      <c r="I23" s="41">
        <v>4.0</v>
      </c>
      <c r="J23" s="59">
        <f>14100+900+3050+2100</f>
        <v>20150</v>
      </c>
    </row>
    <row r="24" ht="12.75" customHeight="1">
      <c r="A24" s="41">
        <v>10.0</v>
      </c>
      <c r="B24" s="59">
        <f t="shared" si="1"/>
        <v>69833</v>
      </c>
      <c r="C24" s="59">
        <f>2443+239+1661+1724+782+1445+782+1804+479+1908</f>
        <v>13267</v>
      </c>
      <c r="D24" s="59">
        <f>15300+1500+10400+10800+4900+9050+4900+11300+3000+11950</f>
        <v>83100</v>
      </c>
      <c r="E24" s="59">
        <f t="shared" si="2"/>
        <v>1967.8911</v>
      </c>
      <c r="F24" s="59">
        <f t="shared" si="3"/>
        <v>81132.1089</v>
      </c>
      <c r="I24" s="41">
        <v>10.0</v>
      </c>
      <c r="J24" s="59">
        <f>15300+1500+10400+10800+4900+9050+4900+11300+3000+11950</f>
        <v>83100</v>
      </c>
    </row>
    <row r="25" ht="12.75" customHeight="1">
      <c r="A25" s="41">
        <v>1.0</v>
      </c>
      <c r="B25" s="59">
        <f t="shared" si="1"/>
        <v>17311</v>
      </c>
      <c r="C25" s="59">
        <v>3289.0</v>
      </c>
      <c r="D25" s="59">
        <v>20600.0</v>
      </c>
      <c r="E25" s="59">
        <f t="shared" si="2"/>
        <v>487.8286</v>
      </c>
      <c r="F25" s="59">
        <f t="shared" si="3"/>
        <v>20112.1714</v>
      </c>
      <c r="I25" s="41">
        <v>1.0</v>
      </c>
      <c r="J25" s="59">
        <v>20600.0</v>
      </c>
    </row>
    <row r="26" ht="12.75" customHeight="1">
      <c r="A26" s="41">
        <v>2.0</v>
      </c>
      <c r="B26" s="59">
        <f t="shared" si="1"/>
        <v>7900</v>
      </c>
      <c r="C26" s="59">
        <f>718+782</f>
        <v>1500</v>
      </c>
      <c r="D26" s="59">
        <f>4500+4900</f>
        <v>9400</v>
      </c>
      <c r="E26" s="59">
        <f t="shared" si="2"/>
        <v>222.6014</v>
      </c>
      <c r="F26" s="59">
        <f t="shared" si="3"/>
        <v>9177.3986</v>
      </c>
      <c r="I26" s="41">
        <v>2.0</v>
      </c>
      <c r="J26" s="59">
        <f>4500+4900</f>
        <v>9400</v>
      </c>
    </row>
    <row r="27" ht="12.75" customHeight="1">
      <c r="A27" s="41">
        <v>2.0</v>
      </c>
      <c r="B27" s="59">
        <f t="shared" si="1"/>
        <v>2521</v>
      </c>
      <c r="C27" s="59">
        <f>128+351</f>
        <v>479</v>
      </c>
      <c r="D27" s="59">
        <f>800+2200</f>
        <v>3000</v>
      </c>
      <c r="E27" s="59">
        <f t="shared" si="2"/>
        <v>71.043</v>
      </c>
      <c r="F27" s="59">
        <f t="shared" si="3"/>
        <v>2928.957</v>
      </c>
      <c r="I27" s="41">
        <v>2.0</v>
      </c>
      <c r="J27" s="59">
        <f>800+2200</f>
        <v>3000</v>
      </c>
    </row>
    <row r="28" ht="12.75" customHeight="1">
      <c r="A28" s="41">
        <v>10.0</v>
      </c>
      <c r="B28" s="59">
        <f t="shared" si="1"/>
        <v>34370</v>
      </c>
      <c r="C28" s="59">
        <f>463+80+287+1245+239+1581+559+1038+559+479</f>
        <v>6530</v>
      </c>
      <c r="D28" s="59">
        <f>2900+500+1800+7800+1500+9900+3500+6500+3500+3000</f>
        <v>40900</v>
      </c>
      <c r="E28" s="59">
        <f t="shared" si="2"/>
        <v>968.5529</v>
      </c>
      <c r="F28" s="59">
        <f t="shared" si="3"/>
        <v>39931.4471</v>
      </c>
      <c r="I28" s="41">
        <v>10.0</v>
      </c>
      <c r="J28" s="59">
        <f>2900+500+1800+7800+1500+9900+3500+6500+3500+3000</f>
        <v>40900</v>
      </c>
    </row>
    <row r="29" ht="12.75" customHeight="1">
      <c r="A29" s="41">
        <v>3.0</v>
      </c>
      <c r="B29" s="59">
        <f t="shared" si="1"/>
        <v>9328</v>
      </c>
      <c r="C29" s="59">
        <f>415+1229+128</f>
        <v>1772</v>
      </c>
      <c r="D29" s="59">
        <f>2600+7700+800</f>
        <v>11100</v>
      </c>
      <c r="E29" s="59">
        <f t="shared" si="2"/>
        <v>262.8591</v>
      </c>
      <c r="F29" s="59">
        <f t="shared" si="3"/>
        <v>10837.1409</v>
      </c>
      <c r="I29" s="41">
        <v>3.0</v>
      </c>
      <c r="J29" s="59">
        <f>2600+7700+800</f>
        <v>11100</v>
      </c>
    </row>
    <row r="30" ht="12.75" customHeight="1">
      <c r="A30" s="41">
        <v>4.0</v>
      </c>
      <c r="B30" s="59">
        <f t="shared" si="1"/>
        <v>20294</v>
      </c>
      <c r="C30" s="59">
        <f>1405+1645+319+487</f>
        <v>3856</v>
      </c>
      <c r="D30" s="59">
        <f>8800+10300+2000+3050</f>
        <v>24150</v>
      </c>
      <c r="E30" s="59">
        <f t="shared" si="2"/>
        <v>571.89615</v>
      </c>
      <c r="F30" s="59">
        <f t="shared" si="3"/>
        <v>23578.10385</v>
      </c>
      <c r="I30" s="41">
        <v>4.0</v>
      </c>
      <c r="J30" s="59">
        <f>8800+10300+2000+3050</f>
        <v>24150</v>
      </c>
    </row>
    <row r="31" ht="12.75" customHeight="1">
      <c r="A31" s="41">
        <v>8.0</v>
      </c>
      <c r="B31" s="59">
        <f t="shared" si="1"/>
        <v>39747</v>
      </c>
      <c r="C31" s="59">
        <f>1365+208+671+511+647+2235+1118+798</f>
        <v>7553</v>
      </c>
      <c r="D31" s="59">
        <f>8550+1300+4200+3200+4050+14000+7000+5000</f>
        <v>47300</v>
      </c>
      <c r="E31" s="59">
        <f t="shared" si="2"/>
        <v>1120.1113</v>
      </c>
      <c r="F31" s="59">
        <f t="shared" si="3"/>
        <v>46179.8887</v>
      </c>
      <c r="I31" s="41">
        <v>8.0</v>
      </c>
      <c r="J31" s="59">
        <f>8550+1300+4200+3200+4050+14000+7000+5000</f>
        <v>47300</v>
      </c>
    </row>
    <row r="32" ht="12.75" customHeight="1">
      <c r="A32" s="65">
        <f t="shared" ref="A32:F32" si="4">SUM(A1:A31)</f>
        <v>151</v>
      </c>
      <c r="B32" s="66">
        <f t="shared" si="4"/>
        <v>749950</v>
      </c>
      <c r="C32" s="66">
        <f t="shared" si="4"/>
        <v>142490</v>
      </c>
      <c r="D32" s="66">
        <f t="shared" si="4"/>
        <v>892440</v>
      </c>
      <c r="E32" s="67">
        <f t="shared" si="4"/>
        <v>21133.87164</v>
      </c>
      <c r="F32" s="67">
        <f t="shared" si="4"/>
        <v>871306.1284</v>
      </c>
      <c r="I32" s="71">
        <f t="shared" ref="I32:J32" si="5">SUM(I1:I31)</f>
        <v>151</v>
      </c>
      <c r="J32" s="72">
        <f t="shared" si="5"/>
        <v>892440</v>
      </c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59"/>
      <c r="D34" s="59"/>
      <c r="E34" s="59"/>
      <c r="F34" s="59"/>
    </row>
    <row r="35" ht="12.75" customHeight="1">
      <c r="B35" s="59"/>
      <c r="C35" s="59"/>
      <c r="D35" s="59"/>
      <c r="E35" s="59"/>
      <c r="F35" s="59"/>
    </row>
    <row r="36" ht="12.75" customHeight="1">
      <c r="B36" s="59"/>
      <c r="C36" s="59"/>
      <c r="D36" s="59"/>
      <c r="E36" s="59"/>
      <c r="F36" s="59"/>
    </row>
    <row r="37" ht="12.75" customHeight="1">
      <c r="B37" s="59"/>
      <c r="C37" s="59"/>
      <c r="D37" s="59"/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8" width="10.63"/>
    <col customWidth="1" min="9" max="11" width="11.38"/>
    <col customWidth="1" min="12" max="12" width="10.63"/>
    <col customWidth="1" min="13" max="13" width="4.63"/>
    <col customWidth="1" min="14" max="26" width="10.63"/>
  </cols>
  <sheetData>
    <row r="1" ht="12.75" customHeight="1">
      <c r="A1" s="41">
        <v>6.0</v>
      </c>
      <c r="B1" s="59">
        <f t="shared" ref="B1:B30" si="1">D1-C1</f>
        <v>16051</v>
      </c>
      <c r="C1" s="59">
        <f>415+319+287+1070+479+479</f>
        <v>3049</v>
      </c>
      <c r="D1" s="59">
        <f>2600+2000+1800+6700+3000+3000</f>
        <v>19100</v>
      </c>
      <c r="E1" s="59">
        <f t="shared" ref="E1:E30" si="2">D1*2.3681%</f>
        <v>452.3071</v>
      </c>
      <c r="F1" s="59">
        <f t="shared" ref="F1:F30" si="3">D1-E1</f>
        <v>18647.6929</v>
      </c>
      <c r="G1" s="41" t="s">
        <v>3162</v>
      </c>
      <c r="I1" s="59">
        <v>18648.0</v>
      </c>
      <c r="J1" s="59">
        <v>15718.0</v>
      </c>
      <c r="K1" s="59">
        <f>I1-J1</f>
        <v>2930</v>
      </c>
      <c r="M1" s="41">
        <v>6.0</v>
      </c>
      <c r="N1" s="59">
        <f>2600+2000+1800+6700+3000+3000</f>
        <v>19100</v>
      </c>
    </row>
    <row r="2" ht="12.75" customHeight="1">
      <c r="A2" s="41">
        <v>2.0</v>
      </c>
      <c r="B2" s="59">
        <f t="shared" si="1"/>
        <v>5042</v>
      </c>
      <c r="C2" s="59">
        <f>734+224</f>
        <v>958</v>
      </c>
      <c r="D2" s="59">
        <f>4600+1400</f>
        <v>6000</v>
      </c>
      <c r="E2" s="59">
        <f t="shared" si="2"/>
        <v>142.086</v>
      </c>
      <c r="F2" s="59">
        <f t="shared" si="3"/>
        <v>5857.914</v>
      </c>
      <c r="G2" s="37" t="s">
        <v>3163</v>
      </c>
      <c r="I2" s="59"/>
      <c r="J2" s="59"/>
      <c r="K2" s="59"/>
      <c r="M2" s="41">
        <v>2.0</v>
      </c>
      <c r="N2" s="59">
        <f>4600+1400</f>
        <v>6000</v>
      </c>
    </row>
    <row r="3" ht="12.75" customHeight="1">
      <c r="A3" s="41">
        <v>6.0</v>
      </c>
      <c r="B3" s="59">
        <f t="shared" si="1"/>
        <v>51891</v>
      </c>
      <c r="C3" s="59">
        <f>2028+319+3018+2020+1740+734</f>
        <v>9859</v>
      </c>
      <c r="D3" s="59">
        <f>12700+2000+18900+12650+10900+4600</f>
        <v>61750</v>
      </c>
      <c r="E3" s="59">
        <f t="shared" si="2"/>
        <v>1462.30175</v>
      </c>
      <c r="F3" s="59">
        <f t="shared" si="3"/>
        <v>60287.69825</v>
      </c>
      <c r="G3" s="37" t="s">
        <v>3164</v>
      </c>
      <c r="I3" s="59">
        <v>60288.0</v>
      </c>
      <c r="J3" s="59">
        <v>47888.0</v>
      </c>
      <c r="K3" s="59">
        <f>I3-J3</f>
        <v>12400</v>
      </c>
      <c r="M3" s="41">
        <v>6.0</v>
      </c>
      <c r="N3" s="59">
        <f>12700+2000+18900+12650+10900+4600</f>
        <v>61750</v>
      </c>
    </row>
    <row r="4" ht="12.75" customHeight="1">
      <c r="A4" s="41">
        <v>5.0</v>
      </c>
      <c r="B4" s="59">
        <f t="shared" si="1"/>
        <v>23739</v>
      </c>
      <c r="C4" s="59">
        <f>631+479+1357+1645+399</f>
        <v>4511</v>
      </c>
      <c r="D4" s="59">
        <f>3950+3000+8500+10300+2500</f>
        <v>28250</v>
      </c>
      <c r="E4" s="59">
        <f t="shared" si="2"/>
        <v>668.98825</v>
      </c>
      <c r="F4" s="59">
        <f t="shared" si="3"/>
        <v>27581.01175</v>
      </c>
      <c r="I4" s="59"/>
      <c r="J4" s="59"/>
      <c r="K4" s="59"/>
      <c r="M4" s="41">
        <v>5.0</v>
      </c>
      <c r="N4" s="59">
        <f>3950+3000+8500+10300+2500</f>
        <v>28250</v>
      </c>
    </row>
    <row r="5" ht="12.75" customHeight="1">
      <c r="A5" s="41">
        <v>2.0</v>
      </c>
      <c r="B5" s="59">
        <f t="shared" si="1"/>
        <v>7983</v>
      </c>
      <c r="C5" s="59">
        <f>559+958</f>
        <v>1517</v>
      </c>
      <c r="D5" s="59">
        <f>3500+6000</f>
        <v>9500</v>
      </c>
      <c r="E5" s="59">
        <f t="shared" si="2"/>
        <v>224.9695</v>
      </c>
      <c r="F5" s="59">
        <f t="shared" si="3"/>
        <v>9275.0305</v>
      </c>
      <c r="I5" s="59"/>
      <c r="J5" s="59"/>
      <c r="K5" s="59"/>
      <c r="M5" s="41">
        <v>2.0</v>
      </c>
      <c r="N5" s="59">
        <f>3500+6000</f>
        <v>9500</v>
      </c>
    </row>
    <row r="6" ht="12.75" customHeight="1">
      <c r="A6" s="41">
        <v>5.0</v>
      </c>
      <c r="B6" s="59">
        <f t="shared" si="1"/>
        <v>33866</v>
      </c>
      <c r="C6" s="59">
        <f>479+335+1118+2634+1868</f>
        <v>6434</v>
      </c>
      <c r="D6" s="59">
        <f>3000+2100+7000+16500+11700</f>
        <v>40300</v>
      </c>
      <c r="E6" s="59">
        <f t="shared" si="2"/>
        <v>954.3443</v>
      </c>
      <c r="F6" s="59">
        <f t="shared" si="3"/>
        <v>39345.6557</v>
      </c>
      <c r="G6" s="37" t="s">
        <v>3165</v>
      </c>
      <c r="I6" s="59"/>
      <c r="J6" s="59"/>
      <c r="K6" s="59"/>
      <c r="M6" s="41">
        <v>5.0</v>
      </c>
      <c r="N6" s="59">
        <f>3000+2100+7000+16500+11700</f>
        <v>40300</v>
      </c>
    </row>
    <row r="7" ht="12.75" customHeight="1">
      <c r="A7" s="41">
        <v>3.0</v>
      </c>
      <c r="B7" s="59">
        <f t="shared" si="1"/>
        <v>9412</v>
      </c>
      <c r="C7" s="59">
        <f>878+639+271</f>
        <v>1788</v>
      </c>
      <c r="D7" s="59">
        <f>5500+4000+1700</f>
        <v>11200</v>
      </c>
      <c r="E7" s="59">
        <f t="shared" si="2"/>
        <v>265.2272</v>
      </c>
      <c r="F7" s="59">
        <f t="shared" si="3"/>
        <v>10934.7728</v>
      </c>
      <c r="G7" s="37" t="s">
        <v>3166</v>
      </c>
      <c r="I7" s="59"/>
      <c r="J7" s="59"/>
      <c r="K7" s="59"/>
      <c r="M7" s="41">
        <v>3.0</v>
      </c>
      <c r="N7" s="59">
        <f>5500+4000+1700</f>
        <v>11200</v>
      </c>
    </row>
    <row r="8" ht="12.75" customHeight="1">
      <c r="A8" s="41">
        <v>8.0</v>
      </c>
      <c r="B8" s="59">
        <f t="shared" si="1"/>
        <v>32185</v>
      </c>
      <c r="C8" s="59">
        <f>319+431+359+399+2132+1118+1070+287</f>
        <v>6115</v>
      </c>
      <c r="D8" s="59">
        <f>2000+2700+2250+2500+13350+7000+6700+1800</f>
        <v>38300</v>
      </c>
      <c r="E8" s="59">
        <f t="shared" si="2"/>
        <v>906.9823</v>
      </c>
      <c r="F8" s="59">
        <f t="shared" si="3"/>
        <v>37393.0177</v>
      </c>
      <c r="G8" s="37" t="s">
        <v>3167</v>
      </c>
      <c r="I8" s="59"/>
      <c r="J8" s="59"/>
      <c r="K8" s="59"/>
      <c r="M8" s="41">
        <v>8.0</v>
      </c>
      <c r="N8" s="59">
        <f>2000+2700+2250+2500+13350+7000+6700+1800</f>
        <v>38300</v>
      </c>
    </row>
    <row r="9" ht="12.75" customHeight="1">
      <c r="A9" s="41">
        <v>2.0</v>
      </c>
      <c r="B9" s="59">
        <f t="shared" si="1"/>
        <v>18403</v>
      </c>
      <c r="C9" s="59">
        <f>687+2810</f>
        <v>3497</v>
      </c>
      <c r="D9" s="59">
        <f>4300+17600</f>
        <v>21900</v>
      </c>
      <c r="E9" s="59">
        <f t="shared" si="2"/>
        <v>518.6139</v>
      </c>
      <c r="F9" s="59">
        <f t="shared" si="3"/>
        <v>21381.3861</v>
      </c>
      <c r="G9" s="37" t="s">
        <v>3168</v>
      </c>
      <c r="I9" s="59"/>
      <c r="J9" s="59"/>
      <c r="K9" s="59"/>
      <c r="M9" s="41">
        <v>2.0</v>
      </c>
      <c r="N9" s="59">
        <f>4300+17600</f>
        <v>21900</v>
      </c>
    </row>
    <row r="10" ht="12.75" customHeight="1">
      <c r="A10" s="41">
        <v>8.0</v>
      </c>
      <c r="B10" s="59">
        <f t="shared" si="1"/>
        <v>13740</v>
      </c>
      <c r="C10" s="59">
        <f>559+208+734+239+104+144+239+383</f>
        <v>2610</v>
      </c>
      <c r="D10" s="59">
        <f>3500+1300+4600+1500+650+900+1500+2400</f>
        <v>16350</v>
      </c>
      <c r="E10" s="59">
        <f t="shared" si="2"/>
        <v>387.18435</v>
      </c>
      <c r="F10" s="59">
        <f t="shared" si="3"/>
        <v>15962.81565</v>
      </c>
      <c r="G10" s="37" t="s">
        <v>3169</v>
      </c>
      <c r="I10" s="59"/>
      <c r="J10" s="59"/>
      <c r="K10" s="59"/>
      <c r="M10" s="41">
        <v>8.0</v>
      </c>
      <c r="N10" s="59">
        <f>3500+1300+4600+1500+650+900+1500+2400</f>
        <v>16350</v>
      </c>
    </row>
    <row r="11" ht="12.75" customHeight="1">
      <c r="A11" s="41">
        <v>4.0</v>
      </c>
      <c r="B11" s="59">
        <f t="shared" si="1"/>
        <v>28235</v>
      </c>
      <c r="C11" s="59">
        <f>2395+160+1213+1597</f>
        <v>5365</v>
      </c>
      <c r="D11" s="59">
        <f>15000+1000+7600+10000</f>
        <v>33600</v>
      </c>
      <c r="E11" s="59">
        <f t="shared" si="2"/>
        <v>795.6816</v>
      </c>
      <c r="F11" s="59">
        <f t="shared" si="3"/>
        <v>32804.3184</v>
      </c>
      <c r="I11" s="59"/>
      <c r="J11" s="59"/>
      <c r="K11" s="59"/>
      <c r="M11" s="41">
        <v>4.0</v>
      </c>
      <c r="N11" s="59">
        <f>15000+1000+7600+10000</f>
        <v>33600</v>
      </c>
    </row>
    <row r="12" ht="12.75" customHeight="1">
      <c r="A12" s="41">
        <v>4.0</v>
      </c>
      <c r="B12" s="59">
        <f t="shared" si="1"/>
        <v>17269</v>
      </c>
      <c r="C12" s="59">
        <f>1756+623+239+663</f>
        <v>3281</v>
      </c>
      <c r="D12" s="59">
        <f>11000+3900+1500+4150</f>
        <v>20550</v>
      </c>
      <c r="E12" s="59">
        <f t="shared" si="2"/>
        <v>486.64455</v>
      </c>
      <c r="F12" s="59">
        <f t="shared" si="3"/>
        <v>20063.35545</v>
      </c>
      <c r="I12" s="59"/>
      <c r="J12" s="59"/>
      <c r="K12" s="59"/>
      <c r="M12" s="41">
        <v>4.0</v>
      </c>
      <c r="N12" s="59">
        <f>11000+3900+1500+4150</f>
        <v>20550</v>
      </c>
    </row>
    <row r="13" ht="12.75" customHeight="1">
      <c r="A13" s="41">
        <v>5.0</v>
      </c>
      <c r="B13" s="59">
        <f t="shared" si="1"/>
        <v>31756</v>
      </c>
      <c r="C13" s="59">
        <f>239+1020+208+559+4008</f>
        <v>6034</v>
      </c>
      <c r="D13" s="59">
        <f>1500+6390+1300+3500+25100</f>
        <v>37790</v>
      </c>
      <c r="E13" s="59">
        <f t="shared" si="2"/>
        <v>894.90499</v>
      </c>
      <c r="F13" s="59">
        <f t="shared" si="3"/>
        <v>36895.09501</v>
      </c>
      <c r="G13" s="37" t="s">
        <v>3170</v>
      </c>
      <c r="I13" s="59"/>
      <c r="J13" s="59"/>
      <c r="K13" s="59"/>
      <c r="M13" s="41">
        <v>5.0</v>
      </c>
      <c r="N13" s="59">
        <f>1500+6390+1300+3500+25100</f>
        <v>37790</v>
      </c>
    </row>
    <row r="14" ht="12.75" customHeight="1">
      <c r="A14" s="41">
        <v>6.0</v>
      </c>
      <c r="B14" s="59">
        <f t="shared" si="1"/>
        <v>12312</v>
      </c>
      <c r="C14" s="59">
        <f>391+287+239+527+575+319</f>
        <v>2338</v>
      </c>
      <c r="D14" s="59">
        <f>2450+1800+1500+3300+3600+2000</f>
        <v>14650</v>
      </c>
      <c r="E14" s="59">
        <f t="shared" si="2"/>
        <v>346.92665</v>
      </c>
      <c r="F14" s="59">
        <f t="shared" si="3"/>
        <v>14303.07335</v>
      </c>
      <c r="G14" s="37" t="s">
        <v>3171</v>
      </c>
      <c r="I14" s="59"/>
      <c r="J14" s="59"/>
      <c r="K14" s="59"/>
      <c r="M14" s="41">
        <v>6.0</v>
      </c>
      <c r="N14" s="59">
        <f>2450+1800+1500+3300+3600+2000</f>
        <v>14650</v>
      </c>
    </row>
    <row r="15" ht="12.75" customHeight="1">
      <c r="A15" s="41">
        <v>6.0</v>
      </c>
      <c r="B15" s="59">
        <f t="shared" si="1"/>
        <v>50966</v>
      </c>
      <c r="C15" s="59">
        <f>415+479+918+527+958+6387</f>
        <v>9684</v>
      </c>
      <c r="D15" s="59">
        <f>2600+3000+5750+3300+6000+40000</f>
        <v>60650</v>
      </c>
      <c r="E15" s="59">
        <f t="shared" si="2"/>
        <v>1436.25265</v>
      </c>
      <c r="F15" s="59">
        <f t="shared" si="3"/>
        <v>59213.74735</v>
      </c>
      <c r="G15" s="37" t="s">
        <v>3172</v>
      </c>
      <c r="I15" s="59"/>
      <c r="J15" s="59"/>
      <c r="K15" s="59"/>
      <c r="M15" s="41">
        <v>6.0</v>
      </c>
      <c r="N15" s="59">
        <f>2600+3000+5750+3300+6000+40000</f>
        <v>60650</v>
      </c>
    </row>
    <row r="16" ht="12.75" customHeight="1">
      <c r="A16" s="41">
        <v>5.0</v>
      </c>
      <c r="B16" s="59">
        <f t="shared" si="1"/>
        <v>33235</v>
      </c>
      <c r="C16" s="59">
        <f>1142+415+3672+192+894</f>
        <v>6315</v>
      </c>
      <c r="D16" s="59">
        <f>7150+2600+23000+1200+5600</f>
        <v>39550</v>
      </c>
      <c r="E16" s="59">
        <f t="shared" si="2"/>
        <v>936.58355</v>
      </c>
      <c r="F16" s="59">
        <f t="shared" si="3"/>
        <v>38613.41645</v>
      </c>
      <c r="G16" s="37" t="s">
        <v>3173</v>
      </c>
      <c r="I16" s="59">
        <v>38613.0</v>
      </c>
      <c r="J16" s="59">
        <v>36075.0</v>
      </c>
      <c r="K16" s="59">
        <f>I16-J16</f>
        <v>2538</v>
      </c>
      <c r="M16" s="41">
        <v>5.0</v>
      </c>
      <c r="N16" s="59">
        <f>7150+2600+23000+1200+5600</f>
        <v>39550</v>
      </c>
    </row>
    <row r="17" ht="12.75" customHeight="1">
      <c r="A17" s="41">
        <v>2.0</v>
      </c>
      <c r="B17" s="59">
        <f t="shared" si="1"/>
        <v>17773</v>
      </c>
      <c r="C17" s="59">
        <f>295+3082</f>
        <v>3377</v>
      </c>
      <c r="D17" s="59">
        <f>1850+19300</f>
        <v>21150</v>
      </c>
      <c r="E17" s="59">
        <f t="shared" si="2"/>
        <v>500.85315</v>
      </c>
      <c r="F17" s="59">
        <f t="shared" si="3"/>
        <v>20649.14685</v>
      </c>
      <c r="I17" s="59"/>
      <c r="J17" s="59"/>
      <c r="K17" s="59"/>
      <c r="M17" s="41">
        <v>2.0</v>
      </c>
      <c r="N17" s="59">
        <f>1850+19300</f>
        <v>21150</v>
      </c>
    </row>
    <row r="18" ht="12.75" customHeight="1">
      <c r="A18" s="41">
        <v>0.0</v>
      </c>
      <c r="B18" s="59">
        <f t="shared" si="1"/>
        <v>0</v>
      </c>
      <c r="C18" s="59">
        <v>0.0</v>
      </c>
      <c r="D18" s="59">
        <v>0.0</v>
      </c>
      <c r="E18" s="59">
        <f t="shared" si="2"/>
        <v>0</v>
      </c>
      <c r="F18" s="59">
        <f t="shared" si="3"/>
        <v>0</v>
      </c>
      <c r="I18" s="59"/>
      <c r="J18" s="59"/>
      <c r="K18" s="59"/>
      <c r="M18" s="41">
        <v>0.0</v>
      </c>
      <c r="N18" s="59">
        <v>0.0</v>
      </c>
    </row>
    <row r="19" ht="12.75" customHeight="1">
      <c r="A19" s="41">
        <v>3.0</v>
      </c>
      <c r="B19" s="59">
        <f t="shared" si="1"/>
        <v>31429</v>
      </c>
      <c r="C19" s="59">
        <f>3385+1389+1197</f>
        <v>5971</v>
      </c>
      <c r="D19" s="59">
        <f>21200+8700+7500</f>
        <v>37400</v>
      </c>
      <c r="E19" s="59">
        <f t="shared" si="2"/>
        <v>885.6694</v>
      </c>
      <c r="F19" s="59">
        <f t="shared" si="3"/>
        <v>36514.3306</v>
      </c>
      <c r="I19" s="59"/>
      <c r="J19" s="59"/>
      <c r="K19" s="59"/>
      <c r="M19" s="41">
        <v>3.0</v>
      </c>
      <c r="N19" s="59">
        <f>21200+8700+7500</f>
        <v>37400</v>
      </c>
    </row>
    <row r="20" ht="12.75" customHeight="1">
      <c r="A20" s="41">
        <v>6.0</v>
      </c>
      <c r="B20" s="59">
        <f t="shared" si="1"/>
        <v>25042</v>
      </c>
      <c r="C20" s="59">
        <f>160+1916+359+718+1182+423</f>
        <v>4758</v>
      </c>
      <c r="D20" s="59">
        <f>1000+12000+2250+4500+7400+2650</f>
        <v>29800</v>
      </c>
      <c r="E20" s="59">
        <f t="shared" si="2"/>
        <v>705.6938</v>
      </c>
      <c r="F20" s="59">
        <f t="shared" si="3"/>
        <v>29094.3062</v>
      </c>
      <c r="I20" s="59">
        <v>86258.0</v>
      </c>
      <c r="J20" s="59">
        <v>79032.0</v>
      </c>
      <c r="K20" s="59">
        <f>I20-J20</f>
        <v>7226</v>
      </c>
      <c r="M20" s="41">
        <v>6.0</v>
      </c>
      <c r="N20" s="59">
        <f>1000+12000+2250+4500+7400+2650</f>
        <v>29800</v>
      </c>
    </row>
    <row r="21" ht="12.75" customHeight="1">
      <c r="A21" s="41">
        <v>3.0</v>
      </c>
      <c r="B21" s="59">
        <f t="shared" si="1"/>
        <v>17521</v>
      </c>
      <c r="C21" s="59">
        <f>1517+1253+559</f>
        <v>3329</v>
      </c>
      <c r="D21" s="59">
        <f>9500+7850+3500</f>
        <v>20850</v>
      </c>
      <c r="E21" s="59">
        <f t="shared" si="2"/>
        <v>493.74885</v>
      </c>
      <c r="F21" s="59">
        <f t="shared" si="3"/>
        <v>20356.25115</v>
      </c>
      <c r="G21" s="37" t="s">
        <v>3174</v>
      </c>
      <c r="I21" s="59"/>
      <c r="J21" s="59"/>
      <c r="K21" s="59"/>
      <c r="M21" s="41">
        <v>3.0</v>
      </c>
      <c r="N21" s="59">
        <f>9500+7850+3500</f>
        <v>20850</v>
      </c>
    </row>
    <row r="22" ht="12.75" customHeight="1">
      <c r="A22" s="41">
        <v>5.0</v>
      </c>
      <c r="B22" s="59">
        <f t="shared" si="1"/>
        <v>17815</v>
      </c>
      <c r="C22" s="59">
        <f>311+224+1565+407+878</f>
        <v>3385</v>
      </c>
      <c r="D22" s="59">
        <f>1950+1400+9800+2550+5500</f>
        <v>21200</v>
      </c>
      <c r="E22" s="59">
        <f t="shared" si="2"/>
        <v>502.0372</v>
      </c>
      <c r="F22" s="59">
        <f t="shared" si="3"/>
        <v>20697.9628</v>
      </c>
      <c r="G22" s="37" t="s">
        <v>3175</v>
      </c>
      <c r="I22" s="59"/>
      <c r="J22" s="59"/>
      <c r="K22" s="59"/>
      <c r="M22" s="41">
        <v>5.0</v>
      </c>
      <c r="N22" s="59">
        <f>1950+1400+9800+2550+5500</f>
        <v>21200</v>
      </c>
    </row>
    <row r="23" ht="12.75" customHeight="1">
      <c r="A23" s="41">
        <v>0.0</v>
      </c>
      <c r="B23" s="59">
        <f t="shared" si="1"/>
        <v>0</v>
      </c>
      <c r="C23" s="59">
        <v>0.0</v>
      </c>
      <c r="D23" s="59">
        <v>0.0</v>
      </c>
      <c r="E23" s="59">
        <f t="shared" si="2"/>
        <v>0</v>
      </c>
      <c r="F23" s="59">
        <f t="shared" si="3"/>
        <v>0</v>
      </c>
      <c r="I23" s="59"/>
      <c r="J23" s="59"/>
      <c r="K23" s="59"/>
      <c r="M23" s="41">
        <v>0.0</v>
      </c>
      <c r="N23" s="59">
        <v>0.0</v>
      </c>
    </row>
    <row r="24" ht="12.75" customHeight="1">
      <c r="A24" s="41">
        <v>5.0</v>
      </c>
      <c r="B24" s="59">
        <f t="shared" si="1"/>
        <v>19076</v>
      </c>
      <c r="C24" s="59">
        <f>2028+750+287+479+80</f>
        <v>3624</v>
      </c>
      <c r="D24" s="59">
        <f>12700+4700+1800+3000+500</f>
        <v>22700</v>
      </c>
      <c r="E24" s="59">
        <f t="shared" si="2"/>
        <v>537.5587</v>
      </c>
      <c r="F24" s="59">
        <f t="shared" si="3"/>
        <v>22162.4413</v>
      </c>
      <c r="G24" s="37" t="s">
        <v>3176</v>
      </c>
      <c r="I24" s="59"/>
      <c r="J24" s="59"/>
      <c r="K24" s="59"/>
      <c r="M24" s="41">
        <v>5.0</v>
      </c>
      <c r="N24" s="59">
        <f>12700+4700+1800+3000+500</f>
        <v>22700</v>
      </c>
    </row>
    <row r="25" ht="12.75" customHeight="1">
      <c r="A25" s="41">
        <v>7.0</v>
      </c>
      <c r="B25" s="59">
        <f t="shared" si="1"/>
        <v>36807</v>
      </c>
      <c r="C25" s="59">
        <f>671+1006+2155+1676+687+319+479</f>
        <v>6993</v>
      </c>
      <c r="D25" s="59">
        <f>4200+6300+13500+10500+4300+2000+3000</f>
        <v>43800</v>
      </c>
      <c r="E25" s="59">
        <f t="shared" si="2"/>
        <v>1037.2278</v>
      </c>
      <c r="F25" s="59">
        <f t="shared" si="3"/>
        <v>42762.7722</v>
      </c>
      <c r="I25" s="59"/>
      <c r="J25" s="59"/>
      <c r="K25" s="59"/>
      <c r="M25" s="41">
        <v>7.0</v>
      </c>
      <c r="N25" s="59">
        <f>4200+6300+13500+10500+4300+2000+3000</f>
        <v>43800</v>
      </c>
    </row>
    <row r="26" ht="12.75" customHeight="1">
      <c r="A26" s="41">
        <v>6.0</v>
      </c>
      <c r="B26" s="59">
        <f t="shared" si="1"/>
        <v>42218</v>
      </c>
      <c r="C26" s="59">
        <f>1597+878+1094+2537+1469+447</f>
        <v>8022</v>
      </c>
      <c r="D26" s="59">
        <f>10000+5500+6850+15890+9200+2800</f>
        <v>50240</v>
      </c>
      <c r="E26" s="59">
        <f t="shared" si="2"/>
        <v>1189.73344</v>
      </c>
      <c r="F26" s="59">
        <f t="shared" si="3"/>
        <v>49050.26656</v>
      </c>
      <c r="I26" s="59"/>
      <c r="J26" s="59"/>
      <c r="K26" s="59"/>
      <c r="M26" s="41">
        <v>6.0</v>
      </c>
      <c r="N26" s="59">
        <f>10000+5500+6850+15890+9200+2800</f>
        <v>50240</v>
      </c>
    </row>
    <row r="27" ht="12.75" customHeight="1">
      <c r="A27" s="41">
        <v>4.0</v>
      </c>
      <c r="B27" s="59">
        <f t="shared" si="1"/>
        <v>15715</v>
      </c>
      <c r="C27" s="59">
        <f>623+303+1740+319</f>
        <v>2985</v>
      </c>
      <c r="D27" s="59">
        <f>3900+1900+10900+2000</f>
        <v>18700</v>
      </c>
      <c r="E27" s="59">
        <f t="shared" si="2"/>
        <v>442.8347</v>
      </c>
      <c r="F27" s="59">
        <f t="shared" si="3"/>
        <v>18257.1653</v>
      </c>
      <c r="G27" s="37" t="s">
        <v>3177</v>
      </c>
      <c r="I27" s="59"/>
      <c r="J27" s="59"/>
      <c r="K27" s="59"/>
      <c r="M27" s="41">
        <v>4.0</v>
      </c>
      <c r="N27" s="59">
        <f>3900+1900+10900+2000</f>
        <v>18700</v>
      </c>
    </row>
    <row r="28" ht="12.75" customHeight="1">
      <c r="A28" s="41">
        <v>6.0</v>
      </c>
      <c r="B28" s="59">
        <f t="shared" si="1"/>
        <v>35842</v>
      </c>
      <c r="C28" s="59">
        <f>3672+854+335+878+351+718</f>
        <v>6808</v>
      </c>
      <c r="D28" s="59">
        <f>23000+5350+2100+5500+2200+4500</f>
        <v>42650</v>
      </c>
      <c r="E28" s="59">
        <f t="shared" si="2"/>
        <v>1009.99465</v>
      </c>
      <c r="F28" s="59">
        <f t="shared" si="3"/>
        <v>41640.00535</v>
      </c>
      <c r="G28" s="73" t="s">
        <v>3178</v>
      </c>
      <c r="I28" s="59"/>
      <c r="J28" s="59"/>
      <c r="K28" s="59"/>
      <c r="M28" s="41">
        <v>6.0</v>
      </c>
      <c r="N28" s="59">
        <f>23000+5350+2100+5500+2200+4500</f>
        <v>42650</v>
      </c>
    </row>
    <row r="29" ht="12.75" customHeight="1">
      <c r="A29" s="41">
        <v>3.0</v>
      </c>
      <c r="B29" s="59">
        <f t="shared" si="1"/>
        <v>8992</v>
      </c>
      <c r="C29" s="59">
        <f>287+319+1102</f>
        <v>1708</v>
      </c>
      <c r="D29" s="59">
        <f>1800+2000+6900</f>
        <v>10700</v>
      </c>
      <c r="E29" s="59">
        <f t="shared" si="2"/>
        <v>253.3867</v>
      </c>
      <c r="F29" s="59">
        <f t="shared" si="3"/>
        <v>10446.6133</v>
      </c>
      <c r="G29" s="37" t="s">
        <v>3179</v>
      </c>
      <c r="I29" s="59">
        <v>10447.0</v>
      </c>
      <c r="J29" s="59">
        <v>3709.0</v>
      </c>
      <c r="K29" s="59">
        <f>I29-J29</f>
        <v>6738</v>
      </c>
      <c r="M29" s="41">
        <v>3.0</v>
      </c>
      <c r="N29" s="59">
        <f>1800+2000+6900</f>
        <v>10700</v>
      </c>
    </row>
    <row r="30" ht="12.75" customHeight="1">
      <c r="A30" s="41">
        <v>2.0</v>
      </c>
      <c r="B30" s="59">
        <f t="shared" si="1"/>
        <v>22942</v>
      </c>
      <c r="C30" s="59">
        <f>4071+287</f>
        <v>4358</v>
      </c>
      <c r="D30" s="59">
        <f>25500+1800</f>
        <v>27300</v>
      </c>
      <c r="E30" s="59">
        <f t="shared" si="2"/>
        <v>646.4913</v>
      </c>
      <c r="F30" s="59">
        <f t="shared" si="3"/>
        <v>26653.5087</v>
      </c>
      <c r="I30" s="59"/>
      <c r="J30" s="59"/>
      <c r="K30" s="59"/>
      <c r="M30" s="41">
        <v>2.0</v>
      </c>
      <c r="N30" s="59">
        <f>25500+1800</f>
        <v>27300</v>
      </c>
    </row>
    <row r="31" ht="12.75" customHeight="1">
      <c r="A31" s="67">
        <f t="shared" ref="A31:F31" si="4">SUM(A1:A30)</f>
        <v>129</v>
      </c>
      <c r="B31" s="66">
        <f t="shared" si="4"/>
        <v>677257</v>
      </c>
      <c r="C31" s="66">
        <f t="shared" si="4"/>
        <v>128673</v>
      </c>
      <c r="D31" s="66">
        <f t="shared" si="4"/>
        <v>805930</v>
      </c>
      <c r="E31" s="67">
        <f t="shared" si="4"/>
        <v>19085.22833</v>
      </c>
      <c r="F31" s="67">
        <f t="shared" si="4"/>
        <v>786844.7717</v>
      </c>
      <c r="I31" s="59"/>
      <c r="J31" s="59"/>
      <c r="K31" s="59">
        <f>SUM(K1:K30)</f>
        <v>31832</v>
      </c>
    </row>
    <row r="32" ht="12.75" customHeight="1">
      <c r="B32" s="59"/>
      <c r="C32" s="59"/>
      <c r="D32" s="59"/>
      <c r="E32" s="59"/>
      <c r="F32" s="59"/>
      <c r="I32" s="59"/>
      <c r="J32" s="59"/>
      <c r="K32" s="59"/>
    </row>
    <row r="33" ht="12.75" customHeight="1">
      <c r="B33" s="59"/>
      <c r="C33" s="59"/>
      <c r="D33" s="59"/>
      <c r="E33" s="59"/>
      <c r="F33" s="59"/>
      <c r="I33" s="59"/>
      <c r="J33" s="59"/>
      <c r="K33" s="59"/>
    </row>
    <row r="34" ht="12.75" customHeight="1">
      <c r="B34" s="59"/>
      <c r="C34" s="59"/>
      <c r="D34" s="59"/>
      <c r="E34" s="59"/>
      <c r="F34" s="59"/>
      <c r="I34" s="59"/>
      <c r="J34" s="59"/>
      <c r="K34" s="59"/>
    </row>
    <row r="35" ht="12.75" customHeight="1">
      <c r="B35" s="59"/>
      <c r="C35" s="59"/>
      <c r="D35" s="59"/>
      <c r="E35" s="59"/>
      <c r="F35" s="59"/>
      <c r="I35" s="59"/>
      <c r="J35" s="59"/>
      <c r="K35" s="59"/>
    </row>
    <row r="36" ht="12.75" customHeight="1">
      <c r="B36" s="59"/>
      <c r="C36" s="59"/>
      <c r="D36" s="59"/>
      <c r="E36" s="59"/>
      <c r="F36" s="59"/>
      <c r="I36" s="59"/>
      <c r="J36" s="59"/>
      <c r="K36" s="59"/>
    </row>
    <row r="37" ht="12.75" customHeight="1">
      <c r="B37" s="59"/>
      <c r="C37" s="59"/>
      <c r="D37" s="59"/>
      <c r="E37" s="59"/>
      <c r="F37" s="59"/>
      <c r="I37" s="59"/>
      <c r="J37" s="59"/>
      <c r="K37" s="59"/>
    </row>
    <row r="38" ht="12.75" customHeight="1">
      <c r="B38" s="59"/>
      <c r="C38" s="59"/>
      <c r="D38" s="59"/>
      <c r="E38" s="59"/>
      <c r="F38" s="59"/>
      <c r="I38" s="59"/>
      <c r="J38" s="59"/>
      <c r="K38" s="59"/>
    </row>
    <row r="39" ht="12.75" customHeight="1">
      <c r="B39" s="59"/>
      <c r="C39" s="59"/>
      <c r="D39" s="59"/>
      <c r="E39" s="59"/>
      <c r="F39" s="59"/>
      <c r="I39" s="59"/>
      <c r="J39" s="59"/>
      <c r="K39" s="59"/>
    </row>
    <row r="40" ht="12.75" customHeight="1">
      <c r="B40" s="59"/>
      <c r="C40" s="59"/>
      <c r="D40" s="59"/>
      <c r="E40" s="59"/>
      <c r="F40" s="59"/>
      <c r="I40" s="59"/>
      <c r="J40" s="59"/>
      <c r="K40" s="59"/>
    </row>
    <row r="41" ht="12.75" customHeight="1">
      <c r="B41" s="59"/>
      <c r="C41" s="59"/>
      <c r="D41" s="59"/>
      <c r="E41" s="59"/>
      <c r="F41" s="59"/>
      <c r="I41" s="59"/>
      <c r="J41" s="59"/>
      <c r="K41" s="59"/>
    </row>
    <row r="42" ht="12.75" customHeight="1">
      <c r="B42" s="59"/>
      <c r="C42" s="59"/>
      <c r="D42" s="59"/>
      <c r="E42" s="59"/>
      <c r="F42" s="59"/>
      <c r="I42" s="59"/>
      <c r="J42" s="59"/>
      <c r="K42" s="59"/>
    </row>
    <row r="43" ht="12.75" customHeight="1">
      <c r="B43" s="59"/>
      <c r="C43" s="59"/>
      <c r="D43" s="59"/>
      <c r="E43" s="59"/>
      <c r="F43" s="59"/>
      <c r="I43" s="59"/>
      <c r="J43" s="59"/>
      <c r="K43" s="59"/>
    </row>
    <row r="44" ht="12.75" customHeight="1">
      <c r="B44" s="59"/>
      <c r="C44" s="59"/>
      <c r="D44" s="59"/>
      <c r="E44" s="59"/>
      <c r="F44" s="59"/>
      <c r="I44" s="59"/>
      <c r="J44" s="59"/>
      <c r="K44" s="59"/>
    </row>
    <row r="45" ht="12.75" customHeight="1">
      <c r="B45" s="59"/>
      <c r="C45" s="59"/>
      <c r="D45" s="59"/>
      <c r="E45" s="59"/>
      <c r="F45" s="59"/>
      <c r="I45" s="59"/>
      <c r="J45" s="59"/>
      <c r="K45" s="59"/>
    </row>
    <row r="46" ht="12.75" customHeight="1">
      <c r="B46" s="59"/>
      <c r="C46" s="59"/>
      <c r="D46" s="59"/>
      <c r="E46" s="59"/>
      <c r="F46" s="59"/>
      <c r="I46" s="59"/>
      <c r="J46" s="59"/>
      <c r="K46" s="59"/>
    </row>
    <row r="47" ht="12.75" customHeight="1">
      <c r="B47" s="59"/>
      <c r="C47" s="59"/>
      <c r="D47" s="59"/>
      <c r="E47" s="59"/>
      <c r="F47" s="59"/>
      <c r="I47" s="59"/>
      <c r="J47" s="59"/>
      <c r="K47" s="59"/>
    </row>
    <row r="48" ht="12.75" customHeight="1">
      <c r="B48" s="59"/>
      <c r="C48" s="59"/>
      <c r="D48" s="59"/>
      <c r="E48" s="59"/>
      <c r="F48" s="59"/>
      <c r="I48" s="59"/>
      <c r="J48" s="59"/>
      <c r="K48" s="59"/>
    </row>
    <row r="49" ht="12.75" customHeight="1">
      <c r="B49" s="59"/>
      <c r="C49" s="59"/>
      <c r="D49" s="59"/>
      <c r="E49" s="59"/>
      <c r="F49" s="59"/>
      <c r="I49" s="59"/>
      <c r="J49" s="59"/>
      <c r="K49" s="59"/>
    </row>
    <row r="50" ht="12.75" customHeight="1">
      <c r="B50" s="59"/>
      <c r="C50" s="59"/>
      <c r="D50" s="59"/>
      <c r="E50" s="59"/>
      <c r="F50" s="59"/>
      <c r="I50" s="59"/>
      <c r="J50" s="59"/>
      <c r="K50" s="59"/>
    </row>
    <row r="51" ht="12.75" customHeight="1">
      <c r="B51" s="59"/>
      <c r="C51" s="59"/>
      <c r="D51" s="59"/>
      <c r="E51" s="59"/>
      <c r="F51" s="59"/>
      <c r="I51" s="59"/>
      <c r="J51" s="59"/>
      <c r="K51" s="59"/>
    </row>
    <row r="52" ht="12.75" customHeight="1">
      <c r="B52" s="59"/>
      <c r="C52" s="59"/>
      <c r="D52" s="59"/>
      <c r="E52" s="59"/>
      <c r="F52" s="59"/>
      <c r="I52" s="59"/>
      <c r="J52" s="59"/>
      <c r="K52" s="59"/>
    </row>
    <row r="53" ht="12.75" customHeight="1">
      <c r="B53" s="59"/>
      <c r="C53" s="59"/>
      <c r="D53" s="59"/>
      <c r="E53" s="59"/>
      <c r="F53" s="59"/>
      <c r="I53" s="59"/>
      <c r="J53" s="59"/>
      <c r="K53" s="59"/>
    </row>
    <row r="54" ht="12.75" customHeight="1">
      <c r="B54" s="59"/>
      <c r="C54" s="59"/>
      <c r="D54" s="59"/>
      <c r="E54" s="59"/>
      <c r="F54" s="59"/>
      <c r="I54" s="59"/>
      <c r="J54" s="59"/>
      <c r="K54" s="59"/>
    </row>
    <row r="55" ht="12.75" customHeight="1">
      <c r="B55" s="59"/>
      <c r="C55" s="59"/>
      <c r="D55" s="59"/>
      <c r="E55" s="59"/>
      <c r="F55" s="59"/>
      <c r="I55" s="59"/>
      <c r="J55" s="59"/>
      <c r="K55" s="59"/>
    </row>
    <row r="56" ht="12.75" customHeight="1">
      <c r="B56" s="59"/>
      <c r="C56" s="59"/>
      <c r="D56" s="59"/>
      <c r="E56" s="59"/>
      <c r="F56" s="59"/>
      <c r="I56" s="59"/>
      <c r="J56" s="59"/>
      <c r="K56" s="59"/>
    </row>
    <row r="57" ht="12.75" customHeight="1">
      <c r="B57" s="59"/>
      <c r="C57" s="59"/>
      <c r="D57" s="59"/>
      <c r="E57" s="59"/>
      <c r="F57" s="59"/>
      <c r="I57" s="59"/>
      <c r="J57" s="59"/>
      <c r="K57" s="59"/>
    </row>
    <row r="58" ht="12.75" customHeight="1">
      <c r="B58" s="59"/>
      <c r="C58" s="59"/>
      <c r="D58" s="59"/>
      <c r="E58" s="59"/>
      <c r="F58" s="59"/>
      <c r="I58" s="59"/>
      <c r="J58" s="59"/>
      <c r="K58" s="59"/>
    </row>
    <row r="59" ht="12.75" customHeight="1">
      <c r="B59" s="59"/>
      <c r="C59" s="59"/>
      <c r="D59" s="59"/>
      <c r="E59" s="59"/>
      <c r="F59" s="59"/>
      <c r="I59" s="59"/>
      <c r="J59" s="59"/>
      <c r="K59" s="59"/>
    </row>
    <row r="60" ht="12.75" customHeight="1">
      <c r="B60" s="59"/>
      <c r="C60" s="59"/>
      <c r="D60" s="59"/>
      <c r="E60" s="59"/>
      <c r="F60" s="59"/>
      <c r="I60" s="59"/>
      <c r="J60" s="59"/>
      <c r="K60" s="59"/>
    </row>
    <row r="61" ht="12.75" customHeight="1">
      <c r="B61" s="59"/>
      <c r="C61" s="59"/>
      <c r="D61" s="59"/>
      <c r="E61" s="59"/>
      <c r="F61" s="59"/>
      <c r="I61" s="59"/>
      <c r="J61" s="59"/>
      <c r="K61" s="59"/>
    </row>
    <row r="62" ht="12.75" customHeight="1">
      <c r="B62" s="59"/>
      <c r="C62" s="59"/>
      <c r="D62" s="59"/>
      <c r="E62" s="59"/>
      <c r="F62" s="59"/>
      <c r="I62" s="59"/>
      <c r="J62" s="59"/>
      <c r="K62" s="59"/>
    </row>
    <row r="63" ht="12.75" customHeight="1">
      <c r="B63" s="59"/>
      <c r="C63" s="59"/>
      <c r="D63" s="59"/>
      <c r="E63" s="59"/>
      <c r="F63" s="59"/>
      <c r="I63" s="59"/>
      <c r="J63" s="59"/>
      <c r="K63" s="59"/>
    </row>
    <row r="64" ht="12.75" customHeight="1">
      <c r="B64" s="59"/>
      <c r="C64" s="59"/>
      <c r="D64" s="59"/>
      <c r="E64" s="59"/>
      <c r="F64" s="59"/>
      <c r="I64" s="59"/>
      <c r="J64" s="59"/>
      <c r="K64" s="59"/>
    </row>
    <row r="65" ht="12.75" customHeight="1">
      <c r="B65" s="59"/>
      <c r="C65" s="59"/>
      <c r="D65" s="59"/>
      <c r="E65" s="59"/>
      <c r="F65" s="59"/>
      <c r="I65" s="59"/>
      <c r="J65" s="59"/>
      <c r="K65" s="59"/>
    </row>
    <row r="66" ht="12.75" customHeight="1">
      <c r="B66" s="59"/>
      <c r="C66" s="59"/>
      <c r="D66" s="59"/>
      <c r="E66" s="59"/>
      <c r="F66" s="59"/>
      <c r="I66" s="59"/>
      <c r="J66" s="59"/>
      <c r="K66" s="59"/>
    </row>
    <row r="67" ht="12.75" customHeight="1">
      <c r="B67" s="59"/>
      <c r="C67" s="59"/>
      <c r="D67" s="59"/>
      <c r="E67" s="59"/>
      <c r="F67" s="59"/>
      <c r="I67" s="59"/>
      <c r="J67" s="59"/>
      <c r="K67" s="59"/>
    </row>
    <row r="68" ht="12.75" customHeight="1">
      <c r="B68" s="59"/>
      <c r="C68" s="59"/>
      <c r="D68" s="59"/>
      <c r="E68" s="59"/>
      <c r="F68" s="59"/>
      <c r="I68" s="59"/>
      <c r="J68" s="59"/>
      <c r="K68" s="59"/>
    </row>
    <row r="69" ht="12.75" customHeight="1">
      <c r="B69" s="59"/>
      <c r="C69" s="59"/>
      <c r="D69" s="59"/>
      <c r="E69" s="59"/>
      <c r="F69" s="59"/>
      <c r="I69" s="59"/>
      <c r="J69" s="59"/>
      <c r="K69" s="59"/>
    </row>
    <row r="70" ht="12.75" customHeight="1">
      <c r="B70" s="59"/>
      <c r="C70" s="59"/>
      <c r="D70" s="59"/>
      <c r="E70" s="59"/>
      <c r="F70" s="59"/>
      <c r="I70" s="59"/>
      <c r="J70" s="59"/>
      <c r="K70" s="59"/>
    </row>
    <row r="71" ht="12.75" customHeight="1">
      <c r="B71" s="59"/>
      <c r="C71" s="59"/>
      <c r="D71" s="59"/>
      <c r="E71" s="59"/>
      <c r="F71" s="59"/>
      <c r="I71" s="59"/>
      <c r="J71" s="59"/>
      <c r="K71" s="59"/>
    </row>
    <row r="72" ht="12.75" customHeight="1">
      <c r="B72" s="59"/>
      <c r="C72" s="59"/>
      <c r="D72" s="59"/>
      <c r="E72" s="59"/>
      <c r="F72" s="59"/>
      <c r="I72" s="59"/>
      <c r="J72" s="59"/>
      <c r="K72" s="59"/>
    </row>
    <row r="73" ht="12.75" customHeight="1">
      <c r="B73" s="59"/>
      <c r="C73" s="59"/>
      <c r="D73" s="59"/>
      <c r="E73" s="59"/>
      <c r="F73" s="59"/>
      <c r="I73" s="59"/>
      <c r="J73" s="59"/>
      <c r="K73" s="59"/>
    </row>
    <row r="74" ht="12.75" customHeight="1">
      <c r="B74" s="59"/>
      <c r="C74" s="59"/>
      <c r="D74" s="59"/>
      <c r="E74" s="59"/>
      <c r="F74" s="59"/>
      <c r="I74" s="59"/>
      <c r="J74" s="59"/>
      <c r="K74" s="59"/>
    </row>
    <row r="75" ht="12.75" customHeight="1">
      <c r="B75" s="59"/>
      <c r="C75" s="59"/>
      <c r="D75" s="59"/>
      <c r="E75" s="59"/>
      <c r="F75" s="59"/>
      <c r="I75" s="59"/>
      <c r="J75" s="59"/>
      <c r="K75" s="59"/>
    </row>
    <row r="76" ht="12.75" customHeight="1">
      <c r="B76" s="59"/>
      <c r="C76" s="59"/>
      <c r="D76" s="59"/>
      <c r="E76" s="59"/>
      <c r="F76" s="59"/>
      <c r="I76" s="59"/>
      <c r="J76" s="59"/>
      <c r="K76" s="59"/>
    </row>
    <row r="77" ht="12.75" customHeight="1">
      <c r="B77" s="59"/>
      <c r="C77" s="59"/>
      <c r="D77" s="59"/>
      <c r="E77" s="59"/>
      <c r="F77" s="59"/>
      <c r="I77" s="59"/>
      <c r="J77" s="59"/>
      <c r="K77" s="59"/>
    </row>
    <row r="78" ht="12.75" customHeight="1">
      <c r="B78" s="59"/>
      <c r="C78" s="59"/>
      <c r="D78" s="59"/>
      <c r="E78" s="59"/>
      <c r="F78" s="59"/>
      <c r="I78" s="59"/>
      <c r="J78" s="59"/>
      <c r="K78" s="59"/>
    </row>
    <row r="79" ht="12.75" customHeight="1">
      <c r="B79" s="59"/>
      <c r="C79" s="59"/>
      <c r="D79" s="59"/>
      <c r="E79" s="59"/>
      <c r="F79" s="59"/>
      <c r="I79" s="59"/>
      <c r="J79" s="59"/>
      <c r="K79" s="59"/>
    </row>
    <row r="80" ht="12.75" customHeight="1">
      <c r="B80" s="59"/>
      <c r="C80" s="59"/>
      <c r="D80" s="59"/>
      <c r="E80" s="59"/>
      <c r="F80" s="59"/>
      <c r="I80" s="59"/>
      <c r="J80" s="59"/>
      <c r="K80" s="59"/>
    </row>
    <row r="81" ht="12.75" customHeight="1">
      <c r="B81" s="59"/>
      <c r="C81" s="59"/>
      <c r="D81" s="59"/>
      <c r="E81" s="59"/>
      <c r="F81" s="59"/>
      <c r="I81" s="59"/>
      <c r="J81" s="59"/>
      <c r="K81" s="59"/>
    </row>
    <row r="82" ht="12.75" customHeight="1">
      <c r="B82" s="59"/>
      <c r="C82" s="59"/>
      <c r="D82" s="59"/>
      <c r="E82" s="59"/>
      <c r="F82" s="59"/>
      <c r="I82" s="59"/>
      <c r="J82" s="59"/>
      <c r="K82" s="59"/>
    </row>
    <row r="83" ht="12.75" customHeight="1">
      <c r="B83" s="59"/>
      <c r="C83" s="59"/>
      <c r="D83" s="59"/>
      <c r="E83" s="59"/>
      <c r="F83" s="59"/>
      <c r="I83" s="59"/>
      <c r="J83" s="59"/>
      <c r="K83" s="59"/>
    </row>
    <row r="84" ht="12.75" customHeight="1">
      <c r="B84" s="59"/>
      <c r="C84" s="59"/>
      <c r="D84" s="59"/>
      <c r="E84" s="59"/>
      <c r="F84" s="59"/>
      <c r="I84" s="59"/>
      <c r="J84" s="59"/>
      <c r="K84" s="59"/>
    </row>
    <row r="85" ht="12.75" customHeight="1">
      <c r="B85" s="59"/>
      <c r="C85" s="59"/>
      <c r="D85" s="59"/>
      <c r="E85" s="59"/>
      <c r="F85" s="59"/>
      <c r="I85" s="59"/>
      <c r="J85" s="59"/>
      <c r="K85" s="59"/>
    </row>
    <row r="86" ht="12.75" customHeight="1">
      <c r="B86" s="59"/>
      <c r="C86" s="59"/>
      <c r="D86" s="59"/>
      <c r="E86" s="59"/>
      <c r="F86" s="59"/>
      <c r="I86" s="59"/>
      <c r="J86" s="59"/>
      <c r="K86" s="59"/>
    </row>
    <row r="87" ht="12.75" customHeight="1">
      <c r="B87" s="59"/>
      <c r="C87" s="59"/>
      <c r="D87" s="59"/>
      <c r="E87" s="59"/>
      <c r="F87" s="59"/>
      <c r="I87" s="59"/>
      <c r="J87" s="59"/>
      <c r="K87" s="59"/>
    </row>
    <row r="88" ht="12.75" customHeight="1">
      <c r="B88" s="59"/>
      <c r="C88" s="59"/>
      <c r="D88" s="59"/>
      <c r="E88" s="59"/>
      <c r="F88" s="59"/>
      <c r="I88" s="59"/>
      <c r="J88" s="59"/>
      <c r="K88" s="59"/>
    </row>
    <row r="89" ht="12.75" customHeight="1">
      <c r="B89" s="59"/>
      <c r="C89" s="59"/>
      <c r="D89" s="59"/>
      <c r="E89" s="59"/>
      <c r="F89" s="59"/>
      <c r="I89" s="59"/>
      <c r="J89" s="59"/>
      <c r="K89" s="59"/>
    </row>
    <row r="90" ht="12.75" customHeight="1">
      <c r="B90" s="59"/>
      <c r="C90" s="59"/>
      <c r="D90" s="59"/>
      <c r="E90" s="59"/>
      <c r="F90" s="59"/>
      <c r="I90" s="59"/>
      <c r="J90" s="59"/>
      <c r="K90" s="59"/>
    </row>
    <row r="91" ht="12.75" customHeight="1">
      <c r="B91" s="59"/>
      <c r="C91" s="59"/>
      <c r="D91" s="59"/>
      <c r="E91" s="59"/>
      <c r="F91" s="59"/>
      <c r="I91" s="59"/>
      <c r="J91" s="59"/>
      <c r="K91" s="59"/>
    </row>
    <row r="92" ht="12.75" customHeight="1">
      <c r="B92" s="59"/>
      <c r="C92" s="59"/>
      <c r="D92" s="59"/>
      <c r="E92" s="59"/>
      <c r="F92" s="59"/>
      <c r="I92" s="59"/>
      <c r="J92" s="59"/>
      <c r="K92" s="59"/>
    </row>
    <row r="93" ht="12.75" customHeight="1">
      <c r="B93" s="59"/>
      <c r="C93" s="59"/>
      <c r="D93" s="59"/>
      <c r="E93" s="59"/>
      <c r="F93" s="59"/>
      <c r="I93" s="59"/>
      <c r="J93" s="59"/>
      <c r="K93" s="59"/>
    </row>
    <row r="94" ht="12.75" customHeight="1">
      <c r="B94" s="59"/>
      <c r="C94" s="59"/>
      <c r="D94" s="59"/>
      <c r="E94" s="59"/>
      <c r="F94" s="59"/>
      <c r="I94" s="59"/>
      <c r="J94" s="59"/>
      <c r="K94" s="59"/>
    </row>
    <row r="95" ht="12.75" customHeight="1">
      <c r="B95" s="59"/>
      <c r="C95" s="59"/>
      <c r="D95" s="59"/>
      <c r="E95" s="59"/>
      <c r="F95" s="59"/>
      <c r="I95" s="59"/>
      <c r="J95" s="59"/>
      <c r="K95" s="59"/>
    </row>
    <row r="96" ht="12.75" customHeight="1">
      <c r="B96" s="59"/>
      <c r="C96" s="59"/>
      <c r="D96" s="59"/>
      <c r="E96" s="59"/>
      <c r="F96" s="59"/>
      <c r="I96" s="59"/>
      <c r="J96" s="59"/>
      <c r="K96" s="59"/>
    </row>
    <row r="97" ht="12.75" customHeight="1">
      <c r="B97" s="59"/>
      <c r="C97" s="59"/>
      <c r="D97" s="59"/>
      <c r="E97" s="59"/>
      <c r="F97" s="59"/>
      <c r="I97" s="59"/>
      <c r="J97" s="59"/>
      <c r="K97" s="59"/>
    </row>
    <row r="98" ht="12.75" customHeight="1">
      <c r="B98" s="59"/>
      <c r="C98" s="59"/>
      <c r="D98" s="59"/>
      <c r="E98" s="59"/>
      <c r="F98" s="59"/>
      <c r="I98" s="59"/>
      <c r="J98" s="59"/>
      <c r="K98" s="59"/>
    </row>
    <row r="99" ht="12.75" customHeight="1">
      <c r="B99" s="59"/>
      <c r="C99" s="59"/>
      <c r="D99" s="59"/>
      <c r="E99" s="59"/>
      <c r="F99" s="59"/>
      <c r="I99" s="59"/>
      <c r="J99" s="59"/>
      <c r="K99" s="59"/>
    </row>
    <row r="100" ht="12.75" customHeight="1">
      <c r="B100" s="59"/>
      <c r="C100" s="59"/>
      <c r="D100" s="59"/>
      <c r="E100" s="59"/>
      <c r="F100" s="59"/>
      <c r="I100" s="59"/>
      <c r="J100" s="59"/>
      <c r="K100" s="59"/>
    </row>
    <row r="101" ht="12.75" customHeight="1">
      <c r="B101" s="59"/>
      <c r="C101" s="59"/>
      <c r="D101" s="59"/>
      <c r="E101" s="59"/>
      <c r="F101" s="59"/>
      <c r="I101" s="59"/>
      <c r="J101" s="59"/>
      <c r="K101" s="59"/>
    </row>
    <row r="102" ht="12.75" customHeight="1">
      <c r="B102" s="59"/>
      <c r="C102" s="59"/>
      <c r="D102" s="59"/>
      <c r="E102" s="59"/>
      <c r="F102" s="59"/>
      <c r="I102" s="59"/>
      <c r="J102" s="59"/>
      <c r="K102" s="59"/>
    </row>
    <row r="103" ht="12.75" customHeight="1">
      <c r="B103" s="59"/>
      <c r="C103" s="59"/>
      <c r="D103" s="59"/>
      <c r="E103" s="59"/>
      <c r="F103" s="59"/>
      <c r="I103" s="59"/>
      <c r="J103" s="59"/>
      <c r="K103" s="59"/>
    </row>
    <row r="104" ht="12.75" customHeight="1">
      <c r="B104" s="59"/>
      <c r="C104" s="59"/>
      <c r="D104" s="59"/>
      <c r="E104" s="59"/>
      <c r="F104" s="59"/>
      <c r="I104" s="59"/>
      <c r="J104" s="59"/>
      <c r="K104" s="59"/>
    </row>
    <row r="105" ht="12.75" customHeight="1">
      <c r="B105" s="59"/>
      <c r="C105" s="59"/>
      <c r="D105" s="59"/>
      <c r="E105" s="59"/>
      <c r="F105" s="59"/>
      <c r="I105" s="59"/>
      <c r="J105" s="59"/>
      <c r="K105" s="59"/>
    </row>
    <row r="106" ht="12.75" customHeight="1">
      <c r="B106" s="59"/>
      <c r="C106" s="59"/>
      <c r="D106" s="59"/>
      <c r="E106" s="59"/>
      <c r="F106" s="59"/>
      <c r="I106" s="59"/>
      <c r="J106" s="59"/>
      <c r="K106" s="59"/>
    </row>
    <row r="107" ht="12.75" customHeight="1">
      <c r="B107" s="59"/>
      <c r="C107" s="59"/>
      <c r="D107" s="59"/>
      <c r="E107" s="59"/>
      <c r="F107" s="59"/>
      <c r="I107" s="59"/>
      <c r="J107" s="59"/>
      <c r="K107" s="59"/>
    </row>
    <row r="108" ht="12.75" customHeight="1">
      <c r="B108" s="59"/>
      <c r="C108" s="59"/>
      <c r="D108" s="59"/>
      <c r="E108" s="59"/>
      <c r="F108" s="59"/>
      <c r="I108" s="59"/>
      <c r="J108" s="59"/>
      <c r="K108" s="59"/>
    </row>
    <row r="109" ht="12.75" customHeight="1">
      <c r="B109" s="59"/>
      <c r="C109" s="59"/>
      <c r="D109" s="59"/>
      <c r="E109" s="59"/>
      <c r="F109" s="59"/>
      <c r="I109" s="59"/>
      <c r="J109" s="59"/>
      <c r="K109" s="59"/>
    </row>
    <row r="110" ht="12.75" customHeight="1">
      <c r="B110" s="59"/>
      <c r="C110" s="59"/>
      <c r="D110" s="59"/>
      <c r="E110" s="59"/>
      <c r="F110" s="59"/>
      <c r="I110" s="59"/>
      <c r="J110" s="59"/>
      <c r="K110" s="59"/>
    </row>
    <row r="111" ht="12.75" customHeight="1">
      <c r="B111" s="59"/>
      <c r="C111" s="59"/>
      <c r="D111" s="59"/>
      <c r="E111" s="59"/>
      <c r="F111" s="59"/>
      <c r="I111" s="59"/>
      <c r="J111" s="59"/>
      <c r="K111" s="59"/>
    </row>
    <row r="112" ht="12.75" customHeight="1">
      <c r="B112" s="59"/>
      <c r="C112" s="59"/>
      <c r="D112" s="59"/>
      <c r="E112" s="59"/>
      <c r="F112" s="59"/>
      <c r="I112" s="59"/>
      <c r="J112" s="59"/>
      <c r="K112" s="59"/>
    </row>
    <row r="113" ht="12.75" customHeight="1">
      <c r="B113" s="59"/>
      <c r="C113" s="59"/>
      <c r="D113" s="59"/>
      <c r="E113" s="59"/>
      <c r="F113" s="59"/>
      <c r="I113" s="59"/>
      <c r="J113" s="59"/>
      <c r="K113" s="59"/>
    </row>
    <row r="114" ht="12.75" customHeight="1">
      <c r="B114" s="59"/>
      <c r="C114" s="59"/>
      <c r="D114" s="59"/>
      <c r="E114" s="59"/>
      <c r="F114" s="59"/>
      <c r="I114" s="59"/>
      <c r="J114" s="59"/>
      <c r="K114" s="59"/>
    </row>
    <row r="115" ht="12.75" customHeight="1">
      <c r="B115" s="59"/>
      <c r="C115" s="59"/>
      <c r="D115" s="59"/>
      <c r="E115" s="59"/>
      <c r="F115" s="59"/>
      <c r="I115" s="59"/>
      <c r="J115" s="59"/>
      <c r="K115" s="59"/>
    </row>
    <row r="116" ht="12.75" customHeight="1">
      <c r="B116" s="59"/>
      <c r="C116" s="59"/>
      <c r="D116" s="59"/>
      <c r="E116" s="59"/>
      <c r="F116" s="59"/>
      <c r="I116" s="59"/>
      <c r="J116" s="59"/>
      <c r="K116" s="59"/>
    </row>
    <row r="117" ht="12.75" customHeight="1">
      <c r="B117" s="59"/>
      <c r="C117" s="59"/>
      <c r="D117" s="59"/>
      <c r="E117" s="59"/>
      <c r="F117" s="59"/>
      <c r="I117" s="59"/>
      <c r="J117" s="59"/>
      <c r="K117" s="59"/>
    </row>
    <row r="118" ht="12.75" customHeight="1">
      <c r="B118" s="59"/>
      <c r="C118" s="59"/>
      <c r="D118" s="59"/>
      <c r="E118" s="59"/>
      <c r="F118" s="59"/>
      <c r="I118" s="59"/>
      <c r="J118" s="59"/>
      <c r="K118" s="59"/>
    </row>
    <row r="119" ht="12.75" customHeight="1">
      <c r="B119" s="59"/>
      <c r="C119" s="59"/>
      <c r="D119" s="59"/>
      <c r="E119" s="59"/>
      <c r="F119" s="59"/>
      <c r="I119" s="59"/>
      <c r="J119" s="59"/>
      <c r="K119" s="59"/>
    </row>
    <row r="120" ht="12.75" customHeight="1">
      <c r="B120" s="59"/>
      <c r="C120" s="59"/>
      <c r="D120" s="59"/>
      <c r="E120" s="59"/>
      <c r="F120" s="59"/>
      <c r="I120" s="59"/>
      <c r="J120" s="59"/>
      <c r="K120" s="59"/>
    </row>
    <row r="121" ht="12.75" customHeight="1">
      <c r="B121" s="59"/>
      <c r="C121" s="59"/>
      <c r="D121" s="59"/>
      <c r="E121" s="59"/>
      <c r="F121" s="59"/>
      <c r="I121" s="59"/>
      <c r="J121" s="59"/>
      <c r="K121" s="59"/>
    </row>
    <row r="122" ht="12.75" customHeight="1">
      <c r="B122" s="59"/>
      <c r="C122" s="59"/>
      <c r="D122" s="59"/>
      <c r="E122" s="59"/>
      <c r="F122" s="59"/>
      <c r="I122" s="59"/>
      <c r="J122" s="59"/>
      <c r="K122" s="59"/>
    </row>
    <row r="123" ht="12.75" customHeight="1">
      <c r="B123" s="59"/>
      <c r="C123" s="59"/>
      <c r="D123" s="59"/>
      <c r="E123" s="59"/>
      <c r="F123" s="59"/>
      <c r="I123" s="59"/>
      <c r="J123" s="59"/>
      <c r="K123" s="59"/>
    </row>
    <row r="124" ht="12.75" customHeight="1">
      <c r="B124" s="59"/>
      <c r="C124" s="59"/>
      <c r="D124" s="59"/>
      <c r="E124" s="59"/>
      <c r="F124" s="59"/>
      <c r="I124" s="59"/>
      <c r="J124" s="59"/>
      <c r="K124" s="59"/>
    </row>
    <row r="125" ht="12.75" customHeight="1">
      <c r="B125" s="59"/>
      <c r="C125" s="59"/>
      <c r="D125" s="59"/>
      <c r="E125" s="59"/>
      <c r="F125" s="59"/>
      <c r="I125" s="59"/>
      <c r="J125" s="59"/>
      <c r="K125" s="59"/>
    </row>
    <row r="126" ht="12.75" customHeight="1">
      <c r="B126" s="59"/>
      <c r="C126" s="59"/>
      <c r="D126" s="59"/>
      <c r="E126" s="59"/>
      <c r="F126" s="59"/>
      <c r="I126" s="59"/>
      <c r="J126" s="59"/>
      <c r="K126" s="59"/>
    </row>
    <row r="127" ht="12.75" customHeight="1">
      <c r="B127" s="59"/>
      <c r="C127" s="59"/>
      <c r="D127" s="59"/>
      <c r="E127" s="59"/>
      <c r="F127" s="59"/>
      <c r="I127" s="59"/>
      <c r="J127" s="59"/>
      <c r="K127" s="59"/>
    </row>
    <row r="128" ht="12.75" customHeight="1">
      <c r="B128" s="59"/>
      <c r="C128" s="59"/>
      <c r="D128" s="59"/>
      <c r="E128" s="59"/>
      <c r="F128" s="59"/>
      <c r="I128" s="59"/>
      <c r="J128" s="59"/>
      <c r="K128" s="59"/>
    </row>
    <row r="129" ht="12.75" customHeight="1">
      <c r="B129" s="59"/>
      <c r="C129" s="59"/>
      <c r="D129" s="59"/>
      <c r="E129" s="59"/>
      <c r="F129" s="59"/>
      <c r="I129" s="59"/>
      <c r="J129" s="59"/>
      <c r="K129" s="59"/>
    </row>
    <row r="130" ht="12.75" customHeight="1">
      <c r="B130" s="59"/>
      <c r="C130" s="59"/>
      <c r="D130" s="59"/>
      <c r="E130" s="59"/>
      <c r="F130" s="59"/>
      <c r="I130" s="59"/>
      <c r="J130" s="59"/>
      <c r="K130" s="59"/>
    </row>
    <row r="131" ht="12.75" customHeight="1">
      <c r="B131" s="59"/>
      <c r="C131" s="59"/>
      <c r="D131" s="59"/>
      <c r="E131" s="59"/>
      <c r="F131" s="59"/>
      <c r="I131" s="59"/>
      <c r="J131" s="59"/>
      <c r="K131" s="59"/>
    </row>
    <row r="132" ht="12.75" customHeight="1">
      <c r="B132" s="59"/>
      <c r="C132" s="59"/>
      <c r="D132" s="59"/>
      <c r="E132" s="59"/>
      <c r="F132" s="59"/>
      <c r="I132" s="59"/>
      <c r="J132" s="59"/>
      <c r="K132" s="59"/>
    </row>
    <row r="133" ht="12.75" customHeight="1">
      <c r="B133" s="59"/>
      <c r="C133" s="59"/>
      <c r="D133" s="59"/>
      <c r="E133" s="59"/>
      <c r="F133" s="59"/>
      <c r="I133" s="59"/>
      <c r="J133" s="59"/>
      <c r="K133" s="59"/>
    </row>
    <row r="134" ht="12.75" customHeight="1">
      <c r="B134" s="59"/>
      <c r="C134" s="59"/>
      <c r="D134" s="59"/>
      <c r="E134" s="59"/>
      <c r="F134" s="59"/>
      <c r="I134" s="59"/>
      <c r="J134" s="59"/>
      <c r="K134" s="59"/>
    </row>
    <row r="135" ht="12.75" customHeight="1">
      <c r="B135" s="59"/>
      <c r="C135" s="59"/>
      <c r="D135" s="59"/>
      <c r="E135" s="59"/>
      <c r="F135" s="59"/>
      <c r="I135" s="59"/>
      <c r="J135" s="59"/>
      <c r="K135" s="59"/>
    </row>
    <row r="136" ht="12.75" customHeight="1">
      <c r="B136" s="59"/>
      <c r="C136" s="59"/>
      <c r="D136" s="59"/>
      <c r="E136" s="59"/>
      <c r="F136" s="59"/>
      <c r="I136" s="59"/>
      <c r="J136" s="59"/>
      <c r="K136" s="59"/>
    </row>
    <row r="137" ht="12.75" customHeight="1">
      <c r="B137" s="59"/>
      <c r="C137" s="59"/>
      <c r="D137" s="59"/>
      <c r="E137" s="59"/>
      <c r="F137" s="59"/>
      <c r="I137" s="59"/>
      <c r="J137" s="59"/>
      <c r="K137" s="59"/>
    </row>
    <row r="138" ht="12.75" customHeight="1">
      <c r="B138" s="59"/>
      <c r="C138" s="59"/>
      <c r="D138" s="59"/>
      <c r="E138" s="59"/>
      <c r="F138" s="59"/>
      <c r="I138" s="59"/>
      <c r="J138" s="59"/>
      <c r="K138" s="59"/>
    </row>
    <row r="139" ht="12.75" customHeight="1">
      <c r="B139" s="59"/>
      <c r="C139" s="59"/>
      <c r="D139" s="59"/>
      <c r="E139" s="59"/>
      <c r="F139" s="59"/>
      <c r="I139" s="59"/>
      <c r="J139" s="59"/>
      <c r="K139" s="59"/>
    </row>
    <row r="140" ht="12.75" customHeight="1">
      <c r="B140" s="59"/>
      <c r="C140" s="59"/>
      <c r="D140" s="59"/>
      <c r="E140" s="59"/>
      <c r="F140" s="59"/>
      <c r="I140" s="59"/>
      <c r="J140" s="59"/>
      <c r="K140" s="59"/>
    </row>
    <row r="141" ht="12.75" customHeight="1">
      <c r="B141" s="59"/>
      <c r="C141" s="59"/>
      <c r="D141" s="59"/>
      <c r="E141" s="59"/>
      <c r="F141" s="59"/>
      <c r="I141" s="59"/>
      <c r="J141" s="59"/>
      <c r="K141" s="59"/>
    </row>
    <row r="142" ht="12.75" customHeight="1">
      <c r="B142" s="59"/>
      <c r="C142" s="59"/>
      <c r="D142" s="59"/>
      <c r="E142" s="59"/>
      <c r="F142" s="59"/>
      <c r="I142" s="59"/>
      <c r="J142" s="59"/>
      <c r="K142" s="59"/>
    </row>
    <row r="143" ht="12.75" customHeight="1">
      <c r="B143" s="59"/>
      <c r="C143" s="59"/>
      <c r="D143" s="59"/>
      <c r="E143" s="59"/>
      <c r="F143" s="59"/>
      <c r="I143" s="59"/>
      <c r="J143" s="59"/>
      <c r="K143" s="59"/>
    </row>
    <row r="144" ht="12.75" customHeight="1">
      <c r="B144" s="59"/>
      <c r="C144" s="59"/>
      <c r="D144" s="59"/>
      <c r="E144" s="59"/>
      <c r="F144" s="59"/>
      <c r="I144" s="59"/>
      <c r="J144" s="59"/>
      <c r="K144" s="59"/>
    </row>
    <row r="145" ht="12.75" customHeight="1">
      <c r="B145" s="59"/>
      <c r="C145" s="59"/>
      <c r="D145" s="59"/>
      <c r="E145" s="59"/>
      <c r="F145" s="59"/>
      <c r="I145" s="59"/>
      <c r="J145" s="59"/>
      <c r="K145" s="59"/>
    </row>
    <row r="146" ht="12.75" customHeight="1">
      <c r="B146" s="59"/>
      <c r="C146" s="59"/>
      <c r="D146" s="59"/>
      <c r="E146" s="59"/>
      <c r="F146" s="59"/>
      <c r="I146" s="59"/>
      <c r="J146" s="59"/>
      <c r="K146" s="59"/>
    </row>
    <row r="147" ht="12.75" customHeight="1">
      <c r="B147" s="59"/>
      <c r="C147" s="59"/>
      <c r="D147" s="59"/>
      <c r="E147" s="59"/>
      <c r="F147" s="59"/>
      <c r="I147" s="59"/>
      <c r="J147" s="59"/>
      <c r="K147" s="59"/>
    </row>
    <row r="148" ht="12.75" customHeight="1">
      <c r="B148" s="59"/>
      <c r="C148" s="59"/>
      <c r="D148" s="59"/>
      <c r="E148" s="59"/>
      <c r="F148" s="59"/>
      <c r="I148" s="59"/>
      <c r="J148" s="59"/>
      <c r="K148" s="59"/>
    </row>
    <row r="149" ht="12.75" customHeight="1">
      <c r="B149" s="59"/>
      <c r="C149" s="59"/>
      <c r="D149" s="59"/>
      <c r="E149" s="59"/>
      <c r="F149" s="59"/>
      <c r="I149" s="59"/>
      <c r="J149" s="59"/>
      <c r="K149" s="59"/>
    </row>
    <row r="150" ht="12.75" customHeight="1">
      <c r="B150" s="59"/>
      <c r="C150" s="59"/>
      <c r="D150" s="59"/>
      <c r="E150" s="59"/>
      <c r="F150" s="59"/>
      <c r="I150" s="59"/>
      <c r="J150" s="59"/>
      <c r="K150" s="59"/>
    </row>
    <row r="151" ht="12.75" customHeight="1">
      <c r="B151" s="59"/>
      <c r="C151" s="59"/>
      <c r="D151" s="59"/>
      <c r="E151" s="59"/>
      <c r="F151" s="59"/>
      <c r="I151" s="59"/>
      <c r="J151" s="59"/>
      <c r="K151" s="59"/>
    </row>
    <row r="152" ht="12.75" customHeight="1">
      <c r="B152" s="59"/>
      <c r="C152" s="59"/>
      <c r="D152" s="59"/>
      <c r="E152" s="59"/>
      <c r="F152" s="59"/>
      <c r="I152" s="59"/>
      <c r="J152" s="59"/>
      <c r="K152" s="59"/>
    </row>
    <row r="153" ht="12.75" customHeight="1">
      <c r="B153" s="59"/>
      <c r="C153" s="59"/>
      <c r="D153" s="59"/>
      <c r="E153" s="59"/>
      <c r="F153" s="59"/>
      <c r="I153" s="59"/>
      <c r="J153" s="59"/>
      <c r="K153" s="59"/>
    </row>
    <row r="154" ht="12.75" customHeight="1">
      <c r="B154" s="59"/>
      <c r="C154" s="59"/>
      <c r="D154" s="59"/>
      <c r="E154" s="59"/>
      <c r="F154" s="59"/>
      <c r="I154" s="59"/>
      <c r="J154" s="59"/>
      <c r="K154" s="59"/>
    </row>
    <row r="155" ht="12.75" customHeight="1">
      <c r="B155" s="59"/>
      <c r="C155" s="59"/>
      <c r="D155" s="59"/>
      <c r="E155" s="59"/>
      <c r="F155" s="59"/>
      <c r="I155" s="59"/>
      <c r="J155" s="59"/>
      <c r="K155" s="59"/>
    </row>
    <row r="156" ht="12.75" customHeight="1">
      <c r="B156" s="59"/>
      <c r="C156" s="59"/>
      <c r="D156" s="59"/>
      <c r="E156" s="59"/>
      <c r="F156" s="59"/>
      <c r="I156" s="59"/>
      <c r="J156" s="59"/>
      <c r="K156" s="59"/>
    </row>
    <row r="157" ht="12.75" customHeight="1">
      <c r="B157" s="59"/>
      <c r="C157" s="59"/>
      <c r="D157" s="59"/>
      <c r="E157" s="59"/>
      <c r="F157" s="59"/>
      <c r="I157" s="59"/>
      <c r="J157" s="59"/>
      <c r="K157" s="59"/>
    </row>
    <row r="158" ht="12.75" customHeight="1">
      <c r="B158" s="59"/>
      <c r="C158" s="59"/>
      <c r="D158" s="59"/>
      <c r="E158" s="59"/>
      <c r="F158" s="59"/>
      <c r="I158" s="59"/>
      <c r="J158" s="59"/>
      <c r="K158" s="59"/>
    </row>
    <row r="159" ht="12.75" customHeight="1">
      <c r="B159" s="59"/>
      <c r="C159" s="59"/>
      <c r="D159" s="59"/>
      <c r="E159" s="59"/>
      <c r="F159" s="59"/>
      <c r="I159" s="59"/>
      <c r="J159" s="59"/>
      <c r="K159" s="59"/>
    </row>
    <row r="160" ht="12.75" customHeight="1">
      <c r="B160" s="59"/>
      <c r="C160" s="59"/>
      <c r="D160" s="59"/>
      <c r="E160" s="59"/>
      <c r="F160" s="59"/>
      <c r="I160" s="59"/>
      <c r="J160" s="59"/>
      <c r="K160" s="59"/>
    </row>
    <row r="161" ht="12.75" customHeight="1">
      <c r="B161" s="59"/>
      <c r="C161" s="59"/>
      <c r="D161" s="59"/>
      <c r="E161" s="59"/>
      <c r="F161" s="59"/>
      <c r="I161" s="59"/>
      <c r="J161" s="59"/>
      <c r="K161" s="59"/>
    </row>
    <row r="162" ht="12.75" customHeight="1">
      <c r="B162" s="59"/>
      <c r="C162" s="59"/>
      <c r="D162" s="59"/>
      <c r="E162" s="59"/>
      <c r="F162" s="59"/>
      <c r="I162" s="59"/>
      <c r="J162" s="59"/>
      <c r="K162" s="59"/>
    </row>
    <row r="163" ht="12.75" customHeight="1">
      <c r="B163" s="59"/>
      <c r="C163" s="59"/>
      <c r="D163" s="59"/>
      <c r="E163" s="59"/>
      <c r="F163" s="59"/>
      <c r="I163" s="59"/>
      <c r="J163" s="59"/>
      <c r="K163" s="59"/>
    </row>
    <row r="164" ht="12.75" customHeight="1">
      <c r="B164" s="59"/>
      <c r="C164" s="59"/>
      <c r="D164" s="59"/>
      <c r="E164" s="59"/>
      <c r="F164" s="59"/>
      <c r="I164" s="59"/>
      <c r="J164" s="59"/>
      <c r="K164" s="59"/>
    </row>
    <row r="165" ht="12.75" customHeight="1">
      <c r="B165" s="59"/>
      <c r="C165" s="59"/>
      <c r="D165" s="59"/>
      <c r="E165" s="59"/>
      <c r="F165" s="59"/>
      <c r="I165" s="59"/>
      <c r="J165" s="59"/>
      <c r="K165" s="59"/>
    </row>
    <row r="166" ht="12.75" customHeight="1">
      <c r="B166" s="59"/>
      <c r="C166" s="59"/>
      <c r="D166" s="59"/>
      <c r="E166" s="59"/>
      <c r="F166" s="59"/>
      <c r="I166" s="59"/>
      <c r="J166" s="59"/>
      <c r="K166" s="59"/>
    </row>
    <row r="167" ht="12.75" customHeight="1">
      <c r="B167" s="59"/>
      <c r="C167" s="59"/>
      <c r="D167" s="59"/>
      <c r="E167" s="59"/>
      <c r="F167" s="59"/>
      <c r="I167" s="59"/>
      <c r="J167" s="59"/>
      <c r="K167" s="59"/>
    </row>
    <row r="168" ht="12.75" customHeight="1">
      <c r="B168" s="59"/>
      <c r="C168" s="59"/>
      <c r="D168" s="59"/>
      <c r="E168" s="59"/>
      <c r="F168" s="59"/>
      <c r="I168" s="59"/>
      <c r="J168" s="59"/>
      <c r="K168" s="59"/>
    </row>
    <row r="169" ht="12.75" customHeight="1">
      <c r="B169" s="59"/>
      <c r="C169" s="59"/>
      <c r="D169" s="59"/>
      <c r="E169" s="59"/>
      <c r="F169" s="59"/>
      <c r="I169" s="59"/>
      <c r="J169" s="59"/>
      <c r="K169" s="59"/>
    </row>
    <row r="170" ht="12.75" customHeight="1">
      <c r="B170" s="59"/>
      <c r="C170" s="59"/>
      <c r="D170" s="59"/>
      <c r="E170" s="59"/>
      <c r="F170" s="59"/>
      <c r="I170" s="59"/>
      <c r="J170" s="59"/>
      <c r="K170" s="59"/>
    </row>
    <row r="171" ht="12.75" customHeight="1">
      <c r="B171" s="59"/>
      <c r="C171" s="59"/>
      <c r="D171" s="59"/>
      <c r="E171" s="59"/>
      <c r="F171" s="59"/>
      <c r="I171" s="59"/>
      <c r="J171" s="59"/>
      <c r="K171" s="59"/>
    </row>
    <row r="172" ht="12.75" customHeight="1">
      <c r="B172" s="59"/>
      <c r="C172" s="59"/>
      <c r="D172" s="59"/>
      <c r="E172" s="59"/>
      <c r="F172" s="59"/>
      <c r="I172" s="59"/>
      <c r="J172" s="59"/>
      <c r="K172" s="59"/>
    </row>
    <row r="173" ht="12.75" customHeight="1">
      <c r="B173" s="59"/>
      <c r="C173" s="59"/>
      <c r="D173" s="59"/>
      <c r="E173" s="59"/>
      <c r="F173" s="59"/>
      <c r="I173" s="59"/>
      <c r="J173" s="59"/>
      <c r="K173" s="59"/>
    </row>
    <row r="174" ht="12.75" customHeight="1">
      <c r="B174" s="59"/>
      <c r="C174" s="59"/>
      <c r="D174" s="59"/>
      <c r="E174" s="59"/>
      <c r="F174" s="59"/>
      <c r="I174" s="59"/>
      <c r="J174" s="59"/>
      <c r="K174" s="59"/>
    </row>
    <row r="175" ht="12.75" customHeight="1">
      <c r="B175" s="59"/>
      <c r="C175" s="59"/>
      <c r="D175" s="59"/>
      <c r="E175" s="59"/>
      <c r="F175" s="59"/>
      <c r="I175" s="59"/>
      <c r="J175" s="59"/>
      <c r="K175" s="59"/>
    </row>
    <row r="176" ht="12.75" customHeight="1">
      <c r="B176" s="59"/>
      <c r="C176" s="59"/>
      <c r="D176" s="59"/>
      <c r="E176" s="59"/>
      <c r="F176" s="59"/>
      <c r="I176" s="59"/>
      <c r="J176" s="59"/>
      <c r="K176" s="59"/>
    </row>
    <row r="177" ht="12.75" customHeight="1">
      <c r="B177" s="59"/>
      <c r="C177" s="59"/>
      <c r="D177" s="59"/>
      <c r="E177" s="59"/>
      <c r="F177" s="59"/>
      <c r="I177" s="59"/>
      <c r="J177" s="59"/>
      <c r="K177" s="59"/>
    </row>
    <row r="178" ht="12.75" customHeight="1">
      <c r="B178" s="59"/>
      <c r="C178" s="59"/>
      <c r="D178" s="59"/>
      <c r="E178" s="59"/>
      <c r="F178" s="59"/>
      <c r="I178" s="59"/>
      <c r="J178" s="59"/>
      <c r="K178" s="59"/>
    </row>
    <row r="179" ht="12.75" customHeight="1">
      <c r="B179" s="59"/>
      <c r="C179" s="59"/>
      <c r="D179" s="59"/>
      <c r="E179" s="59"/>
      <c r="F179" s="59"/>
      <c r="I179" s="59"/>
      <c r="J179" s="59"/>
      <c r="K179" s="59"/>
    </row>
    <row r="180" ht="12.75" customHeight="1">
      <c r="B180" s="59"/>
      <c r="C180" s="59"/>
      <c r="D180" s="59"/>
      <c r="E180" s="59"/>
      <c r="F180" s="59"/>
      <c r="I180" s="59"/>
      <c r="J180" s="59"/>
      <c r="K180" s="59"/>
    </row>
    <row r="181" ht="12.75" customHeight="1">
      <c r="B181" s="59"/>
      <c r="C181" s="59"/>
      <c r="D181" s="59"/>
      <c r="E181" s="59"/>
      <c r="F181" s="59"/>
      <c r="I181" s="59"/>
      <c r="J181" s="59"/>
      <c r="K181" s="59"/>
    </row>
    <row r="182" ht="12.75" customHeight="1">
      <c r="B182" s="59"/>
      <c r="C182" s="59"/>
      <c r="D182" s="59"/>
      <c r="E182" s="59"/>
      <c r="F182" s="59"/>
      <c r="I182" s="59"/>
      <c r="J182" s="59"/>
      <c r="K182" s="59"/>
    </row>
    <row r="183" ht="12.75" customHeight="1">
      <c r="B183" s="59"/>
      <c r="C183" s="59"/>
      <c r="D183" s="59"/>
      <c r="E183" s="59"/>
      <c r="F183" s="59"/>
      <c r="I183" s="59"/>
      <c r="J183" s="59"/>
      <c r="K183" s="59"/>
    </row>
    <row r="184" ht="12.75" customHeight="1">
      <c r="B184" s="59"/>
      <c r="C184" s="59"/>
      <c r="D184" s="59"/>
      <c r="E184" s="59"/>
      <c r="F184" s="59"/>
      <c r="I184" s="59"/>
      <c r="J184" s="59"/>
      <c r="K184" s="59"/>
    </row>
    <row r="185" ht="12.75" customHeight="1">
      <c r="B185" s="59"/>
      <c r="C185" s="59"/>
      <c r="D185" s="59"/>
      <c r="E185" s="59"/>
      <c r="F185" s="59"/>
      <c r="I185" s="59"/>
      <c r="J185" s="59"/>
      <c r="K185" s="59"/>
    </row>
    <row r="186" ht="12.75" customHeight="1">
      <c r="B186" s="59"/>
      <c r="C186" s="59"/>
      <c r="D186" s="59"/>
      <c r="E186" s="59"/>
      <c r="F186" s="59"/>
      <c r="I186" s="59"/>
      <c r="J186" s="59"/>
      <c r="K186" s="59"/>
    </row>
    <row r="187" ht="12.75" customHeight="1">
      <c r="B187" s="59"/>
      <c r="C187" s="59"/>
      <c r="D187" s="59"/>
      <c r="E187" s="59"/>
      <c r="F187" s="59"/>
      <c r="I187" s="59"/>
      <c r="J187" s="59"/>
      <c r="K187" s="59"/>
    </row>
    <row r="188" ht="12.75" customHeight="1">
      <c r="B188" s="59"/>
      <c r="C188" s="59"/>
      <c r="D188" s="59"/>
      <c r="E188" s="59"/>
      <c r="F188" s="59"/>
      <c r="I188" s="59"/>
      <c r="J188" s="59"/>
      <c r="K188" s="59"/>
    </row>
    <row r="189" ht="12.75" customHeight="1">
      <c r="B189" s="59"/>
      <c r="C189" s="59"/>
      <c r="D189" s="59"/>
      <c r="E189" s="59"/>
      <c r="F189" s="59"/>
      <c r="I189" s="59"/>
      <c r="J189" s="59"/>
      <c r="K189" s="59"/>
    </row>
    <row r="190" ht="12.75" customHeight="1">
      <c r="B190" s="59"/>
      <c r="C190" s="59"/>
      <c r="D190" s="59"/>
      <c r="E190" s="59"/>
      <c r="F190" s="59"/>
      <c r="I190" s="59"/>
      <c r="J190" s="59"/>
      <c r="K190" s="59"/>
    </row>
    <row r="191" ht="12.75" customHeight="1">
      <c r="B191" s="59"/>
      <c r="C191" s="59"/>
      <c r="D191" s="59"/>
      <c r="E191" s="59"/>
      <c r="F191" s="59"/>
      <c r="I191" s="59"/>
      <c r="J191" s="59"/>
      <c r="K191" s="59"/>
    </row>
    <row r="192" ht="12.75" customHeight="1">
      <c r="B192" s="59"/>
      <c r="C192" s="59"/>
      <c r="D192" s="59"/>
      <c r="E192" s="59"/>
      <c r="F192" s="59"/>
      <c r="I192" s="59"/>
      <c r="J192" s="59"/>
      <c r="K192" s="59"/>
    </row>
    <row r="193" ht="12.75" customHeight="1">
      <c r="B193" s="59"/>
      <c r="C193" s="59"/>
      <c r="D193" s="59"/>
      <c r="E193" s="59"/>
      <c r="F193" s="59"/>
      <c r="I193" s="59"/>
      <c r="J193" s="59"/>
      <c r="K193" s="59"/>
    </row>
    <row r="194" ht="12.75" customHeight="1">
      <c r="B194" s="59"/>
      <c r="C194" s="59"/>
      <c r="D194" s="59"/>
      <c r="E194" s="59"/>
      <c r="F194" s="59"/>
      <c r="I194" s="59"/>
      <c r="J194" s="59"/>
      <c r="K194" s="59"/>
    </row>
    <row r="195" ht="12.75" customHeight="1">
      <c r="B195" s="59"/>
      <c r="C195" s="59"/>
      <c r="D195" s="59"/>
      <c r="E195" s="59"/>
      <c r="F195" s="59"/>
      <c r="I195" s="59"/>
      <c r="J195" s="59"/>
      <c r="K195" s="59"/>
    </row>
    <row r="196" ht="12.75" customHeight="1">
      <c r="B196" s="59"/>
      <c r="C196" s="59"/>
      <c r="D196" s="59"/>
      <c r="E196" s="59"/>
      <c r="F196" s="59"/>
      <c r="I196" s="59"/>
      <c r="J196" s="59"/>
      <c r="K196" s="59"/>
    </row>
    <row r="197" ht="12.75" customHeight="1">
      <c r="B197" s="59"/>
      <c r="C197" s="59"/>
      <c r="D197" s="59"/>
      <c r="E197" s="59"/>
      <c r="F197" s="59"/>
      <c r="I197" s="59"/>
      <c r="J197" s="59"/>
      <c r="K197" s="59"/>
    </row>
    <row r="198" ht="12.75" customHeight="1">
      <c r="B198" s="59"/>
      <c r="C198" s="59"/>
      <c r="D198" s="59"/>
      <c r="E198" s="59"/>
      <c r="F198" s="59"/>
      <c r="I198" s="59"/>
      <c r="J198" s="59"/>
      <c r="K198" s="59"/>
    </row>
    <row r="199" ht="12.75" customHeight="1">
      <c r="B199" s="59"/>
      <c r="C199" s="59"/>
      <c r="D199" s="59"/>
      <c r="E199" s="59"/>
      <c r="F199" s="59"/>
      <c r="I199" s="59"/>
      <c r="J199" s="59"/>
      <c r="K199" s="59"/>
    </row>
    <row r="200" ht="12.75" customHeight="1">
      <c r="B200" s="59"/>
      <c r="C200" s="59"/>
      <c r="D200" s="59"/>
      <c r="E200" s="59"/>
      <c r="F200" s="59"/>
      <c r="I200" s="59"/>
      <c r="J200" s="59"/>
      <c r="K200" s="59"/>
    </row>
    <row r="201" ht="12.75" customHeight="1">
      <c r="B201" s="59"/>
      <c r="C201" s="59"/>
      <c r="D201" s="59"/>
      <c r="E201" s="59"/>
      <c r="F201" s="59"/>
      <c r="I201" s="59"/>
      <c r="J201" s="59"/>
      <c r="K201" s="59"/>
    </row>
    <row r="202" ht="12.75" customHeight="1">
      <c r="B202" s="59"/>
      <c r="C202" s="59"/>
      <c r="D202" s="59"/>
      <c r="E202" s="59"/>
      <c r="F202" s="59"/>
      <c r="I202" s="59"/>
      <c r="J202" s="59"/>
      <c r="K202" s="59"/>
    </row>
    <row r="203" ht="12.75" customHeight="1">
      <c r="B203" s="59"/>
      <c r="C203" s="59"/>
      <c r="D203" s="59"/>
      <c r="E203" s="59"/>
      <c r="F203" s="59"/>
      <c r="I203" s="59"/>
      <c r="J203" s="59"/>
      <c r="K203" s="59"/>
    </row>
    <row r="204" ht="12.75" customHeight="1">
      <c r="B204" s="59"/>
      <c r="C204" s="59"/>
      <c r="D204" s="59"/>
      <c r="E204" s="59"/>
      <c r="F204" s="59"/>
      <c r="I204" s="59"/>
      <c r="J204" s="59"/>
      <c r="K204" s="59"/>
    </row>
    <row r="205" ht="12.75" customHeight="1">
      <c r="B205" s="59"/>
      <c r="C205" s="59"/>
      <c r="D205" s="59"/>
      <c r="E205" s="59"/>
      <c r="F205" s="59"/>
      <c r="I205" s="59"/>
      <c r="J205" s="59"/>
      <c r="K205" s="59"/>
    </row>
    <row r="206" ht="12.75" customHeight="1">
      <c r="B206" s="59"/>
      <c r="C206" s="59"/>
      <c r="D206" s="59"/>
      <c r="E206" s="59"/>
      <c r="F206" s="59"/>
      <c r="I206" s="59"/>
      <c r="J206" s="59"/>
      <c r="K206" s="59"/>
    </row>
    <row r="207" ht="12.75" customHeight="1">
      <c r="B207" s="59"/>
      <c r="C207" s="59"/>
      <c r="D207" s="59"/>
      <c r="E207" s="59"/>
      <c r="F207" s="59"/>
      <c r="I207" s="59"/>
      <c r="J207" s="59"/>
      <c r="K207" s="59"/>
    </row>
    <row r="208" ht="12.75" customHeight="1">
      <c r="B208" s="59"/>
      <c r="C208" s="59"/>
      <c r="D208" s="59"/>
      <c r="E208" s="59"/>
      <c r="F208" s="59"/>
      <c r="I208" s="59"/>
      <c r="J208" s="59"/>
      <c r="K208" s="59"/>
    </row>
    <row r="209" ht="12.75" customHeight="1">
      <c r="B209" s="59"/>
      <c r="C209" s="59"/>
      <c r="D209" s="59"/>
      <c r="E209" s="59"/>
      <c r="F209" s="59"/>
      <c r="I209" s="59"/>
      <c r="J209" s="59"/>
      <c r="K209" s="59"/>
    </row>
    <row r="210" ht="12.75" customHeight="1">
      <c r="B210" s="59"/>
      <c r="C210" s="59"/>
      <c r="D210" s="59"/>
      <c r="E210" s="59"/>
      <c r="F210" s="59"/>
      <c r="I210" s="59"/>
      <c r="J210" s="59"/>
      <c r="K210" s="59"/>
    </row>
    <row r="211" ht="12.75" customHeight="1">
      <c r="B211" s="59"/>
      <c r="C211" s="59"/>
      <c r="D211" s="59"/>
      <c r="E211" s="59"/>
      <c r="F211" s="59"/>
      <c r="I211" s="59"/>
      <c r="J211" s="59"/>
      <c r="K211" s="59"/>
    </row>
    <row r="212" ht="12.75" customHeight="1">
      <c r="B212" s="59"/>
      <c r="C212" s="59"/>
      <c r="D212" s="59"/>
      <c r="E212" s="59"/>
      <c r="F212" s="59"/>
      <c r="I212" s="59"/>
      <c r="J212" s="59"/>
      <c r="K212" s="59"/>
    </row>
    <row r="213" ht="12.75" customHeight="1">
      <c r="B213" s="59"/>
      <c r="C213" s="59"/>
      <c r="D213" s="59"/>
      <c r="E213" s="59"/>
      <c r="F213" s="59"/>
      <c r="I213" s="59"/>
      <c r="J213" s="59"/>
      <c r="K213" s="59"/>
    </row>
    <row r="214" ht="12.75" customHeight="1">
      <c r="B214" s="59"/>
      <c r="C214" s="59"/>
      <c r="D214" s="59"/>
      <c r="E214" s="59"/>
      <c r="F214" s="59"/>
      <c r="I214" s="59"/>
      <c r="J214" s="59"/>
      <c r="K214" s="59"/>
    </row>
    <row r="215" ht="12.75" customHeight="1">
      <c r="B215" s="59"/>
      <c r="C215" s="59"/>
      <c r="D215" s="59"/>
      <c r="E215" s="59"/>
      <c r="F215" s="59"/>
      <c r="I215" s="59"/>
      <c r="J215" s="59"/>
      <c r="K215" s="59"/>
    </row>
    <row r="216" ht="12.75" customHeight="1">
      <c r="B216" s="59"/>
      <c r="C216" s="59"/>
      <c r="D216" s="59"/>
      <c r="E216" s="59"/>
      <c r="F216" s="59"/>
      <c r="I216" s="59"/>
      <c r="J216" s="59"/>
      <c r="K216" s="59"/>
    </row>
    <row r="217" ht="12.75" customHeight="1">
      <c r="B217" s="59"/>
      <c r="C217" s="59"/>
      <c r="D217" s="59"/>
      <c r="E217" s="59"/>
      <c r="F217" s="59"/>
      <c r="I217" s="59"/>
      <c r="J217" s="59"/>
      <c r="K217" s="59"/>
    </row>
    <row r="218" ht="12.75" customHeight="1">
      <c r="B218" s="59"/>
      <c r="C218" s="59"/>
      <c r="D218" s="59"/>
      <c r="E218" s="59"/>
      <c r="F218" s="59"/>
      <c r="I218" s="59"/>
      <c r="J218" s="59"/>
      <c r="K218" s="59"/>
    </row>
    <row r="219" ht="12.75" customHeight="1">
      <c r="B219" s="59"/>
      <c r="C219" s="59"/>
      <c r="D219" s="59"/>
      <c r="E219" s="59"/>
      <c r="F219" s="59"/>
      <c r="I219" s="59"/>
      <c r="J219" s="59"/>
      <c r="K219" s="59"/>
    </row>
    <row r="220" ht="12.75" customHeight="1">
      <c r="B220" s="59"/>
      <c r="C220" s="59"/>
      <c r="D220" s="59"/>
      <c r="E220" s="59"/>
      <c r="F220" s="59"/>
      <c r="I220" s="59"/>
      <c r="J220" s="59"/>
      <c r="K220" s="59"/>
    </row>
    <row r="221" ht="12.75" customHeight="1">
      <c r="B221" s="59"/>
      <c r="C221" s="59"/>
      <c r="D221" s="59"/>
      <c r="E221" s="59"/>
      <c r="F221" s="59"/>
      <c r="I221" s="59"/>
      <c r="J221" s="59"/>
      <c r="K221" s="59"/>
    </row>
    <row r="222" ht="12.75" customHeight="1">
      <c r="B222" s="59"/>
      <c r="C222" s="59"/>
      <c r="D222" s="59"/>
      <c r="E222" s="59"/>
      <c r="F222" s="59"/>
      <c r="I222" s="59"/>
      <c r="J222" s="59"/>
      <c r="K222" s="59"/>
    </row>
    <row r="223" ht="12.75" customHeight="1">
      <c r="B223" s="59"/>
      <c r="C223" s="59"/>
      <c r="D223" s="59"/>
      <c r="E223" s="59"/>
      <c r="F223" s="59"/>
      <c r="I223" s="59"/>
      <c r="J223" s="59"/>
      <c r="K223" s="59"/>
    </row>
    <row r="224" ht="12.75" customHeight="1">
      <c r="B224" s="59"/>
      <c r="C224" s="59"/>
      <c r="D224" s="59"/>
      <c r="E224" s="59"/>
      <c r="F224" s="59"/>
      <c r="I224" s="59"/>
      <c r="J224" s="59"/>
      <c r="K224" s="59"/>
    </row>
    <row r="225" ht="12.75" customHeight="1">
      <c r="B225" s="59"/>
      <c r="C225" s="59"/>
      <c r="D225" s="59"/>
      <c r="E225" s="59"/>
      <c r="F225" s="59"/>
      <c r="I225" s="59"/>
      <c r="J225" s="59"/>
      <c r="K225" s="59"/>
    </row>
    <row r="226" ht="12.75" customHeight="1">
      <c r="B226" s="59"/>
      <c r="C226" s="59"/>
      <c r="D226" s="59"/>
      <c r="E226" s="59"/>
      <c r="F226" s="59"/>
      <c r="I226" s="59"/>
      <c r="J226" s="59"/>
      <c r="K226" s="59"/>
    </row>
    <row r="227" ht="12.75" customHeight="1">
      <c r="B227" s="59"/>
      <c r="C227" s="59"/>
      <c r="D227" s="59"/>
      <c r="E227" s="59"/>
      <c r="F227" s="59"/>
      <c r="I227" s="59"/>
      <c r="J227" s="59"/>
      <c r="K227" s="59"/>
    </row>
    <row r="228" ht="12.75" customHeight="1">
      <c r="B228" s="59"/>
      <c r="C228" s="59"/>
      <c r="D228" s="59"/>
      <c r="E228" s="59"/>
      <c r="F228" s="59"/>
      <c r="I228" s="59"/>
      <c r="J228" s="59"/>
      <c r="K228" s="59"/>
    </row>
    <row r="229" ht="12.75" customHeight="1">
      <c r="B229" s="59"/>
      <c r="C229" s="59"/>
      <c r="D229" s="59"/>
      <c r="E229" s="59"/>
      <c r="F229" s="59"/>
      <c r="I229" s="59"/>
      <c r="J229" s="59"/>
      <c r="K229" s="59"/>
    </row>
    <row r="230" ht="12.75" customHeight="1">
      <c r="B230" s="59"/>
      <c r="C230" s="59"/>
      <c r="D230" s="59"/>
      <c r="E230" s="59"/>
      <c r="F230" s="59"/>
      <c r="I230" s="59"/>
      <c r="J230" s="59"/>
      <c r="K230" s="59"/>
    </row>
    <row r="231" ht="12.75" customHeight="1">
      <c r="B231" s="59"/>
      <c r="C231" s="59"/>
      <c r="D231" s="59"/>
      <c r="E231" s="59"/>
      <c r="F231" s="59"/>
      <c r="I231" s="59"/>
      <c r="J231" s="59"/>
      <c r="K231" s="59"/>
    </row>
    <row r="232" ht="12.75" customHeight="1">
      <c r="B232" s="59"/>
      <c r="C232" s="59"/>
      <c r="D232" s="59"/>
      <c r="E232" s="59"/>
      <c r="F232" s="59"/>
      <c r="I232" s="59"/>
      <c r="J232" s="59"/>
      <c r="K232" s="59"/>
    </row>
    <row r="233" ht="12.75" customHeight="1">
      <c r="B233" s="59"/>
      <c r="C233" s="59"/>
      <c r="D233" s="59"/>
      <c r="E233" s="59"/>
      <c r="F233" s="59"/>
      <c r="I233" s="59"/>
      <c r="J233" s="59"/>
      <c r="K233" s="59"/>
    </row>
    <row r="234" ht="12.75" customHeight="1">
      <c r="B234" s="59"/>
      <c r="C234" s="59"/>
      <c r="D234" s="59"/>
      <c r="E234" s="59"/>
      <c r="F234" s="59"/>
      <c r="I234" s="59"/>
      <c r="J234" s="59"/>
      <c r="K234" s="59"/>
    </row>
    <row r="235" ht="12.75" customHeight="1">
      <c r="B235" s="59"/>
      <c r="C235" s="59"/>
      <c r="D235" s="59"/>
      <c r="E235" s="59"/>
      <c r="F235" s="59"/>
      <c r="I235" s="59"/>
      <c r="J235" s="59"/>
      <c r="K235" s="59"/>
    </row>
    <row r="236" ht="12.75" customHeight="1">
      <c r="B236" s="59"/>
      <c r="C236" s="59"/>
      <c r="D236" s="59"/>
      <c r="E236" s="59"/>
      <c r="F236" s="59"/>
      <c r="I236" s="59"/>
      <c r="J236" s="59"/>
      <c r="K236" s="59"/>
    </row>
    <row r="237" ht="12.75" customHeight="1">
      <c r="B237" s="59"/>
      <c r="C237" s="59"/>
      <c r="D237" s="59"/>
      <c r="E237" s="59"/>
      <c r="F237" s="59"/>
      <c r="I237" s="59"/>
      <c r="J237" s="59"/>
      <c r="K237" s="59"/>
    </row>
    <row r="238" ht="12.75" customHeight="1">
      <c r="B238" s="59"/>
      <c r="C238" s="59"/>
      <c r="D238" s="59"/>
      <c r="E238" s="59"/>
      <c r="F238" s="59"/>
      <c r="I238" s="59"/>
      <c r="J238" s="59"/>
      <c r="K238" s="59"/>
    </row>
    <row r="239" ht="12.75" customHeight="1">
      <c r="B239" s="59"/>
      <c r="C239" s="59"/>
      <c r="D239" s="59"/>
      <c r="E239" s="59"/>
      <c r="F239" s="59"/>
      <c r="I239" s="59"/>
      <c r="J239" s="59"/>
      <c r="K239" s="59"/>
    </row>
    <row r="240" ht="12.75" customHeight="1">
      <c r="B240" s="59"/>
      <c r="C240" s="59"/>
      <c r="D240" s="59"/>
      <c r="E240" s="59"/>
      <c r="F240" s="59"/>
      <c r="I240" s="59"/>
      <c r="J240" s="59"/>
      <c r="K240" s="59"/>
    </row>
    <row r="241" ht="12.75" customHeight="1">
      <c r="B241" s="59"/>
      <c r="C241" s="59"/>
      <c r="D241" s="59"/>
      <c r="E241" s="59"/>
      <c r="F241" s="59"/>
      <c r="I241" s="59"/>
      <c r="J241" s="59"/>
      <c r="K241" s="59"/>
    </row>
    <row r="242" ht="12.75" customHeight="1">
      <c r="B242" s="59"/>
      <c r="C242" s="59"/>
      <c r="D242" s="59"/>
      <c r="E242" s="59"/>
      <c r="F242" s="59"/>
      <c r="I242" s="59"/>
      <c r="J242" s="59"/>
      <c r="K242" s="59"/>
    </row>
    <row r="243" ht="12.75" customHeight="1">
      <c r="B243" s="59"/>
      <c r="C243" s="59"/>
      <c r="D243" s="59"/>
      <c r="E243" s="59"/>
      <c r="F243" s="59"/>
      <c r="I243" s="59"/>
      <c r="J243" s="59"/>
      <c r="K243" s="59"/>
    </row>
    <row r="244" ht="12.75" customHeight="1">
      <c r="B244" s="59"/>
      <c r="C244" s="59"/>
      <c r="D244" s="59"/>
      <c r="E244" s="59"/>
      <c r="F244" s="59"/>
      <c r="I244" s="59"/>
      <c r="J244" s="59"/>
      <c r="K244" s="59"/>
    </row>
    <row r="245" ht="12.75" customHeight="1">
      <c r="B245" s="59"/>
      <c r="C245" s="59"/>
      <c r="D245" s="59"/>
      <c r="E245" s="59"/>
      <c r="F245" s="59"/>
      <c r="I245" s="59"/>
      <c r="J245" s="59"/>
      <c r="K245" s="59"/>
    </row>
    <row r="246" ht="12.75" customHeight="1">
      <c r="B246" s="59"/>
      <c r="C246" s="59"/>
      <c r="D246" s="59"/>
      <c r="E246" s="59"/>
      <c r="F246" s="59"/>
      <c r="I246" s="59"/>
      <c r="J246" s="59"/>
      <c r="K246" s="59"/>
    </row>
    <row r="247" ht="12.75" customHeight="1">
      <c r="B247" s="59"/>
      <c r="C247" s="59"/>
      <c r="D247" s="59"/>
      <c r="E247" s="59"/>
      <c r="F247" s="59"/>
      <c r="I247" s="59"/>
      <c r="J247" s="59"/>
      <c r="K247" s="59"/>
    </row>
    <row r="248" ht="12.75" customHeight="1">
      <c r="B248" s="59"/>
      <c r="C248" s="59"/>
      <c r="D248" s="59"/>
      <c r="E248" s="59"/>
      <c r="F248" s="59"/>
      <c r="I248" s="59"/>
      <c r="J248" s="59"/>
      <c r="K248" s="59"/>
    </row>
    <row r="249" ht="12.75" customHeight="1">
      <c r="B249" s="59"/>
      <c r="C249" s="59"/>
      <c r="D249" s="59"/>
      <c r="E249" s="59"/>
      <c r="F249" s="59"/>
      <c r="I249" s="59"/>
      <c r="J249" s="59"/>
      <c r="K249" s="59"/>
    </row>
    <row r="250" ht="12.75" customHeight="1">
      <c r="B250" s="59"/>
      <c r="C250" s="59"/>
      <c r="D250" s="59"/>
      <c r="E250" s="59"/>
      <c r="F250" s="59"/>
      <c r="I250" s="59"/>
      <c r="J250" s="59"/>
      <c r="K250" s="59"/>
    </row>
    <row r="251" ht="12.75" customHeight="1">
      <c r="B251" s="59"/>
      <c r="C251" s="59"/>
      <c r="D251" s="59"/>
      <c r="E251" s="59"/>
      <c r="F251" s="59"/>
      <c r="I251" s="59"/>
      <c r="J251" s="59"/>
      <c r="K251" s="59"/>
    </row>
    <row r="252" ht="12.75" customHeight="1">
      <c r="B252" s="59"/>
      <c r="C252" s="59"/>
      <c r="D252" s="59"/>
      <c r="E252" s="59"/>
      <c r="F252" s="59"/>
      <c r="I252" s="59"/>
      <c r="J252" s="59"/>
      <c r="K252" s="59"/>
    </row>
    <row r="253" ht="12.75" customHeight="1">
      <c r="B253" s="59"/>
      <c r="C253" s="59"/>
      <c r="D253" s="59"/>
      <c r="E253" s="59"/>
      <c r="F253" s="59"/>
      <c r="I253" s="59"/>
      <c r="J253" s="59"/>
      <c r="K253" s="59"/>
    </row>
    <row r="254" ht="12.75" customHeight="1">
      <c r="B254" s="59"/>
      <c r="C254" s="59"/>
      <c r="D254" s="59"/>
      <c r="E254" s="59"/>
      <c r="F254" s="59"/>
      <c r="I254" s="59"/>
      <c r="J254" s="59"/>
      <c r="K254" s="59"/>
    </row>
    <row r="255" ht="12.75" customHeight="1">
      <c r="B255" s="59"/>
      <c r="C255" s="59"/>
      <c r="D255" s="59"/>
      <c r="E255" s="59"/>
      <c r="F255" s="59"/>
      <c r="I255" s="59"/>
      <c r="J255" s="59"/>
      <c r="K255" s="59"/>
    </row>
    <row r="256" ht="12.75" customHeight="1">
      <c r="B256" s="59"/>
      <c r="C256" s="59"/>
      <c r="D256" s="59"/>
      <c r="E256" s="59"/>
      <c r="F256" s="59"/>
      <c r="I256" s="59"/>
      <c r="J256" s="59"/>
      <c r="K256" s="59"/>
    </row>
    <row r="257" ht="12.75" customHeight="1">
      <c r="B257" s="59"/>
      <c r="C257" s="59"/>
      <c r="D257" s="59"/>
      <c r="E257" s="59"/>
      <c r="F257" s="59"/>
      <c r="I257" s="59"/>
      <c r="J257" s="59"/>
      <c r="K257" s="59"/>
    </row>
    <row r="258" ht="12.75" customHeight="1">
      <c r="B258" s="59"/>
      <c r="C258" s="59"/>
      <c r="D258" s="59"/>
      <c r="E258" s="59"/>
      <c r="F258" s="59"/>
      <c r="I258" s="59"/>
      <c r="J258" s="59"/>
      <c r="K258" s="59"/>
    </row>
    <row r="259" ht="12.75" customHeight="1">
      <c r="B259" s="59"/>
      <c r="C259" s="59"/>
      <c r="D259" s="59"/>
      <c r="E259" s="59"/>
      <c r="F259" s="59"/>
      <c r="I259" s="59"/>
      <c r="J259" s="59"/>
      <c r="K259" s="59"/>
    </row>
    <row r="260" ht="12.75" customHeight="1">
      <c r="B260" s="59"/>
      <c r="C260" s="59"/>
      <c r="D260" s="59"/>
      <c r="E260" s="59"/>
      <c r="F260" s="59"/>
      <c r="I260" s="59"/>
      <c r="J260" s="59"/>
      <c r="K260" s="59"/>
    </row>
    <row r="261" ht="12.75" customHeight="1">
      <c r="B261" s="59"/>
      <c r="C261" s="59"/>
      <c r="D261" s="59"/>
      <c r="E261" s="59"/>
      <c r="F261" s="59"/>
      <c r="I261" s="59"/>
      <c r="J261" s="59"/>
      <c r="K261" s="59"/>
    </row>
    <row r="262" ht="12.75" customHeight="1">
      <c r="B262" s="59"/>
      <c r="C262" s="59"/>
      <c r="D262" s="59"/>
      <c r="E262" s="59"/>
      <c r="F262" s="59"/>
      <c r="I262" s="59"/>
      <c r="J262" s="59"/>
      <c r="K262" s="59"/>
    </row>
    <row r="263" ht="12.75" customHeight="1">
      <c r="B263" s="59"/>
      <c r="C263" s="59"/>
      <c r="D263" s="59"/>
      <c r="E263" s="59"/>
      <c r="F263" s="59"/>
      <c r="I263" s="59"/>
      <c r="J263" s="59"/>
      <c r="K263" s="59"/>
    </row>
    <row r="264" ht="12.75" customHeight="1">
      <c r="B264" s="59"/>
      <c r="C264" s="59"/>
      <c r="D264" s="59"/>
      <c r="E264" s="59"/>
      <c r="F264" s="59"/>
      <c r="I264" s="59"/>
      <c r="J264" s="59"/>
      <c r="K264" s="59"/>
    </row>
    <row r="265" ht="12.75" customHeight="1">
      <c r="B265" s="59"/>
      <c r="C265" s="59"/>
      <c r="D265" s="59"/>
      <c r="E265" s="59"/>
      <c r="F265" s="59"/>
      <c r="I265" s="59"/>
      <c r="J265" s="59"/>
      <c r="K265" s="59"/>
    </row>
    <row r="266" ht="12.75" customHeight="1">
      <c r="B266" s="59"/>
      <c r="C266" s="59"/>
      <c r="D266" s="59"/>
      <c r="E266" s="59"/>
      <c r="F266" s="59"/>
      <c r="I266" s="59"/>
      <c r="J266" s="59"/>
      <c r="K266" s="59"/>
    </row>
    <row r="267" ht="12.75" customHeight="1">
      <c r="B267" s="59"/>
      <c r="C267" s="59"/>
      <c r="D267" s="59"/>
      <c r="E267" s="59"/>
      <c r="F267" s="59"/>
      <c r="I267" s="59"/>
      <c r="J267" s="59"/>
      <c r="K267" s="59"/>
    </row>
    <row r="268" ht="12.75" customHeight="1">
      <c r="B268" s="59"/>
      <c r="C268" s="59"/>
      <c r="D268" s="59"/>
      <c r="E268" s="59"/>
      <c r="F268" s="59"/>
      <c r="I268" s="59"/>
      <c r="J268" s="59"/>
      <c r="K268" s="59"/>
    </row>
    <row r="269" ht="12.75" customHeight="1">
      <c r="B269" s="59"/>
      <c r="C269" s="59"/>
      <c r="D269" s="59"/>
      <c r="E269" s="59"/>
      <c r="F269" s="59"/>
      <c r="I269" s="59"/>
      <c r="J269" s="59"/>
      <c r="K269" s="59"/>
    </row>
    <row r="270" ht="12.75" customHeight="1">
      <c r="B270" s="59"/>
      <c r="C270" s="59"/>
      <c r="D270" s="59"/>
      <c r="E270" s="59"/>
      <c r="F270" s="59"/>
      <c r="I270" s="59"/>
      <c r="J270" s="59"/>
      <c r="K270" s="59"/>
    </row>
    <row r="271" ht="12.75" customHeight="1">
      <c r="B271" s="59"/>
      <c r="C271" s="59"/>
      <c r="D271" s="59"/>
      <c r="E271" s="59"/>
      <c r="F271" s="59"/>
      <c r="I271" s="59"/>
      <c r="J271" s="59"/>
      <c r="K271" s="59"/>
    </row>
    <row r="272" ht="12.75" customHeight="1">
      <c r="B272" s="59"/>
      <c r="C272" s="59"/>
      <c r="D272" s="59"/>
      <c r="E272" s="59"/>
      <c r="F272" s="59"/>
      <c r="I272" s="59"/>
      <c r="J272" s="59"/>
      <c r="K272" s="59"/>
    </row>
    <row r="273" ht="12.75" customHeight="1">
      <c r="B273" s="59"/>
      <c r="C273" s="59"/>
      <c r="D273" s="59"/>
      <c r="E273" s="59"/>
      <c r="F273" s="59"/>
      <c r="I273" s="59"/>
      <c r="J273" s="59"/>
      <c r="K273" s="59"/>
    </row>
    <row r="274" ht="12.75" customHeight="1">
      <c r="B274" s="59"/>
      <c r="C274" s="59"/>
      <c r="D274" s="59"/>
      <c r="E274" s="59"/>
      <c r="F274" s="59"/>
      <c r="I274" s="59"/>
      <c r="J274" s="59"/>
      <c r="K274" s="59"/>
    </row>
    <row r="275" ht="12.75" customHeight="1">
      <c r="B275" s="59"/>
      <c r="C275" s="59"/>
      <c r="D275" s="59"/>
      <c r="E275" s="59"/>
      <c r="F275" s="59"/>
      <c r="I275" s="59"/>
      <c r="J275" s="59"/>
      <c r="K275" s="59"/>
    </row>
    <row r="276" ht="12.75" customHeight="1">
      <c r="B276" s="59"/>
      <c r="C276" s="59"/>
      <c r="D276" s="59"/>
      <c r="E276" s="59"/>
      <c r="F276" s="59"/>
      <c r="I276" s="59"/>
      <c r="J276" s="59"/>
      <c r="K276" s="59"/>
    </row>
    <row r="277" ht="12.75" customHeight="1">
      <c r="B277" s="59"/>
      <c r="C277" s="59"/>
      <c r="D277" s="59"/>
      <c r="E277" s="59"/>
      <c r="F277" s="59"/>
      <c r="I277" s="59"/>
      <c r="J277" s="59"/>
      <c r="K277" s="59"/>
    </row>
    <row r="278" ht="12.75" customHeight="1">
      <c r="B278" s="59"/>
      <c r="C278" s="59"/>
      <c r="D278" s="59"/>
      <c r="E278" s="59"/>
      <c r="F278" s="59"/>
      <c r="I278" s="59"/>
      <c r="J278" s="59"/>
      <c r="K278" s="59"/>
    </row>
    <row r="279" ht="12.75" customHeight="1">
      <c r="B279" s="59"/>
      <c r="C279" s="59"/>
      <c r="D279" s="59"/>
      <c r="E279" s="59"/>
      <c r="F279" s="59"/>
      <c r="I279" s="59"/>
      <c r="J279" s="59"/>
      <c r="K279" s="59"/>
    </row>
    <row r="280" ht="12.75" customHeight="1">
      <c r="B280" s="59"/>
      <c r="C280" s="59"/>
      <c r="D280" s="59"/>
      <c r="E280" s="59"/>
      <c r="F280" s="59"/>
      <c r="I280" s="59"/>
      <c r="J280" s="59"/>
      <c r="K280" s="59"/>
    </row>
    <row r="281" ht="12.75" customHeight="1">
      <c r="B281" s="59"/>
      <c r="C281" s="59"/>
      <c r="D281" s="59"/>
      <c r="E281" s="59"/>
      <c r="F281" s="59"/>
      <c r="I281" s="59"/>
      <c r="J281" s="59"/>
      <c r="K281" s="59"/>
    </row>
    <row r="282" ht="12.75" customHeight="1">
      <c r="B282" s="59"/>
      <c r="C282" s="59"/>
      <c r="D282" s="59"/>
      <c r="E282" s="59"/>
      <c r="F282" s="59"/>
      <c r="I282" s="59"/>
      <c r="J282" s="59"/>
      <c r="K282" s="59"/>
    </row>
    <row r="283" ht="12.75" customHeight="1">
      <c r="B283" s="59"/>
      <c r="C283" s="59"/>
      <c r="D283" s="59"/>
      <c r="E283" s="59"/>
      <c r="F283" s="59"/>
      <c r="I283" s="59"/>
      <c r="J283" s="59"/>
      <c r="K283" s="59"/>
    </row>
    <row r="284" ht="12.75" customHeight="1">
      <c r="B284" s="59"/>
      <c r="C284" s="59"/>
      <c r="D284" s="59"/>
      <c r="E284" s="59"/>
      <c r="F284" s="59"/>
      <c r="I284" s="59"/>
      <c r="J284" s="59"/>
      <c r="K284" s="59"/>
    </row>
    <row r="285" ht="12.75" customHeight="1">
      <c r="B285" s="59"/>
      <c r="C285" s="59"/>
      <c r="D285" s="59"/>
      <c r="E285" s="59"/>
      <c r="F285" s="59"/>
      <c r="I285" s="59"/>
      <c r="J285" s="59"/>
      <c r="K285" s="59"/>
    </row>
    <row r="286" ht="12.75" customHeight="1">
      <c r="B286" s="59"/>
      <c r="C286" s="59"/>
      <c r="D286" s="59"/>
      <c r="E286" s="59"/>
      <c r="F286" s="59"/>
      <c r="I286" s="59"/>
      <c r="J286" s="59"/>
      <c r="K286" s="59"/>
    </row>
    <row r="287" ht="12.75" customHeight="1">
      <c r="B287" s="59"/>
      <c r="C287" s="59"/>
      <c r="D287" s="59"/>
      <c r="E287" s="59"/>
      <c r="F287" s="59"/>
      <c r="I287" s="59"/>
      <c r="J287" s="59"/>
      <c r="K287" s="59"/>
    </row>
    <row r="288" ht="12.75" customHeight="1">
      <c r="B288" s="59"/>
      <c r="C288" s="59"/>
      <c r="D288" s="59"/>
      <c r="E288" s="59"/>
      <c r="F288" s="59"/>
      <c r="I288" s="59"/>
      <c r="J288" s="59"/>
      <c r="K288" s="59"/>
    </row>
    <row r="289" ht="12.75" customHeight="1">
      <c r="B289" s="59"/>
      <c r="C289" s="59"/>
      <c r="D289" s="59"/>
      <c r="E289" s="59"/>
      <c r="F289" s="59"/>
      <c r="I289" s="59"/>
      <c r="J289" s="59"/>
      <c r="K289" s="59"/>
    </row>
    <row r="290" ht="12.75" customHeight="1">
      <c r="B290" s="59"/>
      <c r="C290" s="59"/>
      <c r="D290" s="59"/>
      <c r="E290" s="59"/>
      <c r="F290" s="59"/>
      <c r="I290" s="59"/>
      <c r="J290" s="59"/>
      <c r="K290" s="59"/>
    </row>
    <row r="291" ht="12.75" customHeight="1">
      <c r="B291" s="59"/>
      <c r="C291" s="59"/>
      <c r="D291" s="59"/>
      <c r="E291" s="59"/>
      <c r="F291" s="59"/>
      <c r="I291" s="59"/>
      <c r="J291" s="59"/>
      <c r="K291" s="59"/>
    </row>
    <row r="292" ht="12.75" customHeight="1">
      <c r="B292" s="59"/>
      <c r="C292" s="59"/>
      <c r="D292" s="59"/>
      <c r="E292" s="59"/>
      <c r="F292" s="59"/>
      <c r="I292" s="59"/>
      <c r="J292" s="59"/>
      <c r="K292" s="59"/>
    </row>
    <row r="293" ht="12.75" customHeight="1">
      <c r="B293" s="59"/>
      <c r="C293" s="59"/>
      <c r="D293" s="59"/>
      <c r="E293" s="59"/>
      <c r="F293" s="59"/>
      <c r="I293" s="59"/>
      <c r="J293" s="59"/>
      <c r="K293" s="59"/>
    </row>
    <row r="294" ht="12.75" customHeight="1">
      <c r="B294" s="59"/>
      <c r="C294" s="59"/>
      <c r="D294" s="59"/>
      <c r="E294" s="59"/>
      <c r="F294" s="59"/>
      <c r="I294" s="59"/>
      <c r="J294" s="59"/>
      <c r="K294" s="59"/>
    </row>
    <row r="295" ht="12.75" customHeight="1">
      <c r="B295" s="59"/>
      <c r="C295" s="59"/>
      <c r="D295" s="59"/>
      <c r="E295" s="59"/>
      <c r="F295" s="59"/>
      <c r="I295" s="59"/>
      <c r="J295" s="59"/>
      <c r="K295" s="59"/>
    </row>
    <row r="296" ht="12.75" customHeight="1">
      <c r="B296" s="59"/>
      <c r="C296" s="59"/>
      <c r="D296" s="59"/>
      <c r="E296" s="59"/>
      <c r="F296" s="59"/>
      <c r="I296" s="59"/>
      <c r="J296" s="59"/>
      <c r="K296" s="59"/>
    </row>
    <row r="297" ht="12.75" customHeight="1">
      <c r="B297" s="59"/>
      <c r="C297" s="59"/>
      <c r="D297" s="59"/>
      <c r="E297" s="59"/>
      <c r="F297" s="59"/>
      <c r="I297" s="59"/>
      <c r="J297" s="59"/>
      <c r="K297" s="59"/>
    </row>
    <row r="298" ht="12.75" customHeight="1">
      <c r="B298" s="59"/>
      <c r="C298" s="59"/>
      <c r="D298" s="59"/>
      <c r="E298" s="59"/>
      <c r="F298" s="59"/>
      <c r="I298" s="59"/>
      <c r="J298" s="59"/>
      <c r="K298" s="59"/>
    </row>
    <row r="299" ht="12.75" customHeight="1">
      <c r="B299" s="59"/>
      <c r="C299" s="59"/>
      <c r="D299" s="59"/>
      <c r="E299" s="59"/>
      <c r="F299" s="59"/>
      <c r="I299" s="59"/>
      <c r="J299" s="59"/>
      <c r="K299" s="59"/>
    </row>
    <row r="300" ht="12.75" customHeight="1">
      <c r="B300" s="59"/>
      <c r="C300" s="59"/>
      <c r="D300" s="59"/>
      <c r="E300" s="59"/>
      <c r="F300" s="59"/>
      <c r="I300" s="59"/>
      <c r="J300" s="59"/>
      <c r="K300" s="59"/>
    </row>
    <row r="301" ht="12.75" customHeight="1">
      <c r="B301" s="59"/>
      <c r="C301" s="59"/>
      <c r="D301" s="59"/>
      <c r="E301" s="59"/>
      <c r="F301" s="59"/>
      <c r="I301" s="59"/>
      <c r="J301" s="59"/>
      <c r="K301" s="59"/>
    </row>
    <row r="302" ht="12.75" customHeight="1">
      <c r="B302" s="59"/>
      <c r="C302" s="59"/>
      <c r="D302" s="59"/>
      <c r="E302" s="59"/>
      <c r="F302" s="59"/>
      <c r="I302" s="59"/>
      <c r="J302" s="59"/>
      <c r="K302" s="59"/>
    </row>
    <row r="303" ht="12.75" customHeight="1">
      <c r="B303" s="59"/>
      <c r="C303" s="59"/>
      <c r="D303" s="59"/>
      <c r="E303" s="59"/>
      <c r="F303" s="59"/>
      <c r="I303" s="59"/>
      <c r="J303" s="59"/>
      <c r="K303" s="59"/>
    </row>
    <row r="304" ht="12.75" customHeight="1">
      <c r="B304" s="59"/>
      <c r="C304" s="59"/>
      <c r="D304" s="59"/>
      <c r="E304" s="59"/>
      <c r="F304" s="59"/>
      <c r="I304" s="59"/>
      <c r="J304" s="59"/>
      <c r="K304" s="59"/>
    </row>
    <row r="305" ht="12.75" customHeight="1">
      <c r="B305" s="59"/>
      <c r="C305" s="59"/>
      <c r="D305" s="59"/>
      <c r="E305" s="59"/>
      <c r="F305" s="59"/>
      <c r="I305" s="59"/>
      <c r="J305" s="59"/>
      <c r="K305" s="59"/>
    </row>
    <row r="306" ht="12.75" customHeight="1">
      <c r="B306" s="59"/>
      <c r="C306" s="59"/>
      <c r="D306" s="59"/>
      <c r="E306" s="59"/>
      <c r="F306" s="59"/>
      <c r="I306" s="59"/>
      <c r="J306" s="59"/>
      <c r="K306" s="59"/>
    </row>
    <row r="307" ht="12.75" customHeight="1">
      <c r="B307" s="59"/>
      <c r="C307" s="59"/>
      <c r="D307" s="59"/>
      <c r="E307" s="59"/>
      <c r="F307" s="59"/>
      <c r="I307" s="59"/>
      <c r="J307" s="59"/>
      <c r="K307" s="59"/>
    </row>
    <row r="308" ht="12.75" customHeight="1">
      <c r="B308" s="59"/>
      <c r="C308" s="59"/>
      <c r="D308" s="59"/>
      <c r="E308" s="59"/>
      <c r="F308" s="59"/>
      <c r="I308" s="59"/>
      <c r="J308" s="59"/>
      <c r="K308" s="59"/>
    </row>
    <row r="309" ht="12.75" customHeight="1">
      <c r="B309" s="59"/>
      <c r="C309" s="59"/>
      <c r="D309" s="59"/>
      <c r="E309" s="59"/>
      <c r="F309" s="59"/>
      <c r="I309" s="59"/>
      <c r="J309" s="59"/>
      <c r="K309" s="59"/>
    </row>
    <row r="310" ht="12.75" customHeight="1">
      <c r="B310" s="59"/>
      <c r="C310" s="59"/>
      <c r="D310" s="59"/>
      <c r="E310" s="59"/>
      <c r="F310" s="59"/>
      <c r="I310" s="59"/>
      <c r="J310" s="59"/>
      <c r="K310" s="59"/>
    </row>
    <row r="311" ht="12.75" customHeight="1">
      <c r="B311" s="59"/>
      <c r="C311" s="59"/>
      <c r="D311" s="59"/>
      <c r="E311" s="59"/>
      <c r="F311" s="59"/>
      <c r="I311" s="59"/>
      <c r="J311" s="59"/>
      <c r="K311" s="59"/>
    </row>
    <row r="312" ht="12.75" customHeight="1">
      <c r="B312" s="59"/>
      <c r="C312" s="59"/>
      <c r="D312" s="59"/>
      <c r="E312" s="59"/>
      <c r="F312" s="59"/>
      <c r="I312" s="59"/>
      <c r="J312" s="59"/>
      <c r="K312" s="59"/>
    </row>
    <row r="313" ht="12.75" customHeight="1">
      <c r="B313" s="59"/>
      <c r="C313" s="59"/>
      <c r="D313" s="59"/>
      <c r="E313" s="59"/>
      <c r="F313" s="59"/>
      <c r="I313" s="59"/>
      <c r="J313" s="59"/>
      <c r="K313" s="59"/>
    </row>
    <row r="314" ht="12.75" customHeight="1">
      <c r="B314" s="59"/>
      <c r="C314" s="59"/>
      <c r="D314" s="59"/>
      <c r="E314" s="59"/>
      <c r="F314" s="59"/>
      <c r="I314" s="59"/>
      <c r="J314" s="59"/>
      <c r="K314" s="59"/>
    </row>
    <row r="315" ht="12.75" customHeight="1">
      <c r="B315" s="59"/>
      <c r="C315" s="59"/>
      <c r="D315" s="59"/>
      <c r="E315" s="59"/>
      <c r="F315" s="59"/>
      <c r="I315" s="59"/>
      <c r="J315" s="59"/>
      <c r="K315" s="59"/>
    </row>
    <row r="316" ht="12.75" customHeight="1">
      <c r="B316" s="59"/>
      <c r="C316" s="59"/>
      <c r="D316" s="59"/>
      <c r="E316" s="59"/>
      <c r="F316" s="59"/>
      <c r="I316" s="59"/>
      <c r="J316" s="59"/>
      <c r="K316" s="59"/>
    </row>
    <row r="317" ht="12.75" customHeight="1">
      <c r="B317" s="59"/>
      <c r="C317" s="59"/>
      <c r="D317" s="59"/>
      <c r="E317" s="59"/>
      <c r="F317" s="59"/>
      <c r="I317" s="59"/>
      <c r="J317" s="59"/>
      <c r="K317" s="59"/>
    </row>
    <row r="318" ht="12.75" customHeight="1">
      <c r="B318" s="59"/>
      <c r="C318" s="59"/>
      <c r="D318" s="59"/>
      <c r="E318" s="59"/>
      <c r="F318" s="59"/>
      <c r="I318" s="59"/>
      <c r="J318" s="59"/>
      <c r="K318" s="59"/>
    </row>
    <row r="319" ht="12.75" customHeight="1">
      <c r="B319" s="59"/>
      <c r="C319" s="59"/>
      <c r="D319" s="59"/>
      <c r="E319" s="59"/>
      <c r="F319" s="59"/>
      <c r="I319" s="59"/>
      <c r="J319" s="59"/>
      <c r="K319" s="59"/>
    </row>
    <row r="320" ht="12.75" customHeight="1">
      <c r="B320" s="59"/>
      <c r="C320" s="59"/>
      <c r="D320" s="59"/>
      <c r="E320" s="59"/>
      <c r="F320" s="59"/>
      <c r="I320" s="59"/>
      <c r="J320" s="59"/>
      <c r="K320" s="59"/>
    </row>
    <row r="321" ht="12.75" customHeight="1">
      <c r="B321" s="59"/>
      <c r="C321" s="59"/>
      <c r="D321" s="59"/>
      <c r="E321" s="59"/>
      <c r="F321" s="59"/>
      <c r="I321" s="59"/>
      <c r="J321" s="59"/>
      <c r="K321" s="59"/>
    </row>
    <row r="322" ht="12.75" customHeight="1">
      <c r="B322" s="59"/>
      <c r="C322" s="59"/>
      <c r="D322" s="59"/>
      <c r="E322" s="59"/>
      <c r="F322" s="59"/>
      <c r="I322" s="59"/>
      <c r="J322" s="59"/>
      <c r="K322" s="59"/>
    </row>
    <row r="323" ht="12.75" customHeight="1">
      <c r="B323" s="59"/>
      <c r="C323" s="59"/>
      <c r="D323" s="59"/>
      <c r="E323" s="59"/>
      <c r="F323" s="59"/>
      <c r="I323" s="59"/>
      <c r="J323" s="59"/>
      <c r="K323" s="59"/>
    </row>
    <row r="324" ht="12.75" customHeight="1">
      <c r="B324" s="59"/>
      <c r="C324" s="59"/>
      <c r="D324" s="59"/>
      <c r="E324" s="59"/>
      <c r="F324" s="59"/>
      <c r="I324" s="59"/>
      <c r="J324" s="59"/>
      <c r="K324" s="59"/>
    </row>
    <row r="325" ht="12.75" customHeight="1">
      <c r="B325" s="59"/>
      <c r="C325" s="59"/>
      <c r="D325" s="59"/>
      <c r="E325" s="59"/>
      <c r="F325" s="59"/>
      <c r="I325" s="59"/>
      <c r="J325" s="59"/>
      <c r="K325" s="59"/>
    </row>
    <row r="326" ht="12.75" customHeight="1">
      <c r="B326" s="59"/>
      <c r="C326" s="59"/>
      <c r="D326" s="59"/>
      <c r="E326" s="59"/>
      <c r="F326" s="59"/>
      <c r="I326" s="59"/>
      <c r="J326" s="59"/>
      <c r="K326" s="59"/>
    </row>
    <row r="327" ht="12.75" customHeight="1">
      <c r="B327" s="59"/>
      <c r="C327" s="59"/>
      <c r="D327" s="59"/>
      <c r="E327" s="59"/>
      <c r="F327" s="59"/>
      <c r="I327" s="59"/>
      <c r="J327" s="59"/>
      <c r="K327" s="59"/>
    </row>
    <row r="328" ht="12.75" customHeight="1">
      <c r="B328" s="59"/>
      <c r="C328" s="59"/>
      <c r="D328" s="59"/>
      <c r="E328" s="59"/>
      <c r="F328" s="59"/>
      <c r="I328" s="59"/>
      <c r="J328" s="59"/>
      <c r="K328" s="59"/>
    </row>
    <row r="329" ht="12.75" customHeight="1">
      <c r="B329" s="59"/>
      <c r="C329" s="59"/>
      <c r="D329" s="59"/>
      <c r="E329" s="59"/>
      <c r="F329" s="59"/>
      <c r="I329" s="59"/>
      <c r="J329" s="59"/>
      <c r="K329" s="59"/>
    </row>
    <row r="330" ht="12.75" customHeight="1">
      <c r="B330" s="59"/>
      <c r="C330" s="59"/>
      <c r="D330" s="59"/>
      <c r="E330" s="59"/>
      <c r="F330" s="59"/>
      <c r="I330" s="59"/>
      <c r="J330" s="59"/>
      <c r="K330" s="59"/>
    </row>
    <row r="331" ht="12.75" customHeight="1">
      <c r="B331" s="59"/>
      <c r="C331" s="59"/>
      <c r="D331" s="59"/>
      <c r="E331" s="59"/>
      <c r="F331" s="59"/>
      <c r="I331" s="59"/>
      <c r="J331" s="59"/>
      <c r="K331" s="59"/>
    </row>
    <row r="332" ht="12.75" customHeight="1">
      <c r="B332" s="59"/>
      <c r="C332" s="59"/>
      <c r="D332" s="59"/>
      <c r="E332" s="59"/>
      <c r="F332" s="59"/>
      <c r="I332" s="59"/>
      <c r="J332" s="59"/>
      <c r="K332" s="59"/>
    </row>
    <row r="333" ht="12.75" customHeight="1">
      <c r="B333" s="59"/>
      <c r="C333" s="59"/>
      <c r="D333" s="59"/>
      <c r="E333" s="59"/>
      <c r="F333" s="59"/>
      <c r="I333" s="59"/>
      <c r="J333" s="59"/>
      <c r="K333" s="59"/>
    </row>
    <row r="334" ht="12.75" customHeight="1">
      <c r="B334" s="59"/>
      <c r="C334" s="59"/>
      <c r="D334" s="59"/>
      <c r="E334" s="59"/>
      <c r="F334" s="59"/>
      <c r="I334" s="59"/>
      <c r="J334" s="59"/>
      <c r="K334" s="59"/>
    </row>
    <row r="335" ht="12.75" customHeight="1">
      <c r="B335" s="59"/>
      <c r="C335" s="59"/>
      <c r="D335" s="59"/>
      <c r="E335" s="59"/>
      <c r="F335" s="59"/>
      <c r="I335" s="59"/>
      <c r="J335" s="59"/>
      <c r="K335" s="59"/>
    </row>
    <row r="336" ht="12.75" customHeight="1">
      <c r="B336" s="59"/>
      <c r="C336" s="59"/>
      <c r="D336" s="59"/>
      <c r="E336" s="59"/>
      <c r="F336" s="59"/>
      <c r="I336" s="59"/>
      <c r="J336" s="59"/>
      <c r="K336" s="59"/>
    </row>
    <row r="337" ht="12.75" customHeight="1">
      <c r="B337" s="59"/>
      <c r="C337" s="59"/>
      <c r="D337" s="59"/>
      <c r="E337" s="59"/>
      <c r="F337" s="59"/>
      <c r="I337" s="59"/>
      <c r="J337" s="59"/>
      <c r="K337" s="59"/>
    </row>
    <row r="338" ht="12.75" customHeight="1">
      <c r="B338" s="59"/>
      <c r="C338" s="59"/>
      <c r="D338" s="59"/>
      <c r="E338" s="59"/>
      <c r="F338" s="59"/>
      <c r="I338" s="59"/>
      <c r="J338" s="59"/>
      <c r="K338" s="59"/>
    </row>
    <row r="339" ht="12.75" customHeight="1">
      <c r="B339" s="59"/>
      <c r="C339" s="59"/>
      <c r="D339" s="59"/>
      <c r="E339" s="59"/>
      <c r="F339" s="59"/>
      <c r="I339" s="59"/>
      <c r="J339" s="59"/>
      <c r="K339" s="59"/>
    </row>
    <row r="340" ht="12.75" customHeight="1">
      <c r="B340" s="59"/>
      <c r="C340" s="59"/>
      <c r="D340" s="59"/>
      <c r="E340" s="59"/>
      <c r="F340" s="59"/>
      <c r="I340" s="59"/>
      <c r="J340" s="59"/>
      <c r="K340" s="59"/>
    </row>
    <row r="341" ht="12.75" customHeight="1">
      <c r="B341" s="59"/>
      <c r="C341" s="59"/>
      <c r="D341" s="59"/>
      <c r="E341" s="59"/>
      <c r="F341" s="59"/>
      <c r="I341" s="59"/>
      <c r="J341" s="59"/>
      <c r="K341" s="59"/>
    </row>
    <row r="342" ht="12.75" customHeight="1">
      <c r="B342" s="59"/>
      <c r="C342" s="59"/>
      <c r="D342" s="59"/>
      <c r="E342" s="59"/>
      <c r="F342" s="59"/>
      <c r="I342" s="59"/>
      <c r="J342" s="59"/>
      <c r="K342" s="59"/>
    </row>
    <row r="343" ht="12.75" customHeight="1">
      <c r="B343" s="59"/>
      <c r="C343" s="59"/>
      <c r="D343" s="59"/>
      <c r="E343" s="59"/>
      <c r="F343" s="59"/>
      <c r="I343" s="59"/>
      <c r="J343" s="59"/>
      <c r="K343" s="59"/>
    </row>
    <row r="344" ht="12.75" customHeight="1">
      <c r="B344" s="59"/>
      <c r="C344" s="59"/>
      <c r="D344" s="59"/>
      <c r="E344" s="59"/>
      <c r="F344" s="59"/>
      <c r="I344" s="59"/>
      <c r="J344" s="59"/>
      <c r="K344" s="59"/>
    </row>
    <row r="345" ht="12.75" customHeight="1">
      <c r="B345" s="59"/>
      <c r="C345" s="59"/>
      <c r="D345" s="59"/>
      <c r="E345" s="59"/>
      <c r="F345" s="59"/>
      <c r="I345" s="59"/>
      <c r="J345" s="59"/>
      <c r="K345" s="59"/>
    </row>
    <row r="346" ht="12.75" customHeight="1">
      <c r="B346" s="59"/>
      <c r="C346" s="59"/>
      <c r="D346" s="59"/>
      <c r="E346" s="59"/>
      <c r="F346" s="59"/>
      <c r="I346" s="59"/>
      <c r="J346" s="59"/>
      <c r="K346" s="59"/>
    </row>
    <row r="347" ht="12.75" customHeight="1">
      <c r="B347" s="59"/>
      <c r="C347" s="59"/>
      <c r="D347" s="59"/>
      <c r="E347" s="59"/>
      <c r="F347" s="59"/>
      <c r="I347" s="59"/>
      <c r="J347" s="59"/>
      <c r="K347" s="59"/>
    </row>
    <row r="348" ht="12.75" customHeight="1">
      <c r="B348" s="59"/>
      <c r="C348" s="59"/>
      <c r="D348" s="59"/>
      <c r="E348" s="59"/>
      <c r="F348" s="59"/>
      <c r="I348" s="59"/>
      <c r="J348" s="59"/>
      <c r="K348" s="59"/>
    </row>
    <row r="349" ht="12.75" customHeight="1">
      <c r="B349" s="59"/>
      <c r="C349" s="59"/>
      <c r="D349" s="59"/>
      <c r="E349" s="59"/>
      <c r="F349" s="59"/>
      <c r="I349" s="59"/>
      <c r="J349" s="59"/>
      <c r="K349" s="59"/>
    </row>
    <row r="350" ht="12.75" customHeight="1">
      <c r="B350" s="59"/>
      <c r="C350" s="59"/>
      <c r="D350" s="59"/>
      <c r="E350" s="59"/>
      <c r="F350" s="59"/>
      <c r="I350" s="59"/>
      <c r="J350" s="59"/>
      <c r="K350" s="59"/>
    </row>
    <row r="351" ht="12.75" customHeight="1">
      <c r="B351" s="59"/>
      <c r="C351" s="59"/>
      <c r="D351" s="59"/>
      <c r="E351" s="59"/>
      <c r="F351" s="59"/>
      <c r="I351" s="59"/>
      <c r="J351" s="59"/>
      <c r="K351" s="59"/>
    </row>
    <row r="352" ht="12.75" customHeight="1">
      <c r="B352" s="59"/>
      <c r="C352" s="59"/>
      <c r="D352" s="59"/>
      <c r="E352" s="59"/>
      <c r="F352" s="59"/>
      <c r="I352" s="59"/>
      <c r="J352" s="59"/>
      <c r="K352" s="59"/>
    </row>
    <row r="353" ht="12.75" customHeight="1">
      <c r="B353" s="59"/>
      <c r="C353" s="59"/>
      <c r="D353" s="59"/>
      <c r="E353" s="59"/>
      <c r="F353" s="59"/>
      <c r="I353" s="59"/>
      <c r="J353" s="59"/>
      <c r="K353" s="59"/>
    </row>
    <row r="354" ht="12.75" customHeight="1">
      <c r="B354" s="59"/>
      <c r="C354" s="59"/>
      <c r="D354" s="59"/>
      <c r="E354" s="59"/>
      <c r="F354" s="59"/>
      <c r="I354" s="59"/>
      <c r="J354" s="59"/>
      <c r="K354" s="59"/>
    </row>
    <row r="355" ht="12.75" customHeight="1">
      <c r="B355" s="59"/>
      <c r="C355" s="59"/>
      <c r="D355" s="59"/>
      <c r="E355" s="59"/>
      <c r="F355" s="59"/>
      <c r="I355" s="59"/>
      <c r="J355" s="59"/>
      <c r="K355" s="59"/>
    </row>
    <row r="356" ht="12.75" customHeight="1">
      <c r="B356" s="59"/>
      <c r="C356" s="59"/>
      <c r="D356" s="59"/>
      <c r="E356" s="59"/>
      <c r="F356" s="59"/>
      <c r="I356" s="59"/>
      <c r="J356" s="59"/>
      <c r="K356" s="59"/>
    </row>
    <row r="357" ht="12.75" customHeight="1">
      <c r="B357" s="59"/>
      <c r="C357" s="59"/>
      <c r="D357" s="59"/>
      <c r="E357" s="59"/>
      <c r="F357" s="59"/>
      <c r="I357" s="59"/>
      <c r="J357" s="59"/>
      <c r="K357" s="59"/>
    </row>
    <row r="358" ht="12.75" customHeight="1">
      <c r="B358" s="59"/>
      <c r="C358" s="59"/>
      <c r="D358" s="59"/>
      <c r="E358" s="59"/>
      <c r="F358" s="59"/>
      <c r="I358" s="59"/>
      <c r="J358" s="59"/>
      <c r="K358" s="59"/>
    </row>
    <row r="359" ht="12.75" customHeight="1">
      <c r="B359" s="59"/>
      <c r="C359" s="59"/>
      <c r="D359" s="59"/>
      <c r="E359" s="59"/>
      <c r="F359" s="59"/>
      <c r="I359" s="59"/>
      <c r="J359" s="59"/>
      <c r="K359" s="59"/>
    </row>
    <row r="360" ht="12.75" customHeight="1">
      <c r="B360" s="59"/>
      <c r="C360" s="59"/>
      <c r="D360" s="59"/>
      <c r="E360" s="59"/>
      <c r="F360" s="59"/>
      <c r="I360" s="59"/>
      <c r="J360" s="59"/>
      <c r="K360" s="59"/>
    </row>
    <row r="361" ht="12.75" customHeight="1">
      <c r="B361" s="59"/>
      <c r="C361" s="59"/>
      <c r="D361" s="59"/>
      <c r="E361" s="59"/>
      <c r="F361" s="59"/>
      <c r="I361" s="59"/>
      <c r="J361" s="59"/>
      <c r="K361" s="59"/>
    </row>
    <row r="362" ht="12.75" customHeight="1">
      <c r="B362" s="59"/>
      <c r="C362" s="59"/>
      <c r="D362" s="59"/>
      <c r="E362" s="59"/>
      <c r="F362" s="59"/>
      <c r="I362" s="59"/>
      <c r="J362" s="59"/>
      <c r="K362" s="59"/>
    </row>
    <row r="363" ht="12.75" customHeight="1">
      <c r="B363" s="59"/>
      <c r="C363" s="59"/>
      <c r="D363" s="59"/>
      <c r="E363" s="59"/>
      <c r="F363" s="59"/>
      <c r="I363" s="59"/>
      <c r="J363" s="59"/>
      <c r="K363" s="59"/>
    </row>
    <row r="364" ht="12.75" customHeight="1">
      <c r="B364" s="59"/>
      <c r="C364" s="59"/>
      <c r="D364" s="59"/>
      <c r="E364" s="59"/>
      <c r="F364" s="59"/>
      <c r="I364" s="59"/>
      <c r="J364" s="59"/>
      <c r="K364" s="59"/>
    </row>
    <row r="365" ht="12.75" customHeight="1">
      <c r="B365" s="59"/>
      <c r="C365" s="59"/>
      <c r="D365" s="59"/>
      <c r="E365" s="59"/>
      <c r="F365" s="59"/>
      <c r="I365" s="59"/>
      <c r="J365" s="59"/>
      <c r="K365" s="59"/>
    </row>
    <row r="366" ht="12.75" customHeight="1">
      <c r="B366" s="59"/>
      <c r="C366" s="59"/>
      <c r="D366" s="59"/>
      <c r="E366" s="59"/>
      <c r="F366" s="59"/>
      <c r="I366" s="59"/>
      <c r="J366" s="59"/>
      <c r="K366" s="59"/>
    </row>
    <row r="367" ht="12.75" customHeight="1">
      <c r="B367" s="59"/>
      <c r="C367" s="59"/>
      <c r="D367" s="59"/>
      <c r="E367" s="59"/>
      <c r="F367" s="59"/>
      <c r="I367" s="59"/>
      <c r="J367" s="59"/>
      <c r="K367" s="59"/>
    </row>
    <row r="368" ht="12.75" customHeight="1">
      <c r="B368" s="59"/>
      <c r="C368" s="59"/>
      <c r="D368" s="59"/>
      <c r="E368" s="59"/>
      <c r="F368" s="59"/>
      <c r="I368" s="59"/>
      <c r="J368" s="59"/>
      <c r="K368" s="59"/>
    </row>
    <row r="369" ht="12.75" customHeight="1">
      <c r="B369" s="59"/>
      <c r="C369" s="59"/>
      <c r="D369" s="59"/>
      <c r="E369" s="59"/>
      <c r="F369" s="59"/>
      <c r="I369" s="59"/>
      <c r="J369" s="59"/>
      <c r="K369" s="59"/>
    </row>
    <row r="370" ht="12.75" customHeight="1">
      <c r="B370" s="59"/>
      <c r="C370" s="59"/>
      <c r="D370" s="59"/>
      <c r="E370" s="59"/>
      <c r="F370" s="59"/>
      <c r="I370" s="59"/>
      <c r="J370" s="59"/>
      <c r="K370" s="59"/>
    </row>
    <row r="371" ht="12.75" customHeight="1">
      <c r="B371" s="59"/>
      <c r="C371" s="59"/>
      <c r="D371" s="59"/>
      <c r="E371" s="59"/>
      <c r="F371" s="59"/>
      <c r="I371" s="59"/>
      <c r="J371" s="59"/>
      <c r="K371" s="59"/>
    </row>
    <row r="372" ht="12.75" customHeight="1">
      <c r="B372" s="59"/>
      <c r="C372" s="59"/>
      <c r="D372" s="59"/>
      <c r="E372" s="59"/>
      <c r="F372" s="59"/>
      <c r="I372" s="59"/>
      <c r="J372" s="59"/>
      <c r="K372" s="59"/>
    </row>
    <row r="373" ht="12.75" customHeight="1">
      <c r="B373" s="59"/>
      <c r="C373" s="59"/>
      <c r="D373" s="59"/>
      <c r="E373" s="59"/>
      <c r="F373" s="59"/>
      <c r="I373" s="59"/>
      <c r="J373" s="59"/>
      <c r="K373" s="59"/>
    </row>
    <row r="374" ht="12.75" customHeight="1">
      <c r="B374" s="59"/>
      <c r="C374" s="59"/>
      <c r="D374" s="59"/>
      <c r="E374" s="59"/>
      <c r="F374" s="59"/>
      <c r="I374" s="59"/>
      <c r="J374" s="59"/>
      <c r="K374" s="59"/>
    </row>
    <row r="375" ht="12.75" customHeight="1">
      <c r="B375" s="59"/>
      <c r="C375" s="59"/>
      <c r="D375" s="59"/>
      <c r="E375" s="59"/>
      <c r="F375" s="59"/>
      <c r="I375" s="59"/>
      <c r="J375" s="59"/>
      <c r="K375" s="59"/>
    </row>
    <row r="376" ht="12.75" customHeight="1">
      <c r="B376" s="59"/>
      <c r="C376" s="59"/>
      <c r="D376" s="59"/>
      <c r="E376" s="59"/>
      <c r="F376" s="59"/>
      <c r="I376" s="59"/>
      <c r="J376" s="59"/>
      <c r="K376" s="59"/>
    </row>
    <row r="377" ht="12.75" customHeight="1">
      <c r="B377" s="59"/>
      <c r="C377" s="59"/>
      <c r="D377" s="59"/>
      <c r="E377" s="59"/>
      <c r="F377" s="59"/>
      <c r="I377" s="59"/>
      <c r="J377" s="59"/>
      <c r="K377" s="59"/>
    </row>
    <row r="378" ht="12.75" customHeight="1">
      <c r="B378" s="59"/>
      <c r="C378" s="59"/>
      <c r="D378" s="59"/>
      <c r="E378" s="59"/>
      <c r="F378" s="59"/>
      <c r="I378" s="59"/>
      <c r="J378" s="59"/>
      <c r="K378" s="59"/>
    </row>
    <row r="379" ht="12.75" customHeight="1">
      <c r="B379" s="59"/>
      <c r="C379" s="59"/>
      <c r="D379" s="59"/>
      <c r="E379" s="59"/>
      <c r="F379" s="59"/>
      <c r="I379" s="59"/>
      <c r="J379" s="59"/>
      <c r="K379" s="59"/>
    </row>
    <row r="380" ht="12.75" customHeight="1">
      <c r="B380" s="59"/>
      <c r="C380" s="59"/>
      <c r="D380" s="59"/>
      <c r="E380" s="59"/>
      <c r="F380" s="59"/>
      <c r="I380" s="59"/>
      <c r="J380" s="59"/>
      <c r="K380" s="59"/>
    </row>
    <row r="381" ht="12.75" customHeight="1">
      <c r="B381" s="59"/>
      <c r="C381" s="59"/>
      <c r="D381" s="59"/>
      <c r="E381" s="59"/>
      <c r="F381" s="59"/>
      <c r="I381" s="59"/>
      <c r="J381" s="59"/>
      <c r="K381" s="59"/>
    </row>
    <row r="382" ht="12.75" customHeight="1">
      <c r="B382" s="59"/>
      <c r="C382" s="59"/>
      <c r="D382" s="59"/>
      <c r="E382" s="59"/>
      <c r="F382" s="59"/>
      <c r="I382" s="59"/>
      <c r="J382" s="59"/>
      <c r="K382" s="59"/>
    </row>
    <row r="383" ht="12.75" customHeight="1">
      <c r="B383" s="59"/>
      <c r="C383" s="59"/>
      <c r="D383" s="59"/>
      <c r="E383" s="59"/>
      <c r="F383" s="59"/>
      <c r="I383" s="59"/>
      <c r="J383" s="59"/>
      <c r="K383" s="59"/>
    </row>
    <row r="384" ht="12.75" customHeight="1">
      <c r="B384" s="59"/>
      <c r="C384" s="59"/>
      <c r="D384" s="59"/>
      <c r="E384" s="59"/>
      <c r="F384" s="59"/>
      <c r="I384" s="59"/>
      <c r="J384" s="59"/>
      <c r="K384" s="59"/>
    </row>
    <row r="385" ht="12.75" customHeight="1">
      <c r="B385" s="59"/>
      <c r="C385" s="59"/>
      <c r="D385" s="59"/>
      <c r="E385" s="59"/>
      <c r="F385" s="59"/>
      <c r="I385" s="59"/>
      <c r="J385" s="59"/>
      <c r="K385" s="59"/>
    </row>
    <row r="386" ht="12.75" customHeight="1">
      <c r="B386" s="59"/>
      <c r="C386" s="59"/>
      <c r="D386" s="59"/>
      <c r="E386" s="59"/>
      <c r="F386" s="59"/>
      <c r="I386" s="59"/>
      <c r="J386" s="59"/>
      <c r="K386" s="59"/>
    </row>
    <row r="387" ht="12.75" customHeight="1">
      <c r="B387" s="59"/>
      <c r="C387" s="59"/>
      <c r="D387" s="59"/>
      <c r="E387" s="59"/>
      <c r="F387" s="59"/>
      <c r="I387" s="59"/>
      <c r="J387" s="59"/>
      <c r="K387" s="59"/>
    </row>
    <row r="388" ht="12.75" customHeight="1">
      <c r="B388" s="59"/>
      <c r="C388" s="59"/>
      <c r="D388" s="59"/>
      <c r="E388" s="59"/>
      <c r="F388" s="59"/>
      <c r="I388" s="59"/>
      <c r="J388" s="59"/>
      <c r="K388" s="59"/>
    </row>
    <row r="389" ht="12.75" customHeight="1">
      <c r="B389" s="59"/>
      <c r="C389" s="59"/>
      <c r="D389" s="59"/>
      <c r="E389" s="59"/>
      <c r="F389" s="59"/>
      <c r="I389" s="59"/>
      <c r="J389" s="59"/>
      <c r="K389" s="59"/>
    </row>
    <row r="390" ht="12.75" customHeight="1">
      <c r="B390" s="59"/>
      <c r="C390" s="59"/>
      <c r="D390" s="59"/>
      <c r="E390" s="59"/>
      <c r="F390" s="59"/>
      <c r="I390" s="59"/>
      <c r="J390" s="59"/>
      <c r="K390" s="59"/>
    </row>
    <row r="391" ht="12.75" customHeight="1">
      <c r="B391" s="59"/>
      <c r="C391" s="59"/>
      <c r="D391" s="59"/>
      <c r="E391" s="59"/>
      <c r="F391" s="59"/>
      <c r="I391" s="59"/>
      <c r="J391" s="59"/>
      <c r="K391" s="59"/>
    </row>
    <row r="392" ht="12.75" customHeight="1">
      <c r="B392" s="59"/>
      <c r="C392" s="59"/>
      <c r="D392" s="59"/>
      <c r="E392" s="59"/>
      <c r="F392" s="59"/>
      <c r="I392" s="59"/>
      <c r="J392" s="59"/>
      <c r="K392" s="59"/>
    </row>
    <row r="393" ht="12.75" customHeight="1">
      <c r="B393" s="59"/>
      <c r="C393" s="59"/>
      <c r="D393" s="59"/>
      <c r="E393" s="59"/>
      <c r="F393" s="59"/>
      <c r="I393" s="59"/>
      <c r="J393" s="59"/>
      <c r="K393" s="59"/>
    </row>
    <row r="394" ht="12.75" customHeight="1">
      <c r="B394" s="59"/>
      <c r="C394" s="59"/>
      <c r="D394" s="59"/>
      <c r="E394" s="59"/>
      <c r="F394" s="59"/>
      <c r="I394" s="59"/>
      <c r="J394" s="59"/>
      <c r="K394" s="59"/>
    </row>
    <row r="395" ht="12.75" customHeight="1">
      <c r="B395" s="59"/>
      <c r="C395" s="59"/>
      <c r="D395" s="59"/>
      <c r="E395" s="59"/>
      <c r="F395" s="59"/>
      <c r="I395" s="59"/>
      <c r="J395" s="59"/>
      <c r="K395" s="59"/>
    </row>
    <row r="396" ht="12.75" customHeight="1">
      <c r="B396" s="59"/>
      <c r="C396" s="59"/>
      <c r="D396" s="59"/>
      <c r="E396" s="59"/>
      <c r="F396" s="59"/>
      <c r="I396" s="59"/>
      <c r="J396" s="59"/>
      <c r="K396" s="59"/>
    </row>
    <row r="397" ht="12.75" customHeight="1">
      <c r="B397" s="59"/>
      <c r="C397" s="59"/>
      <c r="D397" s="59"/>
      <c r="E397" s="59"/>
      <c r="F397" s="59"/>
      <c r="I397" s="59"/>
      <c r="J397" s="59"/>
      <c r="K397" s="59"/>
    </row>
    <row r="398" ht="12.75" customHeight="1">
      <c r="B398" s="59"/>
      <c r="C398" s="59"/>
      <c r="D398" s="59"/>
      <c r="E398" s="59"/>
      <c r="F398" s="59"/>
      <c r="I398" s="59"/>
      <c r="J398" s="59"/>
      <c r="K398" s="59"/>
    </row>
    <row r="399" ht="12.75" customHeight="1">
      <c r="B399" s="59"/>
      <c r="C399" s="59"/>
      <c r="D399" s="59"/>
      <c r="E399" s="59"/>
      <c r="F399" s="59"/>
      <c r="I399" s="59"/>
      <c r="J399" s="59"/>
      <c r="K399" s="59"/>
    </row>
    <row r="400" ht="12.75" customHeight="1">
      <c r="B400" s="59"/>
      <c r="C400" s="59"/>
      <c r="D400" s="59"/>
      <c r="E400" s="59"/>
      <c r="F400" s="59"/>
      <c r="I400" s="59"/>
      <c r="J400" s="59"/>
      <c r="K400" s="59"/>
    </row>
    <row r="401" ht="12.75" customHeight="1">
      <c r="B401" s="59"/>
      <c r="C401" s="59"/>
      <c r="D401" s="59"/>
      <c r="E401" s="59"/>
      <c r="F401" s="59"/>
      <c r="I401" s="59"/>
      <c r="J401" s="59"/>
      <c r="K401" s="59"/>
    </row>
    <row r="402" ht="12.75" customHeight="1">
      <c r="B402" s="59"/>
      <c r="C402" s="59"/>
      <c r="D402" s="59"/>
      <c r="E402" s="59"/>
      <c r="F402" s="59"/>
      <c r="I402" s="59"/>
      <c r="J402" s="59"/>
      <c r="K402" s="59"/>
    </row>
    <row r="403" ht="12.75" customHeight="1">
      <c r="B403" s="59"/>
      <c r="C403" s="59"/>
      <c r="D403" s="59"/>
      <c r="E403" s="59"/>
      <c r="F403" s="59"/>
      <c r="I403" s="59"/>
      <c r="J403" s="59"/>
      <c r="K403" s="59"/>
    </row>
    <row r="404" ht="12.75" customHeight="1">
      <c r="B404" s="59"/>
      <c r="C404" s="59"/>
      <c r="D404" s="59"/>
      <c r="E404" s="59"/>
      <c r="F404" s="59"/>
      <c r="I404" s="59"/>
      <c r="J404" s="59"/>
      <c r="K404" s="59"/>
    </row>
    <row r="405" ht="12.75" customHeight="1">
      <c r="B405" s="59"/>
      <c r="C405" s="59"/>
      <c r="D405" s="59"/>
      <c r="E405" s="59"/>
      <c r="F405" s="59"/>
      <c r="I405" s="59"/>
      <c r="J405" s="59"/>
      <c r="K405" s="59"/>
    </row>
    <row r="406" ht="12.75" customHeight="1">
      <c r="B406" s="59"/>
      <c r="C406" s="59"/>
      <c r="D406" s="59"/>
      <c r="E406" s="59"/>
      <c r="F406" s="59"/>
      <c r="I406" s="59"/>
      <c r="J406" s="59"/>
      <c r="K406" s="59"/>
    </row>
    <row r="407" ht="12.75" customHeight="1">
      <c r="B407" s="59"/>
      <c r="C407" s="59"/>
      <c r="D407" s="59"/>
      <c r="E407" s="59"/>
      <c r="F407" s="59"/>
      <c r="I407" s="59"/>
      <c r="J407" s="59"/>
      <c r="K407" s="59"/>
    </row>
    <row r="408" ht="12.75" customHeight="1">
      <c r="B408" s="59"/>
      <c r="C408" s="59"/>
      <c r="D408" s="59"/>
      <c r="E408" s="59"/>
      <c r="F408" s="59"/>
      <c r="I408" s="59"/>
      <c r="J408" s="59"/>
      <c r="K408" s="59"/>
    </row>
    <row r="409" ht="12.75" customHeight="1">
      <c r="B409" s="59"/>
      <c r="C409" s="59"/>
      <c r="D409" s="59"/>
      <c r="E409" s="59"/>
      <c r="F409" s="59"/>
      <c r="I409" s="59"/>
      <c r="J409" s="59"/>
      <c r="K409" s="59"/>
    </row>
    <row r="410" ht="12.75" customHeight="1">
      <c r="B410" s="59"/>
      <c r="C410" s="59"/>
      <c r="D410" s="59"/>
      <c r="E410" s="59"/>
      <c r="F410" s="59"/>
      <c r="I410" s="59"/>
      <c r="J410" s="59"/>
      <c r="K410" s="59"/>
    </row>
    <row r="411" ht="12.75" customHeight="1">
      <c r="B411" s="59"/>
      <c r="C411" s="59"/>
      <c r="D411" s="59"/>
      <c r="E411" s="59"/>
      <c r="F411" s="59"/>
      <c r="I411" s="59"/>
      <c r="J411" s="59"/>
      <c r="K411" s="59"/>
    </row>
    <row r="412" ht="12.75" customHeight="1">
      <c r="B412" s="59"/>
      <c r="C412" s="59"/>
      <c r="D412" s="59"/>
      <c r="E412" s="59"/>
      <c r="F412" s="59"/>
      <c r="I412" s="59"/>
      <c r="J412" s="59"/>
      <c r="K412" s="59"/>
    </row>
    <row r="413" ht="12.75" customHeight="1">
      <c r="B413" s="59"/>
      <c r="C413" s="59"/>
      <c r="D413" s="59"/>
      <c r="E413" s="59"/>
      <c r="F413" s="59"/>
      <c r="I413" s="59"/>
      <c r="J413" s="59"/>
      <c r="K413" s="59"/>
    </row>
    <row r="414" ht="12.75" customHeight="1">
      <c r="B414" s="59"/>
      <c r="C414" s="59"/>
      <c r="D414" s="59"/>
      <c r="E414" s="59"/>
      <c r="F414" s="59"/>
      <c r="I414" s="59"/>
      <c r="J414" s="59"/>
      <c r="K414" s="59"/>
    </row>
    <row r="415" ht="12.75" customHeight="1">
      <c r="B415" s="59"/>
      <c r="C415" s="59"/>
      <c r="D415" s="59"/>
      <c r="E415" s="59"/>
      <c r="F415" s="59"/>
      <c r="I415" s="59"/>
      <c r="J415" s="59"/>
      <c r="K415" s="59"/>
    </row>
    <row r="416" ht="12.75" customHeight="1">
      <c r="B416" s="59"/>
      <c r="C416" s="59"/>
      <c r="D416" s="59"/>
      <c r="E416" s="59"/>
      <c r="F416" s="59"/>
      <c r="I416" s="59"/>
      <c r="J416" s="59"/>
      <c r="K416" s="59"/>
    </row>
    <row r="417" ht="12.75" customHeight="1">
      <c r="B417" s="59"/>
      <c r="C417" s="59"/>
      <c r="D417" s="59"/>
      <c r="E417" s="59"/>
      <c r="F417" s="59"/>
      <c r="I417" s="59"/>
      <c r="J417" s="59"/>
      <c r="K417" s="59"/>
    </row>
    <row r="418" ht="12.75" customHeight="1">
      <c r="B418" s="59"/>
      <c r="C418" s="59"/>
      <c r="D418" s="59"/>
      <c r="E418" s="59"/>
      <c r="F418" s="59"/>
      <c r="I418" s="59"/>
      <c r="J418" s="59"/>
      <c r="K418" s="59"/>
    </row>
    <row r="419" ht="12.75" customHeight="1">
      <c r="B419" s="59"/>
      <c r="C419" s="59"/>
      <c r="D419" s="59"/>
      <c r="E419" s="59"/>
      <c r="F419" s="59"/>
      <c r="I419" s="59"/>
      <c r="J419" s="59"/>
      <c r="K419" s="59"/>
    </row>
    <row r="420" ht="12.75" customHeight="1">
      <c r="B420" s="59"/>
      <c r="C420" s="59"/>
      <c r="D420" s="59"/>
      <c r="E420" s="59"/>
      <c r="F420" s="59"/>
      <c r="I420" s="59"/>
      <c r="J420" s="59"/>
      <c r="K420" s="59"/>
    </row>
    <row r="421" ht="12.75" customHeight="1">
      <c r="B421" s="59"/>
      <c r="C421" s="59"/>
      <c r="D421" s="59"/>
      <c r="E421" s="59"/>
      <c r="F421" s="59"/>
      <c r="I421" s="59"/>
      <c r="J421" s="59"/>
      <c r="K421" s="59"/>
    </row>
    <row r="422" ht="12.75" customHeight="1">
      <c r="B422" s="59"/>
      <c r="C422" s="59"/>
      <c r="D422" s="59"/>
      <c r="E422" s="59"/>
      <c r="F422" s="59"/>
      <c r="I422" s="59"/>
      <c r="J422" s="59"/>
      <c r="K422" s="59"/>
    </row>
    <row r="423" ht="12.75" customHeight="1">
      <c r="B423" s="59"/>
      <c r="C423" s="59"/>
      <c r="D423" s="59"/>
      <c r="E423" s="59"/>
      <c r="F423" s="59"/>
      <c r="I423" s="59"/>
      <c r="J423" s="59"/>
      <c r="K423" s="59"/>
    </row>
    <row r="424" ht="12.75" customHeight="1">
      <c r="B424" s="59"/>
      <c r="C424" s="59"/>
      <c r="D424" s="59"/>
      <c r="E424" s="59"/>
      <c r="F424" s="59"/>
      <c r="I424" s="59"/>
      <c r="J424" s="59"/>
      <c r="K424" s="59"/>
    </row>
    <row r="425" ht="12.75" customHeight="1">
      <c r="B425" s="59"/>
      <c r="C425" s="59"/>
      <c r="D425" s="59"/>
      <c r="E425" s="59"/>
      <c r="F425" s="59"/>
      <c r="I425" s="59"/>
      <c r="J425" s="59"/>
      <c r="K425" s="59"/>
    </row>
    <row r="426" ht="12.75" customHeight="1">
      <c r="B426" s="59"/>
      <c r="C426" s="59"/>
      <c r="D426" s="59"/>
      <c r="E426" s="59"/>
      <c r="F426" s="59"/>
      <c r="I426" s="59"/>
      <c r="J426" s="59"/>
      <c r="K426" s="59"/>
    </row>
    <row r="427" ht="12.75" customHeight="1">
      <c r="B427" s="59"/>
      <c r="C427" s="59"/>
      <c r="D427" s="59"/>
      <c r="E427" s="59"/>
      <c r="F427" s="59"/>
      <c r="I427" s="59"/>
      <c r="J427" s="59"/>
      <c r="K427" s="59"/>
    </row>
    <row r="428" ht="12.75" customHeight="1">
      <c r="B428" s="59"/>
      <c r="C428" s="59"/>
      <c r="D428" s="59"/>
      <c r="E428" s="59"/>
      <c r="F428" s="59"/>
      <c r="I428" s="59"/>
      <c r="J428" s="59"/>
      <c r="K428" s="59"/>
    </row>
    <row r="429" ht="12.75" customHeight="1">
      <c r="B429" s="59"/>
      <c r="C429" s="59"/>
      <c r="D429" s="59"/>
      <c r="E429" s="59"/>
      <c r="F429" s="59"/>
      <c r="I429" s="59"/>
      <c r="J429" s="59"/>
      <c r="K429" s="59"/>
    </row>
    <row r="430" ht="12.75" customHeight="1">
      <c r="B430" s="59"/>
      <c r="C430" s="59"/>
      <c r="D430" s="59"/>
      <c r="E430" s="59"/>
      <c r="F430" s="59"/>
      <c r="I430" s="59"/>
      <c r="J430" s="59"/>
      <c r="K430" s="59"/>
    </row>
    <row r="431" ht="12.75" customHeight="1">
      <c r="B431" s="59"/>
      <c r="C431" s="59"/>
      <c r="D431" s="59"/>
      <c r="E431" s="59"/>
      <c r="F431" s="59"/>
      <c r="I431" s="59"/>
      <c r="J431" s="59"/>
      <c r="K431" s="59"/>
    </row>
    <row r="432" ht="12.75" customHeight="1">
      <c r="B432" s="59"/>
      <c r="C432" s="59"/>
      <c r="D432" s="59"/>
      <c r="E432" s="59"/>
      <c r="F432" s="59"/>
      <c r="I432" s="59"/>
      <c r="J432" s="59"/>
      <c r="K432" s="59"/>
    </row>
    <row r="433" ht="12.75" customHeight="1">
      <c r="B433" s="59"/>
      <c r="C433" s="59"/>
      <c r="D433" s="59"/>
      <c r="E433" s="59"/>
      <c r="F433" s="59"/>
      <c r="I433" s="59"/>
      <c r="J433" s="59"/>
      <c r="K433" s="59"/>
    </row>
    <row r="434" ht="12.75" customHeight="1">
      <c r="B434" s="59"/>
      <c r="C434" s="59"/>
      <c r="D434" s="59"/>
      <c r="E434" s="59"/>
      <c r="F434" s="59"/>
      <c r="I434" s="59"/>
      <c r="J434" s="59"/>
      <c r="K434" s="59"/>
    </row>
    <row r="435" ht="12.75" customHeight="1">
      <c r="B435" s="59"/>
      <c r="C435" s="59"/>
      <c r="D435" s="59"/>
      <c r="E435" s="59"/>
      <c r="F435" s="59"/>
      <c r="I435" s="59"/>
      <c r="J435" s="59"/>
      <c r="K435" s="59"/>
    </row>
    <row r="436" ht="12.75" customHeight="1">
      <c r="B436" s="59"/>
      <c r="C436" s="59"/>
      <c r="D436" s="59"/>
      <c r="E436" s="59"/>
      <c r="F436" s="59"/>
      <c r="I436" s="59"/>
      <c r="J436" s="59"/>
      <c r="K436" s="59"/>
    </row>
    <row r="437" ht="12.75" customHeight="1">
      <c r="B437" s="59"/>
      <c r="C437" s="59"/>
      <c r="D437" s="59"/>
      <c r="E437" s="59"/>
      <c r="F437" s="59"/>
      <c r="I437" s="59"/>
      <c r="J437" s="59"/>
      <c r="K437" s="59"/>
    </row>
    <row r="438" ht="12.75" customHeight="1">
      <c r="B438" s="59"/>
      <c r="C438" s="59"/>
      <c r="D438" s="59"/>
      <c r="E438" s="59"/>
      <c r="F438" s="59"/>
      <c r="I438" s="59"/>
      <c r="J438" s="59"/>
      <c r="K438" s="59"/>
    </row>
    <row r="439" ht="12.75" customHeight="1">
      <c r="B439" s="59"/>
      <c r="C439" s="59"/>
      <c r="D439" s="59"/>
      <c r="E439" s="59"/>
      <c r="F439" s="59"/>
      <c r="I439" s="59"/>
      <c r="J439" s="59"/>
      <c r="K439" s="59"/>
    </row>
    <row r="440" ht="12.75" customHeight="1">
      <c r="B440" s="59"/>
      <c r="C440" s="59"/>
      <c r="D440" s="59"/>
      <c r="E440" s="59"/>
      <c r="F440" s="59"/>
      <c r="I440" s="59"/>
      <c r="J440" s="59"/>
      <c r="K440" s="59"/>
    </row>
    <row r="441" ht="12.75" customHeight="1">
      <c r="B441" s="59"/>
      <c r="C441" s="59"/>
      <c r="D441" s="59"/>
      <c r="E441" s="59"/>
      <c r="F441" s="59"/>
      <c r="I441" s="59"/>
      <c r="J441" s="59"/>
      <c r="K441" s="59"/>
    </row>
    <row r="442" ht="12.75" customHeight="1">
      <c r="B442" s="59"/>
      <c r="C442" s="59"/>
      <c r="D442" s="59"/>
      <c r="E442" s="59"/>
      <c r="F442" s="59"/>
      <c r="I442" s="59"/>
      <c r="J442" s="59"/>
      <c r="K442" s="59"/>
    </row>
    <row r="443" ht="12.75" customHeight="1">
      <c r="B443" s="59"/>
      <c r="C443" s="59"/>
      <c r="D443" s="59"/>
      <c r="E443" s="59"/>
      <c r="F443" s="59"/>
      <c r="I443" s="59"/>
      <c r="J443" s="59"/>
      <c r="K443" s="59"/>
    </row>
    <row r="444" ht="12.75" customHeight="1">
      <c r="B444" s="59"/>
      <c r="C444" s="59"/>
      <c r="D444" s="59"/>
      <c r="E444" s="59"/>
      <c r="F444" s="59"/>
      <c r="I444" s="59"/>
      <c r="J444" s="59"/>
      <c r="K444" s="59"/>
    </row>
    <row r="445" ht="12.75" customHeight="1">
      <c r="B445" s="59"/>
      <c r="C445" s="59"/>
      <c r="D445" s="59"/>
      <c r="E445" s="59"/>
      <c r="F445" s="59"/>
      <c r="I445" s="59"/>
      <c r="J445" s="59"/>
      <c r="K445" s="59"/>
    </row>
    <row r="446" ht="12.75" customHeight="1">
      <c r="B446" s="59"/>
      <c r="C446" s="59"/>
      <c r="D446" s="59"/>
      <c r="E446" s="59"/>
      <c r="F446" s="59"/>
      <c r="I446" s="59"/>
      <c r="J446" s="59"/>
      <c r="K446" s="59"/>
    </row>
    <row r="447" ht="12.75" customHeight="1">
      <c r="B447" s="59"/>
      <c r="C447" s="59"/>
      <c r="D447" s="59"/>
      <c r="E447" s="59"/>
      <c r="F447" s="59"/>
      <c r="I447" s="59"/>
      <c r="J447" s="59"/>
      <c r="K447" s="59"/>
    </row>
    <row r="448" ht="12.75" customHeight="1">
      <c r="B448" s="59"/>
      <c r="C448" s="59"/>
      <c r="D448" s="59"/>
      <c r="E448" s="59"/>
      <c r="F448" s="59"/>
      <c r="I448" s="59"/>
      <c r="J448" s="59"/>
      <c r="K448" s="59"/>
    </row>
    <row r="449" ht="12.75" customHeight="1">
      <c r="B449" s="59"/>
      <c r="C449" s="59"/>
      <c r="D449" s="59"/>
      <c r="E449" s="59"/>
      <c r="F449" s="59"/>
      <c r="I449" s="59"/>
      <c r="J449" s="59"/>
      <c r="K449" s="59"/>
    </row>
    <row r="450" ht="12.75" customHeight="1">
      <c r="B450" s="59"/>
      <c r="C450" s="59"/>
      <c r="D450" s="59"/>
      <c r="E450" s="59"/>
      <c r="F450" s="59"/>
      <c r="I450" s="59"/>
      <c r="J450" s="59"/>
      <c r="K450" s="59"/>
    </row>
    <row r="451" ht="12.75" customHeight="1">
      <c r="B451" s="59"/>
      <c r="C451" s="59"/>
      <c r="D451" s="59"/>
      <c r="E451" s="59"/>
      <c r="F451" s="59"/>
      <c r="I451" s="59"/>
      <c r="J451" s="59"/>
      <c r="K451" s="59"/>
    </row>
    <row r="452" ht="12.75" customHeight="1">
      <c r="B452" s="59"/>
      <c r="C452" s="59"/>
      <c r="D452" s="59"/>
      <c r="E452" s="59"/>
      <c r="F452" s="59"/>
      <c r="I452" s="59"/>
      <c r="J452" s="59"/>
      <c r="K452" s="59"/>
    </row>
    <row r="453" ht="12.75" customHeight="1">
      <c r="B453" s="59"/>
      <c r="C453" s="59"/>
      <c r="D453" s="59"/>
      <c r="E453" s="59"/>
      <c r="F453" s="59"/>
      <c r="I453" s="59"/>
      <c r="J453" s="59"/>
      <c r="K453" s="59"/>
    </row>
    <row r="454" ht="12.75" customHeight="1">
      <c r="B454" s="59"/>
      <c r="C454" s="59"/>
      <c r="D454" s="59"/>
      <c r="E454" s="59"/>
      <c r="F454" s="59"/>
      <c r="I454" s="59"/>
      <c r="J454" s="59"/>
      <c r="K454" s="59"/>
    </row>
    <row r="455" ht="12.75" customHeight="1">
      <c r="B455" s="59"/>
      <c r="C455" s="59"/>
      <c r="D455" s="59"/>
      <c r="E455" s="59"/>
      <c r="F455" s="59"/>
      <c r="I455" s="59"/>
      <c r="J455" s="59"/>
      <c r="K455" s="59"/>
    </row>
    <row r="456" ht="12.75" customHeight="1">
      <c r="B456" s="59"/>
      <c r="C456" s="59"/>
      <c r="D456" s="59"/>
      <c r="E456" s="59"/>
      <c r="F456" s="59"/>
      <c r="I456" s="59"/>
      <c r="J456" s="59"/>
      <c r="K456" s="59"/>
    </row>
    <row r="457" ht="12.75" customHeight="1">
      <c r="B457" s="59"/>
      <c r="C457" s="59"/>
      <c r="D457" s="59"/>
      <c r="E457" s="59"/>
      <c r="F457" s="59"/>
      <c r="I457" s="59"/>
      <c r="J457" s="59"/>
      <c r="K457" s="59"/>
    </row>
    <row r="458" ht="12.75" customHeight="1">
      <c r="B458" s="59"/>
      <c r="C458" s="59"/>
      <c r="D458" s="59"/>
      <c r="E458" s="59"/>
      <c r="F458" s="59"/>
      <c r="I458" s="59"/>
      <c r="J458" s="59"/>
      <c r="K458" s="59"/>
    </row>
    <row r="459" ht="12.75" customHeight="1">
      <c r="B459" s="59"/>
      <c r="C459" s="59"/>
      <c r="D459" s="59"/>
      <c r="E459" s="59"/>
      <c r="F459" s="59"/>
      <c r="I459" s="59"/>
      <c r="J459" s="59"/>
      <c r="K459" s="59"/>
    </row>
    <row r="460" ht="12.75" customHeight="1">
      <c r="B460" s="59"/>
      <c r="C460" s="59"/>
      <c r="D460" s="59"/>
      <c r="E460" s="59"/>
      <c r="F460" s="59"/>
      <c r="I460" s="59"/>
      <c r="J460" s="59"/>
      <c r="K460" s="59"/>
    </row>
    <row r="461" ht="12.75" customHeight="1">
      <c r="B461" s="59"/>
      <c r="C461" s="59"/>
      <c r="D461" s="59"/>
      <c r="E461" s="59"/>
      <c r="F461" s="59"/>
      <c r="I461" s="59"/>
      <c r="J461" s="59"/>
      <c r="K461" s="59"/>
    </row>
    <row r="462" ht="12.75" customHeight="1">
      <c r="B462" s="59"/>
      <c r="C462" s="59"/>
      <c r="D462" s="59"/>
      <c r="E462" s="59"/>
      <c r="F462" s="59"/>
      <c r="I462" s="59"/>
      <c r="J462" s="59"/>
      <c r="K462" s="59"/>
    </row>
    <row r="463" ht="12.75" customHeight="1">
      <c r="B463" s="59"/>
      <c r="C463" s="59"/>
      <c r="D463" s="59"/>
      <c r="E463" s="59"/>
      <c r="F463" s="59"/>
      <c r="I463" s="59"/>
      <c r="J463" s="59"/>
      <c r="K463" s="59"/>
    </row>
    <row r="464" ht="12.75" customHeight="1">
      <c r="B464" s="59"/>
      <c r="C464" s="59"/>
      <c r="D464" s="59"/>
      <c r="E464" s="59"/>
      <c r="F464" s="59"/>
      <c r="I464" s="59"/>
      <c r="J464" s="59"/>
      <c r="K464" s="59"/>
    </row>
    <row r="465" ht="12.75" customHeight="1">
      <c r="B465" s="59"/>
      <c r="C465" s="59"/>
      <c r="D465" s="59"/>
      <c r="E465" s="59"/>
      <c r="F465" s="59"/>
      <c r="I465" s="59"/>
      <c r="J465" s="59"/>
      <c r="K465" s="59"/>
    </row>
    <row r="466" ht="12.75" customHeight="1">
      <c r="B466" s="59"/>
      <c r="C466" s="59"/>
      <c r="D466" s="59"/>
      <c r="E466" s="59"/>
      <c r="F466" s="59"/>
      <c r="I466" s="59"/>
      <c r="J466" s="59"/>
      <c r="K466" s="59"/>
    </row>
    <row r="467" ht="12.75" customHeight="1">
      <c r="B467" s="59"/>
      <c r="C467" s="59"/>
      <c r="D467" s="59"/>
      <c r="E467" s="59"/>
      <c r="F467" s="59"/>
      <c r="I467" s="59"/>
      <c r="J467" s="59"/>
      <c r="K467" s="59"/>
    </row>
    <row r="468" ht="12.75" customHeight="1">
      <c r="B468" s="59"/>
      <c r="C468" s="59"/>
      <c r="D468" s="59"/>
      <c r="E468" s="59"/>
      <c r="F468" s="59"/>
      <c r="I468" s="59"/>
      <c r="J468" s="59"/>
      <c r="K468" s="59"/>
    </row>
    <row r="469" ht="12.75" customHeight="1">
      <c r="B469" s="59"/>
      <c r="C469" s="59"/>
      <c r="D469" s="59"/>
      <c r="E469" s="59"/>
      <c r="F469" s="59"/>
      <c r="I469" s="59"/>
      <c r="J469" s="59"/>
      <c r="K469" s="59"/>
    </row>
    <row r="470" ht="12.75" customHeight="1">
      <c r="B470" s="59"/>
      <c r="C470" s="59"/>
      <c r="D470" s="59"/>
      <c r="E470" s="59"/>
      <c r="F470" s="59"/>
      <c r="I470" s="59"/>
      <c r="J470" s="59"/>
      <c r="K470" s="59"/>
    </row>
    <row r="471" ht="12.75" customHeight="1">
      <c r="B471" s="59"/>
      <c r="C471" s="59"/>
      <c r="D471" s="59"/>
      <c r="E471" s="59"/>
      <c r="F471" s="59"/>
      <c r="I471" s="59"/>
      <c r="J471" s="59"/>
      <c r="K471" s="59"/>
    </row>
    <row r="472" ht="12.75" customHeight="1">
      <c r="B472" s="59"/>
      <c r="C472" s="59"/>
      <c r="D472" s="59"/>
      <c r="E472" s="59"/>
      <c r="F472" s="59"/>
      <c r="I472" s="59"/>
      <c r="J472" s="59"/>
      <c r="K472" s="59"/>
    </row>
    <row r="473" ht="12.75" customHeight="1">
      <c r="B473" s="59"/>
      <c r="C473" s="59"/>
      <c r="D473" s="59"/>
      <c r="E473" s="59"/>
      <c r="F473" s="59"/>
      <c r="I473" s="59"/>
      <c r="J473" s="59"/>
      <c r="K473" s="59"/>
    </row>
    <row r="474" ht="12.75" customHeight="1">
      <c r="B474" s="59"/>
      <c r="C474" s="59"/>
      <c r="D474" s="59"/>
      <c r="E474" s="59"/>
      <c r="F474" s="59"/>
      <c r="I474" s="59"/>
      <c r="J474" s="59"/>
      <c r="K474" s="59"/>
    </row>
    <row r="475" ht="12.75" customHeight="1">
      <c r="B475" s="59"/>
      <c r="C475" s="59"/>
      <c r="D475" s="59"/>
      <c r="E475" s="59"/>
      <c r="F475" s="59"/>
      <c r="I475" s="59"/>
      <c r="J475" s="59"/>
      <c r="K475" s="59"/>
    </row>
    <row r="476" ht="12.75" customHeight="1">
      <c r="B476" s="59"/>
      <c r="C476" s="59"/>
      <c r="D476" s="59"/>
      <c r="E476" s="59"/>
      <c r="F476" s="59"/>
      <c r="I476" s="59"/>
      <c r="J476" s="59"/>
      <c r="K476" s="59"/>
    </row>
    <row r="477" ht="12.75" customHeight="1">
      <c r="B477" s="59"/>
      <c r="C477" s="59"/>
      <c r="D477" s="59"/>
      <c r="E477" s="59"/>
      <c r="F477" s="59"/>
      <c r="I477" s="59"/>
      <c r="J477" s="59"/>
      <c r="K477" s="59"/>
    </row>
    <row r="478" ht="12.75" customHeight="1">
      <c r="B478" s="59"/>
      <c r="C478" s="59"/>
      <c r="D478" s="59"/>
      <c r="E478" s="59"/>
      <c r="F478" s="59"/>
      <c r="I478" s="59"/>
      <c r="J478" s="59"/>
      <c r="K478" s="59"/>
    </row>
    <row r="479" ht="12.75" customHeight="1">
      <c r="B479" s="59"/>
      <c r="C479" s="59"/>
      <c r="D479" s="59"/>
      <c r="E479" s="59"/>
      <c r="F479" s="59"/>
      <c r="I479" s="59"/>
      <c r="J479" s="59"/>
      <c r="K479" s="59"/>
    </row>
    <row r="480" ht="12.75" customHeight="1">
      <c r="B480" s="59"/>
      <c r="C480" s="59"/>
      <c r="D480" s="59"/>
      <c r="E480" s="59"/>
      <c r="F480" s="59"/>
      <c r="I480" s="59"/>
      <c r="J480" s="59"/>
      <c r="K480" s="59"/>
    </row>
    <row r="481" ht="12.75" customHeight="1">
      <c r="B481" s="59"/>
      <c r="C481" s="59"/>
      <c r="D481" s="59"/>
      <c r="E481" s="59"/>
      <c r="F481" s="59"/>
      <c r="I481" s="59"/>
      <c r="J481" s="59"/>
      <c r="K481" s="59"/>
    </row>
    <row r="482" ht="12.75" customHeight="1">
      <c r="B482" s="59"/>
      <c r="C482" s="59"/>
      <c r="D482" s="59"/>
      <c r="E482" s="59"/>
      <c r="F482" s="59"/>
      <c r="I482" s="59"/>
      <c r="J482" s="59"/>
      <c r="K482" s="59"/>
    </row>
    <row r="483" ht="12.75" customHeight="1">
      <c r="B483" s="59"/>
      <c r="C483" s="59"/>
      <c r="D483" s="59"/>
      <c r="E483" s="59"/>
      <c r="F483" s="59"/>
      <c r="I483" s="59"/>
      <c r="J483" s="59"/>
      <c r="K483" s="59"/>
    </row>
    <row r="484" ht="12.75" customHeight="1">
      <c r="B484" s="59"/>
      <c r="C484" s="59"/>
      <c r="D484" s="59"/>
      <c r="E484" s="59"/>
      <c r="F484" s="59"/>
      <c r="I484" s="59"/>
      <c r="J484" s="59"/>
      <c r="K484" s="59"/>
    </row>
    <row r="485" ht="12.75" customHeight="1">
      <c r="B485" s="59"/>
      <c r="C485" s="59"/>
      <c r="D485" s="59"/>
      <c r="E485" s="59"/>
      <c r="F485" s="59"/>
      <c r="I485" s="59"/>
      <c r="J485" s="59"/>
      <c r="K485" s="59"/>
    </row>
    <row r="486" ht="12.75" customHeight="1">
      <c r="B486" s="59"/>
      <c r="C486" s="59"/>
      <c r="D486" s="59"/>
      <c r="E486" s="59"/>
      <c r="F486" s="59"/>
      <c r="I486" s="59"/>
      <c r="J486" s="59"/>
      <c r="K486" s="59"/>
    </row>
    <row r="487" ht="12.75" customHeight="1">
      <c r="B487" s="59"/>
      <c r="C487" s="59"/>
      <c r="D487" s="59"/>
      <c r="E487" s="59"/>
      <c r="F487" s="59"/>
      <c r="I487" s="59"/>
      <c r="J487" s="59"/>
      <c r="K487" s="59"/>
    </row>
    <row r="488" ht="12.75" customHeight="1">
      <c r="B488" s="59"/>
      <c r="C488" s="59"/>
      <c r="D488" s="59"/>
      <c r="E488" s="59"/>
      <c r="F488" s="59"/>
      <c r="I488" s="59"/>
      <c r="J488" s="59"/>
      <c r="K488" s="59"/>
    </row>
    <row r="489" ht="12.75" customHeight="1">
      <c r="B489" s="59"/>
      <c r="C489" s="59"/>
      <c r="D489" s="59"/>
      <c r="E489" s="59"/>
      <c r="F489" s="59"/>
      <c r="I489" s="59"/>
      <c r="J489" s="59"/>
      <c r="K489" s="59"/>
    </row>
    <row r="490" ht="12.75" customHeight="1">
      <c r="B490" s="59"/>
      <c r="C490" s="59"/>
      <c r="D490" s="59"/>
      <c r="E490" s="59"/>
      <c r="F490" s="59"/>
      <c r="I490" s="59"/>
      <c r="J490" s="59"/>
      <c r="K490" s="59"/>
    </row>
    <row r="491" ht="12.75" customHeight="1">
      <c r="B491" s="59"/>
      <c r="C491" s="59"/>
      <c r="D491" s="59"/>
      <c r="E491" s="59"/>
      <c r="F491" s="59"/>
      <c r="I491" s="59"/>
      <c r="J491" s="59"/>
      <c r="K491" s="59"/>
    </row>
    <row r="492" ht="12.75" customHeight="1">
      <c r="B492" s="59"/>
      <c r="C492" s="59"/>
      <c r="D492" s="59"/>
      <c r="E492" s="59"/>
      <c r="F492" s="59"/>
      <c r="I492" s="59"/>
      <c r="J492" s="59"/>
      <c r="K492" s="59"/>
    </row>
    <row r="493" ht="12.75" customHeight="1">
      <c r="B493" s="59"/>
      <c r="C493" s="59"/>
      <c r="D493" s="59"/>
      <c r="E493" s="59"/>
      <c r="F493" s="59"/>
      <c r="I493" s="59"/>
      <c r="J493" s="59"/>
      <c r="K493" s="59"/>
    </row>
    <row r="494" ht="12.75" customHeight="1">
      <c r="B494" s="59"/>
      <c r="C494" s="59"/>
      <c r="D494" s="59"/>
      <c r="E494" s="59"/>
      <c r="F494" s="59"/>
      <c r="I494" s="59"/>
      <c r="J494" s="59"/>
      <c r="K494" s="59"/>
    </row>
    <row r="495" ht="12.75" customHeight="1">
      <c r="B495" s="59"/>
      <c r="C495" s="59"/>
      <c r="D495" s="59"/>
      <c r="E495" s="59"/>
      <c r="F495" s="59"/>
      <c r="I495" s="59"/>
      <c r="J495" s="59"/>
      <c r="K495" s="59"/>
    </row>
    <row r="496" ht="12.75" customHeight="1">
      <c r="B496" s="59"/>
      <c r="C496" s="59"/>
      <c r="D496" s="59"/>
      <c r="E496" s="59"/>
      <c r="F496" s="59"/>
      <c r="I496" s="59"/>
      <c r="J496" s="59"/>
      <c r="K496" s="59"/>
    </row>
    <row r="497" ht="12.75" customHeight="1">
      <c r="B497" s="59"/>
      <c r="C497" s="59"/>
      <c r="D497" s="59"/>
      <c r="E497" s="59"/>
      <c r="F497" s="59"/>
      <c r="I497" s="59"/>
      <c r="J497" s="59"/>
      <c r="K497" s="59"/>
    </row>
    <row r="498" ht="12.75" customHeight="1">
      <c r="B498" s="59"/>
      <c r="C498" s="59"/>
      <c r="D498" s="59"/>
      <c r="E498" s="59"/>
      <c r="F498" s="59"/>
      <c r="I498" s="59"/>
      <c r="J498" s="59"/>
      <c r="K498" s="59"/>
    </row>
    <row r="499" ht="12.75" customHeight="1">
      <c r="B499" s="59"/>
      <c r="C499" s="59"/>
      <c r="D499" s="59"/>
      <c r="E499" s="59"/>
      <c r="F499" s="59"/>
      <c r="I499" s="59"/>
      <c r="J499" s="59"/>
      <c r="K499" s="59"/>
    </row>
    <row r="500" ht="12.75" customHeight="1">
      <c r="B500" s="59"/>
      <c r="C500" s="59"/>
      <c r="D500" s="59"/>
      <c r="E500" s="59"/>
      <c r="F500" s="59"/>
      <c r="I500" s="59"/>
      <c r="J500" s="59"/>
      <c r="K500" s="59"/>
    </row>
    <row r="501" ht="12.75" customHeight="1">
      <c r="B501" s="59"/>
      <c r="C501" s="59"/>
      <c r="D501" s="59"/>
      <c r="E501" s="59"/>
      <c r="F501" s="59"/>
      <c r="I501" s="59"/>
      <c r="J501" s="59"/>
      <c r="K501" s="59"/>
    </row>
    <row r="502" ht="12.75" customHeight="1">
      <c r="B502" s="59"/>
      <c r="C502" s="59"/>
      <c r="D502" s="59"/>
      <c r="E502" s="59"/>
      <c r="F502" s="59"/>
      <c r="I502" s="59"/>
      <c r="J502" s="59"/>
      <c r="K502" s="59"/>
    </row>
    <row r="503" ht="12.75" customHeight="1">
      <c r="B503" s="59"/>
      <c r="C503" s="59"/>
      <c r="D503" s="59"/>
      <c r="E503" s="59"/>
      <c r="F503" s="59"/>
      <c r="I503" s="59"/>
      <c r="J503" s="59"/>
      <c r="K503" s="59"/>
    </row>
    <row r="504" ht="12.75" customHeight="1">
      <c r="B504" s="59"/>
      <c r="C504" s="59"/>
      <c r="D504" s="59"/>
      <c r="E504" s="59"/>
      <c r="F504" s="59"/>
      <c r="I504" s="59"/>
      <c r="J504" s="59"/>
      <c r="K504" s="59"/>
    </row>
    <row r="505" ht="12.75" customHeight="1">
      <c r="B505" s="59"/>
      <c r="C505" s="59"/>
      <c r="D505" s="59"/>
      <c r="E505" s="59"/>
      <c r="F505" s="59"/>
      <c r="I505" s="59"/>
      <c r="J505" s="59"/>
      <c r="K505" s="59"/>
    </row>
    <row r="506" ht="12.75" customHeight="1">
      <c r="B506" s="59"/>
      <c r="C506" s="59"/>
      <c r="D506" s="59"/>
      <c r="E506" s="59"/>
      <c r="F506" s="59"/>
      <c r="I506" s="59"/>
      <c r="J506" s="59"/>
      <c r="K506" s="59"/>
    </row>
    <row r="507" ht="12.75" customHeight="1">
      <c r="B507" s="59"/>
      <c r="C507" s="59"/>
      <c r="D507" s="59"/>
      <c r="E507" s="59"/>
      <c r="F507" s="59"/>
      <c r="I507" s="59"/>
      <c r="J507" s="59"/>
      <c r="K507" s="59"/>
    </row>
    <row r="508" ht="12.75" customHeight="1">
      <c r="B508" s="59"/>
      <c r="C508" s="59"/>
      <c r="D508" s="59"/>
      <c r="E508" s="59"/>
      <c r="F508" s="59"/>
      <c r="I508" s="59"/>
      <c r="J508" s="59"/>
      <c r="K508" s="59"/>
    </row>
    <row r="509" ht="12.75" customHeight="1">
      <c r="B509" s="59"/>
      <c r="C509" s="59"/>
      <c r="D509" s="59"/>
      <c r="E509" s="59"/>
      <c r="F509" s="59"/>
      <c r="I509" s="59"/>
      <c r="J509" s="59"/>
      <c r="K509" s="59"/>
    </row>
    <row r="510" ht="12.75" customHeight="1">
      <c r="B510" s="59"/>
      <c r="C510" s="59"/>
      <c r="D510" s="59"/>
      <c r="E510" s="59"/>
      <c r="F510" s="59"/>
      <c r="I510" s="59"/>
      <c r="J510" s="59"/>
      <c r="K510" s="59"/>
    </row>
    <row r="511" ht="12.75" customHeight="1">
      <c r="B511" s="59"/>
      <c r="C511" s="59"/>
      <c r="D511" s="59"/>
      <c r="E511" s="59"/>
      <c r="F511" s="59"/>
      <c r="I511" s="59"/>
      <c r="J511" s="59"/>
      <c r="K511" s="59"/>
    </row>
    <row r="512" ht="12.75" customHeight="1">
      <c r="B512" s="59"/>
      <c r="C512" s="59"/>
      <c r="D512" s="59"/>
      <c r="E512" s="59"/>
      <c r="F512" s="59"/>
      <c r="I512" s="59"/>
      <c r="J512" s="59"/>
      <c r="K512" s="59"/>
    </row>
    <row r="513" ht="12.75" customHeight="1">
      <c r="B513" s="59"/>
      <c r="C513" s="59"/>
      <c r="D513" s="59"/>
      <c r="E513" s="59"/>
      <c r="F513" s="59"/>
      <c r="I513" s="59"/>
      <c r="J513" s="59"/>
      <c r="K513" s="59"/>
    </row>
    <row r="514" ht="12.75" customHeight="1">
      <c r="B514" s="59"/>
      <c r="C514" s="59"/>
      <c r="D514" s="59"/>
      <c r="E514" s="59"/>
      <c r="F514" s="59"/>
      <c r="I514" s="59"/>
      <c r="J514" s="59"/>
      <c r="K514" s="59"/>
    </row>
    <row r="515" ht="12.75" customHeight="1">
      <c r="B515" s="59"/>
      <c r="C515" s="59"/>
      <c r="D515" s="59"/>
      <c r="E515" s="59"/>
      <c r="F515" s="59"/>
      <c r="I515" s="59"/>
      <c r="J515" s="59"/>
      <c r="K515" s="59"/>
    </row>
    <row r="516" ht="12.75" customHeight="1">
      <c r="B516" s="59"/>
      <c r="C516" s="59"/>
      <c r="D516" s="59"/>
      <c r="E516" s="59"/>
      <c r="F516" s="59"/>
      <c r="I516" s="59"/>
      <c r="J516" s="59"/>
      <c r="K516" s="59"/>
    </row>
    <row r="517" ht="12.75" customHeight="1">
      <c r="B517" s="59"/>
      <c r="C517" s="59"/>
      <c r="D517" s="59"/>
      <c r="E517" s="59"/>
      <c r="F517" s="59"/>
      <c r="I517" s="59"/>
      <c r="J517" s="59"/>
      <c r="K517" s="59"/>
    </row>
    <row r="518" ht="12.75" customHeight="1">
      <c r="B518" s="59"/>
      <c r="C518" s="59"/>
      <c r="D518" s="59"/>
      <c r="E518" s="59"/>
      <c r="F518" s="59"/>
      <c r="I518" s="59"/>
      <c r="J518" s="59"/>
      <c r="K518" s="59"/>
    </row>
    <row r="519" ht="12.75" customHeight="1">
      <c r="B519" s="59"/>
      <c r="C519" s="59"/>
      <c r="D519" s="59"/>
      <c r="E519" s="59"/>
      <c r="F519" s="59"/>
      <c r="I519" s="59"/>
      <c r="J519" s="59"/>
      <c r="K519" s="59"/>
    </row>
    <row r="520" ht="12.75" customHeight="1">
      <c r="B520" s="59"/>
      <c r="C520" s="59"/>
      <c r="D520" s="59"/>
      <c r="E520" s="59"/>
      <c r="F520" s="59"/>
      <c r="I520" s="59"/>
      <c r="J520" s="59"/>
      <c r="K520" s="59"/>
    </row>
    <row r="521" ht="12.75" customHeight="1">
      <c r="B521" s="59"/>
      <c r="C521" s="59"/>
      <c r="D521" s="59"/>
      <c r="E521" s="59"/>
      <c r="F521" s="59"/>
      <c r="I521" s="59"/>
      <c r="J521" s="59"/>
      <c r="K521" s="59"/>
    </row>
    <row r="522" ht="12.75" customHeight="1">
      <c r="B522" s="59"/>
      <c r="C522" s="59"/>
      <c r="D522" s="59"/>
      <c r="E522" s="59"/>
      <c r="F522" s="59"/>
      <c r="I522" s="59"/>
      <c r="J522" s="59"/>
      <c r="K522" s="59"/>
    </row>
    <row r="523" ht="12.75" customHeight="1">
      <c r="B523" s="59"/>
      <c r="C523" s="59"/>
      <c r="D523" s="59"/>
      <c r="E523" s="59"/>
      <c r="F523" s="59"/>
      <c r="I523" s="59"/>
      <c r="J523" s="59"/>
      <c r="K523" s="59"/>
    </row>
    <row r="524" ht="12.75" customHeight="1">
      <c r="B524" s="59"/>
      <c r="C524" s="59"/>
      <c r="D524" s="59"/>
      <c r="E524" s="59"/>
      <c r="F524" s="59"/>
      <c r="I524" s="59"/>
      <c r="J524" s="59"/>
      <c r="K524" s="59"/>
    </row>
    <row r="525" ht="12.75" customHeight="1">
      <c r="B525" s="59"/>
      <c r="C525" s="59"/>
      <c r="D525" s="59"/>
      <c r="E525" s="59"/>
      <c r="F525" s="59"/>
      <c r="I525" s="59"/>
      <c r="J525" s="59"/>
      <c r="K525" s="59"/>
    </row>
    <row r="526" ht="12.75" customHeight="1">
      <c r="B526" s="59"/>
      <c r="C526" s="59"/>
      <c r="D526" s="59"/>
      <c r="E526" s="59"/>
      <c r="F526" s="59"/>
      <c r="I526" s="59"/>
      <c r="J526" s="59"/>
      <c r="K526" s="59"/>
    </row>
    <row r="527" ht="12.75" customHeight="1">
      <c r="B527" s="59"/>
      <c r="C527" s="59"/>
      <c r="D527" s="59"/>
      <c r="E527" s="59"/>
      <c r="F527" s="59"/>
      <c r="I527" s="59"/>
      <c r="J527" s="59"/>
      <c r="K527" s="59"/>
    </row>
    <row r="528" ht="12.75" customHeight="1">
      <c r="B528" s="59"/>
      <c r="C528" s="59"/>
      <c r="D528" s="59"/>
      <c r="E528" s="59"/>
      <c r="F528" s="59"/>
      <c r="I528" s="59"/>
      <c r="J528" s="59"/>
      <c r="K528" s="59"/>
    </row>
    <row r="529" ht="12.75" customHeight="1">
      <c r="B529" s="59"/>
      <c r="C529" s="59"/>
      <c r="D529" s="59"/>
      <c r="E529" s="59"/>
      <c r="F529" s="59"/>
      <c r="I529" s="59"/>
      <c r="J529" s="59"/>
      <c r="K529" s="59"/>
    </row>
    <row r="530" ht="12.75" customHeight="1">
      <c r="B530" s="59"/>
      <c r="C530" s="59"/>
      <c r="D530" s="59"/>
      <c r="E530" s="59"/>
      <c r="F530" s="59"/>
      <c r="I530" s="59"/>
      <c r="J530" s="59"/>
      <c r="K530" s="59"/>
    </row>
    <row r="531" ht="12.75" customHeight="1">
      <c r="B531" s="59"/>
      <c r="C531" s="59"/>
      <c r="D531" s="59"/>
      <c r="E531" s="59"/>
      <c r="F531" s="59"/>
      <c r="I531" s="59"/>
      <c r="J531" s="59"/>
      <c r="K531" s="59"/>
    </row>
    <row r="532" ht="12.75" customHeight="1">
      <c r="B532" s="59"/>
      <c r="C532" s="59"/>
      <c r="D532" s="59"/>
      <c r="E532" s="59"/>
      <c r="F532" s="59"/>
      <c r="I532" s="59"/>
      <c r="J532" s="59"/>
      <c r="K532" s="59"/>
    </row>
    <row r="533" ht="12.75" customHeight="1">
      <c r="B533" s="59"/>
      <c r="C533" s="59"/>
      <c r="D533" s="59"/>
      <c r="E533" s="59"/>
      <c r="F533" s="59"/>
      <c r="I533" s="59"/>
      <c r="J533" s="59"/>
      <c r="K533" s="59"/>
    </row>
    <row r="534" ht="12.75" customHeight="1">
      <c r="B534" s="59"/>
      <c r="C534" s="59"/>
      <c r="D534" s="59"/>
      <c r="E534" s="59"/>
      <c r="F534" s="59"/>
      <c r="I534" s="59"/>
      <c r="J534" s="59"/>
      <c r="K534" s="59"/>
    </row>
    <row r="535" ht="12.75" customHeight="1">
      <c r="B535" s="59"/>
      <c r="C535" s="59"/>
      <c r="D535" s="59"/>
      <c r="E535" s="59"/>
      <c r="F535" s="59"/>
      <c r="I535" s="59"/>
      <c r="J535" s="59"/>
      <c r="K535" s="59"/>
    </row>
    <row r="536" ht="12.75" customHeight="1">
      <c r="B536" s="59"/>
      <c r="C536" s="59"/>
      <c r="D536" s="59"/>
      <c r="E536" s="59"/>
      <c r="F536" s="59"/>
      <c r="I536" s="59"/>
      <c r="J536" s="59"/>
      <c r="K536" s="59"/>
    </row>
    <row r="537" ht="12.75" customHeight="1">
      <c r="B537" s="59"/>
      <c r="C537" s="59"/>
      <c r="D537" s="59"/>
      <c r="E537" s="59"/>
      <c r="F537" s="59"/>
      <c r="I537" s="59"/>
      <c r="J537" s="59"/>
      <c r="K537" s="59"/>
    </row>
    <row r="538" ht="12.75" customHeight="1">
      <c r="B538" s="59"/>
      <c r="C538" s="59"/>
      <c r="D538" s="59"/>
      <c r="E538" s="59"/>
      <c r="F538" s="59"/>
      <c r="I538" s="59"/>
      <c r="J538" s="59"/>
      <c r="K538" s="59"/>
    </row>
    <row r="539" ht="12.75" customHeight="1">
      <c r="B539" s="59"/>
      <c r="C539" s="59"/>
      <c r="D539" s="59"/>
      <c r="E539" s="59"/>
      <c r="F539" s="59"/>
      <c r="I539" s="59"/>
      <c r="J539" s="59"/>
      <c r="K539" s="59"/>
    </row>
    <row r="540" ht="12.75" customHeight="1">
      <c r="B540" s="59"/>
      <c r="C540" s="59"/>
      <c r="D540" s="59"/>
      <c r="E540" s="59"/>
      <c r="F540" s="59"/>
      <c r="I540" s="59"/>
      <c r="J540" s="59"/>
      <c r="K540" s="59"/>
    </row>
    <row r="541" ht="12.75" customHeight="1">
      <c r="B541" s="59"/>
      <c r="C541" s="59"/>
      <c r="D541" s="59"/>
      <c r="E541" s="59"/>
      <c r="F541" s="59"/>
      <c r="I541" s="59"/>
      <c r="J541" s="59"/>
      <c r="K541" s="59"/>
    </row>
    <row r="542" ht="12.75" customHeight="1">
      <c r="B542" s="59"/>
      <c r="C542" s="59"/>
      <c r="D542" s="59"/>
      <c r="E542" s="59"/>
      <c r="F542" s="59"/>
      <c r="I542" s="59"/>
      <c r="J542" s="59"/>
      <c r="K542" s="59"/>
    </row>
    <row r="543" ht="12.75" customHeight="1">
      <c r="B543" s="59"/>
      <c r="C543" s="59"/>
      <c r="D543" s="59"/>
      <c r="E543" s="59"/>
      <c r="F543" s="59"/>
      <c r="I543" s="59"/>
      <c r="J543" s="59"/>
      <c r="K543" s="59"/>
    </row>
    <row r="544" ht="12.75" customHeight="1">
      <c r="B544" s="59"/>
      <c r="C544" s="59"/>
      <c r="D544" s="59"/>
      <c r="E544" s="59"/>
      <c r="F544" s="59"/>
      <c r="I544" s="59"/>
      <c r="J544" s="59"/>
      <c r="K544" s="59"/>
    </row>
    <row r="545" ht="12.75" customHeight="1">
      <c r="B545" s="59"/>
      <c r="C545" s="59"/>
      <c r="D545" s="59"/>
      <c r="E545" s="59"/>
      <c r="F545" s="59"/>
      <c r="I545" s="59"/>
      <c r="J545" s="59"/>
      <c r="K545" s="59"/>
    </row>
    <row r="546" ht="12.75" customHeight="1">
      <c r="B546" s="59"/>
      <c r="C546" s="59"/>
      <c r="D546" s="59"/>
      <c r="E546" s="59"/>
      <c r="F546" s="59"/>
      <c r="I546" s="59"/>
      <c r="J546" s="59"/>
      <c r="K546" s="59"/>
    </row>
    <row r="547" ht="12.75" customHeight="1">
      <c r="B547" s="59"/>
      <c r="C547" s="59"/>
      <c r="D547" s="59"/>
      <c r="E547" s="59"/>
      <c r="F547" s="59"/>
      <c r="I547" s="59"/>
      <c r="J547" s="59"/>
      <c r="K547" s="59"/>
    </row>
    <row r="548" ht="12.75" customHeight="1">
      <c r="B548" s="59"/>
      <c r="C548" s="59"/>
      <c r="D548" s="59"/>
      <c r="E548" s="59"/>
      <c r="F548" s="59"/>
      <c r="I548" s="59"/>
      <c r="J548" s="59"/>
      <c r="K548" s="59"/>
    </row>
    <row r="549" ht="12.75" customHeight="1">
      <c r="B549" s="59"/>
      <c r="C549" s="59"/>
      <c r="D549" s="59"/>
      <c r="E549" s="59"/>
      <c r="F549" s="59"/>
      <c r="I549" s="59"/>
      <c r="J549" s="59"/>
      <c r="K549" s="59"/>
    </row>
    <row r="550" ht="12.75" customHeight="1">
      <c r="B550" s="59"/>
      <c r="C550" s="59"/>
      <c r="D550" s="59"/>
      <c r="E550" s="59"/>
      <c r="F550" s="59"/>
      <c r="I550" s="59"/>
      <c r="J550" s="59"/>
      <c r="K550" s="59"/>
    </row>
    <row r="551" ht="12.75" customHeight="1">
      <c r="B551" s="59"/>
      <c r="C551" s="59"/>
      <c r="D551" s="59"/>
      <c r="E551" s="59"/>
      <c r="F551" s="59"/>
      <c r="I551" s="59"/>
      <c r="J551" s="59"/>
      <c r="K551" s="59"/>
    </row>
    <row r="552" ht="12.75" customHeight="1">
      <c r="B552" s="59"/>
      <c r="C552" s="59"/>
      <c r="D552" s="59"/>
      <c r="E552" s="59"/>
      <c r="F552" s="59"/>
      <c r="I552" s="59"/>
      <c r="J552" s="59"/>
      <c r="K552" s="59"/>
    </row>
    <row r="553" ht="12.75" customHeight="1">
      <c r="B553" s="59"/>
      <c r="C553" s="59"/>
      <c r="D553" s="59"/>
      <c r="E553" s="59"/>
      <c r="F553" s="59"/>
      <c r="I553" s="59"/>
      <c r="J553" s="59"/>
      <c r="K553" s="59"/>
    </row>
    <row r="554" ht="12.75" customHeight="1">
      <c r="B554" s="59"/>
      <c r="C554" s="59"/>
      <c r="D554" s="59"/>
      <c r="E554" s="59"/>
      <c r="F554" s="59"/>
      <c r="I554" s="59"/>
      <c r="J554" s="59"/>
      <c r="K554" s="59"/>
    </row>
    <row r="555" ht="12.75" customHeight="1">
      <c r="B555" s="59"/>
      <c r="C555" s="59"/>
      <c r="D555" s="59"/>
      <c r="E555" s="59"/>
      <c r="F555" s="59"/>
      <c r="I555" s="59"/>
      <c r="J555" s="59"/>
      <c r="K555" s="59"/>
    </row>
    <row r="556" ht="12.75" customHeight="1">
      <c r="B556" s="59"/>
      <c r="C556" s="59"/>
      <c r="D556" s="59"/>
      <c r="E556" s="59"/>
      <c r="F556" s="59"/>
      <c r="I556" s="59"/>
      <c r="J556" s="59"/>
      <c r="K556" s="59"/>
    </row>
    <row r="557" ht="12.75" customHeight="1">
      <c r="B557" s="59"/>
      <c r="C557" s="59"/>
      <c r="D557" s="59"/>
      <c r="E557" s="59"/>
      <c r="F557" s="59"/>
      <c r="I557" s="59"/>
      <c r="J557" s="59"/>
      <c r="K557" s="59"/>
    </row>
    <row r="558" ht="12.75" customHeight="1">
      <c r="B558" s="59"/>
      <c r="C558" s="59"/>
      <c r="D558" s="59"/>
      <c r="E558" s="59"/>
      <c r="F558" s="59"/>
      <c r="I558" s="59"/>
      <c r="J558" s="59"/>
      <c r="K558" s="59"/>
    </row>
    <row r="559" ht="12.75" customHeight="1">
      <c r="B559" s="59"/>
      <c r="C559" s="59"/>
      <c r="D559" s="59"/>
      <c r="E559" s="59"/>
      <c r="F559" s="59"/>
      <c r="I559" s="59"/>
      <c r="J559" s="59"/>
      <c r="K559" s="59"/>
    </row>
    <row r="560" ht="12.75" customHeight="1">
      <c r="B560" s="59"/>
      <c r="C560" s="59"/>
      <c r="D560" s="59"/>
      <c r="E560" s="59"/>
      <c r="F560" s="59"/>
      <c r="I560" s="59"/>
      <c r="J560" s="59"/>
      <c r="K560" s="59"/>
    </row>
    <row r="561" ht="12.75" customHeight="1">
      <c r="B561" s="59"/>
      <c r="C561" s="59"/>
      <c r="D561" s="59"/>
      <c r="E561" s="59"/>
      <c r="F561" s="59"/>
      <c r="I561" s="59"/>
      <c r="J561" s="59"/>
      <c r="K561" s="59"/>
    </row>
    <row r="562" ht="12.75" customHeight="1">
      <c r="B562" s="59"/>
      <c r="C562" s="59"/>
      <c r="D562" s="59"/>
      <c r="E562" s="59"/>
      <c r="F562" s="59"/>
      <c r="I562" s="59"/>
      <c r="J562" s="59"/>
      <c r="K562" s="59"/>
    </row>
    <row r="563" ht="12.75" customHeight="1">
      <c r="B563" s="59"/>
      <c r="C563" s="59"/>
      <c r="D563" s="59"/>
      <c r="E563" s="59"/>
      <c r="F563" s="59"/>
      <c r="I563" s="59"/>
      <c r="J563" s="59"/>
      <c r="K563" s="59"/>
    </row>
    <row r="564" ht="12.75" customHeight="1">
      <c r="B564" s="59"/>
      <c r="C564" s="59"/>
      <c r="D564" s="59"/>
      <c r="E564" s="59"/>
      <c r="F564" s="59"/>
      <c r="I564" s="59"/>
      <c r="J564" s="59"/>
      <c r="K564" s="59"/>
    </row>
    <row r="565" ht="12.75" customHeight="1">
      <c r="B565" s="59"/>
      <c r="C565" s="59"/>
      <c r="D565" s="59"/>
      <c r="E565" s="59"/>
      <c r="F565" s="59"/>
      <c r="I565" s="59"/>
      <c r="J565" s="59"/>
      <c r="K565" s="59"/>
    </row>
    <row r="566" ht="12.75" customHeight="1">
      <c r="B566" s="59"/>
      <c r="C566" s="59"/>
      <c r="D566" s="59"/>
      <c r="E566" s="59"/>
      <c r="F566" s="59"/>
      <c r="I566" s="59"/>
      <c r="J566" s="59"/>
      <c r="K566" s="59"/>
    </row>
    <row r="567" ht="12.75" customHeight="1">
      <c r="B567" s="59"/>
      <c r="C567" s="59"/>
      <c r="D567" s="59"/>
      <c r="E567" s="59"/>
      <c r="F567" s="59"/>
      <c r="I567" s="59"/>
      <c r="J567" s="59"/>
      <c r="K567" s="59"/>
    </row>
    <row r="568" ht="12.75" customHeight="1">
      <c r="B568" s="59"/>
      <c r="C568" s="59"/>
      <c r="D568" s="59"/>
      <c r="E568" s="59"/>
      <c r="F568" s="59"/>
      <c r="I568" s="59"/>
      <c r="J568" s="59"/>
      <c r="K568" s="59"/>
    </row>
    <row r="569" ht="12.75" customHeight="1">
      <c r="B569" s="59"/>
      <c r="C569" s="59"/>
      <c r="D569" s="59"/>
      <c r="E569" s="59"/>
      <c r="F569" s="59"/>
      <c r="I569" s="59"/>
      <c r="J569" s="59"/>
      <c r="K569" s="59"/>
    </row>
    <row r="570" ht="12.75" customHeight="1">
      <c r="B570" s="59"/>
      <c r="C570" s="59"/>
      <c r="D570" s="59"/>
      <c r="E570" s="59"/>
      <c r="F570" s="59"/>
      <c r="I570" s="59"/>
      <c r="J570" s="59"/>
      <c r="K570" s="59"/>
    </row>
    <row r="571" ht="12.75" customHeight="1">
      <c r="B571" s="59"/>
      <c r="C571" s="59"/>
      <c r="D571" s="59"/>
      <c r="E571" s="59"/>
      <c r="F571" s="59"/>
      <c r="I571" s="59"/>
      <c r="J571" s="59"/>
      <c r="K571" s="59"/>
    </row>
    <row r="572" ht="12.75" customHeight="1">
      <c r="B572" s="59"/>
      <c r="C572" s="59"/>
      <c r="D572" s="59"/>
      <c r="E572" s="59"/>
      <c r="F572" s="59"/>
      <c r="I572" s="59"/>
      <c r="J572" s="59"/>
      <c r="K572" s="59"/>
    </row>
    <row r="573" ht="12.75" customHeight="1">
      <c r="B573" s="59"/>
      <c r="C573" s="59"/>
      <c r="D573" s="59"/>
      <c r="E573" s="59"/>
      <c r="F573" s="59"/>
      <c r="I573" s="59"/>
      <c r="J573" s="59"/>
      <c r="K573" s="59"/>
    </row>
    <row r="574" ht="12.75" customHeight="1">
      <c r="B574" s="59"/>
      <c r="C574" s="59"/>
      <c r="D574" s="59"/>
      <c r="E574" s="59"/>
      <c r="F574" s="59"/>
      <c r="I574" s="59"/>
      <c r="J574" s="59"/>
      <c r="K574" s="59"/>
    </row>
    <row r="575" ht="12.75" customHeight="1">
      <c r="B575" s="59"/>
      <c r="C575" s="59"/>
      <c r="D575" s="59"/>
      <c r="E575" s="59"/>
      <c r="F575" s="59"/>
      <c r="I575" s="59"/>
      <c r="J575" s="59"/>
      <c r="K575" s="59"/>
    </row>
    <row r="576" ht="12.75" customHeight="1">
      <c r="B576" s="59"/>
      <c r="C576" s="59"/>
      <c r="D576" s="59"/>
      <c r="E576" s="59"/>
      <c r="F576" s="59"/>
      <c r="I576" s="59"/>
      <c r="J576" s="59"/>
      <c r="K576" s="59"/>
    </row>
    <row r="577" ht="12.75" customHeight="1">
      <c r="B577" s="59"/>
      <c r="C577" s="59"/>
      <c r="D577" s="59"/>
      <c r="E577" s="59"/>
      <c r="F577" s="59"/>
      <c r="I577" s="59"/>
      <c r="J577" s="59"/>
      <c r="K577" s="59"/>
    </row>
    <row r="578" ht="12.75" customHeight="1">
      <c r="B578" s="59"/>
      <c r="C578" s="59"/>
      <c r="D578" s="59"/>
      <c r="E578" s="59"/>
      <c r="F578" s="59"/>
      <c r="I578" s="59"/>
      <c r="J578" s="59"/>
      <c r="K578" s="59"/>
    </row>
    <row r="579" ht="12.75" customHeight="1">
      <c r="B579" s="59"/>
      <c r="C579" s="59"/>
      <c r="D579" s="59"/>
      <c r="E579" s="59"/>
      <c r="F579" s="59"/>
      <c r="I579" s="59"/>
      <c r="J579" s="59"/>
      <c r="K579" s="59"/>
    </row>
    <row r="580" ht="12.75" customHeight="1">
      <c r="B580" s="59"/>
      <c r="C580" s="59"/>
      <c r="D580" s="59"/>
      <c r="E580" s="59"/>
      <c r="F580" s="59"/>
      <c r="I580" s="59"/>
      <c r="J580" s="59"/>
      <c r="K580" s="59"/>
    </row>
    <row r="581" ht="12.75" customHeight="1">
      <c r="B581" s="59"/>
      <c r="C581" s="59"/>
      <c r="D581" s="59"/>
      <c r="E581" s="59"/>
      <c r="F581" s="59"/>
      <c r="I581" s="59"/>
      <c r="J581" s="59"/>
      <c r="K581" s="59"/>
    </row>
    <row r="582" ht="12.75" customHeight="1">
      <c r="B582" s="59"/>
      <c r="C582" s="59"/>
      <c r="D582" s="59"/>
      <c r="E582" s="59"/>
      <c r="F582" s="59"/>
      <c r="I582" s="59"/>
      <c r="J582" s="59"/>
      <c r="K582" s="59"/>
    </row>
    <row r="583" ht="12.75" customHeight="1">
      <c r="B583" s="59"/>
      <c r="C583" s="59"/>
      <c r="D583" s="59"/>
      <c r="E583" s="59"/>
      <c r="F583" s="59"/>
      <c r="I583" s="59"/>
      <c r="J583" s="59"/>
      <c r="K583" s="59"/>
    </row>
    <row r="584" ht="12.75" customHeight="1">
      <c r="B584" s="59"/>
      <c r="C584" s="59"/>
      <c r="D584" s="59"/>
      <c r="E584" s="59"/>
      <c r="F584" s="59"/>
      <c r="I584" s="59"/>
      <c r="J584" s="59"/>
      <c r="K584" s="59"/>
    </row>
    <row r="585" ht="12.75" customHeight="1">
      <c r="B585" s="59"/>
      <c r="C585" s="59"/>
      <c r="D585" s="59"/>
      <c r="E585" s="59"/>
      <c r="F585" s="59"/>
      <c r="I585" s="59"/>
      <c r="J585" s="59"/>
      <c r="K585" s="59"/>
    </row>
    <row r="586" ht="12.75" customHeight="1">
      <c r="B586" s="59"/>
      <c r="C586" s="59"/>
      <c r="D586" s="59"/>
      <c r="E586" s="59"/>
      <c r="F586" s="59"/>
      <c r="I586" s="59"/>
      <c r="J586" s="59"/>
      <c r="K586" s="59"/>
    </row>
    <row r="587" ht="12.75" customHeight="1">
      <c r="B587" s="59"/>
      <c r="C587" s="59"/>
      <c r="D587" s="59"/>
      <c r="E587" s="59"/>
      <c r="F587" s="59"/>
      <c r="I587" s="59"/>
      <c r="J587" s="59"/>
      <c r="K587" s="59"/>
    </row>
    <row r="588" ht="12.75" customHeight="1">
      <c r="B588" s="59"/>
      <c r="C588" s="59"/>
      <c r="D588" s="59"/>
      <c r="E588" s="59"/>
      <c r="F588" s="59"/>
      <c r="I588" s="59"/>
      <c r="J588" s="59"/>
      <c r="K588" s="59"/>
    </row>
    <row r="589" ht="12.75" customHeight="1">
      <c r="B589" s="59"/>
      <c r="C589" s="59"/>
      <c r="D589" s="59"/>
      <c r="E589" s="59"/>
      <c r="F589" s="59"/>
      <c r="I589" s="59"/>
      <c r="J589" s="59"/>
      <c r="K589" s="59"/>
    </row>
    <row r="590" ht="12.75" customHeight="1">
      <c r="B590" s="59"/>
      <c r="C590" s="59"/>
      <c r="D590" s="59"/>
      <c r="E590" s="59"/>
      <c r="F590" s="59"/>
      <c r="I590" s="59"/>
      <c r="J590" s="59"/>
      <c r="K590" s="59"/>
    </row>
    <row r="591" ht="12.75" customHeight="1">
      <c r="B591" s="59"/>
      <c r="C591" s="59"/>
      <c r="D591" s="59"/>
      <c r="E591" s="59"/>
      <c r="F591" s="59"/>
      <c r="I591" s="59"/>
      <c r="J591" s="59"/>
      <c r="K591" s="59"/>
    </row>
    <row r="592" ht="12.75" customHeight="1">
      <c r="B592" s="59"/>
      <c r="C592" s="59"/>
      <c r="D592" s="59"/>
      <c r="E592" s="59"/>
      <c r="F592" s="59"/>
      <c r="I592" s="59"/>
      <c r="J592" s="59"/>
      <c r="K592" s="59"/>
    </row>
    <row r="593" ht="12.75" customHeight="1">
      <c r="B593" s="59"/>
      <c r="C593" s="59"/>
      <c r="D593" s="59"/>
      <c r="E593" s="59"/>
      <c r="F593" s="59"/>
      <c r="I593" s="59"/>
      <c r="J593" s="59"/>
      <c r="K593" s="59"/>
    </row>
    <row r="594" ht="12.75" customHeight="1">
      <c r="B594" s="59"/>
      <c r="C594" s="59"/>
      <c r="D594" s="59"/>
      <c r="E594" s="59"/>
      <c r="F594" s="59"/>
      <c r="I594" s="59"/>
      <c r="J594" s="59"/>
      <c r="K594" s="59"/>
    </row>
    <row r="595" ht="12.75" customHeight="1">
      <c r="B595" s="59"/>
      <c r="C595" s="59"/>
      <c r="D595" s="59"/>
      <c r="E595" s="59"/>
      <c r="F595" s="59"/>
      <c r="I595" s="59"/>
      <c r="J595" s="59"/>
      <c r="K595" s="59"/>
    </row>
    <row r="596" ht="12.75" customHeight="1">
      <c r="B596" s="59"/>
      <c r="C596" s="59"/>
      <c r="D596" s="59"/>
      <c r="E596" s="59"/>
      <c r="F596" s="59"/>
      <c r="I596" s="59"/>
      <c r="J596" s="59"/>
      <c r="K596" s="59"/>
    </row>
    <row r="597" ht="12.75" customHeight="1">
      <c r="B597" s="59"/>
      <c r="C597" s="59"/>
      <c r="D597" s="59"/>
      <c r="E597" s="59"/>
      <c r="F597" s="59"/>
      <c r="I597" s="59"/>
      <c r="J597" s="59"/>
      <c r="K597" s="59"/>
    </row>
    <row r="598" ht="12.75" customHeight="1">
      <c r="B598" s="59"/>
      <c r="C598" s="59"/>
      <c r="D598" s="59"/>
      <c r="E598" s="59"/>
      <c r="F598" s="59"/>
      <c r="I598" s="59"/>
      <c r="J598" s="59"/>
      <c r="K598" s="59"/>
    </row>
    <row r="599" ht="12.75" customHeight="1">
      <c r="B599" s="59"/>
      <c r="C599" s="59"/>
      <c r="D599" s="59"/>
      <c r="E599" s="59"/>
      <c r="F599" s="59"/>
      <c r="I599" s="59"/>
      <c r="J599" s="59"/>
      <c r="K599" s="59"/>
    </row>
    <row r="600" ht="12.75" customHeight="1">
      <c r="B600" s="59"/>
      <c r="C600" s="59"/>
      <c r="D600" s="59"/>
      <c r="E600" s="59"/>
      <c r="F600" s="59"/>
      <c r="I600" s="59"/>
      <c r="J600" s="59"/>
      <c r="K600" s="59"/>
    </row>
    <row r="601" ht="12.75" customHeight="1">
      <c r="B601" s="59"/>
      <c r="C601" s="59"/>
      <c r="D601" s="59"/>
      <c r="E601" s="59"/>
      <c r="F601" s="59"/>
      <c r="I601" s="59"/>
      <c r="J601" s="59"/>
      <c r="K601" s="59"/>
    </row>
    <row r="602" ht="12.75" customHeight="1">
      <c r="B602" s="59"/>
      <c r="C602" s="59"/>
      <c r="D602" s="59"/>
      <c r="E602" s="59"/>
      <c r="F602" s="59"/>
      <c r="I602" s="59"/>
      <c r="J602" s="59"/>
      <c r="K602" s="59"/>
    </row>
    <row r="603" ht="12.75" customHeight="1">
      <c r="B603" s="59"/>
      <c r="C603" s="59"/>
      <c r="D603" s="59"/>
      <c r="E603" s="59"/>
      <c r="F603" s="59"/>
      <c r="I603" s="59"/>
      <c r="J603" s="59"/>
      <c r="K603" s="59"/>
    </row>
    <row r="604" ht="12.75" customHeight="1">
      <c r="B604" s="59"/>
      <c r="C604" s="59"/>
      <c r="D604" s="59"/>
      <c r="E604" s="59"/>
      <c r="F604" s="59"/>
      <c r="I604" s="59"/>
      <c r="J604" s="59"/>
      <c r="K604" s="59"/>
    </row>
    <row r="605" ht="12.75" customHeight="1">
      <c r="B605" s="59"/>
      <c r="C605" s="59"/>
      <c r="D605" s="59"/>
      <c r="E605" s="59"/>
      <c r="F605" s="59"/>
      <c r="I605" s="59"/>
      <c r="J605" s="59"/>
      <c r="K605" s="59"/>
    </row>
    <row r="606" ht="12.75" customHeight="1">
      <c r="B606" s="59"/>
      <c r="C606" s="59"/>
      <c r="D606" s="59"/>
      <c r="E606" s="59"/>
      <c r="F606" s="59"/>
      <c r="I606" s="59"/>
      <c r="J606" s="59"/>
      <c r="K606" s="59"/>
    </row>
    <row r="607" ht="12.75" customHeight="1">
      <c r="B607" s="59"/>
      <c r="C607" s="59"/>
      <c r="D607" s="59"/>
      <c r="E607" s="59"/>
      <c r="F607" s="59"/>
      <c r="I607" s="59"/>
      <c r="J607" s="59"/>
      <c r="K607" s="59"/>
    </row>
    <row r="608" ht="12.75" customHeight="1">
      <c r="B608" s="59"/>
      <c r="C608" s="59"/>
      <c r="D608" s="59"/>
      <c r="E608" s="59"/>
      <c r="F608" s="59"/>
      <c r="I608" s="59"/>
      <c r="J608" s="59"/>
      <c r="K608" s="59"/>
    </row>
    <row r="609" ht="12.75" customHeight="1">
      <c r="B609" s="59"/>
      <c r="C609" s="59"/>
      <c r="D609" s="59"/>
      <c r="E609" s="59"/>
      <c r="F609" s="59"/>
      <c r="I609" s="59"/>
      <c r="J609" s="59"/>
      <c r="K609" s="59"/>
    </row>
    <row r="610" ht="12.75" customHeight="1">
      <c r="B610" s="59"/>
      <c r="C610" s="59"/>
      <c r="D610" s="59"/>
      <c r="E610" s="59"/>
      <c r="F610" s="59"/>
      <c r="I610" s="59"/>
      <c r="J610" s="59"/>
      <c r="K610" s="59"/>
    </row>
    <row r="611" ht="12.75" customHeight="1">
      <c r="B611" s="59"/>
      <c r="C611" s="59"/>
      <c r="D611" s="59"/>
      <c r="E611" s="59"/>
      <c r="F611" s="59"/>
      <c r="I611" s="59"/>
      <c r="J611" s="59"/>
      <c r="K611" s="59"/>
    </row>
    <row r="612" ht="12.75" customHeight="1">
      <c r="B612" s="59"/>
      <c r="C612" s="59"/>
      <c r="D612" s="59"/>
      <c r="E612" s="59"/>
      <c r="F612" s="59"/>
      <c r="I612" s="59"/>
      <c r="J612" s="59"/>
      <c r="K612" s="59"/>
    </row>
    <row r="613" ht="12.75" customHeight="1">
      <c r="B613" s="59"/>
      <c r="C613" s="59"/>
      <c r="D613" s="59"/>
      <c r="E613" s="59"/>
      <c r="F613" s="59"/>
      <c r="I613" s="59"/>
      <c r="J613" s="59"/>
      <c r="K613" s="59"/>
    </row>
    <row r="614" ht="12.75" customHeight="1">
      <c r="B614" s="59"/>
      <c r="C614" s="59"/>
      <c r="D614" s="59"/>
      <c r="E614" s="59"/>
      <c r="F614" s="59"/>
      <c r="I614" s="59"/>
      <c r="J614" s="59"/>
      <c r="K614" s="59"/>
    </row>
    <row r="615" ht="12.75" customHeight="1">
      <c r="B615" s="59"/>
      <c r="C615" s="59"/>
      <c r="D615" s="59"/>
      <c r="E615" s="59"/>
      <c r="F615" s="59"/>
      <c r="I615" s="59"/>
      <c r="J615" s="59"/>
      <c r="K615" s="59"/>
    </row>
    <row r="616" ht="12.75" customHeight="1">
      <c r="B616" s="59"/>
      <c r="C616" s="59"/>
      <c r="D616" s="59"/>
      <c r="E616" s="59"/>
      <c r="F616" s="59"/>
      <c r="I616" s="59"/>
      <c r="J616" s="59"/>
      <c r="K616" s="59"/>
    </row>
    <row r="617" ht="12.75" customHeight="1">
      <c r="B617" s="59"/>
      <c r="C617" s="59"/>
      <c r="D617" s="59"/>
      <c r="E617" s="59"/>
      <c r="F617" s="59"/>
      <c r="I617" s="59"/>
      <c r="J617" s="59"/>
      <c r="K617" s="59"/>
    </row>
    <row r="618" ht="12.75" customHeight="1">
      <c r="B618" s="59"/>
      <c r="C618" s="59"/>
      <c r="D618" s="59"/>
      <c r="E618" s="59"/>
      <c r="F618" s="59"/>
      <c r="I618" s="59"/>
      <c r="J618" s="59"/>
      <c r="K618" s="59"/>
    </row>
    <row r="619" ht="12.75" customHeight="1">
      <c r="B619" s="59"/>
      <c r="C619" s="59"/>
      <c r="D619" s="59"/>
      <c r="E619" s="59"/>
      <c r="F619" s="59"/>
      <c r="I619" s="59"/>
      <c r="J619" s="59"/>
      <c r="K619" s="59"/>
    </row>
    <row r="620" ht="12.75" customHeight="1">
      <c r="B620" s="59"/>
      <c r="C620" s="59"/>
      <c r="D620" s="59"/>
      <c r="E620" s="59"/>
      <c r="F620" s="59"/>
      <c r="I620" s="59"/>
      <c r="J620" s="59"/>
      <c r="K620" s="59"/>
    </row>
    <row r="621" ht="12.75" customHeight="1">
      <c r="B621" s="59"/>
      <c r="C621" s="59"/>
      <c r="D621" s="59"/>
      <c r="E621" s="59"/>
      <c r="F621" s="59"/>
      <c r="I621" s="59"/>
      <c r="J621" s="59"/>
      <c r="K621" s="59"/>
    </row>
    <row r="622" ht="12.75" customHeight="1">
      <c r="B622" s="59"/>
      <c r="C622" s="59"/>
      <c r="D622" s="59"/>
      <c r="E622" s="59"/>
      <c r="F622" s="59"/>
      <c r="I622" s="59"/>
      <c r="J622" s="59"/>
      <c r="K622" s="59"/>
    </row>
    <row r="623" ht="12.75" customHeight="1">
      <c r="B623" s="59"/>
      <c r="C623" s="59"/>
      <c r="D623" s="59"/>
      <c r="E623" s="59"/>
      <c r="F623" s="59"/>
      <c r="I623" s="59"/>
      <c r="J623" s="59"/>
      <c r="K623" s="59"/>
    </row>
    <row r="624" ht="12.75" customHeight="1">
      <c r="B624" s="59"/>
      <c r="C624" s="59"/>
      <c r="D624" s="59"/>
      <c r="E624" s="59"/>
      <c r="F624" s="59"/>
      <c r="I624" s="59"/>
      <c r="J624" s="59"/>
      <c r="K624" s="59"/>
    </row>
    <row r="625" ht="12.75" customHeight="1">
      <c r="B625" s="59"/>
      <c r="C625" s="59"/>
      <c r="D625" s="59"/>
      <c r="E625" s="59"/>
      <c r="F625" s="59"/>
      <c r="I625" s="59"/>
      <c r="J625" s="59"/>
      <c r="K625" s="59"/>
    </row>
    <row r="626" ht="12.75" customHeight="1">
      <c r="B626" s="59"/>
      <c r="C626" s="59"/>
      <c r="D626" s="59"/>
      <c r="E626" s="59"/>
      <c r="F626" s="59"/>
      <c r="I626" s="59"/>
      <c r="J626" s="59"/>
      <c r="K626" s="59"/>
    </row>
    <row r="627" ht="12.75" customHeight="1">
      <c r="B627" s="59"/>
      <c r="C627" s="59"/>
      <c r="D627" s="59"/>
      <c r="E627" s="59"/>
      <c r="F627" s="59"/>
      <c r="I627" s="59"/>
      <c r="J627" s="59"/>
      <c r="K627" s="59"/>
    </row>
    <row r="628" ht="12.75" customHeight="1">
      <c r="B628" s="59"/>
      <c r="C628" s="59"/>
      <c r="D628" s="59"/>
      <c r="E628" s="59"/>
      <c r="F628" s="59"/>
      <c r="I628" s="59"/>
      <c r="J628" s="59"/>
      <c r="K628" s="59"/>
    </row>
    <row r="629" ht="12.75" customHeight="1">
      <c r="B629" s="59"/>
      <c r="C629" s="59"/>
      <c r="D629" s="59"/>
      <c r="E629" s="59"/>
      <c r="F629" s="59"/>
      <c r="I629" s="59"/>
      <c r="J629" s="59"/>
      <c r="K629" s="59"/>
    </row>
    <row r="630" ht="12.75" customHeight="1">
      <c r="B630" s="59"/>
      <c r="C630" s="59"/>
      <c r="D630" s="59"/>
      <c r="E630" s="59"/>
      <c r="F630" s="59"/>
      <c r="I630" s="59"/>
      <c r="J630" s="59"/>
      <c r="K630" s="59"/>
    </row>
    <row r="631" ht="12.75" customHeight="1">
      <c r="B631" s="59"/>
      <c r="C631" s="59"/>
      <c r="D631" s="59"/>
      <c r="E631" s="59"/>
      <c r="F631" s="59"/>
      <c r="I631" s="59"/>
      <c r="J631" s="59"/>
      <c r="K631" s="59"/>
    </row>
    <row r="632" ht="12.75" customHeight="1">
      <c r="B632" s="59"/>
      <c r="C632" s="59"/>
      <c r="D632" s="59"/>
      <c r="E632" s="59"/>
      <c r="F632" s="59"/>
      <c r="I632" s="59"/>
      <c r="J632" s="59"/>
      <c r="K632" s="59"/>
    </row>
    <row r="633" ht="12.75" customHeight="1">
      <c r="B633" s="59"/>
      <c r="C633" s="59"/>
      <c r="D633" s="59"/>
      <c r="E633" s="59"/>
      <c r="F633" s="59"/>
      <c r="I633" s="59"/>
      <c r="J633" s="59"/>
      <c r="K633" s="59"/>
    </row>
    <row r="634" ht="12.75" customHeight="1">
      <c r="B634" s="59"/>
      <c r="C634" s="59"/>
      <c r="D634" s="59"/>
      <c r="E634" s="59"/>
      <c r="F634" s="59"/>
      <c r="I634" s="59"/>
      <c r="J634" s="59"/>
      <c r="K634" s="59"/>
    </row>
    <row r="635" ht="12.75" customHeight="1">
      <c r="B635" s="59"/>
      <c r="C635" s="59"/>
      <c r="D635" s="59"/>
      <c r="E635" s="59"/>
      <c r="F635" s="59"/>
      <c r="I635" s="59"/>
      <c r="J635" s="59"/>
      <c r="K635" s="59"/>
    </row>
    <row r="636" ht="12.75" customHeight="1">
      <c r="B636" s="59"/>
      <c r="C636" s="59"/>
      <c r="D636" s="59"/>
      <c r="E636" s="59"/>
      <c r="F636" s="59"/>
      <c r="I636" s="59"/>
      <c r="J636" s="59"/>
      <c r="K636" s="59"/>
    </row>
    <row r="637" ht="12.75" customHeight="1">
      <c r="B637" s="59"/>
      <c r="C637" s="59"/>
      <c r="D637" s="59"/>
      <c r="E637" s="59"/>
      <c r="F637" s="59"/>
      <c r="I637" s="59"/>
      <c r="J637" s="59"/>
      <c r="K637" s="59"/>
    </row>
    <row r="638" ht="12.75" customHeight="1">
      <c r="B638" s="59"/>
      <c r="C638" s="59"/>
      <c r="D638" s="59"/>
      <c r="E638" s="59"/>
      <c r="F638" s="59"/>
      <c r="I638" s="59"/>
      <c r="J638" s="59"/>
      <c r="K638" s="59"/>
    </row>
    <row r="639" ht="12.75" customHeight="1">
      <c r="B639" s="59"/>
      <c r="C639" s="59"/>
      <c r="D639" s="59"/>
      <c r="E639" s="59"/>
      <c r="F639" s="59"/>
      <c r="I639" s="59"/>
      <c r="J639" s="59"/>
      <c r="K639" s="59"/>
    </row>
    <row r="640" ht="12.75" customHeight="1">
      <c r="B640" s="59"/>
      <c r="C640" s="59"/>
      <c r="D640" s="59"/>
      <c r="E640" s="59"/>
      <c r="F640" s="59"/>
      <c r="I640" s="59"/>
      <c r="J640" s="59"/>
      <c r="K640" s="59"/>
    </row>
    <row r="641" ht="12.75" customHeight="1">
      <c r="B641" s="59"/>
      <c r="C641" s="59"/>
      <c r="D641" s="59"/>
      <c r="E641" s="59"/>
      <c r="F641" s="59"/>
      <c r="I641" s="59"/>
      <c r="J641" s="59"/>
      <c r="K641" s="59"/>
    </row>
    <row r="642" ht="12.75" customHeight="1">
      <c r="B642" s="59"/>
      <c r="C642" s="59"/>
      <c r="D642" s="59"/>
      <c r="E642" s="59"/>
      <c r="F642" s="59"/>
      <c r="I642" s="59"/>
      <c r="J642" s="59"/>
      <c r="K642" s="59"/>
    </row>
    <row r="643" ht="12.75" customHeight="1">
      <c r="B643" s="59"/>
      <c r="C643" s="59"/>
      <c r="D643" s="59"/>
      <c r="E643" s="59"/>
      <c r="F643" s="59"/>
      <c r="I643" s="59"/>
      <c r="J643" s="59"/>
      <c r="K643" s="59"/>
    </row>
    <row r="644" ht="12.75" customHeight="1">
      <c r="B644" s="59"/>
      <c r="C644" s="59"/>
      <c r="D644" s="59"/>
      <c r="E644" s="59"/>
      <c r="F644" s="59"/>
      <c r="I644" s="59"/>
      <c r="J644" s="59"/>
      <c r="K644" s="59"/>
    </row>
    <row r="645" ht="12.75" customHeight="1">
      <c r="B645" s="59"/>
      <c r="C645" s="59"/>
      <c r="D645" s="59"/>
      <c r="E645" s="59"/>
      <c r="F645" s="59"/>
      <c r="I645" s="59"/>
      <c r="J645" s="59"/>
      <c r="K645" s="59"/>
    </row>
    <row r="646" ht="12.75" customHeight="1">
      <c r="B646" s="59"/>
      <c r="C646" s="59"/>
      <c r="D646" s="59"/>
      <c r="E646" s="59"/>
      <c r="F646" s="59"/>
      <c r="I646" s="59"/>
      <c r="J646" s="59"/>
      <c r="K646" s="59"/>
    </row>
    <row r="647" ht="12.75" customHeight="1">
      <c r="B647" s="59"/>
      <c r="C647" s="59"/>
      <c r="D647" s="59"/>
      <c r="E647" s="59"/>
      <c r="F647" s="59"/>
      <c r="I647" s="59"/>
      <c r="J647" s="59"/>
      <c r="K647" s="59"/>
    </row>
    <row r="648" ht="12.75" customHeight="1">
      <c r="B648" s="59"/>
      <c r="C648" s="59"/>
      <c r="D648" s="59"/>
      <c r="E648" s="59"/>
      <c r="F648" s="59"/>
      <c r="I648" s="59"/>
      <c r="J648" s="59"/>
      <c r="K648" s="59"/>
    </row>
    <row r="649" ht="12.75" customHeight="1">
      <c r="B649" s="59"/>
      <c r="C649" s="59"/>
      <c r="D649" s="59"/>
      <c r="E649" s="59"/>
      <c r="F649" s="59"/>
      <c r="I649" s="59"/>
      <c r="J649" s="59"/>
      <c r="K649" s="59"/>
    </row>
    <row r="650" ht="12.75" customHeight="1">
      <c r="B650" s="59"/>
      <c r="C650" s="59"/>
      <c r="D650" s="59"/>
      <c r="E650" s="59"/>
      <c r="F650" s="59"/>
      <c r="I650" s="59"/>
      <c r="J650" s="59"/>
      <c r="K650" s="59"/>
    </row>
    <row r="651" ht="12.75" customHeight="1">
      <c r="B651" s="59"/>
      <c r="C651" s="59"/>
      <c r="D651" s="59"/>
      <c r="E651" s="59"/>
      <c r="F651" s="59"/>
      <c r="I651" s="59"/>
      <c r="J651" s="59"/>
      <c r="K651" s="59"/>
    </row>
    <row r="652" ht="12.75" customHeight="1">
      <c r="B652" s="59"/>
      <c r="C652" s="59"/>
      <c r="D652" s="59"/>
      <c r="E652" s="59"/>
      <c r="F652" s="59"/>
      <c r="I652" s="59"/>
      <c r="J652" s="59"/>
      <c r="K652" s="59"/>
    </row>
    <row r="653" ht="12.75" customHeight="1">
      <c r="B653" s="59"/>
      <c r="C653" s="59"/>
      <c r="D653" s="59"/>
      <c r="E653" s="59"/>
      <c r="F653" s="59"/>
      <c r="I653" s="59"/>
      <c r="J653" s="59"/>
      <c r="K653" s="59"/>
    </row>
    <row r="654" ht="12.75" customHeight="1">
      <c r="B654" s="59"/>
      <c r="C654" s="59"/>
      <c r="D654" s="59"/>
      <c r="E654" s="59"/>
      <c r="F654" s="59"/>
      <c r="I654" s="59"/>
      <c r="J654" s="59"/>
      <c r="K654" s="59"/>
    </row>
    <row r="655" ht="12.75" customHeight="1">
      <c r="B655" s="59"/>
      <c r="C655" s="59"/>
      <c r="D655" s="59"/>
      <c r="E655" s="59"/>
      <c r="F655" s="59"/>
      <c r="I655" s="59"/>
      <c r="J655" s="59"/>
      <c r="K655" s="59"/>
    </row>
    <row r="656" ht="12.75" customHeight="1">
      <c r="B656" s="59"/>
      <c r="C656" s="59"/>
      <c r="D656" s="59"/>
      <c r="E656" s="59"/>
      <c r="F656" s="59"/>
      <c r="I656" s="59"/>
      <c r="J656" s="59"/>
      <c r="K656" s="59"/>
    </row>
    <row r="657" ht="12.75" customHeight="1">
      <c r="B657" s="59"/>
      <c r="C657" s="59"/>
      <c r="D657" s="59"/>
      <c r="E657" s="59"/>
      <c r="F657" s="59"/>
      <c r="I657" s="59"/>
      <c r="J657" s="59"/>
      <c r="K657" s="59"/>
    </row>
    <row r="658" ht="12.75" customHeight="1">
      <c r="B658" s="59"/>
      <c r="C658" s="59"/>
      <c r="D658" s="59"/>
      <c r="E658" s="59"/>
      <c r="F658" s="59"/>
      <c r="I658" s="59"/>
      <c r="J658" s="59"/>
      <c r="K658" s="59"/>
    </row>
    <row r="659" ht="12.75" customHeight="1">
      <c r="B659" s="59"/>
      <c r="C659" s="59"/>
      <c r="D659" s="59"/>
      <c r="E659" s="59"/>
      <c r="F659" s="59"/>
      <c r="I659" s="59"/>
      <c r="J659" s="59"/>
      <c r="K659" s="59"/>
    </row>
    <row r="660" ht="12.75" customHeight="1">
      <c r="B660" s="59"/>
      <c r="C660" s="59"/>
      <c r="D660" s="59"/>
      <c r="E660" s="59"/>
      <c r="F660" s="59"/>
      <c r="I660" s="59"/>
      <c r="J660" s="59"/>
      <c r="K660" s="59"/>
    </row>
    <row r="661" ht="12.75" customHeight="1">
      <c r="B661" s="59"/>
      <c r="C661" s="59"/>
      <c r="D661" s="59"/>
      <c r="E661" s="59"/>
      <c r="F661" s="59"/>
      <c r="I661" s="59"/>
      <c r="J661" s="59"/>
      <c r="K661" s="59"/>
    </row>
    <row r="662" ht="12.75" customHeight="1">
      <c r="B662" s="59"/>
      <c r="C662" s="59"/>
      <c r="D662" s="59"/>
      <c r="E662" s="59"/>
      <c r="F662" s="59"/>
      <c r="I662" s="59"/>
      <c r="J662" s="59"/>
      <c r="K662" s="59"/>
    </row>
    <row r="663" ht="12.75" customHeight="1">
      <c r="B663" s="59"/>
      <c r="C663" s="59"/>
      <c r="D663" s="59"/>
      <c r="E663" s="59"/>
      <c r="F663" s="59"/>
      <c r="I663" s="59"/>
      <c r="J663" s="59"/>
      <c r="K663" s="59"/>
    </row>
    <row r="664" ht="12.75" customHeight="1">
      <c r="B664" s="59"/>
      <c r="C664" s="59"/>
      <c r="D664" s="59"/>
      <c r="E664" s="59"/>
      <c r="F664" s="59"/>
      <c r="I664" s="59"/>
      <c r="J664" s="59"/>
      <c r="K664" s="59"/>
    </row>
    <row r="665" ht="12.75" customHeight="1">
      <c r="B665" s="59"/>
      <c r="C665" s="59"/>
      <c r="D665" s="59"/>
      <c r="E665" s="59"/>
      <c r="F665" s="59"/>
      <c r="I665" s="59"/>
      <c r="J665" s="59"/>
      <c r="K665" s="59"/>
    </row>
    <row r="666" ht="12.75" customHeight="1">
      <c r="B666" s="59"/>
      <c r="C666" s="59"/>
      <c r="D666" s="59"/>
      <c r="E666" s="59"/>
      <c r="F666" s="59"/>
      <c r="I666" s="59"/>
      <c r="J666" s="59"/>
      <c r="K666" s="59"/>
    </row>
    <row r="667" ht="12.75" customHeight="1">
      <c r="B667" s="59"/>
      <c r="C667" s="59"/>
      <c r="D667" s="59"/>
      <c r="E667" s="59"/>
      <c r="F667" s="59"/>
      <c r="I667" s="59"/>
      <c r="J667" s="59"/>
      <c r="K667" s="59"/>
    </row>
    <row r="668" ht="12.75" customHeight="1">
      <c r="B668" s="59"/>
      <c r="C668" s="59"/>
      <c r="D668" s="59"/>
      <c r="E668" s="59"/>
      <c r="F668" s="59"/>
      <c r="I668" s="59"/>
      <c r="J668" s="59"/>
      <c r="K668" s="59"/>
    </row>
    <row r="669" ht="12.75" customHeight="1">
      <c r="B669" s="59"/>
      <c r="C669" s="59"/>
      <c r="D669" s="59"/>
      <c r="E669" s="59"/>
      <c r="F669" s="59"/>
      <c r="I669" s="59"/>
      <c r="J669" s="59"/>
      <c r="K669" s="59"/>
    </row>
    <row r="670" ht="12.75" customHeight="1">
      <c r="B670" s="59"/>
      <c r="C670" s="59"/>
      <c r="D670" s="59"/>
      <c r="E670" s="59"/>
      <c r="F670" s="59"/>
      <c r="I670" s="59"/>
      <c r="J670" s="59"/>
      <c r="K670" s="59"/>
    </row>
    <row r="671" ht="12.75" customHeight="1">
      <c r="B671" s="59"/>
      <c r="C671" s="59"/>
      <c r="D671" s="59"/>
      <c r="E671" s="59"/>
      <c r="F671" s="59"/>
      <c r="I671" s="59"/>
      <c r="J671" s="59"/>
      <c r="K671" s="59"/>
    </row>
    <row r="672" ht="12.75" customHeight="1">
      <c r="B672" s="59"/>
      <c r="C672" s="59"/>
      <c r="D672" s="59"/>
      <c r="E672" s="59"/>
      <c r="F672" s="59"/>
      <c r="I672" s="59"/>
      <c r="J672" s="59"/>
      <c r="K672" s="59"/>
    </row>
    <row r="673" ht="12.75" customHeight="1">
      <c r="B673" s="59"/>
      <c r="C673" s="59"/>
      <c r="D673" s="59"/>
      <c r="E673" s="59"/>
      <c r="F673" s="59"/>
      <c r="I673" s="59"/>
      <c r="J673" s="59"/>
      <c r="K673" s="59"/>
    </row>
    <row r="674" ht="12.75" customHeight="1">
      <c r="B674" s="59"/>
      <c r="C674" s="59"/>
      <c r="D674" s="59"/>
      <c r="E674" s="59"/>
      <c r="F674" s="59"/>
      <c r="I674" s="59"/>
      <c r="J674" s="59"/>
      <c r="K674" s="59"/>
    </row>
    <row r="675" ht="12.75" customHeight="1">
      <c r="B675" s="59"/>
      <c r="C675" s="59"/>
      <c r="D675" s="59"/>
      <c r="E675" s="59"/>
      <c r="F675" s="59"/>
      <c r="I675" s="59"/>
      <c r="J675" s="59"/>
      <c r="K675" s="59"/>
    </row>
    <row r="676" ht="12.75" customHeight="1">
      <c r="B676" s="59"/>
      <c r="C676" s="59"/>
      <c r="D676" s="59"/>
      <c r="E676" s="59"/>
      <c r="F676" s="59"/>
      <c r="I676" s="59"/>
      <c r="J676" s="59"/>
      <c r="K676" s="59"/>
    </row>
    <row r="677" ht="12.75" customHeight="1">
      <c r="B677" s="59"/>
      <c r="C677" s="59"/>
      <c r="D677" s="59"/>
      <c r="E677" s="59"/>
      <c r="F677" s="59"/>
      <c r="I677" s="59"/>
      <c r="J677" s="59"/>
      <c r="K677" s="59"/>
    </row>
    <row r="678" ht="12.75" customHeight="1">
      <c r="B678" s="59"/>
      <c r="C678" s="59"/>
      <c r="D678" s="59"/>
      <c r="E678" s="59"/>
      <c r="F678" s="59"/>
      <c r="I678" s="59"/>
      <c r="J678" s="59"/>
      <c r="K678" s="59"/>
    </row>
    <row r="679" ht="12.75" customHeight="1">
      <c r="B679" s="59"/>
      <c r="C679" s="59"/>
      <c r="D679" s="59"/>
      <c r="E679" s="59"/>
      <c r="F679" s="59"/>
      <c r="I679" s="59"/>
      <c r="J679" s="59"/>
      <c r="K679" s="59"/>
    </row>
    <row r="680" ht="12.75" customHeight="1">
      <c r="B680" s="59"/>
      <c r="C680" s="59"/>
      <c r="D680" s="59"/>
      <c r="E680" s="59"/>
      <c r="F680" s="59"/>
      <c r="I680" s="59"/>
      <c r="J680" s="59"/>
      <c r="K680" s="59"/>
    </row>
    <row r="681" ht="12.75" customHeight="1">
      <c r="B681" s="59"/>
      <c r="C681" s="59"/>
      <c r="D681" s="59"/>
      <c r="E681" s="59"/>
      <c r="F681" s="59"/>
      <c r="I681" s="59"/>
      <c r="J681" s="59"/>
      <c r="K681" s="59"/>
    </row>
    <row r="682" ht="12.75" customHeight="1">
      <c r="B682" s="59"/>
      <c r="C682" s="59"/>
      <c r="D682" s="59"/>
      <c r="E682" s="59"/>
      <c r="F682" s="59"/>
      <c r="I682" s="59"/>
      <c r="J682" s="59"/>
      <c r="K682" s="59"/>
    </row>
    <row r="683" ht="12.75" customHeight="1">
      <c r="B683" s="59"/>
      <c r="C683" s="59"/>
      <c r="D683" s="59"/>
      <c r="E683" s="59"/>
      <c r="F683" s="59"/>
      <c r="I683" s="59"/>
      <c r="J683" s="59"/>
      <c r="K683" s="59"/>
    </row>
    <row r="684" ht="12.75" customHeight="1">
      <c r="B684" s="59"/>
      <c r="C684" s="59"/>
      <c r="D684" s="59"/>
      <c r="E684" s="59"/>
      <c r="F684" s="59"/>
      <c r="I684" s="59"/>
      <c r="J684" s="59"/>
      <c r="K684" s="59"/>
    </row>
    <row r="685" ht="12.75" customHeight="1">
      <c r="B685" s="59"/>
      <c r="C685" s="59"/>
      <c r="D685" s="59"/>
      <c r="E685" s="59"/>
      <c r="F685" s="59"/>
      <c r="I685" s="59"/>
      <c r="J685" s="59"/>
      <c r="K685" s="59"/>
    </row>
    <row r="686" ht="12.75" customHeight="1">
      <c r="B686" s="59"/>
      <c r="C686" s="59"/>
      <c r="D686" s="59"/>
      <c r="E686" s="59"/>
      <c r="F686" s="59"/>
      <c r="I686" s="59"/>
      <c r="J686" s="59"/>
      <c r="K686" s="59"/>
    </row>
    <row r="687" ht="12.75" customHeight="1">
      <c r="B687" s="59"/>
      <c r="C687" s="59"/>
      <c r="D687" s="59"/>
      <c r="E687" s="59"/>
      <c r="F687" s="59"/>
      <c r="I687" s="59"/>
      <c r="J687" s="59"/>
      <c r="K687" s="59"/>
    </row>
    <row r="688" ht="12.75" customHeight="1">
      <c r="B688" s="59"/>
      <c r="C688" s="59"/>
      <c r="D688" s="59"/>
      <c r="E688" s="59"/>
      <c r="F688" s="59"/>
      <c r="I688" s="59"/>
      <c r="J688" s="59"/>
      <c r="K688" s="59"/>
    </row>
    <row r="689" ht="12.75" customHeight="1">
      <c r="B689" s="59"/>
      <c r="C689" s="59"/>
      <c r="D689" s="59"/>
      <c r="E689" s="59"/>
      <c r="F689" s="59"/>
      <c r="I689" s="59"/>
      <c r="J689" s="59"/>
      <c r="K689" s="59"/>
    </row>
    <row r="690" ht="12.75" customHeight="1">
      <c r="B690" s="59"/>
      <c r="C690" s="59"/>
      <c r="D690" s="59"/>
      <c r="E690" s="59"/>
      <c r="F690" s="59"/>
      <c r="I690" s="59"/>
      <c r="J690" s="59"/>
      <c r="K690" s="59"/>
    </row>
    <row r="691" ht="12.75" customHeight="1">
      <c r="B691" s="59"/>
      <c r="C691" s="59"/>
      <c r="D691" s="59"/>
      <c r="E691" s="59"/>
      <c r="F691" s="59"/>
      <c r="I691" s="59"/>
      <c r="J691" s="59"/>
      <c r="K691" s="59"/>
    </row>
    <row r="692" ht="12.75" customHeight="1">
      <c r="B692" s="59"/>
      <c r="C692" s="59"/>
      <c r="D692" s="59"/>
      <c r="E692" s="59"/>
      <c r="F692" s="59"/>
      <c r="I692" s="59"/>
      <c r="J692" s="59"/>
      <c r="K692" s="59"/>
    </row>
    <row r="693" ht="12.75" customHeight="1">
      <c r="B693" s="59"/>
      <c r="C693" s="59"/>
      <c r="D693" s="59"/>
      <c r="E693" s="59"/>
      <c r="F693" s="59"/>
      <c r="I693" s="59"/>
      <c r="J693" s="59"/>
      <c r="K693" s="59"/>
    </row>
    <row r="694" ht="12.75" customHeight="1">
      <c r="B694" s="59"/>
      <c r="C694" s="59"/>
      <c r="D694" s="59"/>
      <c r="E694" s="59"/>
      <c r="F694" s="59"/>
      <c r="I694" s="59"/>
      <c r="J694" s="59"/>
      <c r="K694" s="59"/>
    </row>
    <row r="695" ht="12.75" customHeight="1">
      <c r="B695" s="59"/>
      <c r="C695" s="59"/>
      <c r="D695" s="59"/>
      <c r="E695" s="59"/>
      <c r="F695" s="59"/>
      <c r="I695" s="59"/>
      <c r="J695" s="59"/>
      <c r="K695" s="59"/>
    </row>
    <row r="696" ht="12.75" customHeight="1">
      <c r="B696" s="59"/>
      <c r="C696" s="59"/>
      <c r="D696" s="59"/>
      <c r="E696" s="59"/>
      <c r="F696" s="59"/>
      <c r="I696" s="59"/>
      <c r="J696" s="59"/>
      <c r="K696" s="59"/>
    </row>
    <row r="697" ht="12.75" customHeight="1">
      <c r="B697" s="59"/>
      <c r="C697" s="59"/>
      <c r="D697" s="59"/>
      <c r="E697" s="59"/>
      <c r="F697" s="59"/>
      <c r="I697" s="59"/>
      <c r="J697" s="59"/>
      <c r="K697" s="59"/>
    </row>
    <row r="698" ht="12.75" customHeight="1">
      <c r="B698" s="59"/>
      <c r="C698" s="59"/>
      <c r="D698" s="59"/>
      <c r="E698" s="59"/>
      <c r="F698" s="59"/>
      <c r="I698" s="59"/>
      <c r="J698" s="59"/>
      <c r="K698" s="59"/>
    </row>
    <row r="699" ht="12.75" customHeight="1">
      <c r="B699" s="59"/>
      <c r="C699" s="59"/>
      <c r="D699" s="59"/>
      <c r="E699" s="59"/>
      <c r="F699" s="59"/>
      <c r="I699" s="59"/>
      <c r="J699" s="59"/>
      <c r="K699" s="59"/>
    </row>
    <row r="700" ht="12.75" customHeight="1">
      <c r="B700" s="59"/>
      <c r="C700" s="59"/>
      <c r="D700" s="59"/>
      <c r="E700" s="59"/>
      <c r="F700" s="59"/>
      <c r="I700" s="59"/>
      <c r="J700" s="59"/>
      <c r="K700" s="59"/>
    </row>
    <row r="701" ht="12.75" customHeight="1">
      <c r="B701" s="59"/>
      <c r="C701" s="59"/>
      <c r="D701" s="59"/>
      <c r="E701" s="59"/>
      <c r="F701" s="59"/>
      <c r="I701" s="59"/>
      <c r="J701" s="59"/>
      <c r="K701" s="59"/>
    </row>
    <row r="702" ht="12.75" customHeight="1">
      <c r="B702" s="59"/>
      <c r="C702" s="59"/>
      <c r="D702" s="59"/>
      <c r="E702" s="59"/>
      <c r="F702" s="59"/>
      <c r="I702" s="59"/>
      <c r="J702" s="59"/>
      <c r="K702" s="59"/>
    </row>
    <row r="703" ht="12.75" customHeight="1">
      <c r="B703" s="59"/>
      <c r="C703" s="59"/>
      <c r="D703" s="59"/>
      <c r="E703" s="59"/>
      <c r="F703" s="59"/>
      <c r="I703" s="59"/>
      <c r="J703" s="59"/>
      <c r="K703" s="59"/>
    </row>
    <row r="704" ht="12.75" customHeight="1">
      <c r="B704" s="59"/>
      <c r="C704" s="59"/>
      <c r="D704" s="59"/>
      <c r="E704" s="59"/>
      <c r="F704" s="59"/>
      <c r="I704" s="59"/>
      <c r="J704" s="59"/>
      <c r="K704" s="59"/>
    </row>
    <row r="705" ht="12.75" customHeight="1">
      <c r="B705" s="59"/>
      <c r="C705" s="59"/>
      <c r="D705" s="59"/>
      <c r="E705" s="59"/>
      <c r="F705" s="59"/>
      <c r="I705" s="59"/>
      <c r="J705" s="59"/>
      <c r="K705" s="59"/>
    </row>
    <row r="706" ht="12.75" customHeight="1">
      <c r="B706" s="59"/>
      <c r="C706" s="59"/>
      <c r="D706" s="59"/>
      <c r="E706" s="59"/>
      <c r="F706" s="59"/>
      <c r="I706" s="59"/>
      <c r="J706" s="59"/>
      <c r="K706" s="59"/>
    </row>
    <row r="707" ht="12.75" customHeight="1">
      <c r="B707" s="59"/>
      <c r="C707" s="59"/>
      <c r="D707" s="59"/>
      <c r="E707" s="59"/>
      <c r="F707" s="59"/>
      <c r="I707" s="59"/>
      <c r="J707" s="59"/>
      <c r="K707" s="59"/>
    </row>
    <row r="708" ht="12.75" customHeight="1">
      <c r="B708" s="59"/>
      <c r="C708" s="59"/>
      <c r="D708" s="59"/>
      <c r="E708" s="59"/>
      <c r="F708" s="59"/>
      <c r="I708" s="59"/>
      <c r="J708" s="59"/>
      <c r="K708" s="59"/>
    </row>
    <row r="709" ht="12.75" customHeight="1">
      <c r="B709" s="59"/>
      <c r="C709" s="59"/>
      <c r="D709" s="59"/>
      <c r="E709" s="59"/>
      <c r="F709" s="59"/>
      <c r="I709" s="59"/>
      <c r="J709" s="59"/>
      <c r="K709" s="59"/>
    </row>
    <row r="710" ht="12.75" customHeight="1">
      <c r="B710" s="59"/>
      <c r="C710" s="59"/>
      <c r="D710" s="59"/>
      <c r="E710" s="59"/>
      <c r="F710" s="59"/>
      <c r="I710" s="59"/>
      <c r="J710" s="59"/>
      <c r="K710" s="59"/>
    </row>
    <row r="711" ht="12.75" customHeight="1">
      <c r="B711" s="59"/>
      <c r="C711" s="59"/>
      <c r="D711" s="59"/>
      <c r="E711" s="59"/>
      <c r="F711" s="59"/>
      <c r="I711" s="59"/>
      <c r="J711" s="59"/>
      <c r="K711" s="59"/>
    </row>
    <row r="712" ht="12.75" customHeight="1">
      <c r="B712" s="59"/>
      <c r="C712" s="59"/>
      <c r="D712" s="59"/>
      <c r="E712" s="59"/>
      <c r="F712" s="59"/>
      <c r="I712" s="59"/>
      <c r="J712" s="59"/>
      <c r="K712" s="59"/>
    </row>
    <row r="713" ht="12.75" customHeight="1">
      <c r="B713" s="59"/>
      <c r="C713" s="59"/>
      <c r="D713" s="59"/>
      <c r="E713" s="59"/>
      <c r="F713" s="59"/>
      <c r="I713" s="59"/>
      <c r="J713" s="59"/>
      <c r="K713" s="59"/>
    </row>
    <row r="714" ht="12.75" customHeight="1">
      <c r="B714" s="59"/>
      <c r="C714" s="59"/>
      <c r="D714" s="59"/>
      <c r="E714" s="59"/>
      <c r="F714" s="59"/>
      <c r="I714" s="59"/>
      <c r="J714" s="59"/>
      <c r="K714" s="59"/>
    </row>
    <row r="715" ht="12.75" customHeight="1">
      <c r="B715" s="59"/>
      <c r="C715" s="59"/>
      <c r="D715" s="59"/>
      <c r="E715" s="59"/>
      <c r="F715" s="59"/>
      <c r="I715" s="59"/>
      <c r="J715" s="59"/>
      <c r="K715" s="59"/>
    </row>
    <row r="716" ht="12.75" customHeight="1">
      <c r="B716" s="59"/>
      <c r="C716" s="59"/>
      <c r="D716" s="59"/>
      <c r="E716" s="59"/>
      <c r="F716" s="59"/>
      <c r="I716" s="59"/>
      <c r="J716" s="59"/>
      <c r="K716" s="59"/>
    </row>
    <row r="717" ht="12.75" customHeight="1">
      <c r="B717" s="59"/>
      <c r="C717" s="59"/>
      <c r="D717" s="59"/>
      <c r="E717" s="59"/>
      <c r="F717" s="59"/>
      <c r="I717" s="59"/>
      <c r="J717" s="59"/>
      <c r="K717" s="59"/>
    </row>
    <row r="718" ht="12.75" customHeight="1">
      <c r="B718" s="59"/>
      <c r="C718" s="59"/>
      <c r="D718" s="59"/>
      <c r="E718" s="59"/>
      <c r="F718" s="59"/>
      <c r="I718" s="59"/>
      <c r="J718" s="59"/>
      <c r="K718" s="59"/>
    </row>
    <row r="719" ht="12.75" customHeight="1">
      <c r="B719" s="59"/>
      <c r="C719" s="59"/>
      <c r="D719" s="59"/>
      <c r="E719" s="59"/>
      <c r="F719" s="59"/>
      <c r="I719" s="59"/>
      <c r="J719" s="59"/>
      <c r="K719" s="59"/>
    </row>
    <row r="720" ht="12.75" customHeight="1">
      <c r="B720" s="59"/>
      <c r="C720" s="59"/>
      <c r="D720" s="59"/>
      <c r="E720" s="59"/>
      <c r="F720" s="59"/>
      <c r="I720" s="59"/>
      <c r="J720" s="59"/>
      <c r="K720" s="59"/>
    </row>
    <row r="721" ht="12.75" customHeight="1">
      <c r="B721" s="59"/>
      <c r="C721" s="59"/>
      <c r="D721" s="59"/>
      <c r="E721" s="59"/>
      <c r="F721" s="59"/>
      <c r="I721" s="59"/>
      <c r="J721" s="59"/>
      <c r="K721" s="59"/>
    </row>
    <row r="722" ht="12.75" customHeight="1">
      <c r="B722" s="59"/>
      <c r="C722" s="59"/>
      <c r="D722" s="59"/>
      <c r="E722" s="59"/>
      <c r="F722" s="59"/>
      <c r="I722" s="59"/>
      <c r="J722" s="59"/>
      <c r="K722" s="59"/>
    </row>
    <row r="723" ht="12.75" customHeight="1">
      <c r="B723" s="59"/>
      <c r="C723" s="59"/>
      <c r="D723" s="59"/>
      <c r="E723" s="59"/>
      <c r="F723" s="59"/>
      <c r="I723" s="59"/>
      <c r="J723" s="59"/>
      <c r="K723" s="59"/>
    </row>
    <row r="724" ht="12.75" customHeight="1">
      <c r="B724" s="59"/>
      <c r="C724" s="59"/>
      <c r="D724" s="59"/>
      <c r="E724" s="59"/>
      <c r="F724" s="59"/>
      <c r="I724" s="59"/>
      <c r="J724" s="59"/>
      <c r="K724" s="59"/>
    </row>
    <row r="725" ht="12.75" customHeight="1">
      <c r="B725" s="59"/>
      <c r="C725" s="59"/>
      <c r="D725" s="59"/>
      <c r="E725" s="59"/>
      <c r="F725" s="59"/>
      <c r="I725" s="59"/>
      <c r="J725" s="59"/>
      <c r="K725" s="59"/>
    </row>
    <row r="726" ht="12.75" customHeight="1">
      <c r="B726" s="59"/>
      <c r="C726" s="59"/>
      <c r="D726" s="59"/>
      <c r="E726" s="59"/>
      <c r="F726" s="59"/>
      <c r="I726" s="59"/>
      <c r="J726" s="59"/>
      <c r="K726" s="59"/>
    </row>
    <row r="727" ht="12.75" customHeight="1">
      <c r="B727" s="59"/>
      <c r="C727" s="59"/>
      <c r="D727" s="59"/>
      <c r="E727" s="59"/>
      <c r="F727" s="59"/>
      <c r="I727" s="59"/>
      <c r="J727" s="59"/>
      <c r="K727" s="59"/>
    </row>
    <row r="728" ht="12.75" customHeight="1">
      <c r="B728" s="59"/>
      <c r="C728" s="59"/>
      <c r="D728" s="59"/>
      <c r="E728" s="59"/>
      <c r="F728" s="59"/>
      <c r="I728" s="59"/>
      <c r="J728" s="59"/>
      <c r="K728" s="59"/>
    </row>
    <row r="729" ht="12.75" customHeight="1">
      <c r="B729" s="59"/>
      <c r="C729" s="59"/>
      <c r="D729" s="59"/>
      <c r="E729" s="59"/>
      <c r="F729" s="59"/>
      <c r="I729" s="59"/>
      <c r="J729" s="59"/>
      <c r="K729" s="59"/>
    </row>
    <row r="730" ht="12.75" customHeight="1">
      <c r="B730" s="59"/>
      <c r="C730" s="59"/>
      <c r="D730" s="59"/>
      <c r="E730" s="59"/>
      <c r="F730" s="59"/>
      <c r="I730" s="59"/>
      <c r="J730" s="59"/>
      <c r="K730" s="59"/>
    </row>
    <row r="731" ht="12.75" customHeight="1">
      <c r="B731" s="59"/>
      <c r="C731" s="59"/>
      <c r="D731" s="59"/>
      <c r="E731" s="59"/>
      <c r="F731" s="59"/>
      <c r="I731" s="59"/>
      <c r="J731" s="59"/>
      <c r="K731" s="59"/>
    </row>
    <row r="732" ht="12.75" customHeight="1">
      <c r="B732" s="59"/>
      <c r="C732" s="59"/>
      <c r="D732" s="59"/>
      <c r="E732" s="59"/>
      <c r="F732" s="59"/>
      <c r="I732" s="59"/>
      <c r="J732" s="59"/>
      <c r="K732" s="59"/>
    </row>
    <row r="733" ht="12.75" customHeight="1">
      <c r="B733" s="59"/>
      <c r="C733" s="59"/>
      <c r="D733" s="59"/>
      <c r="E733" s="59"/>
      <c r="F733" s="59"/>
      <c r="I733" s="59"/>
      <c r="J733" s="59"/>
      <c r="K733" s="59"/>
    </row>
    <row r="734" ht="12.75" customHeight="1">
      <c r="B734" s="59"/>
      <c r="C734" s="59"/>
      <c r="D734" s="59"/>
      <c r="E734" s="59"/>
      <c r="F734" s="59"/>
      <c r="I734" s="59"/>
      <c r="J734" s="59"/>
      <c r="K734" s="59"/>
    </row>
    <row r="735" ht="12.75" customHeight="1">
      <c r="B735" s="59"/>
      <c r="C735" s="59"/>
      <c r="D735" s="59"/>
      <c r="E735" s="59"/>
      <c r="F735" s="59"/>
      <c r="I735" s="59"/>
      <c r="J735" s="59"/>
      <c r="K735" s="59"/>
    </row>
    <row r="736" ht="12.75" customHeight="1">
      <c r="B736" s="59"/>
      <c r="C736" s="59"/>
      <c r="D736" s="59"/>
      <c r="E736" s="59"/>
      <c r="F736" s="59"/>
      <c r="I736" s="59"/>
      <c r="J736" s="59"/>
      <c r="K736" s="59"/>
    </row>
    <row r="737" ht="12.75" customHeight="1">
      <c r="B737" s="59"/>
      <c r="C737" s="59"/>
      <c r="D737" s="59"/>
      <c r="E737" s="59"/>
      <c r="F737" s="59"/>
      <c r="I737" s="59"/>
      <c r="J737" s="59"/>
      <c r="K737" s="59"/>
    </row>
    <row r="738" ht="12.75" customHeight="1">
      <c r="B738" s="59"/>
      <c r="C738" s="59"/>
      <c r="D738" s="59"/>
      <c r="E738" s="59"/>
      <c r="F738" s="59"/>
      <c r="I738" s="59"/>
      <c r="J738" s="59"/>
      <c r="K738" s="59"/>
    </row>
    <row r="739" ht="12.75" customHeight="1">
      <c r="B739" s="59"/>
      <c r="C739" s="59"/>
      <c r="D739" s="59"/>
      <c r="E739" s="59"/>
      <c r="F739" s="59"/>
      <c r="I739" s="59"/>
      <c r="J739" s="59"/>
      <c r="K739" s="59"/>
    </row>
    <row r="740" ht="12.75" customHeight="1">
      <c r="B740" s="59"/>
      <c r="C740" s="59"/>
      <c r="D740" s="59"/>
      <c r="E740" s="59"/>
      <c r="F740" s="59"/>
      <c r="I740" s="59"/>
      <c r="J740" s="59"/>
      <c r="K740" s="59"/>
    </row>
    <row r="741" ht="12.75" customHeight="1">
      <c r="B741" s="59"/>
      <c r="C741" s="59"/>
      <c r="D741" s="59"/>
      <c r="E741" s="59"/>
      <c r="F741" s="59"/>
      <c r="I741" s="59"/>
      <c r="J741" s="59"/>
      <c r="K741" s="59"/>
    </row>
    <row r="742" ht="12.75" customHeight="1">
      <c r="B742" s="59"/>
      <c r="C742" s="59"/>
      <c r="D742" s="59"/>
      <c r="E742" s="59"/>
      <c r="F742" s="59"/>
      <c r="I742" s="59"/>
      <c r="J742" s="59"/>
      <c r="K742" s="59"/>
    </row>
    <row r="743" ht="12.75" customHeight="1">
      <c r="B743" s="59"/>
      <c r="C743" s="59"/>
      <c r="D743" s="59"/>
      <c r="E743" s="59"/>
      <c r="F743" s="59"/>
      <c r="I743" s="59"/>
      <c r="J743" s="59"/>
      <c r="K743" s="59"/>
    </row>
    <row r="744" ht="12.75" customHeight="1">
      <c r="B744" s="59"/>
      <c r="C744" s="59"/>
      <c r="D744" s="59"/>
      <c r="E744" s="59"/>
      <c r="F744" s="59"/>
      <c r="I744" s="59"/>
      <c r="J744" s="59"/>
      <c r="K744" s="59"/>
    </row>
    <row r="745" ht="12.75" customHeight="1">
      <c r="B745" s="59"/>
      <c r="C745" s="59"/>
      <c r="D745" s="59"/>
      <c r="E745" s="59"/>
      <c r="F745" s="59"/>
      <c r="I745" s="59"/>
      <c r="J745" s="59"/>
      <c r="K745" s="59"/>
    </row>
    <row r="746" ht="12.75" customHeight="1">
      <c r="B746" s="59"/>
      <c r="C746" s="59"/>
      <c r="D746" s="59"/>
      <c r="E746" s="59"/>
      <c r="F746" s="59"/>
      <c r="I746" s="59"/>
      <c r="J746" s="59"/>
      <c r="K746" s="59"/>
    </row>
    <row r="747" ht="12.75" customHeight="1">
      <c r="B747" s="59"/>
      <c r="C747" s="59"/>
      <c r="D747" s="59"/>
      <c r="E747" s="59"/>
      <c r="F747" s="59"/>
      <c r="I747" s="59"/>
      <c r="J747" s="59"/>
      <c r="K747" s="59"/>
    </row>
    <row r="748" ht="12.75" customHeight="1">
      <c r="B748" s="59"/>
      <c r="C748" s="59"/>
      <c r="D748" s="59"/>
      <c r="E748" s="59"/>
      <c r="F748" s="59"/>
      <c r="I748" s="59"/>
      <c r="J748" s="59"/>
      <c r="K748" s="59"/>
    </row>
    <row r="749" ht="12.75" customHeight="1">
      <c r="B749" s="59"/>
      <c r="C749" s="59"/>
      <c r="D749" s="59"/>
      <c r="E749" s="59"/>
      <c r="F749" s="59"/>
      <c r="I749" s="59"/>
      <c r="J749" s="59"/>
      <c r="K749" s="59"/>
    </row>
    <row r="750" ht="12.75" customHeight="1">
      <c r="B750" s="59"/>
      <c r="C750" s="59"/>
      <c r="D750" s="59"/>
      <c r="E750" s="59"/>
      <c r="F750" s="59"/>
      <c r="I750" s="59"/>
      <c r="J750" s="59"/>
      <c r="K750" s="59"/>
    </row>
    <row r="751" ht="12.75" customHeight="1">
      <c r="B751" s="59"/>
      <c r="C751" s="59"/>
      <c r="D751" s="59"/>
      <c r="E751" s="59"/>
      <c r="F751" s="59"/>
      <c r="I751" s="59"/>
      <c r="J751" s="59"/>
      <c r="K751" s="59"/>
    </row>
    <row r="752" ht="12.75" customHeight="1">
      <c r="B752" s="59"/>
      <c r="C752" s="59"/>
      <c r="D752" s="59"/>
      <c r="E752" s="59"/>
      <c r="F752" s="59"/>
      <c r="I752" s="59"/>
      <c r="J752" s="59"/>
      <c r="K752" s="59"/>
    </row>
    <row r="753" ht="12.75" customHeight="1">
      <c r="B753" s="59"/>
      <c r="C753" s="59"/>
      <c r="D753" s="59"/>
      <c r="E753" s="59"/>
      <c r="F753" s="59"/>
      <c r="I753" s="59"/>
      <c r="J753" s="59"/>
      <c r="K753" s="59"/>
    </row>
    <row r="754" ht="12.75" customHeight="1">
      <c r="B754" s="59"/>
      <c r="C754" s="59"/>
      <c r="D754" s="59"/>
      <c r="E754" s="59"/>
      <c r="F754" s="59"/>
      <c r="I754" s="59"/>
      <c r="J754" s="59"/>
      <c r="K754" s="59"/>
    </row>
    <row r="755" ht="12.75" customHeight="1">
      <c r="B755" s="59"/>
      <c r="C755" s="59"/>
      <c r="D755" s="59"/>
      <c r="E755" s="59"/>
      <c r="F755" s="59"/>
      <c r="I755" s="59"/>
      <c r="J755" s="59"/>
      <c r="K755" s="59"/>
    </row>
    <row r="756" ht="12.75" customHeight="1">
      <c r="B756" s="59"/>
      <c r="C756" s="59"/>
      <c r="D756" s="59"/>
      <c r="E756" s="59"/>
      <c r="F756" s="59"/>
      <c r="I756" s="59"/>
      <c r="J756" s="59"/>
      <c r="K756" s="59"/>
    </row>
    <row r="757" ht="12.75" customHeight="1">
      <c r="B757" s="59"/>
      <c r="C757" s="59"/>
      <c r="D757" s="59"/>
      <c r="E757" s="59"/>
      <c r="F757" s="59"/>
      <c r="I757" s="59"/>
      <c r="J757" s="59"/>
      <c r="K757" s="59"/>
    </row>
    <row r="758" ht="12.75" customHeight="1">
      <c r="B758" s="59"/>
      <c r="C758" s="59"/>
      <c r="D758" s="59"/>
      <c r="E758" s="59"/>
      <c r="F758" s="59"/>
      <c r="I758" s="59"/>
      <c r="J758" s="59"/>
      <c r="K758" s="59"/>
    </row>
    <row r="759" ht="12.75" customHeight="1">
      <c r="B759" s="59"/>
      <c r="C759" s="59"/>
      <c r="D759" s="59"/>
      <c r="E759" s="59"/>
      <c r="F759" s="59"/>
      <c r="I759" s="59"/>
      <c r="J759" s="59"/>
      <c r="K759" s="59"/>
    </row>
    <row r="760" ht="12.75" customHeight="1">
      <c r="B760" s="59"/>
      <c r="C760" s="59"/>
      <c r="D760" s="59"/>
      <c r="E760" s="59"/>
      <c r="F760" s="59"/>
      <c r="I760" s="59"/>
      <c r="J760" s="59"/>
      <c r="K760" s="59"/>
    </row>
    <row r="761" ht="12.75" customHeight="1">
      <c r="B761" s="59"/>
      <c r="C761" s="59"/>
      <c r="D761" s="59"/>
      <c r="E761" s="59"/>
      <c r="F761" s="59"/>
      <c r="I761" s="59"/>
      <c r="J761" s="59"/>
      <c r="K761" s="59"/>
    </row>
    <row r="762" ht="12.75" customHeight="1">
      <c r="B762" s="59"/>
      <c r="C762" s="59"/>
      <c r="D762" s="59"/>
      <c r="E762" s="59"/>
      <c r="F762" s="59"/>
      <c r="I762" s="59"/>
      <c r="J762" s="59"/>
      <c r="K762" s="59"/>
    </row>
    <row r="763" ht="12.75" customHeight="1">
      <c r="B763" s="59"/>
      <c r="C763" s="59"/>
      <c r="D763" s="59"/>
      <c r="E763" s="59"/>
      <c r="F763" s="59"/>
      <c r="I763" s="59"/>
      <c r="J763" s="59"/>
      <c r="K763" s="59"/>
    </row>
    <row r="764" ht="12.75" customHeight="1">
      <c r="B764" s="59"/>
      <c r="C764" s="59"/>
      <c r="D764" s="59"/>
      <c r="E764" s="59"/>
      <c r="F764" s="59"/>
      <c r="I764" s="59"/>
      <c r="J764" s="59"/>
      <c r="K764" s="59"/>
    </row>
    <row r="765" ht="12.75" customHeight="1">
      <c r="B765" s="59"/>
      <c r="C765" s="59"/>
      <c r="D765" s="59"/>
      <c r="E765" s="59"/>
      <c r="F765" s="59"/>
      <c r="I765" s="59"/>
      <c r="J765" s="59"/>
      <c r="K765" s="59"/>
    </row>
    <row r="766" ht="12.75" customHeight="1">
      <c r="B766" s="59"/>
      <c r="C766" s="59"/>
      <c r="D766" s="59"/>
      <c r="E766" s="59"/>
      <c r="F766" s="59"/>
      <c r="I766" s="59"/>
      <c r="J766" s="59"/>
      <c r="K766" s="59"/>
    </row>
    <row r="767" ht="12.75" customHeight="1">
      <c r="B767" s="59"/>
      <c r="C767" s="59"/>
      <c r="D767" s="59"/>
      <c r="E767" s="59"/>
      <c r="F767" s="59"/>
      <c r="I767" s="59"/>
      <c r="J767" s="59"/>
      <c r="K767" s="59"/>
    </row>
    <row r="768" ht="12.75" customHeight="1">
      <c r="B768" s="59"/>
      <c r="C768" s="59"/>
      <c r="D768" s="59"/>
      <c r="E768" s="59"/>
      <c r="F768" s="59"/>
      <c r="I768" s="59"/>
      <c r="J768" s="59"/>
      <c r="K768" s="59"/>
    </row>
    <row r="769" ht="12.75" customHeight="1">
      <c r="B769" s="59"/>
      <c r="C769" s="59"/>
      <c r="D769" s="59"/>
      <c r="E769" s="59"/>
      <c r="F769" s="59"/>
      <c r="I769" s="59"/>
      <c r="J769" s="59"/>
      <c r="K769" s="59"/>
    </row>
    <row r="770" ht="12.75" customHeight="1">
      <c r="B770" s="59"/>
      <c r="C770" s="59"/>
      <c r="D770" s="59"/>
      <c r="E770" s="59"/>
      <c r="F770" s="59"/>
      <c r="I770" s="59"/>
      <c r="J770" s="59"/>
      <c r="K770" s="59"/>
    </row>
    <row r="771" ht="12.75" customHeight="1">
      <c r="B771" s="59"/>
      <c r="C771" s="59"/>
      <c r="D771" s="59"/>
      <c r="E771" s="59"/>
      <c r="F771" s="59"/>
      <c r="I771" s="59"/>
      <c r="J771" s="59"/>
      <c r="K771" s="59"/>
    </row>
    <row r="772" ht="12.75" customHeight="1">
      <c r="B772" s="59"/>
      <c r="C772" s="59"/>
      <c r="D772" s="59"/>
      <c r="E772" s="59"/>
      <c r="F772" s="59"/>
      <c r="I772" s="59"/>
      <c r="J772" s="59"/>
      <c r="K772" s="59"/>
    </row>
    <row r="773" ht="12.75" customHeight="1">
      <c r="B773" s="59"/>
      <c r="C773" s="59"/>
      <c r="D773" s="59"/>
      <c r="E773" s="59"/>
      <c r="F773" s="59"/>
      <c r="I773" s="59"/>
      <c r="J773" s="59"/>
      <c r="K773" s="59"/>
    </row>
    <row r="774" ht="12.75" customHeight="1">
      <c r="B774" s="59"/>
      <c r="C774" s="59"/>
      <c r="D774" s="59"/>
      <c r="E774" s="59"/>
      <c r="F774" s="59"/>
      <c r="I774" s="59"/>
      <c r="J774" s="59"/>
      <c r="K774" s="59"/>
    </row>
    <row r="775" ht="12.75" customHeight="1">
      <c r="B775" s="59"/>
      <c r="C775" s="59"/>
      <c r="D775" s="59"/>
      <c r="E775" s="59"/>
      <c r="F775" s="59"/>
      <c r="I775" s="59"/>
      <c r="J775" s="59"/>
      <c r="K775" s="59"/>
    </row>
    <row r="776" ht="12.75" customHeight="1">
      <c r="B776" s="59"/>
      <c r="C776" s="59"/>
      <c r="D776" s="59"/>
      <c r="E776" s="59"/>
      <c r="F776" s="59"/>
      <c r="I776" s="59"/>
      <c r="J776" s="59"/>
      <c r="K776" s="59"/>
    </row>
    <row r="777" ht="12.75" customHeight="1">
      <c r="B777" s="59"/>
      <c r="C777" s="59"/>
      <c r="D777" s="59"/>
      <c r="E777" s="59"/>
      <c r="F777" s="59"/>
      <c r="I777" s="59"/>
      <c r="J777" s="59"/>
      <c r="K777" s="59"/>
    </row>
    <row r="778" ht="12.75" customHeight="1">
      <c r="B778" s="59"/>
      <c r="C778" s="59"/>
      <c r="D778" s="59"/>
      <c r="E778" s="59"/>
      <c r="F778" s="59"/>
      <c r="I778" s="59"/>
      <c r="J778" s="59"/>
      <c r="K778" s="59"/>
    </row>
    <row r="779" ht="12.75" customHeight="1">
      <c r="B779" s="59"/>
      <c r="C779" s="59"/>
      <c r="D779" s="59"/>
      <c r="E779" s="59"/>
      <c r="F779" s="59"/>
      <c r="I779" s="59"/>
      <c r="J779" s="59"/>
      <c r="K779" s="59"/>
    </row>
    <row r="780" ht="12.75" customHeight="1">
      <c r="B780" s="59"/>
      <c r="C780" s="59"/>
      <c r="D780" s="59"/>
      <c r="E780" s="59"/>
      <c r="F780" s="59"/>
      <c r="I780" s="59"/>
      <c r="J780" s="59"/>
      <c r="K780" s="59"/>
    </row>
    <row r="781" ht="12.75" customHeight="1">
      <c r="B781" s="59"/>
      <c r="C781" s="59"/>
      <c r="D781" s="59"/>
      <c r="E781" s="59"/>
      <c r="F781" s="59"/>
      <c r="I781" s="59"/>
      <c r="J781" s="59"/>
      <c r="K781" s="59"/>
    </row>
    <row r="782" ht="12.75" customHeight="1">
      <c r="B782" s="59"/>
      <c r="C782" s="59"/>
      <c r="D782" s="59"/>
      <c r="E782" s="59"/>
      <c r="F782" s="59"/>
      <c r="I782" s="59"/>
      <c r="J782" s="59"/>
      <c r="K782" s="59"/>
    </row>
    <row r="783" ht="12.75" customHeight="1">
      <c r="B783" s="59"/>
      <c r="C783" s="59"/>
      <c r="D783" s="59"/>
      <c r="E783" s="59"/>
      <c r="F783" s="59"/>
      <c r="I783" s="59"/>
      <c r="J783" s="59"/>
      <c r="K783" s="59"/>
    </row>
    <row r="784" ht="12.75" customHeight="1">
      <c r="B784" s="59"/>
      <c r="C784" s="59"/>
      <c r="D784" s="59"/>
      <c r="E784" s="59"/>
      <c r="F784" s="59"/>
      <c r="I784" s="59"/>
      <c r="J784" s="59"/>
      <c r="K784" s="59"/>
    </row>
    <row r="785" ht="12.75" customHeight="1">
      <c r="B785" s="59"/>
      <c r="C785" s="59"/>
      <c r="D785" s="59"/>
      <c r="E785" s="59"/>
      <c r="F785" s="59"/>
      <c r="I785" s="59"/>
      <c r="J785" s="59"/>
      <c r="K785" s="59"/>
    </row>
    <row r="786" ht="12.75" customHeight="1">
      <c r="B786" s="59"/>
      <c r="C786" s="59"/>
      <c r="D786" s="59"/>
      <c r="E786" s="59"/>
      <c r="F786" s="59"/>
      <c r="I786" s="59"/>
      <c r="J786" s="59"/>
      <c r="K786" s="59"/>
    </row>
    <row r="787" ht="12.75" customHeight="1">
      <c r="B787" s="59"/>
      <c r="C787" s="59"/>
      <c r="D787" s="59"/>
      <c r="E787" s="59"/>
      <c r="F787" s="59"/>
      <c r="I787" s="59"/>
      <c r="J787" s="59"/>
      <c r="K787" s="59"/>
    </row>
    <row r="788" ht="12.75" customHeight="1">
      <c r="B788" s="59"/>
      <c r="C788" s="59"/>
      <c r="D788" s="59"/>
      <c r="E788" s="59"/>
      <c r="F788" s="59"/>
      <c r="I788" s="59"/>
      <c r="J788" s="59"/>
      <c r="K788" s="59"/>
    </row>
    <row r="789" ht="12.75" customHeight="1">
      <c r="B789" s="59"/>
      <c r="C789" s="59"/>
      <c r="D789" s="59"/>
      <c r="E789" s="59"/>
      <c r="F789" s="59"/>
      <c r="I789" s="59"/>
      <c r="J789" s="59"/>
      <c r="K789" s="59"/>
    </row>
    <row r="790" ht="12.75" customHeight="1">
      <c r="B790" s="59"/>
      <c r="C790" s="59"/>
      <c r="D790" s="59"/>
      <c r="E790" s="59"/>
      <c r="F790" s="59"/>
      <c r="I790" s="59"/>
      <c r="J790" s="59"/>
      <c r="K790" s="59"/>
    </row>
    <row r="791" ht="12.75" customHeight="1">
      <c r="B791" s="59"/>
      <c r="C791" s="59"/>
      <c r="D791" s="59"/>
      <c r="E791" s="59"/>
      <c r="F791" s="59"/>
      <c r="I791" s="59"/>
      <c r="J791" s="59"/>
      <c r="K791" s="59"/>
    </row>
    <row r="792" ht="12.75" customHeight="1">
      <c r="B792" s="59"/>
      <c r="C792" s="59"/>
      <c r="D792" s="59"/>
      <c r="E792" s="59"/>
      <c r="F792" s="59"/>
      <c r="I792" s="59"/>
      <c r="J792" s="59"/>
      <c r="K792" s="59"/>
    </row>
    <row r="793" ht="12.75" customHeight="1">
      <c r="B793" s="59"/>
      <c r="C793" s="59"/>
      <c r="D793" s="59"/>
      <c r="E793" s="59"/>
      <c r="F793" s="59"/>
      <c r="I793" s="59"/>
      <c r="J793" s="59"/>
      <c r="K793" s="59"/>
    </row>
    <row r="794" ht="12.75" customHeight="1">
      <c r="B794" s="59"/>
      <c r="C794" s="59"/>
      <c r="D794" s="59"/>
      <c r="E794" s="59"/>
      <c r="F794" s="59"/>
      <c r="I794" s="59"/>
      <c r="J794" s="59"/>
      <c r="K794" s="59"/>
    </row>
    <row r="795" ht="12.75" customHeight="1">
      <c r="B795" s="59"/>
      <c r="C795" s="59"/>
      <c r="D795" s="59"/>
      <c r="E795" s="59"/>
      <c r="F795" s="59"/>
      <c r="I795" s="59"/>
      <c r="J795" s="59"/>
      <c r="K795" s="59"/>
    </row>
    <row r="796" ht="12.75" customHeight="1">
      <c r="B796" s="59"/>
      <c r="C796" s="59"/>
      <c r="D796" s="59"/>
      <c r="E796" s="59"/>
      <c r="F796" s="59"/>
      <c r="I796" s="59"/>
      <c r="J796" s="59"/>
      <c r="K796" s="59"/>
    </row>
    <row r="797" ht="12.75" customHeight="1">
      <c r="B797" s="59"/>
      <c r="C797" s="59"/>
      <c r="D797" s="59"/>
      <c r="E797" s="59"/>
      <c r="F797" s="59"/>
      <c r="I797" s="59"/>
      <c r="J797" s="59"/>
      <c r="K797" s="59"/>
    </row>
    <row r="798" ht="12.75" customHeight="1">
      <c r="B798" s="59"/>
      <c r="C798" s="59"/>
      <c r="D798" s="59"/>
      <c r="E798" s="59"/>
      <c r="F798" s="59"/>
      <c r="I798" s="59"/>
      <c r="J798" s="59"/>
      <c r="K798" s="59"/>
    </row>
    <row r="799" ht="12.75" customHeight="1">
      <c r="B799" s="59"/>
      <c r="C799" s="59"/>
      <c r="D799" s="59"/>
      <c r="E799" s="59"/>
      <c r="F799" s="59"/>
      <c r="I799" s="59"/>
      <c r="J799" s="59"/>
      <c r="K799" s="59"/>
    </row>
    <row r="800" ht="12.75" customHeight="1">
      <c r="B800" s="59"/>
      <c r="C800" s="59"/>
      <c r="D800" s="59"/>
      <c r="E800" s="59"/>
      <c r="F800" s="59"/>
      <c r="I800" s="59"/>
      <c r="J800" s="59"/>
      <c r="K800" s="59"/>
    </row>
    <row r="801" ht="12.75" customHeight="1">
      <c r="B801" s="59"/>
      <c r="C801" s="59"/>
      <c r="D801" s="59"/>
      <c r="E801" s="59"/>
      <c r="F801" s="59"/>
      <c r="I801" s="59"/>
      <c r="J801" s="59"/>
      <c r="K801" s="59"/>
    </row>
    <row r="802" ht="12.75" customHeight="1">
      <c r="B802" s="59"/>
      <c r="C802" s="59"/>
      <c r="D802" s="59"/>
      <c r="E802" s="59"/>
      <c r="F802" s="59"/>
      <c r="I802" s="59"/>
      <c r="J802" s="59"/>
      <c r="K802" s="59"/>
    </row>
    <row r="803" ht="12.75" customHeight="1">
      <c r="B803" s="59"/>
      <c r="C803" s="59"/>
      <c r="D803" s="59"/>
      <c r="E803" s="59"/>
      <c r="F803" s="59"/>
      <c r="I803" s="59"/>
      <c r="J803" s="59"/>
      <c r="K803" s="59"/>
    </row>
    <row r="804" ht="12.75" customHeight="1">
      <c r="B804" s="59"/>
      <c r="C804" s="59"/>
      <c r="D804" s="59"/>
      <c r="E804" s="59"/>
      <c r="F804" s="59"/>
      <c r="I804" s="59"/>
      <c r="J804" s="59"/>
      <c r="K804" s="59"/>
    </row>
    <row r="805" ht="12.75" customHeight="1">
      <c r="B805" s="59"/>
      <c r="C805" s="59"/>
      <c r="D805" s="59"/>
      <c r="E805" s="59"/>
      <c r="F805" s="59"/>
      <c r="I805" s="59"/>
      <c r="J805" s="59"/>
      <c r="K805" s="59"/>
    </row>
    <row r="806" ht="12.75" customHeight="1">
      <c r="B806" s="59"/>
      <c r="C806" s="59"/>
      <c r="D806" s="59"/>
      <c r="E806" s="59"/>
      <c r="F806" s="59"/>
      <c r="I806" s="59"/>
      <c r="J806" s="59"/>
      <c r="K806" s="59"/>
    </row>
    <row r="807" ht="12.75" customHeight="1">
      <c r="B807" s="59"/>
      <c r="C807" s="59"/>
      <c r="D807" s="59"/>
      <c r="E807" s="59"/>
      <c r="F807" s="59"/>
      <c r="I807" s="59"/>
      <c r="J807" s="59"/>
      <c r="K807" s="59"/>
    </row>
    <row r="808" ht="12.75" customHeight="1">
      <c r="B808" s="59"/>
      <c r="C808" s="59"/>
      <c r="D808" s="59"/>
      <c r="E808" s="59"/>
      <c r="F808" s="59"/>
      <c r="I808" s="59"/>
      <c r="J808" s="59"/>
      <c r="K808" s="59"/>
    </row>
    <row r="809" ht="12.75" customHeight="1">
      <c r="B809" s="59"/>
      <c r="C809" s="59"/>
      <c r="D809" s="59"/>
      <c r="E809" s="59"/>
      <c r="F809" s="59"/>
      <c r="I809" s="59"/>
      <c r="J809" s="59"/>
      <c r="K809" s="59"/>
    </row>
    <row r="810" ht="12.75" customHeight="1">
      <c r="B810" s="59"/>
      <c r="C810" s="59"/>
      <c r="D810" s="59"/>
      <c r="E810" s="59"/>
      <c r="F810" s="59"/>
      <c r="I810" s="59"/>
      <c r="J810" s="59"/>
      <c r="K810" s="59"/>
    </row>
    <row r="811" ht="12.75" customHeight="1">
      <c r="B811" s="59"/>
      <c r="C811" s="59"/>
      <c r="D811" s="59"/>
      <c r="E811" s="59"/>
      <c r="F811" s="59"/>
      <c r="I811" s="59"/>
      <c r="J811" s="59"/>
      <c r="K811" s="59"/>
    </row>
    <row r="812" ht="12.75" customHeight="1">
      <c r="B812" s="59"/>
      <c r="C812" s="59"/>
      <c r="D812" s="59"/>
      <c r="E812" s="59"/>
      <c r="F812" s="59"/>
      <c r="I812" s="59"/>
      <c r="J812" s="59"/>
      <c r="K812" s="59"/>
    </row>
    <row r="813" ht="12.75" customHeight="1">
      <c r="B813" s="59"/>
      <c r="C813" s="59"/>
      <c r="D813" s="59"/>
      <c r="E813" s="59"/>
      <c r="F813" s="59"/>
      <c r="I813" s="59"/>
      <c r="J813" s="59"/>
      <c r="K813" s="59"/>
    </row>
    <row r="814" ht="12.75" customHeight="1">
      <c r="B814" s="59"/>
      <c r="C814" s="59"/>
      <c r="D814" s="59"/>
      <c r="E814" s="59"/>
      <c r="F814" s="59"/>
      <c r="I814" s="59"/>
      <c r="J814" s="59"/>
      <c r="K814" s="59"/>
    </row>
    <row r="815" ht="12.75" customHeight="1">
      <c r="B815" s="59"/>
      <c r="C815" s="59"/>
      <c r="D815" s="59"/>
      <c r="E815" s="59"/>
      <c r="F815" s="59"/>
      <c r="I815" s="59"/>
      <c r="J815" s="59"/>
      <c r="K815" s="59"/>
    </row>
    <row r="816" ht="12.75" customHeight="1">
      <c r="B816" s="59"/>
      <c r="C816" s="59"/>
      <c r="D816" s="59"/>
      <c r="E816" s="59"/>
      <c r="F816" s="59"/>
      <c r="I816" s="59"/>
      <c r="J816" s="59"/>
      <c r="K816" s="59"/>
    </row>
    <row r="817" ht="12.75" customHeight="1">
      <c r="B817" s="59"/>
      <c r="C817" s="59"/>
      <c r="D817" s="59"/>
      <c r="E817" s="59"/>
      <c r="F817" s="59"/>
      <c r="I817" s="59"/>
      <c r="J817" s="59"/>
      <c r="K817" s="59"/>
    </row>
    <row r="818" ht="12.75" customHeight="1">
      <c r="B818" s="59"/>
      <c r="C818" s="59"/>
      <c r="D818" s="59"/>
      <c r="E818" s="59"/>
      <c r="F818" s="59"/>
      <c r="I818" s="59"/>
      <c r="J818" s="59"/>
      <c r="K818" s="59"/>
    </row>
    <row r="819" ht="12.75" customHeight="1">
      <c r="B819" s="59"/>
      <c r="C819" s="59"/>
      <c r="D819" s="59"/>
      <c r="E819" s="59"/>
      <c r="F819" s="59"/>
      <c r="I819" s="59"/>
      <c r="J819" s="59"/>
      <c r="K819" s="59"/>
    </row>
    <row r="820" ht="12.75" customHeight="1">
      <c r="B820" s="59"/>
      <c r="C820" s="59"/>
      <c r="D820" s="59"/>
      <c r="E820" s="59"/>
      <c r="F820" s="59"/>
      <c r="I820" s="59"/>
      <c r="J820" s="59"/>
      <c r="K820" s="59"/>
    </row>
    <row r="821" ht="12.75" customHeight="1">
      <c r="B821" s="59"/>
      <c r="C821" s="59"/>
      <c r="D821" s="59"/>
      <c r="E821" s="59"/>
      <c r="F821" s="59"/>
      <c r="I821" s="59"/>
      <c r="J821" s="59"/>
      <c r="K821" s="59"/>
    </row>
    <row r="822" ht="12.75" customHeight="1">
      <c r="B822" s="59"/>
      <c r="C822" s="59"/>
      <c r="D822" s="59"/>
      <c r="E822" s="59"/>
      <c r="F822" s="59"/>
      <c r="I822" s="59"/>
      <c r="J822" s="59"/>
      <c r="K822" s="59"/>
    </row>
    <row r="823" ht="12.75" customHeight="1">
      <c r="B823" s="59"/>
      <c r="C823" s="59"/>
      <c r="D823" s="59"/>
      <c r="E823" s="59"/>
      <c r="F823" s="59"/>
      <c r="I823" s="59"/>
      <c r="J823" s="59"/>
      <c r="K823" s="59"/>
    </row>
    <row r="824" ht="12.75" customHeight="1">
      <c r="B824" s="59"/>
      <c r="C824" s="59"/>
      <c r="D824" s="59"/>
      <c r="E824" s="59"/>
      <c r="F824" s="59"/>
      <c r="I824" s="59"/>
      <c r="J824" s="59"/>
      <c r="K824" s="59"/>
    </row>
    <row r="825" ht="12.75" customHeight="1">
      <c r="B825" s="59"/>
      <c r="C825" s="59"/>
      <c r="D825" s="59"/>
      <c r="E825" s="59"/>
      <c r="F825" s="59"/>
      <c r="I825" s="59"/>
      <c r="J825" s="59"/>
      <c r="K825" s="59"/>
    </row>
    <row r="826" ht="12.75" customHeight="1">
      <c r="B826" s="59"/>
      <c r="C826" s="59"/>
      <c r="D826" s="59"/>
      <c r="E826" s="59"/>
      <c r="F826" s="59"/>
      <c r="I826" s="59"/>
      <c r="J826" s="59"/>
      <c r="K826" s="59"/>
    </row>
    <row r="827" ht="12.75" customHeight="1">
      <c r="B827" s="59"/>
      <c r="C827" s="59"/>
      <c r="D827" s="59"/>
      <c r="E827" s="59"/>
      <c r="F827" s="59"/>
      <c r="I827" s="59"/>
      <c r="J827" s="59"/>
      <c r="K827" s="59"/>
    </row>
    <row r="828" ht="12.75" customHeight="1">
      <c r="B828" s="59"/>
      <c r="C828" s="59"/>
      <c r="D828" s="59"/>
      <c r="E828" s="59"/>
      <c r="F828" s="59"/>
      <c r="I828" s="59"/>
      <c r="J828" s="59"/>
      <c r="K828" s="59"/>
    </row>
    <row r="829" ht="12.75" customHeight="1">
      <c r="B829" s="59"/>
      <c r="C829" s="59"/>
      <c r="D829" s="59"/>
      <c r="E829" s="59"/>
      <c r="F829" s="59"/>
      <c r="I829" s="59"/>
      <c r="J829" s="59"/>
      <c r="K829" s="59"/>
    </row>
    <row r="830" ht="12.75" customHeight="1">
      <c r="B830" s="59"/>
      <c r="C830" s="59"/>
      <c r="D830" s="59"/>
      <c r="E830" s="59"/>
      <c r="F830" s="59"/>
      <c r="I830" s="59"/>
      <c r="J830" s="59"/>
      <c r="K830" s="59"/>
    </row>
    <row r="831" ht="12.75" customHeight="1">
      <c r="B831" s="59"/>
      <c r="C831" s="59"/>
      <c r="D831" s="59"/>
      <c r="E831" s="59"/>
      <c r="F831" s="59"/>
      <c r="I831" s="59"/>
      <c r="J831" s="59"/>
      <c r="K831" s="59"/>
    </row>
    <row r="832" ht="12.75" customHeight="1">
      <c r="B832" s="59"/>
      <c r="C832" s="59"/>
      <c r="D832" s="59"/>
      <c r="E832" s="59"/>
      <c r="F832" s="59"/>
      <c r="I832" s="59"/>
      <c r="J832" s="59"/>
      <c r="K832" s="59"/>
    </row>
    <row r="833" ht="12.75" customHeight="1">
      <c r="B833" s="59"/>
      <c r="C833" s="59"/>
      <c r="D833" s="59"/>
      <c r="E833" s="59"/>
      <c r="F833" s="59"/>
      <c r="I833" s="59"/>
      <c r="J833" s="59"/>
      <c r="K833" s="59"/>
    </row>
    <row r="834" ht="12.75" customHeight="1">
      <c r="B834" s="59"/>
      <c r="C834" s="59"/>
      <c r="D834" s="59"/>
      <c r="E834" s="59"/>
      <c r="F834" s="59"/>
      <c r="I834" s="59"/>
      <c r="J834" s="59"/>
      <c r="K834" s="59"/>
    </row>
    <row r="835" ht="12.75" customHeight="1">
      <c r="B835" s="59"/>
      <c r="C835" s="59"/>
      <c r="D835" s="59"/>
      <c r="E835" s="59"/>
      <c r="F835" s="59"/>
      <c r="I835" s="59"/>
      <c r="J835" s="59"/>
      <c r="K835" s="59"/>
    </row>
    <row r="836" ht="12.75" customHeight="1">
      <c r="B836" s="59"/>
      <c r="C836" s="59"/>
      <c r="D836" s="59"/>
      <c r="E836" s="59"/>
      <c r="F836" s="59"/>
      <c r="I836" s="59"/>
      <c r="J836" s="59"/>
      <c r="K836" s="59"/>
    </row>
    <row r="837" ht="12.75" customHeight="1">
      <c r="B837" s="59"/>
      <c r="C837" s="59"/>
      <c r="D837" s="59"/>
      <c r="E837" s="59"/>
      <c r="F837" s="59"/>
      <c r="I837" s="59"/>
      <c r="J837" s="59"/>
      <c r="K837" s="59"/>
    </row>
    <row r="838" ht="12.75" customHeight="1">
      <c r="B838" s="59"/>
      <c r="C838" s="59"/>
      <c r="D838" s="59"/>
      <c r="E838" s="59"/>
      <c r="F838" s="59"/>
      <c r="I838" s="59"/>
      <c r="J838" s="59"/>
      <c r="K838" s="59"/>
    </row>
    <row r="839" ht="12.75" customHeight="1">
      <c r="B839" s="59"/>
      <c r="C839" s="59"/>
      <c r="D839" s="59"/>
      <c r="E839" s="59"/>
      <c r="F839" s="59"/>
      <c r="I839" s="59"/>
      <c r="J839" s="59"/>
      <c r="K839" s="59"/>
    </row>
    <row r="840" ht="12.75" customHeight="1">
      <c r="B840" s="59"/>
      <c r="C840" s="59"/>
      <c r="D840" s="59"/>
      <c r="E840" s="59"/>
      <c r="F840" s="59"/>
      <c r="I840" s="59"/>
      <c r="J840" s="59"/>
      <c r="K840" s="59"/>
    </row>
    <row r="841" ht="12.75" customHeight="1">
      <c r="B841" s="59"/>
      <c r="C841" s="59"/>
      <c r="D841" s="59"/>
      <c r="E841" s="59"/>
      <c r="F841" s="59"/>
      <c r="I841" s="59"/>
      <c r="J841" s="59"/>
      <c r="K841" s="59"/>
    </row>
    <row r="842" ht="12.75" customHeight="1">
      <c r="B842" s="59"/>
      <c r="C842" s="59"/>
      <c r="D842" s="59"/>
      <c r="E842" s="59"/>
      <c r="F842" s="59"/>
      <c r="I842" s="59"/>
      <c r="J842" s="59"/>
      <c r="K842" s="59"/>
    </row>
    <row r="843" ht="12.75" customHeight="1">
      <c r="B843" s="59"/>
      <c r="C843" s="59"/>
      <c r="D843" s="59"/>
      <c r="E843" s="59"/>
      <c r="F843" s="59"/>
      <c r="I843" s="59"/>
      <c r="J843" s="59"/>
      <c r="K843" s="59"/>
    </row>
    <row r="844" ht="12.75" customHeight="1">
      <c r="B844" s="59"/>
      <c r="C844" s="59"/>
      <c r="D844" s="59"/>
      <c r="E844" s="59"/>
      <c r="F844" s="59"/>
      <c r="I844" s="59"/>
      <c r="J844" s="59"/>
      <c r="K844" s="59"/>
    </row>
    <row r="845" ht="12.75" customHeight="1">
      <c r="B845" s="59"/>
      <c r="C845" s="59"/>
      <c r="D845" s="59"/>
      <c r="E845" s="59"/>
      <c r="F845" s="59"/>
      <c r="I845" s="59"/>
      <c r="J845" s="59"/>
      <c r="K845" s="59"/>
    </row>
    <row r="846" ht="12.75" customHeight="1">
      <c r="B846" s="59"/>
      <c r="C846" s="59"/>
      <c r="D846" s="59"/>
      <c r="E846" s="59"/>
      <c r="F846" s="59"/>
      <c r="I846" s="59"/>
      <c r="J846" s="59"/>
      <c r="K846" s="59"/>
    </row>
    <row r="847" ht="12.75" customHeight="1">
      <c r="B847" s="59"/>
      <c r="C847" s="59"/>
      <c r="D847" s="59"/>
      <c r="E847" s="59"/>
      <c r="F847" s="59"/>
      <c r="I847" s="59"/>
      <c r="J847" s="59"/>
      <c r="K847" s="59"/>
    </row>
    <row r="848" ht="12.75" customHeight="1">
      <c r="B848" s="59"/>
      <c r="C848" s="59"/>
      <c r="D848" s="59"/>
      <c r="E848" s="59"/>
      <c r="F848" s="59"/>
      <c r="I848" s="59"/>
      <c r="J848" s="59"/>
      <c r="K848" s="59"/>
    </row>
    <row r="849" ht="12.75" customHeight="1">
      <c r="B849" s="59"/>
      <c r="C849" s="59"/>
      <c r="D849" s="59"/>
      <c r="E849" s="59"/>
      <c r="F849" s="59"/>
      <c r="I849" s="59"/>
      <c r="J849" s="59"/>
      <c r="K849" s="59"/>
    </row>
    <row r="850" ht="12.75" customHeight="1">
      <c r="B850" s="59"/>
      <c r="C850" s="59"/>
      <c r="D850" s="59"/>
      <c r="E850" s="59"/>
      <c r="F850" s="59"/>
      <c r="I850" s="59"/>
      <c r="J850" s="59"/>
      <c r="K850" s="59"/>
    </row>
    <row r="851" ht="12.75" customHeight="1">
      <c r="B851" s="59"/>
      <c r="C851" s="59"/>
      <c r="D851" s="59"/>
      <c r="E851" s="59"/>
      <c r="F851" s="59"/>
      <c r="I851" s="59"/>
      <c r="J851" s="59"/>
      <c r="K851" s="59"/>
    </row>
    <row r="852" ht="12.75" customHeight="1">
      <c r="B852" s="59"/>
      <c r="C852" s="59"/>
      <c r="D852" s="59"/>
      <c r="E852" s="59"/>
      <c r="F852" s="59"/>
      <c r="I852" s="59"/>
      <c r="J852" s="59"/>
      <c r="K852" s="59"/>
    </row>
    <row r="853" ht="12.75" customHeight="1">
      <c r="B853" s="59"/>
      <c r="C853" s="59"/>
      <c r="D853" s="59"/>
      <c r="E853" s="59"/>
      <c r="F853" s="59"/>
      <c r="I853" s="59"/>
      <c r="J853" s="59"/>
      <c r="K853" s="59"/>
    </row>
    <row r="854" ht="12.75" customHeight="1">
      <c r="B854" s="59"/>
      <c r="C854" s="59"/>
      <c r="D854" s="59"/>
      <c r="E854" s="59"/>
      <c r="F854" s="59"/>
      <c r="I854" s="59"/>
      <c r="J854" s="59"/>
      <c r="K854" s="59"/>
    </row>
    <row r="855" ht="12.75" customHeight="1">
      <c r="B855" s="59"/>
      <c r="C855" s="59"/>
      <c r="D855" s="59"/>
      <c r="E855" s="59"/>
      <c r="F855" s="59"/>
      <c r="I855" s="59"/>
      <c r="J855" s="59"/>
      <c r="K855" s="59"/>
    </row>
    <row r="856" ht="12.75" customHeight="1">
      <c r="B856" s="59"/>
      <c r="C856" s="59"/>
      <c r="D856" s="59"/>
      <c r="E856" s="59"/>
      <c r="F856" s="59"/>
      <c r="I856" s="59"/>
      <c r="J856" s="59"/>
      <c r="K856" s="59"/>
    </row>
    <row r="857" ht="12.75" customHeight="1">
      <c r="B857" s="59"/>
      <c r="C857" s="59"/>
      <c r="D857" s="59"/>
      <c r="E857" s="59"/>
      <c r="F857" s="59"/>
      <c r="I857" s="59"/>
      <c r="J857" s="59"/>
      <c r="K857" s="59"/>
    </row>
    <row r="858" ht="12.75" customHeight="1">
      <c r="B858" s="59"/>
      <c r="C858" s="59"/>
      <c r="D858" s="59"/>
      <c r="E858" s="59"/>
      <c r="F858" s="59"/>
      <c r="I858" s="59"/>
      <c r="J858" s="59"/>
      <c r="K858" s="59"/>
    </row>
    <row r="859" ht="12.75" customHeight="1">
      <c r="B859" s="59"/>
      <c r="C859" s="59"/>
      <c r="D859" s="59"/>
      <c r="E859" s="59"/>
      <c r="F859" s="59"/>
      <c r="I859" s="59"/>
      <c r="J859" s="59"/>
      <c r="K859" s="59"/>
    </row>
    <row r="860" ht="12.75" customHeight="1">
      <c r="B860" s="59"/>
      <c r="C860" s="59"/>
      <c r="D860" s="59"/>
      <c r="E860" s="59"/>
      <c r="F860" s="59"/>
      <c r="I860" s="59"/>
      <c r="J860" s="59"/>
      <c r="K860" s="59"/>
    </row>
    <row r="861" ht="12.75" customHeight="1">
      <c r="B861" s="59"/>
      <c r="C861" s="59"/>
      <c r="D861" s="59"/>
      <c r="E861" s="59"/>
      <c r="F861" s="59"/>
      <c r="I861" s="59"/>
      <c r="J861" s="59"/>
      <c r="K861" s="59"/>
    </row>
    <row r="862" ht="12.75" customHeight="1">
      <c r="B862" s="59"/>
      <c r="C862" s="59"/>
      <c r="D862" s="59"/>
      <c r="E862" s="59"/>
      <c r="F862" s="59"/>
      <c r="I862" s="59"/>
      <c r="J862" s="59"/>
      <c r="K862" s="59"/>
    </row>
    <row r="863" ht="12.75" customHeight="1">
      <c r="B863" s="59"/>
      <c r="C863" s="59"/>
      <c r="D863" s="59"/>
      <c r="E863" s="59"/>
      <c r="F863" s="59"/>
      <c r="I863" s="59"/>
      <c r="J863" s="59"/>
      <c r="K863" s="59"/>
    </row>
    <row r="864" ht="12.75" customHeight="1">
      <c r="B864" s="59"/>
      <c r="C864" s="59"/>
      <c r="D864" s="59"/>
      <c r="E864" s="59"/>
      <c r="F864" s="59"/>
      <c r="I864" s="59"/>
      <c r="J864" s="59"/>
      <c r="K864" s="59"/>
    </row>
    <row r="865" ht="12.75" customHeight="1">
      <c r="B865" s="59"/>
      <c r="C865" s="59"/>
      <c r="D865" s="59"/>
      <c r="E865" s="59"/>
      <c r="F865" s="59"/>
      <c r="I865" s="59"/>
      <c r="J865" s="59"/>
      <c r="K865" s="59"/>
    </row>
    <row r="866" ht="12.75" customHeight="1">
      <c r="B866" s="59"/>
      <c r="C866" s="59"/>
      <c r="D866" s="59"/>
      <c r="E866" s="59"/>
      <c r="F866" s="59"/>
      <c r="I866" s="59"/>
      <c r="J866" s="59"/>
      <c r="K866" s="59"/>
    </row>
    <row r="867" ht="12.75" customHeight="1">
      <c r="B867" s="59"/>
      <c r="C867" s="59"/>
      <c r="D867" s="59"/>
      <c r="E867" s="59"/>
      <c r="F867" s="59"/>
      <c r="I867" s="59"/>
      <c r="J867" s="59"/>
      <c r="K867" s="59"/>
    </row>
    <row r="868" ht="12.75" customHeight="1">
      <c r="B868" s="59"/>
      <c r="C868" s="59"/>
      <c r="D868" s="59"/>
      <c r="E868" s="59"/>
      <c r="F868" s="59"/>
      <c r="I868" s="59"/>
      <c r="J868" s="59"/>
      <c r="K868" s="59"/>
    </row>
    <row r="869" ht="12.75" customHeight="1">
      <c r="B869" s="59"/>
      <c r="C869" s="59"/>
      <c r="D869" s="59"/>
      <c r="E869" s="59"/>
      <c r="F869" s="59"/>
      <c r="I869" s="59"/>
      <c r="J869" s="59"/>
      <c r="K869" s="59"/>
    </row>
    <row r="870" ht="12.75" customHeight="1">
      <c r="B870" s="59"/>
      <c r="C870" s="59"/>
      <c r="D870" s="59"/>
      <c r="E870" s="59"/>
      <c r="F870" s="59"/>
      <c r="I870" s="59"/>
      <c r="J870" s="59"/>
      <c r="K870" s="59"/>
    </row>
    <row r="871" ht="12.75" customHeight="1">
      <c r="B871" s="59"/>
      <c r="C871" s="59"/>
      <c r="D871" s="59"/>
      <c r="E871" s="59"/>
      <c r="F871" s="59"/>
      <c r="I871" s="59"/>
      <c r="J871" s="59"/>
      <c r="K871" s="59"/>
    </row>
    <row r="872" ht="12.75" customHeight="1">
      <c r="B872" s="59"/>
      <c r="C872" s="59"/>
      <c r="D872" s="59"/>
      <c r="E872" s="59"/>
      <c r="F872" s="59"/>
      <c r="I872" s="59"/>
      <c r="J872" s="59"/>
      <c r="K872" s="59"/>
    </row>
    <row r="873" ht="12.75" customHeight="1">
      <c r="B873" s="59"/>
      <c r="C873" s="59"/>
      <c r="D873" s="59"/>
      <c r="E873" s="59"/>
      <c r="F873" s="59"/>
      <c r="I873" s="59"/>
      <c r="J873" s="59"/>
      <c r="K873" s="59"/>
    </row>
    <row r="874" ht="12.75" customHeight="1">
      <c r="B874" s="59"/>
      <c r="C874" s="59"/>
      <c r="D874" s="59"/>
      <c r="E874" s="59"/>
      <c r="F874" s="59"/>
      <c r="I874" s="59"/>
      <c r="J874" s="59"/>
      <c r="K874" s="59"/>
    </row>
    <row r="875" ht="12.75" customHeight="1">
      <c r="B875" s="59"/>
      <c r="C875" s="59"/>
      <c r="D875" s="59"/>
      <c r="E875" s="59"/>
      <c r="F875" s="59"/>
      <c r="I875" s="59"/>
      <c r="J875" s="59"/>
      <c r="K875" s="59"/>
    </row>
    <row r="876" ht="12.75" customHeight="1">
      <c r="B876" s="59"/>
      <c r="C876" s="59"/>
      <c r="D876" s="59"/>
      <c r="E876" s="59"/>
      <c r="F876" s="59"/>
      <c r="I876" s="59"/>
      <c r="J876" s="59"/>
      <c r="K876" s="59"/>
    </row>
    <row r="877" ht="12.75" customHeight="1">
      <c r="B877" s="59"/>
      <c r="C877" s="59"/>
      <c r="D877" s="59"/>
      <c r="E877" s="59"/>
      <c r="F877" s="59"/>
      <c r="I877" s="59"/>
      <c r="J877" s="59"/>
      <c r="K877" s="59"/>
    </row>
    <row r="878" ht="12.75" customHeight="1">
      <c r="B878" s="59"/>
      <c r="C878" s="59"/>
      <c r="D878" s="59"/>
      <c r="E878" s="59"/>
      <c r="F878" s="59"/>
      <c r="I878" s="59"/>
      <c r="J878" s="59"/>
      <c r="K878" s="59"/>
    </row>
    <row r="879" ht="12.75" customHeight="1">
      <c r="B879" s="59"/>
      <c r="C879" s="59"/>
      <c r="D879" s="59"/>
      <c r="E879" s="59"/>
      <c r="F879" s="59"/>
      <c r="I879" s="59"/>
      <c r="J879" s="59"/>
      <c r="K879" s="59"/>
    </row>
    <row r="880" ht="12.75" customHeight="1">
      <c r="B880" s="59"/>
      <c r="C880" s="59"/>
      <c r="D880" s="59"/>
      <c r="E880" s="59"/>
      <c r="F880" s="59"/>
      <c r="I880" s="59"/>
      <c r="J880" s="59"/>
      <c r="K880" s="59"/>
    </row>
    <row r="881" ht="12.75" customHeight="1">
      <c r="B881" s="59"/>
      <c r="C881" s="59"/>
      <c r="D881" s="59"/>
      <c r="E881" s="59"/>
      <c r="F881" s="59"/>
      <c r="I881" s="59"/>
      <c r="J881" s="59"/>
      <c r="K881" s="59"/>
    </row>
    <row r="882" ht="12.75" customHeight="1">
      <c r="B882" s="59"/>
      <c r="C882" s="59"/>
      <c r="D882" s="59"/>
      <c r="E882" s="59"/>
      <c r="F882" s="59"/>
      <c r="I882" s="59"/>
      <c r="J882" s="59"/>
      <c r="K882" s="59"/>
    </row>
    <row r="883" ht="12.75" customHeight="1">
      <c r="B883" s="59"/>
      <c r="C883" s="59"/>
      <c r="D883" s="59"/>
      <c r="E883" s="59"/>
      <c r="F883" s="59"/>
      <c r="I883" s="59"/>
      <c r="J883" s="59"/>
      <c r="K883" s="59"/>
    </row>
    <row r="884" ht="12.75" customHeight="1">
      <c r="B884" s="59"/>
      <c r="C884" s="59"/>
      <c r="D884" s="59"/>
      <c r="E884" s="59"/>
      <c r="F884" s="59"/>
      <c r="I884" s="59"/>
      <c r="J884" s="59"/>
      <c r="K884" s="59"/>
    </row>
    <row r="885" ht="12.75" customHeight="1">
      <c r="B885" s="59"/>
      <c r="C885" s="59"/>
      <c r="D885" s="59"/>
      <c r="E885" s="59"/>
      <c r="F885" s="59"/>
      <c r="I885" s="59"/>
      <c r="J885" s="59"/>
      <c r="K885" s="59"/>
    </row>
    <row r="886" ht="12.75" customHeight="1">
      <c r="B886" s="59"/>
      <c r="C886" s="59"/>
      <c r="D886" s="59"/>
      <c r="E886" s="59"/>
      <c r="F886" s="59"/>
      <c r="I886" s="59"/>
      <c r="J886" s="59"/>
      <c r="K886" s="59"/>
    </row>
    <row r="887" ht="12.75" customHeight="1">
      <c r="B887" s="59"/>
      <c r="C887" s="59"/>
      <c r="D887" s="59"/>
      <c r="E887" s="59"/>
      <c r="F887" s="59"/>
      <c r="I887" s="59"/>
      <c r="J887" s="59"/>
      <c r="K887" s="59"/>
    </row>
    <row r="888" ht="12.75" customHeight="1">
      <c r="B888" s="59"/>
      <c r="C888" s="59"/>
      <c r="D888" s="59"/>
      <c r="E888" s="59"/>
      <c r="F888" s="59"/>
      <c r="I888" s="59"/>
      <c r="J888" s="59"/>
      <c r="K888" s="59"/>
    </row>
    <row r="889" ht="12.75" customHeight="1">
      <c r="B889" s="59"/>
      <c r="C889" s="59"/>
      <c r="D889" s="59"/>
      <c r="E889" s="59"/>
      <c r="F889" s="59"/>
      <c r="I889" s="59"/>
      <c r="J889" s="59"/>
      <c r="K889" s="59"/>
    </row>
    <row r="890" ht="12.75" customHeight="1">
      <c r="B890" s="59"/>
      <c r="C890" s="59"/>
      <c r="D890" s="59"/>
      <c r="E890" s="59"/>
      <c r="F890" s="59"/>
      <c r="I890" s="59"/>
      <c r="J890" s="59"/>
      <c r="K890" s="59"/>
    </row>
    <row r="891" ht="12.75" customHeight="1">
      <c r="B891" s="59"/>
      <c r="C891" s="59"/>
      <c r="D891" s="59"/>
      <c r="E891" s="59"/>
      <c r="F891" s="59"/>
      <c r="I891" s="59"/>
      <c r="J891" s="59"/>
      <c r="K891" s="59"/>
    </row>
    <row r="892" ht="12.75" customHeight="1">
      <c r="B892" s="59"/>
      <c r="C892" s="59"/>
      <c r="D892" s="59"/>
      <c r="E892" s="59"/>
      <c r="F892" s="59"/>
      <c r="I892" s="59"/>
      <c r="J892" s="59"/>
      <c r="K892" s="59"/>
    </row>
    <row r="893" ht="12.75" customHeight="1">
      <c r="B893" s="59"/>
      <c r="C893" s="59"/>
      <c r="D893" s="59"/>
      <c r="E893" s="59"/>
      <c r="F893" s="59"/>
      <c r="I893" s="59"/>
      <c r="J893" s="59"/>
      <c r="K893" s="59"/>
    </row>
    <row r="894" ht="12.75" customHeight="1">
      <c r="B894" s="59"/>
      <c r="C894" s="59"/>
      <c r="D894" s="59"/>
      <c r="E894" s="59"/>
      <c r="F894" s="59"/>
      <c r="I894" s="59"/>
      <c r="J894" s="59"/>
      <c r="K894" s="59"/>
    </row>
    <row r="895" ht="12.75" customHeight="1">
      <c r="B895" s="59"/>
      <c r="C895" s="59"/>
      <c r="D895" s="59"/>
      <c r="E895" s="59"/>
      <c r="F895" s="59"/>
      <c r="I895" s="59"/>
      <c r="J895" s="59"/>
      <c r="K895" s="59"/>
    </row>
    <row r="896" ht="12.75" customHeight="1">
      <c r="B896" s="59"/>
      <c r="C896" s="59"/>
      <c r="D896" s="59"/>
      <c r="E896" s="59"/>
      <c r="F896" s="59"/>
      <c r="I896" s="59"/>
      <c r="J896" s="59"/>
      <c r="K896" s="59"/>
    </row>
    <row r="897" ht="12.75" customHeight="1">
      <c r="B897" s="59"/>
      <c r="C897" s="59"/>
      <c r="D897" s="59"/>
      <c r="E897" s="59"/>
      <c r="F897" s="59"/>
      <c r="I897" s="59"/>
      <c r="J897" s="59"/>
      <c r="K897" s="59"/>
    </row>
    <row r="898" ht="12.75" customHeight="1">
      <c r="B898" s="59"/>
      <c r="C898" s="59"/>
      <c r="D898" s="59"/>
      <c r="E898" s="59"/>
      <c r="F898" s="59"/>
      <c r="I898" s="59"/>
      <c r="J898" s="59"/>
      <c r="K898" s="59"/>
    </row>
    <row r="899" ht="12.75" customHeight="1">
      <c r="B899" s="59"/>
      <c r="C899" s="59"/>
      <c r="D899" s="59"/>
      <c r="E899" s="59"/>
      <c r="F899" s="59"/>
      <c r="I899" s="59"/>
      <c r="J899" s="59"/>
      <c r="K899" s="59"/>
    </row>
    <row r="900" ht="12.75" customHeight="1">
      <c r="B900" s="59"/>
      <c r="C900" s="59"/>
      <c r="D900" s="59"/>
      <c r="E900" s="59"/>
      <c r="F900" s="59"/>
      <c r="I900" s="59"/>
      <c r="J900" s="59"/>
      <c r="K900" s="59"/>
    </row>
    <row r="901" ht="12.75" customHeight="1">
      <c r="B901" s="59"/>
      <c r="C901" s="59"/>
      <c r="D901" s="59"/>
      <c r="E901" s="59"/>
      <c r="F901" s="59"/>
      <c r="I901" s="59"/>
      <c r="J901" s="59"/>
      <c r="K901" s="59"/>
    </row>
    <row r="902" ht="12.75" customHeight="1">
      <c r="B902" s="59"/>
      <c r="C902" s="59"/>
      <c r="D902" s="59"/>
      <c r="E902" s="59"/>
      <c r="F902" s="59"/>
      <c r="I902" s="59"/>
      <c r="J902" s="59"/>
      <c r="K902" s="59"/>
    </row>
    <row r="903" ht="12.75" customHeight="1">
      <c r="B903" s="59"/>
      <c r="C903" s="59"/>
      <c r="D903" s="59"/>
      <c r="E903" s="59"/>
      <c r="F903" s="59"/>
      <c r="I903" s="59"/>
      <c r="J903" s="59"/>
      <c r="K903" s="59"/>
    </row>
    <row r="904" ht="12.75" customHeight="1">
      <c r="B904" s="59"/>
      <c r="C904" s="59"/>
      <c r="D904" s="59"/>
      <c r="E904" s="59"/>
      <c r="F904" s="59"/>
      <c r="I904" s="59"/>
      <c r="J904" s="59"/>
      <c r="K904" s="59"/>
    </row>
    <row r="905" ht="12.75" customHeight="1">
      <c r="B905" s="59"/>
      <c r="C905" s="59"/>
      <c r="D905" s="59"/>
      <c r="E905" s="59"/>
      <c r="F905" s="59"/>
      <c r="I905" s="59"/>
      <c r="J905" s="59"/>
      <c r="K905" s="59"/>
    </row>
    <row r="906" ht="12.75" customHeight="1">
      <c r="B906" s="59"/>
      <c r="C906" s="59"/>
      <c r="D906" s="59"/>
      <c r="E906" s="59"/>
      <c r="F906" s="59"/>
      <c r="I906" s="59"/>
      <c r="J906" s="59"/>
      <c r="K906" s="59"/>
    </row>
    <row r="907" ht="12.75" customHeight="1">
      <c r="B907" s="59"/>
      <c r="C907" s="59"/>
      <c r="D907" s="59"/>
      <c r="E907" s="59"/>
      <c r="F907" s="59"/>
      <c r="I907" s="59"/>
      <c r="J907" s="59"/>
      <c r="K907" s="59"/>
    </row>
    <row r="908" ht="12.75" customHeight="1">
      <c r="B908" s="59"/>
      <c r="C908" s="59"/>
      <c r="D908" s="59"/>
      <c r="E908" s="59"/>
      <c r="F908" s="59"/>
      <c r="I908" s="59"/>
      <c r="J908" s="59"/>
      <c r="K908" s="59"/>
    </row>
    <row r="909" ht="12.75" customHeight="1">
      <c r="B909" s="59"/>
      <c r="C909" s="59"/>
      <c r="D909" s="59"/>
      <c r="E909" s="59"/>
      <c r="F909" s="59"/>
      <c r="I909" s="59"/>
      <c r="J909" s="59"/>
      <c r="K909" s="59"/>
    </row>
    <row r="910" ht="12.75" customHeight="1">
      <c r="B910" s="59"/>
      <c r="C910" s="59"/>
      <c r="D910" s="59"/>
      <c r="E910" s="59"/>
      <c r="F910" s="59"/>
      <c r="I910" s="59"/>
      <c r="J910" s="59"/>
      <c r="K910" s="59"/>
    </row>
    <row r="911" ht="12.75" customHeight="1">
      <c r="B911" s="59"/>
      <c r="C911" s="59"/>
      <c r="D911" s="59"/>
      <c r="E911" s="59"/>
      <c r="F911" s="59"/>
      <c r="I911" s="59"/>
      <c r="J911" s="59"/>
      <c r="K911" s="59"/>
    </row>
    <row r="912" ht="12.75" customHeight="1">
      <c r="B912" s="59"/>
      <c r="C912" s="59"/>
      <c r="D912" s="59"/>
      <c r="E912" s="59"/>
      <c r="F912" s="59"/>
      <c r="I912" s="59"/>
      <c r="J912" s="59"/>
      <c r="K912" s="59"/>
    </row>
    <row r="913" ht="12.75" customHeight="1">
      <c r="B913" s="59"/>
      <c r="C913" s="59"/>
      <c r="D913" s="59"/>
      <c r="E913" s="59"/>
      <c r="F913" s="59"/>
      <c r="I913" s="59"/>
      <c r="J913" s="59"/>
      <c r="K913" s="59"/>
    </row>
    <row r="914" ht="12.75" customHeight="1">
      <c r="B914" s="59"/>
      <c r="C914" s="59"/>
      <c r="D914" s="59"/>
      <c r="E914" s="59"/>
      <c r="F914" s="59"/>
      <c r="I914" s="59"/>
      <c r="J914" s="59"/>
      <c r="K914" s="59"/>
    </row>
    <row r="915" ht="12.75" customHeight="1">
      <c r="B915" s="59"/>
      <c r="C915" s="59"/>
      <c r="D915" s="59"/>
      <c r="E915" s="59"/>
      <c r="F915" s="59"/>
      <c r="I915" s="59"/>
      <c r="J915" s="59"/>
      <c r="K915" s="59"/>
    </row>
    <row r="916" ht="12.75" customHeight="1">
      <c r="B916" s="59"/>
      <c r="C916" s="59"/>
      <c r="D916" s="59"/>
      <c r="E916" s="59"/>
      <c r="F916" s="59"/>
      <c r="I916" s="59"/>
      <c r="J916" s="59"/>
      <c r="K916" s="59"/>
    </row>
    <row r="917" ht="12.75" customHeight="1">
      <c r="B917" s="59"/>
      <c r="C917" s="59"/>
      <c r="D917" s="59"/>
      <c r="E917" s="59"/>
      <c r="F917" s="59"/>
      <c r="I917" s="59"/>
      <c r="J917" s="59"/>
      <c r="K917" s="59"/>
    </row>
    <row r="918" ht="12.75" customHeight="1">
      <c r="B918" s="59"/>
      <c r="C918" s="59"/>
      <c r="D918" s="59"/>
      <c r="E918" s="59"/>
      <c r="F918" s="59"/>
      <c r="I918" s="59"/>
      <c r="J918" s="59"/>
      <c r="K918" s="59"/>
    </row>
    <row r="919" ht="12.75" customHeight="1">
      <c r="B919" s="59"/>
      <c r="C919" s="59"/>
      <c r="D919" s="59"/>
      <c r="E919" s="59"/>
      <c r="F919" s="59"/>
      <c r="I919" s="59"/>
      <c r="J919" s="59"/>
      <c r="K919" s="59"/>
    </row>
    <row r="920" ht="12.75" customHeight="1">
      <c r="B920" s="59"/>
      <c r="C920" s="59"/>
      <c r="D920" s="59"/>
      <c r="E920" s="59"/>
      <c r="F920" s="59"/>
      <c r="I920" s="59"/>
      <c r="J920" s="59"/>
      <c r="K920" s="59"/>
    </row>
    <row r="921" ht="12.75" customHeight="1">
      <c r="B921" s="59"/>
      <c r="C921" s="59"/>
      <c r="D921" s="59"/>
      <c r="E921" s="59"/>
      <c r="F921" s="59"/>
      <c r="I921" s="59"/>
      <c r="J921" s="59"/>
      <c r="K921" s="59"/>
    </row>
    <row r="922" ht="12.75" customHeight="1">
      <c r="B922" s="59"/>
      <c r="C922" s="59"/>
      <c r="D922" s="59"/>
      <c r="E922" s="59"/>
      <c r="F922" s="59"/>
      <c r="I922" s="59"/>
      <c r="J922" s="59"/>
      <c r="K922" s="59"/>
    </row>
    <row r="923" ht="12.75" customHeight="1">
      <c r="B923" s="59"/>
      <c r="C923" s="59"/>
      <c r="D923" s="59"/>
      <c r="E923" s="59"/>
      <c r="F923" s="59"/>
      <c r="I923" s="59"/>
      <c r="J923" s="59"/>
      <c r="K923" s="59"/>
    </row>
    <row r="924" ht="12.75" customHeight="1">
      <c r="B924" s="59"/>
      <c r="C924" s="59"/>
      <c r="D924" s="59"/>
      <c r="E924" s="59"/>
      <c r="F924" s="59"/>
      <c r="I924" s="59"/>
      <c r="J924" s="59"/>
      <c r="K924" s="59"/>
    </row>
    <row r="925" ht="12.75" customHeight="1">
      <c r="B925" s="59"/>
      <c r="C925" s="59"/>
      <c r="D925" s="59"/>
      <c r="E925" s="59"/>
      <c r="F925" s="59"/>
      <c r="I925" s="59"/>
      <c r="J925" s="59"/>
      <c r="K925" s="59"/>
    </row>
    <row r="926" ht="12.75" customHeight="1">
      <c r="B926" s="59"/>
      <c r="C926" s="59"/>
      <c r="D926" s="59"/>
      <c r="E926" s="59"/>
      <c r="F926" s="59"/>
      <c r="I926" s="59"/>
      <c r="J926" s="59"/>
      <c r="K926" s="59"/>
    </row>
    <row r="927" ht="12.75" customHeight="1">
      <c r="B927" s="59"/>
      <c r="C927" s="59"/>
      <c r="D927" s="59"/>
      <c r="E927" s="59"/>
      <c r="F927" s="59"/>
      <c r="I927" s="59"/>
      <c r="J927" s="59"/>
      <c r="K927" s="59"/>
    </row>
    <row r="928" ht="12.75" customHeight="1">
      <c r="B928" s="59"/>
      <c r="C928" s="59"/>
      <c r="D928" s="59"/>
      <c r="E928" s="59"/>
      <c r="F928" s="59"/>
      <c r="I928" s="59"/>
      <c r="J928" s="59"/>
      <c r="K928" s="59"/>
    </row>
    <row r="929" ht="12.75" customHeight="1">
      <c r="B929" s="59"/>
      <c r="C929" s="59"/>
      <c r="D929" s="59"/>
      <c r="E929" s="59"/>
      <c r="F929" s="59"/>
      <c r="I929" s="59"/>
      <c r="J929" s="59"/>
      <c r="K929" s="59"/>
    </row>
    <row r="930" ht="12.75" customHeight="1">
      <c r="B930" s="59"/>
      <c r="C930" s="59"/>
      <c r="D930" s="59"/>
      <c r="E930" s="59"/>
      <c r="F930" s="59"/>
      <c r="I930" s="59"/>
      <c r="J930" s="59"/>
      <c r="K930" s="59"/>
    </row>
    <row r="931" ht="12.75" customHeight="1">
      <c r="B931" s="59"/>
      <c r="C931" s="59"/>
      <c r="D931" s="59"/>
      <c r="E931" s="59"/>
      <c r="F931" s="59"/>
      <c r="I931" s="59"/>
      <c r="J931" s="59"/>
      <c r="K931" s="59"/>
    </row>
    <row r="932" ht="12.75" customHeight="1">
      <c r="B932" s="59"/>
      <c r="C932" s="59"/>
      <c r="D932" s="59"/>
      <c r="E932" s="59"/>
      <c r="F932" s="59"/>
      <c r="I932" s="59"/>
      <c r="J932" s="59"/>
      <c r="K932" s="59"/>
    </row>
    <row r="933" ht="12.75" customHeight="1">
      <c r="B933" s="59"/>
      <c r="C933" s="59"/>
      <c r="D933" s="59"/>
      <c r="E933" s="59"/>
      <c r="F933" s="59"/>
      <c r="I933" s="59"/>
      <c r="J933" s="59"/>
      <c r="K933" s="59"/>
    </row>
    <row r="934" ht="12.75" customHeight="1">
      <c r="B934" s="59"/>
      <c r="C934" s="59"/>
      <c r="D934" s="59"/>
      <c r="E934" s="59"/>
      <c r="F934" s="59"/>
      <c r="I934" s="59"/>
      <c r="J934" s="59"/>
      <c r="K934" s="59"/>
    </row>
    <row r="935" ht="12.75" customHeight="1">
      <c r="B935" s="59"/>
      <c r="C935" s="59"/>
      <c r="D935" s="59"/>
      <c r="E935" s="59"/>
      <c r="F935" s="59"/>
      <c r="I935" s="59"/>
      <c r="J935" s="59"/>
      <c r="K935" s="59"/>
    </row>
    <row r="936" ht="12.75" customHeight="1">
      <c r="B936" s="59"/>
      <c r="C936" s="59"/>
      <c r="D936" s="59"/>
      <c r="E936" s="59"/>
      <c r="F936" s="59"/>
      <c r="I936" s="59"/>
      <c r="J936" s="59"/>
      <c r="K936" s="59"/>
    </row>
    <row r="937" ht="12.75" customHeight="1">
      <c r="B937" s="59"/>
      <c r="C937" s="59"/>
      <c r="D937" s="59"/>
      <c r="E937" s="59"/>
      <c r="F937" s="59"/>
      <c r="I937" s="59"/>
      <c r="J937" s="59"/>
      <c r="K937" s="59"/>
    </row>
    <row r="938" ht="12.75" customHeight="1">
      <c r="B938" s="59"/>
      <c r="C938" s="59"/>
      <c r="D938" s="59"/>
      <c r="E938" s="59"/>
      <c r="F938" s="59"/>
      <c r="I938" s="59"/>
      <c r="J938" s="59"/>
      <c r="K938" s="59"/>
    </row>
    <row r="939" ht="12.75" customHeight="1">
      <c r="B939" s="59"/>
      <c r="C939" s="59"/>
      <c r="D939" s="59"/>
      <c r="E939" s="59"/>
      <c r="F939" s="59"/>
      <c r="I939" s="59"/>
      <c r="J939" s="59"/>
      <c r="K939" s="59"/>
    </row>
    <row r="940" ht="12.75" customHeight="1">
      <c r="B940" s="59"/>
      <c r="C940" s="59"/>
      <c r="D940" s="59"/>
      <c r="E940" s="59"/>
      <c r="F940" s="59"/>
      <c r="I940" s="59"/>
      <c r="J940" s="59"/>
      <c r="K940" s="59"/>
    </row>
    <row r="941" ht="12.75" customHeight="1">
      <c r="B941" s="59"/>
      <c r="C941" s="59"/>
      <c r="D941" s="59"/>
      <c r="E941" s="59"/>
      <c r="F941" s="59"/>
      <c r="I941" s="59"/>
      <c r="J941" s="59"/>
      <c r="K941" s="59"/>
    </row>
    <row r="942" ht="12.75" customHeight="1">
      <c r="B942" s="59"/>
      <c r="C942" s="59"/>
      <c r="D942" s="59"/>
      <c r="E942" s="59"/>
      <c r="F942" s="59"/>
      <c r="I942" s="59"/>
      <c r="J942" s="59"/>
      <c r="K942" s="59"/>
    </row>
    <row r="943" ht="12.75" customHeight="1">
      <c r="B943" s="59"/>
      <c r="C943" s="59"/>
      <c r="D943" s="59"/>
      <c r="E943" s="59"/>
      <c r="F943" s="59"/>
      <c r="I943" s="59"/>
      <c r="J943" s="59"/>
      <c r="K943" s="59"/>
    </row>
    <row r="944" ht="12.75" customHeight="1">
      <c r="B944" s="59"/>
      <c r="C944" s="59"/>
      <c r="D944" s="59"/>
      <c r="E944" s="59"/>
      <c r="F944" s="59"/>
      <c r="I944" s="59"/>
      <c r="J944" s="59"/>
      <c r="K944" s="59"/>
    </row>
    <row r="945" ht="12.75" customHeight="1">
      <c r="B945" s="59"/>
      <c r="C945" s="59"/>
      <c r="D945" s="59"/>
      <c r="E945" s="59"/>
      <c r="F945" s="59"/>
      <c r="I945" s="59"/>
      <c r="J945" s="59"/>
      <c r="K945" s="59"/>
    </row>
    <row r="946" ht="12.75" customHeight="1">
      <c r="B946" s="59"/>
      <c r="C946" s="59"/>
      <c r="D946" s="59"/>
      <c r="E946" s="59"/>
      <c r="F946" s="59"/>
      <c r="I946" s="59"/>
      <c r="J946" s="59"/>
      <c r="K946" s="59"/>
    </row>
    <row r="947" ht="12.75" customHeight="1">
      <c r="B947" s="59"/>
      <c r="C947" s="59"/>
      <c r="D947" s="59"/>
      <c r="E947" s="59"/>
      <c r="F947" s="59"/>
      <c r="I947" s="59"/>
      <c r="J947" s="59"/>
      <c r="K947" s="59"/>
    </row>
    <row r="948" ht="12.75" customHeight="1">
      <c r="B948" s="59"/>
      <c r="C948" s="59"/>
      <c r="D948" s="59"/>
      <c r="E948" s="59"/>
      <c r="F948" s="59"/>
      <c r="I948" s="59"/>
      <c r="J948" s="59"/>
      <c r="K948" s="59"/>
    </row>
    <row r="949" ht="12.75" customHeight="1">
      <c r="B949" s="59"/>
      <c r="C949" s="59"/>
      <c r="D949" s="59"/>
      <c r="E949" s="59"/>
      <c r="F949" s="59"/>
      <c r="I949" s="59"/>
      <c r="J949" s="59"/>
      <c r="K949" s="59"/>
    </row>
    <row r="950" ht="12.75" customHeight="1">
      <c r="B950" s="59"/>
      <c r="C950" s="59"/>
      <c r="D950" s="59"/>
      <c r="E950" s="59"/>
      <c r="F950" s="59"/>
      <c r="I950" s="59"/>
      <c r="J950" s="59"/>
      <c r="K950" s="59"/>
    </row>
    <row r="951" ht="12.75" customHeight="1">
      <c r="B951" s="59"/>
      <c r="C951" s="59"/>
      <c r="D951" s="59"/>
      <c r="E951" s="59"/>
      <c r="F951" s="59"/>
      <c r="I951" s="59"/>
      <c r="J951" s="59"/>
      <c r="K951" s="59"/>
    </row>
    <row r="952" ht="12.75" customHeight="1">
      <c r="B952" s="59"/>
      <c r="C952" s="59"/>
      <c r="D952" s="59"/>
      <c r="E952" s="59"/>
      <c r="F952" s="59"/>
      <c r="I952" s="59"/>
      <c r="J952" s="59"/>
      <c r="K952" s="59"/>
    </row>
    <row r="953" ht="12.75" customHeight="1">
      <c r="B953" s="59"/>
      <c r="C953" s="59"/>
      <c r="D953" s="59"/>
      <c r="E953" s="59"/>
      <c r="F953" s="59"/>
      <c r="I953" s="59"/>
      <c r="J953" s="59"/>
      <c r="K953" s="59"/>
    </row>
    <row r="954" ht="12.75" customHeight="1">
      <c r="B954" s="59"/>
      <c r="C954" s="59"/>
      <c r="D954" s="59"/>
      <c r="E954" s="59"/>
      <c r="F954" s="59"/>
      <c r="I954" s="59"/>
      <c r="J954" s="59"/>
      <c r="K954" s="59"/>
    </row>
    <row r="955" ht="12.75" customHeight="1">
      <c r="B955" s="59"/>
      <c r="C955" s="59"/>
      <c r="D955" s="59"/>
      <c r="E955" s="59"/>
      <c r="F955" s="59"/>
      <c r="I955" s="59"/>
      <c r="J955" s="59"/>
      <c r="K955" s="59"/>
    </row>
    <row r="956" ht="12.75" customHeight="1">
      <c r="B956" s="59"/>
      <c r="C956" s="59"/>
      <c r="D956" s="59"/>
      <c r="E956" s="59"/>
      <c r="F956" s="59"/>
      <c r="I956" s="59"/>
      <c r="J956" s="59"/>
      <c r="K956" s="59"/>
    </row>
    <row r="957" ht="12.75" customHeight="1">
      <c r="B957" s="59"/>
      <c r="C957" s="59"/>
      <c r="D957" s="59"/>
      <c r="E957" s="59"/>
      <c r="F957" s="59"/>
      <c r="I957" s="59"/>
      <c r="J957" s="59"/>
      <c r="K957" s="59"/>
    </row>
    <row r="958" ht="12.75" customHeight="1">
      <c r="B958" s="59"/>
      <c r="C958" s="59"/>
      <c r="D958" s="59"/>
      <c r="E958" s="59"/>
      <c r="F958" s="59"/>
      <c r="I958" s="59"/>
      <c r="J958" s="59"/>
      <c r="K958" s="59"/>
    </row>
    <row r="959" ht="12.75" customHeight="1">
      <c r="B959" s="59"/>
      <c r="C959" s="59"/>
      <c r="D959" s="59"/>
      <c r="E959" s="59"/>
      <c r="F959" s="59"/>
      <c r="I959" s="59"/>
      <c r="J959" s="59"/>
      <c r="K959" s="59"/>
    </row>
    <row r="960" ht="12.75" customHeight="1">
      <c r="B960" s="59"/>
      <c r="C960" s="59"/>
      <c r="D960" s="59"/>
      <c r="E960" s="59"/>
      <c r="F960" s="59"/>
      <c r="I960" s="59"/>
      <c r="J960" s="59"/>
      <c r="K960" s="59"/>
    </row>
    <row r="961" ht="12.75" customHeight="1">
      <c r="B961" s="59"/>
      <c r="C961" s="59"/>
      <c r="D961" s="59"/>
      <c r="E961" s="59"/>
      <c r="F961" s="59"/>
      <c r="I961" s="59"/>
      <c r="J961" s="59"/>
      <c r="K961" s="59"/>
    </row>
    <row r="962" ht="12.75" customHeight="1">
      <c r="B962" s="59"/>
      <c r="C962" s="59"/>
      <c r="D962" s="59"/>
      <c r="E962" s="59"/>
      <c r="F962" s="59"/>
      <c r="I962" s="59"/>
      <c r="J962" s="59"/>
      <c r="K962" s="59"/>
    </row>
    <row r="963" ht="12.75" customHeight="1">
      <c r="B963" s="59"/>
      <c r="C963" s="59"/>
      <c r="D963" s="59"/>
      <c r="E963" s="59"/>
      <c r="F963" s="59"/>
      <c r="I963" s="59"/>
      <c r="J963" s="59"/>
      <c r="K963" s="59"/>
    </row>
    <row r="964" ht="12.75" customHeight="1">
      <c r="B964" s="59"/>
      <c r="C964" s="59"/>
      <c r="D964" s="59"/>
      <c r="E964" s="59"/>
      <c r="F964" s="59"/>
      <c r="I964" s="59"/>
      <c r="J964" s="59"/>
      <c r="K964" s="59"/>
    </row>
    <row r="965" ht="12.75" customHeight="1">
      <c r="B965" s="59"/>
      <c r="C965" s="59"/>
      <c r="D965" s="59"/>
      <c r="E965" s="59"/>
      <c r="F965" s="59"/>
      <c r="I965" s="59"/>
      <c r="J965" s="59"/>
      <c r="K965" s="59"/>
    </row>
    <row r="966" ht="12.75" customHeight="1">
      <c r="B966" s="59"/>
      <c r="C966" s="59"/>
      <c r="D966" s="59"/>
      <c r="E966" s="59"/>
      <c r="F966" s="59"/>
      <c r="I966" s="59"/>
      <c r="J966" s="59"/>
      <c r="K966" s="59"/>
    </row>
    <row r="967" ht="12.75" customHeight="1">
      <c r="B967" s="59"/>
      <c r="C967" s="59"/>
      <c r="D967" s="59"/>
      <c r="E967" s="59"/>
      <c r="F967" s="59"/>
      <c r="I967" s="59"/>
      <c r="J967" s="59"/>
      <c r="K967" s="59"/>
    </row>
    <row r="968" ht="12.75" customHeight="1">
      <c r="B968" s="59"/>
      <c r="C968" s="59"/>
      <c r="D968" s="59"/>
      <c r="E968" s="59"/>
      <c r="F968" s="59"/>
      <c r="I968" s="59"/>
      <c r="J968" s="59"/>
      <c r="K968" s="59"/>
    </row>
    <row r="969" ht="12.75" customHeight="1">
      <c r="B969" s="59"/>
      <c r="C969" s="59"/>
      <c r="D969" s="59"/>
      <c r="E969" s="59"/>
      <c r="F969" s="59"/>
      <c r="I969" s="59"/>
      <c r="J969" s="59"/>
      <c r="K969" s="59"/>
    </row>
    <row r="970" ht="12.75" customHeight="1">
      <c r="B970" s="59"/>
      <c r="C970" s="59"/>
      <c r="D970" s="59"/>
      <c r="E970" s="59"/>
      <c r="F970" s="59"/>
      <c r="I970" s="59"/>
      <c r="J970" s="59"/>
      <c r="K970" s="59"/>
    </row>
    <row r="971" ht="12.75" customHeight="1">
      <c r="B971" s="59"/>
      <c r="C971" s="59"/>
      <c r="D971" s="59"/>
      <c r="E971" s="59"/>
      <c r="F971" s="59"/>
      <c r="I971" s="59"/>
      <c r="J971" s="59"/>
      <c r="K971" s="59"/>
    </row>
    <row r="972" ht="12.75" customHeight="1">
      <c r="B972" s="59"/>
      <c r="C972" s="59"/>
      <c r="D972" s="59"/>
      <c r="E972" s="59"/>
      <c r="F972" s="59"/>
      <c r="I972" s="59"/>
      <c r="J972" s="59"/>
      <c r="K972" s="59"/>
    </row>
    <row r="973" ht="12.75" customHeight="1">
      <c r="B973" s="59"/>
      <c r="C973" s="59"/>
      <c r="D973" s="59"/>
      <c r="E973" s="59"/>
      <c r="F973" s="59"/>
      <c r="I973" s="59"/>
      <c r="J973" s="59"/>
      <c r="K973" s="59"/>
    </row>
    <row r="974" ht="12.75" customHeight="1">
      <c r="B974" s="59"/>
      <c r="C974" s="59"/>
      <c r="D974" s="59"/>
      <c r="E974" s="59"/>
      <c r="F974" s="59"/>
      <c r="I974" s="59"/>
      <c r="J974" s="59"/>
      <c r="K974" s="59"/>
    </row>
    <row r="975" ht="12.75" customHeight="1">
      <c r="B975" s="59"/>
      <c r="C975" s="59"/>
      <c r="D975" s="59"/>
      <c r="E975" s="59"/>
      <c r="F975" s="59"/>
      <c r="I975" s="59"/>
      <c r="J975" s="59"/>
      <c r="K975" s="59"/>
    </row>
    <row r="976" ht="12.75" customHeight="1">
      <c r="B976" s="59"/>
      <c r="C976" s="59"/>
      <c r="D976" s="59"/>
      <c r="E976" s="59"/>
      <c r="F976" s="59"/>
      <c r="I976" s="59"/>
      <c r="J976" s="59"/>
      <c r="K976" s="59"/>
    </row>
    <row r="977" ht="12.75" customHeight="1">
      <c r="B977" s="59"/>
      <c r="C977" s="59"/>
      <c r="D977" s="59"/>
      <c r="E977" s="59"/>
      <c r="F977" s="59"/>
      <c r="I977" s="59"/>
      <c r="J977" s="59"/>
      <c r="K977" s="59"/>
    </row>
    <row r="978" ht="12.75" customHeight="1">
      <c r="B978" s="59"/>
      <c r="C978" s="59"/>
      <c r="D978" s="59"/>
      <c r="E978" s="59"/>
      <c r="F978" s="59"/>
      <c r="I978" s="59"/>
      <c r="J978" s="59"/>
      <c r="K978" s="59"/>
    </row>
    <row r="979" ht="12.75" customHeight="1">
      <c r="B979" s="59"/>
      <c r="C979" s="59"/>
      <c r="D979" s="59"/>
      <c r="E979" s="59"/>
      <c r="F979" s="59"/>
      <c r="I979" s="59"/>
      <c r="J979" s="59"/>
      <c r="K979" s="59"/>
    </row>
    <row r="980" ht="12.75" customHeight="1">
      <c r="B980" s="59"/>
      <c r="C980" s="59"/>
      <c r="D980" s="59"/>
      <c r="E980" s="59"/>
      <c r="F980" s="59"/>
      <c r="I980" s="59"/>
      <c r="J980" s="59"/>
      <c r="K980" s="59"/>
    </row>
    <row r="981" ht="12.75" customHeight="1">
      <c r="B981" s="59"/>
      <c r="C981" s="59"/>
      <c r="D981" s="59"/>
      <c r="E981" s="59"/>
      <c r="F981" s="59"/>
      <c r="I981" s="59"/>
      <c r="J981" s="59"/>
      <c r="K981" s="59"/>
    </row>
    <row r="982" ht="12.75" customHeight="1">
      <c r="B982" s="59"/>
      <c r="C982" s="59"/>
      <c r="D982" s="59"/>
      <c r="E982" s="59"/>
      <c r="F982" s="59"/>
      <c r="I982" s="59"/>
      <c r="J982" s="59"/>
      <c r="K982" s="59"/>
    </row>
    <row r="983" ht="12.75" customHeight="1">
      <c r="B983" s="59"/>
      <c r="C983" s="59"/>
      <c r="D983" s="59"/>
      <c r="E983" s="59"/>
      <c r="F983" s="59"/>
      <c r="I983" s="59"/>
      <c r="J983" s="59"/>
      <c r="K983" s="59"/>
    </row>
    <row r="984" ht="12.75" customHeight="1">
      <c r="B984" s="59"/>
      <c r="C984" s="59"/>
      <c r="D984" s="59"/>
      <c r="E984" s="59"/>
      <c r="F984" s="59"/>
      <c r="I984" s="59"/>
      <c r="J984" s="59"/>
      <c r="K984" s="59"/>
    </row>
    <row r="985" ht="12.75" customHeight="1">
      <c r="B985" s="59"/>
      <c r="C985" s="59"/>
      <c r="D985" s="59"/>
      <c r="E985" s="59"/>
      <c r="F985" s="59"/>
      <c r="I985" s="59"/>
      <c r="J985" s="59"/>
      <c r="K985" s="59"/>
    </row>
    <row r="986" ht="12.75" customHeight="1">
      <c r="B986" s="59"/>
      <c r="C986" s="59"/>
      <c r="D986" s="59"/>
      <c r="E986" s="59"/>
      <c r="F986" s="59"/>
      <c r="I986" s="59"/>
      <c r="J986" s="59"/>
      <c r="K986" s="59"/>
    </row>
    <row r="987" ht="12.75" customHeight="1">
      <c r="B987" s="59"/>
      <c r="C987" s="59"/>
      <c r="D987" s="59"/>
      <c r="E987" s="59"/>
      <c r="F987" s="59"/>
      <c r="I987" s="59"/>
      <c r="J987" s="59"/>
      <c r="K987" s="59"/>
    </row>
    <row r="988" ht="12.75" customHeight="1">
      <c r="B988" s="59"/>
      <c r="C988" s="59"/>
      <c r="D988" s="59"/>
      <c r="E988" s="59"/>
      <c r="F988" s="59"/>
      <c r="I988" s="59"/>
      <c r="J988" s="59"/>
      <c r="K988" s="59"/>
    </row>
    <row r="989" ht="12.75" customHeight="1">
      <c r="B989" s="59"/>
      <c r="C989" s="59"/>
      <c r="D989" s="59"/>
      <c r="E989" s="59"/>
      <c r="F989" s="59"/>
      <c r="I989" s="59"/>
      <c r="J989" s="59"/>
      <c r="K989" s="59"/>
    </row>
    <row r="990" ht="12.75" customHeight="1">
      <c r="B990" s="59"/>
      <c r="C990" s="59"/>
      <c r="D990" s="59"/>
      <c r="E990" s="59"/>
      <c r="F990" s="59"/>
      <c r="I990" s="59"/>
      <c r="J990" s="59"/>
      <c r="K990" s="59"/>
    </row>
    <row r="991" ht="12.75" customHeight="1">
      <c r="B991" s="59"/>
      <c r="C991" s="59"/>
      <c r="D991" s="59"/>
      <c r="E991" s="59"/>
      <c r="F991" s="59"/>
      <c r="I991" s="59"/>
      <c r="J991" s="59"/>
      <c r="K991" s="59"/>
    </row>
    <row r="992" ht="12.75" customHeight="1">
      <c r="B992" s="59"/>
      <c r="C992" s="59"/>
      <c r="D992" s="59"/>
      <c r="E992" s="59"/>
      <c r="F992" s="59"/>
      <c r="I992" s="59"/>
      <c r="J992" s="59"/>
      <c r="K992" s="59"/>
    </row>
    <row r="993" ht="12.75" customHeight="1">
      <c r="B993" s="59"/>
      <c r="C993" s="59"/>
      <c r="D993" s="59"/>
      <c r="E993" s="59"/>
      <c r="F993" s="59"/>
      <c r="I993" s="59"/>
      <c r="J993" s="59"/>
      <c r="K993" s="59"/>
    </row>
    <row r="994" ht="12.75" customHeight="1">
      <c r="B994" s="59"/>
      <c r="C994" s="59"/>
      <c r="D994" s="59"/>
      <c r="E994" s="59"/>
      <c r="F994" s="59"/>
      <c r="I994" s="59"/>
      <c r="J994" s="59"/>
      <c r="K994" s="59"/>
    </row>
    <row r="995" ht="12.75" customHeight="1">
      <c r="B995" s="59"/>
      <c r="C995" s="59"/>
      <c r="D995" s="59"/>
      <c r="E995" s="59"/>
      <c r="F995" s="59"/>
      <c r="I995" s="59"/>
      <c r="J995" s="59"/>
      <c r="K995" s="59"/>
    </row>
    <row r="996" ht="12.75" customHeight="1">
      <c r="B996" s="59"/>
      <c r="C996" s="59"/>
      <c r="D996" s="59"/>
      <c r="E996" s="59"/>
      <c r="F996" s="59"/>
      <c r="I996" s="59"/>
      <c r="J996" s="59"/>
      <c r="K996" s="59"/>
    </row>
    <row r="997" ht="12.75" customHeight="1">
      <c r="B997" s="59"/>
      <c r="C997" s="59"/>
      <c r="D997" s="59"/>
      <c r="E997" s="59"/>
      <c r="F997" s="59"/>
      <c r="I997" s="59"/>
      <c r="J997" s="59"/>
      <c r="K997" s="59"/>
    </row>
    <row r="998" ht="12.75" customHeight="1">
      <c r="B998" s="59"/>
      <c r="C998" s="59"/>
      <c r="D998" s="59"/>
      <c r="E998" s="59"/>
      <c r="F998" s="59"/>
      <c r="I998" s="59"/>
      <c r="J998" s="59"/>
      <c r="K998" s="59"/>
    </row>
    <row r="999" ht="12.75" customHeight="1">
      <c r="B999" s="59"/>
      <c r="C999" s="59"/>
      <c r="D999" s="59"/>
      <c r="E999" s="59"/>
      <c r="F999" s="59"/>
      <c r="I999" s="59"/>
      <c r="J999" s="59"/>
      <c r="K999" s="59"/>
    </row>
    <row r="1000" ht="12.75" customHeight="1">
      <c r="B1000" s="59"/>
      <c r="C1000" s="59"/>
      <c r="D1000" s="59"/>
      <c r="E1000" s="59"/>
      <c r="F1000" s="59"/>
      <c r="I1000" s="59"/>
      <c r="J1000" s="59"/>
      <c r="K1000" s="59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6" width="11.38"/>
    <col customWidth="1" min="7" max="8" width="10.63"/>
    <col customWidth="1" min="9" max="10" width="11.38"/>
    <col customWidth="1" min="11" max="12" width="10.63"/>
    <col customWidth="1" min="13" max="13" width="4.75"/>
    <col customWidth="1" min="14" max="26" width="10.63"/>
  </cols>
  <sheetData>
    <row r="1" ht="12.75" customHeight="1">
      <c r="A1" s="68">
        <v>5.0</v>
      </c>
      <c r="B1" s="59">
        <f t="shared" ref="B1:B31" si="1">D1-C1</f>
        <v>112563</v>
      </c>
      <c r="C1" s="59">
        <f>854+1213+14961+2858+1501</f>
        <v>21387</v>
      </c>
      <c r="D1" s="59">
        <f>5350+7600+93700+17900+9400</f>
        <v>133950</v>
      </c>
      <c r="E1" s="59">
        <f t="shared" ref="E1:E31" si="2">D1*2.3681%</f>
        <v>3172.06995</v>
      </c>
      <c r="F1" s="59">
        <f t="shared" ref="F1:F31" si="3">D1-E1</f>
        <v>130777.9301</v>
      </c>
      <c r="I1" s="59"/>
      <c r="J1" s="59"/>
      <c r="M1" s="68">
        <v>5.0</v>
      </c>
      <c r="N1" s="59">
        <f>5350+7600+93700+17900+9400</f>
        <v>133950</v>
      </c>
    </row>
    <row r="2" ht="12.75" customHeight="1">
      <c r="A2" s="68">
        <v>4.0</v>
      </c>
      <c r="B2" s="59">
        <f t="shared" si="1"/>
        <v>28824</v>
      </c>
      <c r="C2" s="59">
        <f>1948+1197+814+1517</f>
        <v>5476</v>
      </c>
      <c r="D2" s="59">
        <f>12200+7500+5100+9500</f>
        <v>34300</v>
      </c>
      <c r="E2" s="59">
        <f t="shared" si="2"/>
        <v>812.2583</v>
      </c>
      <c r="F2" s="59">
        <f t="shared" si="3"/>
        <v>33487.7417</v>
      </c>
      <c r="G2" s="37" t="s">
        <v>3180</v>
      </c>
      <c r="I2" s="59">
        <v>185599.0</v>
      </c>
      <c r="J2" s="59">
        <v>175396.0</v>
      </c>
      <c r="K2" s="59">
        <f>I2-J2</f>
        <v>10203</v>
      </c>
      <c r="M2" s="68">
        <v>4.0</v>
      </c>
      <c r="N2" s="59">
        <f>12200+7500+5100+9500</f>
        <v>34300</v>
      </c>
    </row>
    <row r="3" ht="12.75" customHeight="1">
      <c r="A3" s="68">
        <v>0.0</v>
      </c>
      <c r="B3" s="59">
        <f t="shared" si="1"/>
        <v>0</v>
      </c>
      <c r="C3" s="59">
        <v>0.0</v>
      </c>
      <c r="D3" s="59">
        <v>0.0</v>
      </c>
      <c r="E3" s="59">
        <f t="shared" si="2"/>
        <v>0</v>
      </c>
      <c r="F3" s="59">
        <f t="shared" si="3"/>
        <v>0</v>
      </c>
      <c r="I3" s="59"/>
      <c r="J3" s="59"/>
      <c r="M3" s="68">
        <v>0.0</v>
      </c>
      <c r="N3" s="59">
        <v>0.0</v>
      </c>
    </row>
    <row r="4" ht="12.75" customHeight="1">
      <c r="A4" s="68">
        <v>5.0</v>
      </c>
      <c r="B4" s="59">
        <f t="shared" si="1"/>
        <v>21806</v>
      </c>
      <c r="C4" s="59">
        <f>2267+559+168+447+703</f>
        <v>4144</v>
      </c>
      <c r="D4" s="59">
        <f>14200+3500+1050+2800+4400</f>
        <v>25950</v>
      </c>
      <c r="E4" s="59">
        <f t="shared" si="2"/>
        <v>614.52195</v>
      </c>
      <c r="F4" s="59">
        <f t="shared" si="3"/>
        <v>25335.47805</v>
      </c>
      <c r="G4" s="37" t="s">
        <v>3181</v>
      </c>
      <c r="I4" s="59"/>
      <c r="J4" s="59"/>
      <c r="M4" s="68">
        <v>5.0</v>
      </c>
      <c r="N4" s="59">
        <f>14200+3500+1050+2800+4400</f>
        <v>25950</v>
      </c>
    </row>
    <row r="5" ht="12.75" customHeight="1">
      <c r="A5" s="68">
        <v>4.0</v>
      </c>
      <c r="B5" s="59">
        <f t="shared" si="1"/>
        <v>23151</v>
      </c>
      <c r="C5" s="59">
        <f>2315+902+479+703</f>
        <v>4399</v>
      </c>
      <c r="D5" s="59">
        <f>14500+5650+3000+4400</f>
        <v>27550</v>
      </c>
      <c r="E5" s="59">
        <f t="shared" si="2"/>
        <v>652.41155</v>
      </c>
      <c r="F5" s="59">
        <f t="shared" si="3"/>
        <v>26897.58845</v>
      </c>
      <c r="G5" s="37" t="s">
        <v>3182</v>
      </c>
      <c r="I5" s="59"/>
      <c r="J5" s="59"/>
      <c r="M5" s="68">
        <v>4.0</v>
      </c>
      <c r="N5" s="59">
        <f>14500+5650+3000+4400</f>
        <v>27550</v>
      </c>
    </row>
    <row r="6" ht="12.75" customHeight="1">
      <c r="A6" s="68">
        <v>2.0</v>
      </c>
      <c r="B6" s="59">
        <f t="shared" si="1"/>
        <v>13445</v>
      </c>
      <c r="C6" s="59">
        <f>1437+1118</f>
        <v>2555</v>
      </c>
      <c r="D6" s="59">
        <f>9000+7000</f>
        <v>16000</v>
      </c>
      <c r="E6" s="59">
        <f t="shared" si="2"/>
        <v>378.896</v>
      </c>
      <c r="F6" s="59">
        <f t="shared" si="3"/>
        <v>15621.104</v>
      </c>
      <c r="G6" s="37" t="s">
        <v>3183</v>
      </c>
      <c r="I6" s="59">
        <v>15621.0</v>
      </c>
      <c r="J6" s="59">
        <v>8787.0</v>
      </c>
      <c r="K6" s="59">
        <f>I6-J6</f>
        <v>6834</v>
      </c>
      <c r="M6" s="68">
        <v>2.0</v>
      </c>
      <c r="N6" s="59">
        <f>9000+7000</f>
        <v>16000</v>
      </c>
    </row>
    <row r="7" ht="12.75" customHeight="1">
      <c r="A7" s="68">
        <v>3.0</v>
      </c>
      <c r="B7" s="59">
        <f t="shared" si="1"/>
        <v>11260</v>
      </c>
      <c r="C7" s="59">
        <f>559+703+878</f>
        <v>2140</v>
      </c>
      <c r="D7" s="59">
        <f>3500+4400+5500</f>
        <v>13400</v>
      </c>
      <c r="E7" s="59">
        <f t="shared" si="2"/>
        <v>317.3254</v>
      </c>
      <c r="F7" s="59">
        <f t="shared" si="3"/>
        <v>13082.6746</v>
      </c>
      <c r="G7" s="37"/>
      <c r="I7" s="59"/>
      <c r="J7" s="59"/>
      <c r="K7" s="59"/>
      <c r="M7" s="68">
        <v>3.0</v>
      </c>
      <c r="N7" s="59">
        <f>3500+4400+5500</f>
        <v>13400</v>
      </c>
    </row>
    <row r="8" ht="12.75" customHeight="1">
      <c r="A8" s="68">
        <v>1.0</v>
      </c>
      <c r="B8" s="59">
        <f t="shared" si="1"/>
        <v>1597</v>
      </c>
      <c r="C8" s="59">
        <v>303.0</v>
      </c>
      <c r="D8" s="59">
        <v>1900.0</v>
      </c>
      <c r="E8" s="59">
        <f t="shared" si="2"/>
        <v>44.9939</v>
      </c>
      <c r="F8" s="59">
        <f t="shared" si="3"/>
        <v>1855.0061</v>
      </c>
      <c r="I8" s="59"/>
      <c r="J8" s="59"/>
      <c r="M8" s="68">
        <v>1.0</v>
      </c>
      <c r="N8" s="59">
        <v>1900.0</v>
      </c>
    </row>
    <row r="9" ht="12.75" customHeight="1">
      <c r="A9" s="68">
        <v>7.0</v>
      </c>
      <c r="B9" s="59">
        <f t="shared" si="1"/>
        <v>62606</v>
      </c>
      <c r="C9" s="59">
        <f>806+4439+878+487+335+4151+798</f>
        <v>11894</v>
      </c>
      <c r="D9" s="59">
        <f>5050+27800+5500+3050+2100+26000+5000</f>
        <v>74500</v>
      </c>
      <c r="E9" s="59">
        <f t="shared" si="2"/>
        <v>1764.2345</v>
      </c>
      <c r="F9" s="59">
        <f t="shared" si="3"/>
        <v>72735.7655</v>
      </c>
      <c r="G9" s="37" t="s">
        <v>3184</v>
      </c>
      <c r="I9" s="59">
        <v>87673.0</v>
      </c>
      <c r="J9" s="59">
        <v>77422.0</v>
      </c>
      <c r="K9" s="59">
        <f>I9-J9</f>
        <v>10251</v>
      </c>
      <c r="M9" s="68">
        <v>7.0</v>
      </c>
      <c r="N9" s="59">
        <f>5050+27800+5500+3050+2100+26000+5000</f>
        <v>74500</v>
      </c>
    </row>
    <row r="10" ht="12.75" customHeight="1">
      <c r="A10" s="68">
        <v>2.0</v>
      </c>
      <c r="B10" s="59">
        <f t="shared" si="1"/>
        <v>34075</v>
      </c>
      <c r="C10" s="59">
        <f>4926+1549</f>
        <v>6475</v>
      </c>
      <c r="D10" s="59">
        <f>30850+9700</f>
        <v>40550</v>
      </c>
      <c r="E10" s="59">
        <f t="shared" si="2"/>
        <v>960.26455</v>
      </c>
      <c r="F10" s="59">
        <f t="shared" si="3"/>
        <v>39589.73545</v>
      </c>
      <c r="G10" s="37" t="s">
        <v>3185</v>
      </c>
      <c r="I10" s="59"/>
      <c r="J10" s="59"/>
      <c r="M10" s="68">
        <v>2.0</v>
      </c>
      <c r="N10" s="59">
        <f>30850+9700</f>
        <v>40550</v>
      </c>
    </row>
    <row r="11" ht="12.75" customHeight="1">
      <c r="A11" s="68">
        <v>3.0</v>
      </c>
      <c r="B11" s="59">
        <f t="shared" si="1"/>
        <v>19622</v>
      </c>
      <c r="C11" s="59">
        <f>854+2682+192</f>
        <v>3728</v>
      </c>
      <c r="D11" s="59">
        <f>5350+16800+1200</f>
        <v>23350</v>
      </c>
      <c r="E11" s="59">
        <f t="shared" si="2"/>
        <v>552.95135</v>
      </c>
      <c r="F11" s="59">
        <f t="shared" si="3"/>
        <v>22797.04865</v>
      </c>
      <c r="G11" s="37" t="s">
        <v>3186</v>
      </c>
      <c r="I11" s="59"/>
      <c r="J11" s="59"/>
      <c r="M11" s="68">
        <v>3.0</v>
      </c>
      <c r="N11" s="59">
        <f>5350+16800+1200</f>
        <v>23350</v>
      </c>
    </row>
    <row r="12" ht="12.75" customHeight="1">
      <c r="A12" s="68">
        <v>4.0</v>
      </c>
      <c r="B12" s="59">
        <f t="shared" si="1"/>
        <v>7017</v>
      </c>
      <c r="C12" s="59">
        <f>319+255+184+575</f>
        <v>1333</v>
      </c>
      <c r="D12" s="59">
        <f>2000+1600+1150+3600</f>
        <v>8350</v>
      </c>
      <c r="E12" s="59">
        <f t="shared" si="2"/>
        <v>197.73635</v>
      </c>
      <c r="F12" s="59">
        <f t="shared" si="3"/>
        <v>8152.26365</v>
      </c>
      <c r="G12" s="37" t="s">
        <v>3187</v>
      </c>
      <c r="I12" s="59"/>
      <c r="J12" s="59"/>
      <c r="M12" s="68">
        <v>4.0</v>
      </c>
      <c r="N12" s="59">
        <f>2000+1600+1150+3600</f>
        <v>8350</v>
      </c>
    </row>
    <row r="13" ht="12.75" customHeight="1">
      <c r="A13" s="68">
        <v>6.0</v>
      </c>
      <c r="B13" s="59">
        <f t="shared" si="1"/>
        <v>31681</v>
      </c>
      <c r="C13" s="59">
        <f>639+399+1197+431+1996+1357</f>
        <v>6019</v>
      </c>
      <c r="D13" s="59">
        <f>4000+2500+7500+2700+12500+8500</f>
        <v>37700</v>
      </c>
      <c r="E13" s="59">
        <f t="shared" si="2"/>
        <v>892.7737</v>
      </c>
      <c r="F13" s="59">
        <f t="shared" si="3"/>
        <v>36807.2263</v>
      </c>
      <c r="G13" s="37" t="s">
        <v>3188</v>
      </c>
      <c r="I13" s="59"/>
      <c r="J13" s="59"/>
      <c r="M13" s="68">
        <v>6.0</v>
      </c>
      <c r="N13" s="59">
        <f>4000+2500+7500+2700+12500+8500</f>
        <v>37700</v>
      </c>
    </row>
    <row r="14" ht="12.75" customHeight="1">
      <c r="A14" s="68">
        <v>1.0</v>
      </c>
      <c r="B14" s="59">
        <f t="shared" si="1"/>
        <v>2521</v>
      </c>
      <c r="C14" s="59">
        <v>479.0</v>
      </c>
      <c r="D14" s="59">
        <v>3000.0</v>
      </c>
      <c r="E14" s="59">
        <f t="shared" si="2"/>
        <v>71.043</v>
      </c>
      <c r="F14" s="59">
        <f t="shared" si="3"/>
        <v>2928.957</v>
      </c>
      <c r="I14" s="59"/>
      <c r="J14" s="59"/>
      <c r="M14" s="68">
        <v>1.0</v>
      </c>
      <c r="N14" s="59">
        <v>3000.0</v>
      </c>
    </row>
    <row r="15" ht="12.75" customHeight="1">
      <c r="A15" s="68">
        <v>3.0</v>
      </c>
      <c r="B15" s="59">
        <f t="shared" si="1"/>
        <v>24202</v>
      </c>
      <c r="C15" s="59">
        <f>1405+1213+1980</f>
        <v>4598</v>
      </c>
      <c r="D15" s="59">
        <f>8800+7600+12400</f>
        <v>28800</v>
      </c>
      <c r="E15" s="59">
        <f t="shared" si="2"/>
        <v>682.0128</v>
      </c>
      <c r="F15" s="59">
        <f t="shared" si="3"/>
        <v>28117.9872</v>
      </c>
      <c r="I15" s="59"/>
      <c r="J15" s="59"/>
      <c r="M15" s="68">
        <v>3.0</v>
      </c>
      <c r="N15" s="59">
        <f>8800+7600+12400</f>
        <v>28800</v>
      </c>
    </row>
    <row r="16" ht="12.75" customHeight="1">
      <c r="A16" s="68">
        <v>8.0</v>
      </c>
      <c r="B16" s="59">
        <f t="shared" si="1"/>
        <v>37395</v>
      </c>
      <c r="C16" s="59">
        <f>1373+1357+399+543+1557+790+479+607</f>
        <v>7105</v>
      </c>
      <c r="D16" s="59">
        <f>8600+8500+2500+3400+9750+4950+3000+3800</f>
        <v>44500</v>
      </c>
      <c r="E16" s="59">
        <f t="shared" si="2"/>
        <v>1053.8045</v>
      </c>
      <c r="F16" s="59">
        <f t="shared" si="3"/>
        <v>43446.1955</v>
      </c>
      <c r="G16" s="37" t="s">
        <v>3189</v>
      </c>
      <c r="I16" s="59"/>
      <c r="J16" s="59"/>
      <c r="M16" s="68">
        <v>8.0</v>
      </c>
      <c r="N16" s="59">
        <f>8600+8500+2500+3400+9750+4950+3000+3800</f>
        <v>44500</v>
      </c>
    </row>
    <row r="17" ht="12.75" customHeight="1">
      <c r="A17" s="68">
        <v>5.0</v>
      </c>
      <c r="B17" s="59">
        <f t="shared" si="1"/>
        <v>12815</v>
      </c>
      <c r="C17" s="59">
        <f>463+527+718+192+535</f>
        <v>2435</v>
      </c>
      <c r="D17" s="59">
        <f>2900+3300+4500+1200+3350</f>
        <v>15250</v>
      </c>
      <c r="E17" s="59">
        <f t="shared" si="2"/>
        <v>361.13525</v>
      </c>
      <c r="F17" s="59">
        <f t="shared" si="3"/>
        <v>14888.86475</v>
      </c>
      <c r="G17" s="37" t="s">
        <v>3190</v>
      </c>
      <c r="I17" s="59"/>
      <c r="J17" s="59"/>
      <c r="M17" s="68">
        <v>5.0</v>
      </c>
      <c r="N17" s="59">
        <f>2900+3300+4500+1200+3350</f>
        <v>15250</v>
      </c>
    </row>
    <row r="18" ht="12.75" customHeight="1">
      <c r="A18" s="68">
        <v>5.0</v>
      </c>
      <c r="B18" s="59">
        <f t="shared" si="1"/>
        <v>11933</v>
      </c>
      <c r="C18" s="59">
        <f>399+798+351+144+575</f>
        <v>2267</v>
      </c>
      <c r="D18" s="59">
        <f>2500+5000+2200+900+3600</f>
        <v>14200</v>
      </c>
      <c r="E18" s="59">
        <f t="shared" si="2"/>
        <v>336.2702</v>
      </c>
      <c r="F18" s="59">
        <f t="shared" si="3"/>
        <v>13863.7298</v>
      </c>
      <c r="G18" s="37" t="s">
        <v>3191</v>
      </c>
      <c r="I18" s="59"/>
      <c r="J18" s="59"/>
      <c r="M18" s="68">
        <v>5.0</v>
      </c>
      <c r="N18" s="59">
        <f>2500+5000+2200+900+3600</f>
        <v>14200</v>
      </c>
    </row>
    <row r="19" ht="12.75" customHeight="1">
      <c r="A19" s="68">
        <v>3.0</v>
      </c>
      <c r="B19" s="59">
        <f t="shared" si="1"/>
        <v>14833</v>
      </c>
      <c r="C19" s="59">
        <f>1676+822+319</f>
        <v>2817</v>
      </c>
      <c r="D19" s="59">
        <f>10500+5150+2000</f>
        <v>17650</v>
      </c>
      <c r="E19" s="59">
        <f t="shared" si="2"/>
        <v>417.96965</v>
      </c>
      <c r="F19" s="59">
        <f t="shared" si="3"/>
        <v>17232.03035</v>
      </c>
      <c r="G19" s="37" t="s">
        <v>3192</v>
      </c>
      <c r="I19" s="59"/>
      <c r="J19" s="59"/>
      <c r="M19" s="68">
        <v>3.0</v>
      </c>
      <c r="N19" s="59">
        <f>10500+5150+2000</f>
        <v>17650</v>
      </c>
    </row>
    <row r="20" ht="12.75" customHeight="1">
      <c r="A20" s="68">
        <v>9.0</v>
      </c>
      <c r="B20" s="59">
        <f t="shared" si="1"/>
        <v>46722</v>
      </c>
      <c r="C20" s="59">
        <f>383+958+591+479+415+607+447+4790+208</f>
        <v>8878</v>
      </c>
      <c r="D20" s="59">
        <f>2400+6000+3700+3000+2600+3800+2800+30000+1300</f>
        <v>55600</v>
      </c>
      <c r="E20" s="59">
        <f t="shared" si="2"/>
        <v>1316.6636</v>
      </c>
      <c r="F20" s="59">
        <f t="shared" si="3"/>
        <v>54283.3364</v>
      </c>
      <c r="G20" s="37" t="s">
        <v>3193</v>
      </c>
      <c r="I20" s="59">
        <v>54283.0</v>
      </c>
      <c r="J20" s="59">
        <v>45886.0</v>
      </c>
      <c r="K20" s="59">
        <f>I20-J20</f>
        <v>8397</v>
      </c>
      <c r="M20" s="68">
        <v>9.0</v>
      </c>
      <c r="N20" s="59">
        <f>2400+6000+3700+3000+2600+3800+2800+30000+1300</f>
        <v>55600</v>
      </c>
    </row>
    <row r="21" ht="12.75" customHeight="1">
      <c r="A21" s="68">
        <v>4.0</v>
      </c>
      <c r="B21" s="59">
        <f t="shared" si="1"/>
        <v>19328</v>
      </c>
      <c r="C21" s="59">
        <f>559+718+639+1756</f>
        <v>3672</v>
      </c>
      <c r="D21" s="59">
        <f>3500+4500+4000+11000</f>
        <v>23000</v>
      </c>
      <c r="E21" s="59">
        <f t="shared" si="2"/>
        <v>544.663</v>
      </c>
      <c r="F21" s="59">
        <f t="shared" si="3"/>
        <v>22455.337</v>
      </c>
      <c r="I21" s="59"/>
      <c r="J21" s="59"/>
      <c r="M21" s="68">
        <v>4.0</v>
      </c>
      <c r="N21" s="59">
        <f>3500+4500+4000+11000</f>
        <v>23000</v>
      </c>
    </row>
    <row r="22" ht="12.75" customHeight="1">
      <c r="A22" s="68">
        <v>8.0</v>
      </c>
      <c r="B22" s="59">
        <f t="shared" si="1"/>
        <v>44242</v>
      </c>
      <c r="C22" s="59">
        <f>1118+1437+112+623+3066+695+519+838</f>
        <v>8408</v>
      </c>
      <c r="D22" s="59">
        <f>7000+9000+700+3900+19200+4350+3250+5250</f>
        <v>52650</v>
      </c>
      <c r="E22" s="59">
        <f t="shared" si="2"/>
        <v>1246.80465</v>
      </c>
      <c r="F22" s="59">
        <f t="shared" si="3"/>
        <v>51403.19535</v>
      </c>
      <c r="I22" s="59"/>
      <c r="J22" s="59"/>
      <c r="M22" s="68">
        <v>8.0</v>
      </c>
      <c r="N22" s="59">
        <f>7000+9000+700+3900+19200+4350+3250+5250</f>
        <v>52650</v>
      </c>
    </row>
    <row r="23" ht="12.75" customHeight="1">
      <c r="A23" s="68">
        <v>6.0</v>
      </c>
      <c r="B23" s="59">
        <f t="shared" si="1"/>
        <v>38950</v>
      </c>
      <c r="C23" s="59">
        <f>495+399+239+2914+479+2874</f>
        <v>7400</v>
      </c>
      <c r="D23" s="59">
        <f>3100+2500+1500+18250+3000+18000</f>
        <v>46350</v>
      </c>
      <c r="E23" s="59">
        <f t="shared" si="2"/>
        <v>1097.61435</v>
      </c>
      <c r="F23" s="59">
        <f t="shared" si="3"/>
        <v>45252.38565</v>
      </c>
      <c r="G23" s="37" t="s">
        <v>3194</v>
      </c>
      <c r="I23" s="59">
        <v>119111.0</v>
      </c>
      <c r="J23" s="59">
        <v>116178.0</v>
      </c>
      <c r="K23" s="59">
        <f>I23-J23</f>
        <v>2933</v>
      </c>
      <c r="M23" s="68">
        <v>6.0</v>
      </c>
      <c r="N23" s="59">
        <f>3100+2500+1500+18250+3000+18000</f>
        <v>46350</v>
      </c>
    </row>
    <row r="24" ht="12.75" customHeight="1">
      <c r="A24" s="68">
        <v>2.0</v>
      </c>
      <c r="B24" s="59">
        <f t="shared" si="1"/>
        <v>11008</v>
      </c>
      <c r="C24" s="59">
        <f>1469+623</f>
        <v>2092</v>
      </c>
      <c r="D24" s="59">
        <f>9200+3900</f>
        <v>13100</v>
      </c>
      <c r="E24" s="59">
        <f t="shared" si="2"/>
        <v>310.2211</v>
      </c>
      <c r="F24" s="59">
        <f t="shared" si="3"/>
        <v>12789.7789</v>
      </c>
      <c r="G24" s="37" t="s">
        <v>3195</v>
      </c>
      <c r="I24" s="59"/>
      <c r="J24" s="59"/>
      <c r="M24" s="68">
        <v>2.0</v>
      </c>
      <c r="N24" s="59">
        <f>9200+3900</f>
        <v>13100</v>
      </c>
    </row>
    <row r="25" ht="12.75" customHeight="1">
      <c r="A25" s="68">
        <v>5.0</v>
      </c>
      <c r="B25" s="59">
        <f t="shared" si="1"/>
        <v>28194</v>
      </c>
      <c r="C25" s="59">
        <f>383+1253+1357+2235+128</f>
        <v>5356</v>
      </c>
      <c r="D25" s="59">
        <f>2400+7850+8500+14000+800</f>
        <v>33550</v>
      </c>
      <c r="E25" s="59">
        <f t="shared" si="2"/>
        <v>794.49755</v>
      </c>
      <c r="F25" s="59">
        <f t="shared" si="3"/>
        <v>32755.50245</v>
      </c>
      <c r="G25" s="37" t="s">
        <v>3196</v>
      </c>
      <c r="I25" s="59"/>
      <c r="J25" s="59"/>
      <c r="M25" s="68">
        <v>5.0</v>
      </c>
      <c r="N25" s="59">
        <f>2400+7850+8500+14000+800</f>
        <v>33550</v>
      </c>
    </row>
    <row r="26" ht="12.75" customHeight="1">
      <c r="A26" s="68">
        <v>4.0</v>
      </c>
      <c r="B26" s="59">
        <f t="shared" si="1"/>
        <v>16806</v>
      </c>
      <c r="C26" s="59">
        <f>479+160+2076+479</f>
        <v>3194</v>
      </c>
      <c r="D26" s="59">
        <f>3000+1000+13000+3000</f>
        <v>20000</v>
      </c>
      <c r="E26" s="59">
        <f t="shared" si="2"/>
        <v>473.62</v>
      </c>
      <c r="F26" s="59">
        <f t="shared" si="3"/>
        <v>19526.38</v>
      </c>
      <c r="G26" s="37" t="s">
        <v>3197</v>
      </c>
      <c r="I26" s="59"/>
      <c r="J26" s="59"/>
      <c r="M26" s="68">
        <v>4.0</v>
      </c>
      <c r="N26" s="59">
        <f>3000+1000+13000+3000</f>
        <v>20000</v>
      </c>
    </row>
    <row r="27" ht="12.75" customHeight="1">
      <c r="A27" s="68">
        <v>8.0</v>
      </c>
      <c r="B27" s="59">
        <f t="shared" si="1"/>
        <v>34412</v>
      </c>
      <c r="C27" s="59">
        <f>1676+958+439+128+319+495+495+2028</f>
        <v>6538</v>
      </c>
      <c r="D27" s="59">
        <f>10500+6000+2750+800+2000+3100+3100+12700</f>
        <v>40950</v>
      </c>
      <c r="E27" s="59">
        <f t="shared" si="2"/>
        <v>969.73695</v>
      </c>
      <c r="F27" s="59">
        <f t="shared" si="3"/>
        <v>39980.26305</v>
      </c>
      <c r="G27" s="37" t="s">
        <v>3198</v>
      </c>
      <c r="I27" s="59"/>
      <c r="J27" s="59"/>
      <c r="M27" s="68">
        <v>8.0</v>
      </c>
      <c r="N27" s="59">
        <f>10500+6000+2750+800+2000+3100+3100+12700</f>
        <v>40950</v>
      </c>
    </row>
    <row r="28" ht="12.75" customHeight="1">
      <c r="A28" s="68">
        <v>4.0</v>
      </c>
      <c r="B28" s="59">
        <f t="shared" si="1"/>
        <v>11765</v>
      </c>
      <c r="C28" s="59">
        <f>239+447+958+591</f>
        <v>2235</v>
      </c>
      <c r="D28" s="59">
        <f>1500+2800+6000+3700</f>
        <v>14000</v>
      </c>
      <c r="E28" s="59">
        <f t="shared" si="2"/>
        <v>331.534</v>
      </c>
      <c r="F28" s="59">
        <f t="shared" si="3"/>
        <v>13668.466</v>
      </c>
      <c r="I28" s="59"/>
      <c r="J28" s="59"/>
      <c r="M28" s="68">
        <v>4.0</v>
      </c>
      <c r="N28" s="59">
        <f>1500+2800+6000+3700</f>
        <v>14000</v>
      </c>
    </row>
    <row r="29" ht="12.75" customHeight="1">
      <c r="A29" s="68">
        <v>5.0</v>
      </c>
      <c r="B29" s="59">
        <f t="shared" si="1"/>
        <v>36008</v>
      </c>
      <c r="C29" s="59">
        <f>958+519+511+703+4151</f>
        <v>6842</v>
      </c>
      <c r="D29" s="59">
        <f>6000+3250+3200+4400+26000</f>
        <v>42850</v>
      </c>
      <c r="E29" s="59">
        <f t="shared" si="2"/>
        <v>1014.73085</v>
      </c>
      <c r="F29" s="59">
        <f t="shared" si="3"/>
        <v>41835.26915</v>
      </c>
      <c r="I29" s="59"/>
      <c r="J29" s="59"/>
      <c r="M29" s="68">
        <v>5.0</v>
      </c>
      <c r="N29" s="59">
        <f>6000+3250+3200+4400+26000</f>
        <v>42850</v>
      </c>
    </row>
    <row r="30" ht="12.75" customHeight="1">
      <c r="A30" s="68">
        <v>8.0</v>
      </c>
      <c r="B30" s="59">
        <f t="shared" si="1"/>
        <v>24412</v>
      </c>
      <c r="C30" s="59">
        <f>878+80+343+479+303+639+894+1022</f>
        <v>4638</v>
      </c>
      <c r="D30" s="59">
        <f>5500+500+2150+3000+1900+4000+5600+6400</f>
        <v>29050</v>
      </c>
      <c r="E30" s="59">
        <f t="shared" si="2"/>
        <v>687.93305</v>
      </c>
      <c r="F30" s="59">
        <f t="shared" si="3"/>
        <v>28362.06695</v>
      </c>
      <c r="G30" s="41" t="s">
        <v>3199</v>
      </c>
      <c r="I30" s="59"/>
      <c r="J30" s="59"/>
      <c r="M30" s="68">
        <v>8.0</v>
      </c>
      <c r="N30" s="59">
        <f>5500+500+2150+3000+1900+4000+5600+6400</f>
        <v>29050</v>
      </c>
    </row>
    <row r="31" ht="12.75" customHeight="1">
      <c r="A31" s="68">
        <v>4.0</v>
      </c>
      <c r="B31" s="59">
        <f t="shared" si="1"/>
        <v>20420</v>
      </c>
      <c r="C31" s="59">
        <f>176+718+1118+1868</f>
        <v>3880</v>
      </c>
      <c r="D31" s="59">
        <f>1100+4500+7000+11700</f>
        <v>24300</v>
      </c>
      <c r="E31" s="59">
        <f t="shared" si="2"/>
        <v>575.4483</v>
      </c>
      <c r="F31" s="59">
        <f t="shared" si="3"/>
        <v>23724.5517</v>
      </c>
      <c r="G31" s="41" t="s">
        <v>3199</v>
      </c>
      <c r="I31" s="59"/>
      <c r="J31" s="59"/>
      <c r="M31" s="68">
        <v>4.0</v>
      </c>
      <c r="N31" s="59">
        <f>1100+4500+7000+11700</f>
        <v>24300</v>
      </c>
    </row>
    <row r="32" ht="12.75" customHeight="1">
      <c r="A32" s="67">
        <f t="shared" ref="A32:F32" si="4">SUM(A1:A31)</f>
        <v>138</v>
      </c>
      <c r="B32" s="66">
        <f t="shared" si="4"/>
        <v>803613</v>
      </c>
      <c r="C32" s="66">
        <f t="shared" si="4"/>
        <v>152687</v>
      </c>
      <c r="D32" s="66">
        <f t="shared" si="4"/>
        <v>956300</v>
      </c>
      <c r="E32" s="67">
        <f t="shared" si="4"/>
        <v>22646.1403</v>
      </c>
      <c r="F32" s="67">
        <f t="shared" si="4"/>
        <v>933653.8597</v>
      </c>
      <c r="I32" s="59"/>
      <c r="J32" s="59"/>
      <c r="K32" s="59">
        <f>SUM(K1:K31)</f>
        <v>38618</v>
      </c>
      <c r="N32" s="59">
        <f>SUM(N1:N31)</f>
        <v>956300</v>
      </c>
    </row>
    <row r="33" ht="12.75" customHeight="1">
      <c r="A33" s="59"/>
      <c r="B33" s="59"/>
      <c r="C33" s="59"/>
      <c r="D33" s="59"/>
      <c r="E33" s="59"/>
      <c r="F33" s="59"/>
      <c r="I33" s="59"/>
      <c r="J33" s="59"/>
    </row>
    <row r="34" ht="12.75" customHeight="1">
      <c r="A34" s="59"/>
      <c r="B34" s="59"/>
      <c r="C34" s="59"/>
      <c r="D34" s="59"/>
      <c r="E34" s="59"/>
      <c r="F34" s="59"/>
      <c r="I34" s="59"/>
      <c r="J34" s="59"/>
    </row>
    <row r="35" ht="12.75" customHeight="1">
      <c r="A35" s="59"/>
      <c r="B35" s="59"/>
      <c r="C35" s="59"/>
      <c r="D35" s="59"/>
      <c r="E35" s="59"/>
      <c r="F35" s="59"/>
      <c r="I35" s="59"/>
      <c r="J35" s="59"/>
    </row>
    <row r="36" ht="12.75" customHeight="1">
      <c r="A36" s="59"/>
      <c r="B36" s="59"/>
      <c r="C36" s="59"/>
      <c r="D36" s="59"/>
      <c r="E36" s="59"/>
      <c r="F36" s="59"/>
      <c r="I36" s="59"/>
      <c r="J36" s="59"/>
    </row>
    <row r="37" ht="12.75" customHeight="1">
      <c r="A37" s="59"/>
      <c r="B37" s="59"/>
      <c r="C37" s="59"/>
      <c r="D37" s="59"/>
      <c r="E37" s="59"/>
      <c r="F37" s="59"/>
      <c r="I37" s="59"/>
      <c r="J37" s="59"/>
    </row>
    <row r="38" ht="12.75" customHeight="1">
      <c r="A38" s="59"/>
      <c r="B38" s="59"/>
      <c r="C38" s="59"/>
      <c r="D38" s="59"/>
      <c r="E38" s="59"/>
      <c r="F38" s="59"/>
      <c r="I38" s="59"/>
      <c r="J38" s="59"/>
    </row>
    <row r="39" ht="12.75" customHeight="1">
      <c r="A39" s="59"/>
      <c r="B39" s="59"/>
      <c r="C39" s="59"/>
      <c r="D39" s="59"/>
      <c r="E39" s="59"/>
      <c r="F39" s="59"/>
      <c r="I39" s="59"/>
      <c r="J39" s="59"/>
    </row>
    <row r="40" ht="12.75" customHeight="1">
      <c r="A40" s="59"/>
      <c r="B40" s="59"/>
      <c r="C40" s="59"/>
      <c r="D40" s="59"/>
      <c r="E40" s="59"/>
      <c r="F40" s="59"/>
      <c r="I40" s="59"/>
      <c r="J40" s="59"/>
    </row>
    <row r="41" ht="12.75" customHeight="1">
      <c r="A41" s="59"/>
      <c r="B41" s="59"/>
      <c r="C41" s="59"/>
      <c r="D41" s="59"/>
      <c r="E41" s="59"/>
      <c r="F41" s="59"/>
      <c r="I41" s="59"/>
      <c r="J41" s="59"/>
    </row>
    <row r="42" ht="12.75" customHeight="1">
      <c r="A42" s="59"/>
      <c r="B42" s="59"/>
      <c r="C42" s="59"/>
      <c r="D42" s="59"/>
      <c r="E42" s="59"/>
      <c r="F42" s="59"/>
      <c r="I42" s="59"/>
      <c r="J42" s="59"/>
    </row>
    <row r="43" ht="12.75" customHeight="1">
      <c r="A43" s="59"/>
      <c r="B43" s="59"/>
      <c r="C43" s="59"/>
      <c r="D43" s="59"/>
      <c r="E43" s="59"/>
      <c r="F43" s="59"/>
      <c r="I43" s="59"/>
      <c r="J43" s="59"/>
    </row>
    <row r="44" ht="12.75" customHeight="1">
      <c r="A44" s="59"/>
      <c r="B44" s="59"/>
      <c r="C44" s="59"/>
      <c r="D44" s="59"/>
      <c r="E44" s="59"/>
      <c r="F44" s="59"/>
      <c r="I44" s="59"/>
      <c r="J44" s="59"/>
    </row>
    <row r="45" ht="12.75" customHeight="1">
      <c r="A45" s="59"/>
      <c r="B45" s="59"/>
      <c r="C45" s="59"/>
      <c r="D45" s="59"/>
      <c r="E45" s="59"/>
      <c r="F45" s="59"/>
      <c r="I45" s="59"/>
      <c r="J45" s="59"/>
    </row>
    <row r="46" ht="12.75" customHeight="1">
      <c r="A46" s="59"/>
      <c r="B46" s="59"/>
      <c r="C46" s="59"/>
      <c r="D46" s="59"/>
      <c r="E46" s="59"/>
      <c r="F46" s="59"/>
      <c r="I46" s="59"/>
      <c r="J46" s="59"/>
    </row>
    <row r="47" ht="12.75" customHeight="1">
      <c r="A47" s="59"/>
      <c r="B47" s="59"/>
      <c r="C47" s="59"/>
      <c r="D47" s="59"/>
      <c r="E47" s="59"/>
      <c r="F47" s="59"/>
      <c r="I47" s="59"/>
      <c r="J47" s="59"/>
    </row>
    <row r="48" ht="12.75" customHeight="1">
      <c r="A48" s="59"/>
      <c r="B48" s="59"/>
      <c r="C48" s="59"/>
      <c r="D48" s="59"/>
      <c r="E48" s="59"/>
      <c r="F48" s="59"/>
      <c r="I48" s="59"/>
      <c r="J48" s="59"/>
    </row>
    <row r="49" ht="12.75" customHeight="1">
      <c r="A49" s="59"/>
      <c r="B49" s="59"/>
      <c r="C49" s="59"/>
      <c r="D49" s="59"/>
      <c r="E49" s="59"/>
      <c r="F49" s="59"/>
      <c r="I49" s="59"/>
      <c r="J49" s="59"/>
    </row>
    <row r="50" ht="12.75" customHeight="1">
      <c r="A50" s="59"/>
      <c r="B50" s="59"/>
      <c r="C50" s="59"/>
      <c r="D50" s="59"/>
      <c r="E50" s="59"/>
      <c r="F50" s="59"/>
      <c r="I50" s="59"/>
      <c r="J50" s="59"/>
    </row>
    <row r="51" ht="12.75" customHeight="1">
      <c r="A51" s="59"/>
      <c r="B51" s="59"/>
      <c r="C51" s="59"/>
      <c r="D51" s="59"/>
      <c r="E51" s="59"/>
      <c r="F51" s="59"/>
      <c r="I51" s="59"/>
      <c r="J51" s="59"/>
    </row>
    <row r="52" ht="12.75" customHeight="1">
      <c r="A52" s="59"/>
      <c r="B52" s="59"/>
      <c r="C52" s="59"/>
      <c r="D52" s="59"/>
      <c r="E52" s="59"/>
      <c r="F52" s="59"/>
      <c r="I52" s="59"/>
      <c r="J52" s="59"/>
    </row>
    <row r="53" ht="12.75" customHeight="1">
      <c r="A53" s="59"/>
      <c r="B53" s="59"/>
      <c r="C53" s="59"/>
      <c r="D53" s="59"/>
      <c r="E53" s="59"/>
      <c r="F53" s="59"/>
      <c r="I53" s="59"/>
      <c r="J53" s="59"/>
    </row>
    <row r="54" ht="12.75" customHeight="1">
      <c r="A54" s="59"/>
      <c r="B54" s="59"/>
      <c r="C54" s="59"/>
      <c r="D54" s="59"/>
      <c r="E54" s="59"/>
      <c r="F54" s="59"/>
      <c r="I54" s="59"/>
      <c r="J54" s="59"/>
    </row>
    <row r="55" ht="12.75" customHeight="1">
      <c r="A55" s="59"/>
      <c r="B55" s="59"/>
      <c r="C55" s="59"/>
      <c r="D55" s="59"/>
      <c r="E55" s="59"/>
      <c r="F55" s="59"/>
      <c r="I55" s="59"/>
      <c r="J55" s="59"/>
    </row>
    <row r="56" ht="12.75" customHeight="1">
      <c r="A56" s="59"/>
      <c r="B56" s="59"/>
      <c r="C56" s="59"/>
      <c r="D56" s="59"/>
      <c r="E56" s="59"/>
      <c r="F56" s="59"/>
      <c r="I56" s="59"/>
      <c r="J56" s="59"/>
    </row>
    <row r="57" ht="12.75" customHeight="1">
      <c r="A57" s="59"/>
      <c r="B57" s="59"/>
      <c r="C57" s="59"/>
      <c r="D57" s="59"/>
      <c r="E57" s="59"/>
      <c r="F57" s="59"/>
      <c r="I57" s="59"/>
      <c r="J57" s="59"/>
    </row>
    <row r="58" ht="12.75" customHeight="1">
      <c r="A58" s="59"/>
      <c r="B58" s="59"/>
      <c r="C58" s="59"/>
      <c r="D58" s="59"/>
      <c r="E58" s="59"/>
      <c r="F58" s="59"/>
      <c r="I58" s="59"/>
      <c r="J58" s="59"/>
    </row>
    <row r="59" ht="12.75" customHeight="1">
      <c r="A59" s="59"/>
      <c r="B59" s="59"/>
      <c r="C59" s="59"/>
      <c r="D59" s="59"/>
      <c r="E59" s="59"/>
      <c r="F59" s="59"/>
      <c r="I59" s="59"/>
      <c r="J59" s="59"/>
    </row>
    <row r="60" ht="12.75" customHeight="1">
      <c r="A60" s="59"/>
      <c r="B60" s="59"/>
      <c r="C60" s="59"/>
      <c r="D60" s="59"/>
      <c r="E60" s="59"/>
      <c r="F60" s="59"/>
      <c r="I60" s="59"/>
      <c r="J60" s="59"/>
    </row>
    <row r="61" ht="12.75" customHeight="1">
      <c r="A61" s="59"/>
      <c r="B61" s="59"/>
      <c r="C61" s="59"/>
      <c r="D61" s="59"/>
      <c r="E61" s="59"/>
      <c r="F61" s="59"/>
      <c r="I61" s="59"/>
      <c r="J61" s="59"/>
    </row>
    <row r="62" ht="12.75" customHeight="1">
      <c r="A62" s="59"/>
      <c r="B62" s="59"/>
      <c r="C62" s="59"/>
      <c r="D62" s="59"/>
      <c r="E62" s="59"/>
      <c r="F62" s="59"/>
      <c r="I62" s="59"/>
      <c r="J62" s="59"/>
    </row>
    <row r="63" ht="12.75" customHeight="1">
      <c r="A63" s="59"/>
      <c r="B63" s="59"/>
      <c r="C63" s="59"/>
      <c r="D63" s="59"/>
      <c r="E63" s="59"/>
      <c r="F63" s="59"/>
      <c r="I63" s="59"/>
      <c r="J63" s="59"/>
    </row>
    <row r="64" ht="12.75" customHeight="1">
      <c r="A64" s="59"/>
      <c r="B64" s="59"/>
      <c r="C64" s="59"/>
      <c r="D64" s="59"/>
      <c r="E64" s="59"/>
      <c r="F64" s="59"/>
      <c r="I64" s="59"/>
      <c r="J64" s="59"/>
    </row>
    <row r="65" ht="12.75" customHeight="1">
      <c r="A65" s="59"/>
      <c r="B65" s="59"/>
      <c r="C65" s="59"/>
      <c r="D65" s="59"/>
      <c r="E65" s="59"/>
      <c r="F65" s="59"/>
      <c r="I65" s="59"/>
      <c r="J65" s="59"/>
    </row>
    <row r="66" ht="12.75" customHeight="1">
      <c r="A66" s="59"/>
      <c r="B66" s="59"/>
      <c r="C66" s="59"/>
      <c r="D66" s="59"/>
      <c r="E66" s="59"/>
      <c r="F66" s="59"/>
      <c r="I66" s="59"/>
      <c r="J66" s="59"/>
    </row>
    <row r="67" ht="12.75" customHeight="1">
      <c r="A67" s="59"/>
      <c r="B67" s="59"/>
      <c r="C67" s="59"/>
      <c r="D67" s="59"/>
      <c r="E67" s="59"/>
      <c r="F67" s="59"/>
      <c r="I67" s="59"/>
      <c r="J67" s="59"/>
    </row>
    <row r="68" ht="12.75" customHeight="1">
      <c r="A68" s="59"/>
      <c r="B68" s="59"/>
      <c r="C68" s="59"/>
      <c r="D68" s="59"/>
      <c r="E68" s="59"/>
      <c r="F68" s="59"/>
      <c r="I68" s="59"/>
      <c r="J68" s="59"/>
    </row>
    <row r="69" ht="12.75" customHeight="1">
      <c r="A69" s="59"/>
      <c r="B69" s="59"/>
      <c r="C69" s="59"/>
      <c r="D69" s="59"/>
      <c r="E69" s="59"/>
      <c r="F69" s="59"/>
      <c r="I69" s="59"/>
      <c r="J69" s="59"/>
    </row>
    <row r="70" ht="12.75" customHeight="1">
      <c r="A70" s="59"/>
      <c r="B70" s="59"/>
      <c r="C70" s="59"/>
      <c r="D70" s="59"/>
      <c r="E70" s="59"/>
      <c r="F70" s="59"/>
      <c r="I70" s="59"/>
      <c r="J70" s="59"/>
    </row>
    <row r="71" ht="12.75" customHeight="1">
      <c r="A71" s="59"/>
      <c r="B71" s="59"/>
      <c r="C71" s="59"/>
      <c r="D71" s="59"/>
      <c r="E71" s="59"/>
      <c r="F71" s="59"/>
      <c r="I71" s="59"/>
      <c r="J71" s="59"/>
    </row>
    <row r="72" ht="12.75" customHeight="1">
      <c r="A72" s="59"/>
      <c r="B72" s="59"/>
      <c r="C72" s="59"/>
      <c r="D72" s="59"/>
      <c r="E72" s="59"/>
      <c r="F72" s="59"/>
      <c r="I72" s="59"/>
      <c r="J72" s="59"/>
    </row>
    <row r="73" ht="12.75" customHeight="1">
      <c r="A73" s="59"/>
      <c r="B73" s="59"/>
      <c r="C73" s="59"/>
      <c r="D73" s="59"/>
      <c r="E73" s="59"/>
      <c r="F73" s="59"/>
      <c r="I73" s="59"/>
      <c r="J73" s="59"/>
    </row>
    <row r="74" ht="12.75" customHeight="1">
      <c r="A74" s="59"/>
      <c r="B74" s="59"/>
      <c r="C74" s="59"/>
      <c r="D74" s="59"/>
      <c r="E74" s="59"/>
      <c r="F74" s="59"/>
      <c r="I74" s="59"/>
      <c r="J74" s="59"/>
    </row>
    <row r="75" ht="12.75" customHeight="1">
      <c r="A75" s="59"/>
      <c r="B75" s="59"/>
      <c r="C75" s="59"/>
      <c r="D75" s="59"/>
      <c r="E75" s="59"/>
      <c r="F75" s="59"/>
      <c r="I75" s="59"/>
      <c r="J75" s="59"/>
    </row>
    <row r="76" ht="12.75" customHeight="1">
      <c r="A76" s="59"/>
      <c r="B76" s="59"/>
      <c r="C76" s="59"/>
      <c r="D76" s="59"/>
      <c r="E76" s="59"/>
      <c r="F76" s="59"/>
      <c r="I76" s="59"/>
      <c r="J76" s="59"/>
    </row>
    <row r="77" ht="12.75" customHeight="1">
      <c r="A77" s="59"/>
      <c r="B77" s="59"/>
      <c r="C77" s="59"/>
      <c r="D77" s="59"/>
      <c r="E77" s="59"/>
      <c r="F77" s="59"/>
      <c r="I77" s="59"/>
      <c r="J77" s="59"/>
    </row>
    <row r="78" ht="12.75" customHeight="1">
      <c r="A78" s="59"/>
      <c r="B78" s="59"/>
      <c r="C78" s="59"/>
      <c r="D78" s="59"/>
      <c r="E78" s="59"/>
      <c r="F78" s="59"/>
      <c r="I78" s="59"/>
      <c r="J78" s="59"/>
    </row>
    <row r="79" ht="12.75" customHeight="1">
      <c r="A79" s="59"/>
      <c r="B79" s="59"/>
      <c r="C79" s="59"/>
      <c r="D79" s="59"/>
      <c r="E79" s="59"/>
      <c r="F79" s="59"/>
      <c r="I79" s="59"/>
      <c r="J79" s="59"/>
    </row>
    <row r="80" ht="12.75" customHeight="1">
      <c r="A80" s="59"/>
      <c r="B80" s="59"/>
      <c r="C80" s="59"/>
      <c r="D80" s="59"/>
      <c r="E80" s="59"/>
      <c r="F80" s="59"/>
      <c r="I80" s="59"/>
      <c r="J80" s="59"/>
    </row>
    <row r="81" ht="12.75" customHeight="1">
      <c r="A81" s="59"/>
      <c r="B81" s="59"/>
      <c r="C81" s="59"/>
      <c r="D81" s="59"/>
      <c r="E81" s="59"/>
      <c r="F81" s="59"/>
      <c r="I81" s="59"/>
      <c r="J81" s="59"/>
    </row>
    <row r="82" ht="12.75" customHeight="1">
      <c r="A82" s="59"/>
      <c r="B82" s="59"/>
      <c r="C82" s="59"/>
      <c r="D82" s="59"/>
      <c r="E82" s="59"/>
      <c r="F82" s="59"/>
      <c r="I82" s="59"/>
      <c r="J82" s="59"/>
    </row>
    <row r="83" ht="12.75" customHeight="1">
      <c r="A83" s="59"/>
      <c r="B83" s="59"/>
      <c r="C83" s="59"/>
      <c r="D83" s="59"/>
      <c r="E83" s="59"/>
      <c r="F83" s="59"/>
      <c r="I83" s="59"/>
      <c r="J83" s="59"/>
    </row>
    <row r="84" ht="12.75" customHeight="1">
      <c r="A84" s="59"/>
      <c r="B84" s="59"/>
      <c r="C84" s="59"/>
      <c r="D84" s="59"/>
      <c r="E84" s="59"/>
      <c r="F84" s="59"/>
      <c r="I84" s="59"/>
      <c r="J84" s="59"/>
    </row>
    <row r="85" ht="12.75" customHeight="1">
      <c r="A85" s="59"/>
      <c r="B85" s="59"/>
      <c r="C85" s="59"/>
      <c r="D85" s="59"/>
      <c r="E85" s="59"/>
      <c r="F85" s="59"/>
      <c r="I85" s="59"/>
      <c r="J85" s="59"/>
    </row>
    <row r="86" ht="12.75" customHeight="1">
      <c r="A86" s="59"/>
      <c r="B86" s="59"/>
      <c r="C86" s="59"/>
      <c r="D86" s="59"/>
      <c r="E86" s="59"/>
      <c r="F86" s="59"/>
      <c r="I86" s="59"/>
      <c r="J86" s="59"/>
    </row>
    <row r="87" ht="12.75" customHeight="1">
      <c r="A87" s="59"/>
      <c r="B87" s="59"/>
      <c r="C87" s="59"/>
      <c r="D87" s="59"/>
      <c r="E87" s="59"/>
      <c r="F87" s="59"/>
      <c r="I87" s="59"/>
      <c r="J87" s="59"/>
    </row>
    <row r="88" ht="12.75" customHeight="1">
      <c r="A88" s="59"/>
      <c r="B88" s="59"/>
      <c r="C88" s="59"/>
      <c r="D88" s="59"/>
      <c r="E88" s="59"/>
      <c r="F88" s="59"/>
      <c r="I88" s="59"/>
      <c r="J88" s="59"/>
    </row>
    <row r="89" ht="12.75" customHeight="1">
      <c r="A89" s="59"/>
      <c r="B89" s="59"/>
      <c r="C89" s="59"/>
      <c r="D89" s="59"/>
      <c r="E89" s="59"/>
      <c r="F89" s="59"/>
      <c r="I89" s="59"/>
      <c r="J89" s="59"/>
    </row>
    <row r="90" ht="12.75" customHeight="1">
      <c r="A90" s="59"/>
      <c r="B90" s="59"/>
      <c r="C90" s="59"/>
      <c r="D90" s="59"/>
      <c r="E90" s="59"/>
      <c r="F90" s="59"/>
      <c r="I90" s="59"/>
      <c r="J90" s="59"/>
    </row>
    <row r="91" ht="12.75" customHeight="1">
      <c r="A91" s="59"/>
      <c r="B91" s="59"/>
      <c r="C91" s="59"/>
      <c r="D91" s="59"/>
      <c r="E91" s="59"/>
      <c r="F91" s="59"/>
      <c r="I91" s="59"/>
      <c r="J91" s="59"/>
    </row>
    <row r="92" ht="12.75" customHeight="1">
      <c r="A92" s="59"/>
      <c r="B92" s="59"/>
      <c r="C92" s="59"/>
      <c r="D92" s="59"/>
      <c r="E92" s="59"/>
      <c r="F92" s="59"/>
      <c r="I92" s="59"/>
      <c r="J92" s="59"/>
    </row>
    <row r="93" ht="12.75" customHeight="1">
      <c r="A93" s="59"/>
      <c r="B93" s="59"/>
      <c r="C93" s="59"/>
      <c r="D93" s="59"/>
      <c r="E93" s="59"/>
      <c r="F93" s="59"/>
      <c r="I93" s="59"/>
      <c r="J93" s="59"/>
    </row>
    <row r="94" ht="12.75" customHeight="1">
      <c r="A94" s="59"/>
      <c r="B94" s="59"/>
      <c r="C94" s="59"/>
      <c r="D94" s="59"/>
      <c r="E94" s="59"/>
      <c r="F94" s="59"/>
      <c r="I94" s="59"/>
      <c r="J94" s="59"/>
    </row>
    <row r="95" ht="12.75" customHeight="1">
      <c r="A95" s="59"/>
      <c r="B95" s="59"/>
      <c r="C95" s="59"/>
      <c r="D95" s="59"/>
      <c r="E95" s="59"/>
      <c r="F95" s="59"/>
      <c r="I95" s="59"/>
      <c r="J95" s="59"/>
    </row>
    <row r="96" ht="12.75" customHeight="1">
      <c r="A96" s="59"/>
      <c r="B96" s="59"/>
      <c r="C96" s="59"/>
      <c r="D96" s="59"/>
      <c r="E96" s="59"/>
      <c r="F96" s="59"/>
      <c r="I96" s="59"/>
      <c r="J96" s="59"/>
    </row>
    <row r="97" ht="12.75" customHeight="1">
      <c r="A97" s="59"/>
      <c r="B97" s="59"/>
      <c r="C97" s="59"/>
      <c r="D97" s="59"/>
      <c r="E97" s="59"/>
      <c r="F97" s="59"/>
      <c r="I97" s="59"/>
      <c r="J97" s="59"/>
    </row>
    <row r="98" ht="12.75" customHeight="1">
      <c r="A98" s="59"/>
      <c r="B98" s="59"/>
      <c r="C98" s="59"/>
      <c r="D98" s="59"/>
      <c r="E98" s="59"/>
      <c r="F98" s="59"/>
      <c r="I98" s="59"/>
      <c r="J98" s="59"/>
    </row>
    <row r="99" ht="12.75" customHeight="1">
      <c r="A99" s="59"/>
      <c r="B99" s="59"/>
      <c r="C99" s="59"/>
      <c r="D99" s="59"/>
      <c r="E99" s="59"/>
      <c r="F99" s="59"/>
      <c r="I99" s="59"/>
      <c r="J99" s="59"/>
    </row>
    <row r="100" ht="12.75" customHeight="1">
      <c r="A100" s="59"/>
      <c r="B100" s="59"/>
      <c r="C100" s="59"/>
      <c r="D100" s="59"/>
      <c r="E100" s="59"/>
      <c r="F100" s="59"/>
      <c r="I100" s="59"/>
      <c r="J100" s="59"/>
    </row>
    <row r="101" ht="12.75" customHeight="1">
      <c r="A101" s="59"/>
      <c r="B101" s="59"/>
      <c r="C101" s="59"/>
      <c r="D101" s="59"/>
      <c r="E101" s="59"/>
      <c r="F101" s="59"/>
      <c r="I101" s="59"/>
      <c r="J101" s="59"/>
    </row>
    <row r="102" ht="12.75" customHeight="1">
      <c r="A102" s="59"/>
      <c r="B102" s="59"/>
      <c r="C102" s="59"/>
      <c r="D102" s="59"/>
      <c r="E102" s="59"/>
      <c r="F102" s="59"/>
      <c r="I102" s="59"/>
      <c r="J102" s="59"/>
    </row>
    <row r="103" ht="12.75" customHeight="1">
      <c r="A103" s="59"/>
      <c r="B103" s="59"/>
      <c r="C103" s="59"/>
      <c r="D103" s="59"/>
      <c r="E103" s="59"/>
      <c r="F103" s="59"/>
      <c r="I103" s="59"/>
      <c r="J103" s="59"/>
    </row>
    <row r="104" ht="12.75" customHeight="1">
      <c r="A104" s="59"/>
      <c r="B104" s="59"/>
      <c r="C104" s="59"/>
      <c r="D104" s="59"/>
      <c r="E104" s="59"/>
      <c r="F104" s="59"/>
      <c r="I104" s="59"/>
      <c r="J104" s="59"/>
    </row>
    <row r="105" ht="12.75" customHeight="1">
      <c r="A105" s="59"/>
      <c r="B105" s="59"/>
      <c r="C105" s="59"/>
      <c r="D105" s="59"/>
      <c r="E105" s="59"/>
      <c r="F105" s="59"/>
      <c r="I105" s="59"/>
      <c r="J105" s="59"/>
    </row>
    <row r="106" ht="12.75" customHeight="1">
      <c r="A106" s="59"/>
      <c r="B106" s="59"/>
      <c r="C106" s="59"/>
      <c r="D106" s="59"/>
      <c r="E106" s="59"/>
      <c r="F106" s="59"/>
      <c r="I106" s="59"/>
      <c r="J106" s="59"/>
    </row>
    <row r="107" ht="12.75" customHeight="1">
      <c r="A107" s="59"/>
      <c r="B107" s="59"/>
      <c r="C107" s="59"/>
      <c r="D107" s="59"/>
      <c r="E107" s="59"/>
      <c r="F107" s="59"/>
      <c r="I107" s="59"/>
      <c r="J107" s="59"/>
    </row>
    <row r="108" ht="12.75" customHeight="1">
      <c r="A108" s="59"/>
      <c r="B108" s="59"/>
      <c r="C108" s="59"/>
      <c r="D108" s="59"/>
      <c r="E108" s="59"/>
      <c r="F108" s="59"/>
      <c r="I108" s="59"/>
      <c r="J108" s="59"/>
    </row>
    <row r="109" ht="12.75" customHeight="1">
      <c r="A109" s="59"/>
      <c r="B109" s="59"/>
      <c r="C109" s="59"/>
      <c r="D109" s="59"/>
      <c r="E109" s="59"/>
      <c r="F109" s="59"/>
      <c r="I109" s="59"/>
      <c r="J109" s="59"/>
    </row>
    <row r="110" ht="12.75" customHeight="1">
      <c r="A110" s="59"/>
      <c r="B110" s="59"/>
      <c r="C110" s="59"/>
      <c r="D110" s="59"/>
      <c r="E110" s="59"/>
      <c r="F110" s="59"/>
      <c r="I110" s="59"/>
      <c r="J110" s="59"/>
    </row>
    <row r="111" ht="12.75" customHeight="1">
      <c r="A111" s="59"/>
      <c r="B111" s="59"/>
      <c r="C111" s="59"/>
      <c r="D111" s="59"/>
      <c r="E111" s="59"/>
      <c r="F111" s="59"/>
      <c r="I111" s="59"/>
      <c r="J111" s="59"/>
    </row>
    <row r="112" ht="12.75" customHeight="1">
      <c r="A112" s="59"/>
      <c r="B112" s="59"/>
      <c r="C112" s="59"/>
      <c r="D112" s="59"/>
      <c r="E112" s="59"/>
      <c r="F112" s="59"/>
      <c r="I112" s="59"/>
      <c r="J112" s="59"/>
    </row>
    <row r="113" ht="12.75" customHeight="1">
      <c r="A113" s="59"/>
      <c r="B113" s="59"/>
      <c r="C113" s="59"/>
      <c r="D113" s="59"/>
      <c r="E113" s="59"/>
      <c r="F113" s="59"/>
      <c r="I113" s="59"/>
      <c r="J113" s="59"/>
    </row>
    <row r="114" ht="12.75" customHeight="1">
      <c r="A114" s="59"/>
      <c r="B114" s="59"/>
      <c r="C114" s="59"/>
      <c r="D114" s="59"/>
      <c r="E114" s="59"/>
      <c r="F114" s="59"/>
      <c r="I114" s="59"/>
      <c r="J114" s="59"/>
    </row>
    <row r="115" ht="12.75" customHeight="1">
      <c r="A115" s="59"/>
      <c r="B115" s="59"/>
      <c r="C115" s="59"/>
      <c r="D115" s="59"/>
      <c r="E115" s="59"/>
      <c r="F115" s="59"/>
      <c r="I115" s="59"/>
      <c r="J115" s="59"/>
    </row>
    <row r="116" ht="12.75" customHeight="1">
      <c r="A116" s="59"/>
      <c r="B116" s="59"/>
      <c r="C116" s="59"/>
      <c r="D116" s="59"/>
      <c r="E116" s="59"/>
      <c r="F116" s="59"/>
      <c r="I116" s="59"/>
      <c r="J116" s="59"/>
    </row>
    <row r="117" ht="12.75" customHeight="1">
      <c r="A117" s="59"/>
      <c r="B117" s="59"/>
      <c r="C117" s="59"/>
      <c r="D117" s="59"/>
      <c r="E117" s="59"/>
      <c r="F117" s="59"/>
      <c r="I117" s="59"/>
      <c r="J117" s="59"/>
    </row>
    <row r="118" ht="12.75" customHeight="1">
      <c r="A118" s="59"/>
      <c r="B118" s="59"/>
      <c r="C118" s="59"/>
      <c r="D118" s="59"/>
      <c r="E118" s="59"/>
      <c r="F118" s="59"/>
      <c r="I118" s="59"/>
      <c r="J118" s="59"/>
    </row>
    <row r="119" ht="12.75" customHeight="1">
      <c r="A119" s="59"/>
      <c r="B119" s="59"/>
      <c r="C119" s="59"/>
      <c r="D119" s="59"/>
      <c r="E119" s="59"/>
      <c r="F119" s="59"/>
      <c r="I119" s="59"/>
      <c r="J119" s="59"/>
    </row>
    <row r="120" ht="12.75" customHeight="1">
      <c r="A120" s="59"/>
      <c r="B120" s="59"/>
      <c r="C120" s="59"/>
      <c r="D120" s="59"/>
      <c r="E120" s="59"/>
      <c r="F120" s="59"/>
      <c r="I120" s="59"/>
      <c r="J120" s="59"/>
    </row>
    <row r="121" ht="12.75" customHeight="1">
      <c r="A121" s="59"/>
      <c r="B121" s="59"/>
      <c r="C121" s="59"/>
      <c r="D121" s="59"/>
      <c r="E121" s="59"/>
      <c r="F121" s="59"/>
      <c r="I121" s="59"/>
      <c r="J121" s="59"/>
    </row>
    <row r="122" ht="12.75" customHeight="1">
      <c r="A122" s="59"/>
      <c r="B122" s="59"/>
      <c r="C122" s="59"/>
      <c r="D122" s="59"/>
      <c r="E122" s="59"/>
      <c r="F122" s="59"/>
      <c r="I122" s="59"/>
      <c r="J122" s="59"/>
    </row>
    <row r="123" ht="12.75" customHeight="1">
      <c r="A123" s="59"/>
      <c r="B123" s="59"/>
      <c r="C123" s="59"/>
      <c r="D123" s="59"/>
      <c r="E123" s="59"/>
      <c r="F123" s="59"/>
      <c r="I123" s="59"/>
      <c r="J123" s="59"/>
    </row>
    <row r="124" ht="12.75" customHeight="1">
      <c r="A124" s="59"/>
      <c r="B124" s="59"/>
      <c r="C124" s="59"/>
      <c r="D124" s="59"/>
      <c r="E124" s="59"/>
      <c r="F124" s="59"/>
      <c r="I124" s="59"/>
      <c r="J124" s="59"/>
    </row>
    <row r="125" ht="12.75" customHeight="1">
      <c r="A125" s="59"/>
      <c r="B125" s="59"/>
      <c r="C125" s="59"/>
      <c r="D125" s="59"/>
      <c r="E125" s="59"/>
      <c r="F125" s="59"/>
      <c r="I125" s="59"/>
      <c r="J125" s="59"/>
    </row>
    <row r="126" ht="12.75" customHeight="1">
      <c r="A126" s="59"/>
      <c r="B126" s="59"/>
      <c r="C126" s="59"/>
      <c r="D126" s="59"/>
      <c r="E126" s="59"/>
      <c r="F126" s="59"/>
      <c r="I126" s="59"/>
      <c r="J126" s="59"/>
    </row>
    <row r="127" ht="12.75" customHeight="1">
      <c r="A127" s="59"/>
      <c r="B127" s="59"/>
      <c r="C127" s="59"/>
      <c r="D127" s="59"/>
      <c r="E127" s="59"/>
      <c r="F127" s="59"/>
      <c r="I127" s="59"/>
      <c r="J127" s="59"/>
    </row>
    <row r="128" ht="12.75" customHeight="1">
      <c r="A128" s="59"/>
      <c r="B128" s="59"/>
      <c r="C128" s="59"/>
      <c r="D128" s="59"/>
      <c r="E128" s="59"/>
      <c r="F128" s="59"/>
      <c r="I128" s="59"/>
      <c r="J128" s="59"/>
    </row>
    <row r="129" ht="12.75" customHeight="1">
      <c r="A129" s="59"/>
      <c r="B129" s="59"/>
      <c r="C129" s="59"/>
      <c r="D129" s="59"/>
      <c r="E129" s="59"/>
      <c r="F129" s="59"/>
      <c r="I129" s="59"/>
      <c r="J129" s="59"/>
    </row>
    <row r="130" ht="12.75" customHeight="1">
      <c r="A130" s="59"/>
      <c r="B130" s="59"/>
      <c r="C130" s="59"/>
      <c r="D130" s="59"/>
      <c r="E130" s="59"/>
      <c r="F130" s="59"/>
      <c r="I130" s="59"/>
      <c r="J130" s="59"/>
    </row>
    <row r="131" ht="12.75" customHeight="1">
      <c r="A131" s="59"/>
      <c r="B131" s="59"/>
      <c r="C131" s="59"/>
      <c r="D131" s="59"/>
      <c r="E131" s="59"/>
      <c r="F131" s="59"/>
      <c r="I131" s="59"/>
      <c r="J131" s="59"/>
    </row>
    <row r="132" ht="12.75" customHeight="1">
      <c r="A132" s="59"/>
      <c r="B132" s="59"/>
      <c r="C132" s="59"/>
      <c r="D132" s="59"/>
      <c r="E132" s="59"/>
      <c r="F132" s="59"/>
      <c r="I132" s="59"/>
      <c r="J132" s="59"/>
    </row>
    <row r="133" ht="12.75" customHeight="1">
      <c r="A133" s="59"/>
      <c r="B133" s="59"/>
      <c r="C133" s="59"/>
      <c r="D133" s="59"/>
      <c r="E133" s="59"/>
      <c r="F133" s="59"/>
      <c r="I133" s="59"/>
      <c r="J133" s="59"/>
    </row>
    <row r="134" ht="12.75" customHeight="1">
      <c r="A134" s="59"/>
      <c r="B134" s="59"/>
      <c r="C134" s="59"/>
      <c r="D134" s="59"/>
      <c r="E134" s="59"/>
      <c r="F134" s="59"/>
      <c r="I134" s="59"/>
      <c r="J134" s="59"/>
    </row>
    <row r="135" ht="12.75" customHeight="1">
      <c r="A135" s="59"/>
      <c r="B135" s="59"/>
      <c r="C135" s="59"/>
      <c r="D135" s="59"/>
      <c r="E135" s="59"/>
      <c r="F135" s="59"/>
      <c r="I135" s="59"/>
      <c r="J135" s="59"/>
    </row>
    <row r="136" ht="12.75" customHeight="1">
      <c r="A136" s="59"/>
      <c r="B136" s="59"/>
      <c r="C136" s="59"/>
      <c r="D136" s="59"/>
      <c r="E136" s="59"/>
      <c r="F136" s="59"/>
      <c r="I136" s="59"/>
      <c r="J136" s="59"/>
    </row>
    <row r="137" ht="12.75" customHeight="1">
      <c r="A137" s="59"/>
      <c r="B137" s="59"/>
      <c r="C137" s="59"/>
      <c r="D137" s="59"/>
      <c r="E137" s="59"/>
      <c r="F137" s="59"/>
      <c r="I137" s="59"/>
      <c r="J137" s="59"/>
    </row>
    <row r="138" ht="12.75" customHeight="1">
      <c r="A138" s="59"/>
      <c r="B138" s="59"/>
      <c r="C138" s="59"/>
      <c r="D138" s="59"/>
      <c r="E138" s="59"/>
      <c r="F138" s="59"/>
      <c r="I138" s="59"/>
      <c r="J138" s="59"/>
    </row>
    <row r="139" ht="12.75" customHeight="1">
      <c r="A139" s="59"/>
      <c r="B139" s="59"/>
      <c r="C139" s="59"/>
      <c r="D139" s="59"/>
      <c r="E139" s="59"/>
      <c r="F139" s="59"/>
      <c r="I139" s="59"/>
      <c r="J139" s="59"/>
    </row>
    <row r="140" ht="12.75" customHeight="1">
      <c r="A140" s="59"/>
      <c r="B140" s="59"/>
      <c r="C140" s="59"/>
      <c r="D140" s="59"/>
      <c r="E140" s="59"/>
      <c r="F140" s="59"/>
      <c r="I140" s="59"/>
      <c r="J140" s="59"/>
    </row>
    <row r="141" ht="12.75" customHeight="1">
      <c r="A141" s="59"/>
      <c r="B141" s="59"/>
      <c r="C141" s="59"/>
      <c r="D141" s="59"/>
      <c r="E141" s="59"/>
      <c r="F141" s="59"/>
      <c r="I141" s="59"/>
      <c r="J141" s="59"/>
    </row>
    <row r="142" ht="12.75" customHeight="1">
      <c r="A142" s="59"/>
      <c r="B142" s="59"/>
      <c r="C142" s="59"/>
      <c r="D142" s="59"/>
      <c r="E142" s="59"/>
      <c r="F142" s="59"/>
      <c r="I142" s="59"/>
      <c r="J142" s="59"/>
    </row>
    <row r="143" ht="12.75" customHeight="1">
      <c r="A143" s="59"/>
      <c r="B143" s="59"/>
      <c r="C143" s="59"/>
      <c r="D143" s="59"/>
      <c r="E143" s="59"/>
      <c r="F143" s="59"/>
      <c r="I143" s="59"/>
      <c r="J143" s="59"/>
    </row>
    <row r="144" ht="12.75" customHeight="1">
      <c r="A144" s="59"/>
      <c r="B144" s="59"/>
      <c r="C144" s="59"/>
      <c r="D144" s="59"/>
      <c r="E144" s="59"/>
      <c r="F144" s="59"/>
      <c r="I144" s="59"/>
      <c r="J144" s="59"/>
    </row>
    <row r="145" ht="12.75" customHeight="1">
      <c r="A145" s="59"/>
      <c r="B145" s="59"/>
      <c r="C145" s="59"/>
      <c r="D145" s="59"/>
      <c r="E145" s="59"/>
      <c r="F145" s="59"/>
      <c r="I145" s="59"/>
      <c r="J145" s="59"/>
    </row>
    <row r="146" ht="12.75" customHeight="1">
      <c r="A146" s="59"/>
      <c r="B146" s="59"/>
      <c r="C146" s="59"/>
      <c r="D146" s="59"/>
      <c r="E146" s="59"/>
      <c r="F146" s="59"/>
      <c r="I146" s="59"/>
      <c r="J146" s="59"/>
    </row>
    <row r="147" ht="12.75" customHeight="1">
      <c r="A147" s="59"/>
      <c r="B147" s="59"/>
      <c r="C147" s="59"/>
      <c r="D147" s="59"/>
      <c r="E147" s="59"/>
      <c r="F147" s="59"/>
      <c r="I147" s="59"/>
      <c r="J147" s="59"/>
    </row>
    <row r="148" ht="12.75" customHeight="1">
      <c r="A148" s="59"/>
      <c r="B148" s="59"/>
      <c r="C148" s="59"/>
      <c r="D148" s="59"/>
      <c r="E148" s="59"/>
      <c r="F148" s="59"/>
      <c r="I148" s="59"/>
      <c r="J148" s="59"/>
    </row>
    <row r="149" ht="12.75" customHeight="1">
      <c r="A149" s="59"/>
      <c r="B149" s="59"/>
      <c r="C149" s="59"/>
      <c r="D149" s="59"/>
      <c r="E149" s="59"/>
      <c r="F149" s="59"/>
      <c r="I149" s="59"/>
      <c r="J149" s="59"/>
    </row>
    <row r="150" ht="12.75" customHeight="1">
      <c r="A150" s="59"/>
      <c r="B150" s="59"/>
      <c r="C150" s="59"/>
      <c r="D150" s="59"/>
      <c r="E150" s="59"/>
      <c r="F150" s="59"/>
      <c r="I150" s="59"/>
      <c r="J150" s="59"/>
    </row>
    <row r="151" ht="12.75" customHeight="1">
      <c r="A151" s="59"/>
      <c r="B151" s="59"/>
      <c r="C151" s="59"/>
      <c r="D151" s="59"/>
      <c r="E151" s="59"/>
      <c r="F151" s="59"/>
      <c r="I151" s="59"/>
      <c r="J151" s="59"/>
    </row>
    <row r="152" ht="12.75" customHeight="1">
      <c r="A152" s="59"/>
      <c r="B152" s="59"/>
      <c r="C152" s="59"/>
      <c r="D152" s="59"/>
      <c r="E152" s="59"/>
      <c r="F152" s="59"/>
      <c r="I152" s="59"/>
      <c r="J152" s="59"/>
    </row>
    <row r="153" ht="12.75" customHeight="1">
      <c r="A153" s="59"/>
      <c r="B153" s="59"/>
      <c r="C153" s="59"/>
      <c r="D153" s="59"/>
      <c r="E153" s="59"/>
      <c r="F153" s="59"/>
      <c r="I153" s="59"/>
      <c r="J153" s="59"/>
    </row>
    <row r="154" ht="12.75" customHeight="1">
      <c r="A154" s="59"/>
      <c r="B154" s="59"/>
      <c r="C154" s="59"/>
      <c r="D154" s="59"/>
      <c r="E154" s="59"/>
      <c r="F154" s="59"/>
      <c r="I154" s="59"/>
      <c r="J154" s="59"/>
    </row>
    <row r="155" ht="12.75" customHeight="1">
      <c r="A155" s="59"/>
      <c r="B155" s="59"/>
      <c r="C155" s="59"/>
      <c r="D155" s="59"/>
      <c r="E155" s="59"/>
      <c r="F155" s="59"/>
      <c r="I155" s="59"/>
      <c r="J155" s="59"/>
    </row>
    <row r="156" ht="12.75" customHeight="1">
      <c r="A156" s="59"/>
      <c r="B156" s="59"/>
      <c r="C156" s="59"/>
      <c r="D156" s="59"/>
      <c r="E156" s="59"/>
      <c r="F156" s="59"/>
      <c r="I156" s="59"/>
      <c r="J156" s="59"/>
    </row>
    <row r="157" ht="12.75" customHeight="1">
      <c r="A157" s="59"/>
      <c r="B157" s="59"/>
      <c r="C157" s="59"/>
      <c r="D157" s="59"/>
      <c r="E157" s="59"/>
      <c r="F157" s="59"/>
      <c r="I157" s="59"/>
      <c r="J157" s="59"/>
    </row>
    <row r="158" ht="12.75" customHeight="1">
      <c r="A158" s="59"/>
      <c r="B158" s="59"/>
      <c r="C158" s="59"/>
      <c r="D158" s="59"/>
      <c r="E158" s="59"/>
      <c r="F158" s="59"/>
      <c r="I158" s="59"/>
      <c r="J158" s="59"/>
    </row>
    <row r="159" ht="12.75" customHeight="1">
      <c r="A159" s="59"/>
      <c r="B159" s="59"/>
      <c r="C159" s="59"/>
      <c r="D159" s="59"/>
      <c r="E159" s="59"/>
      <c r="F159" s="59"/>
      <c r="I159" s="59"/>
      <c r="J159" s="59"/>
    </row>
    <row r="160" ht="12.75" customHeight="1">
      <c r="A160" s="59"/>
      <c r="B160" s="59"/>
      <c r="C160" s="59"/>
      <c r="D160" s="59"/>
      <c r="E160" s="59"/>
      <c r="F160" s="59"/>
      <c r="I160" s="59"/>
      <c r="J160" s="59"/>
    </row>
    <row r="161" ht="12.75" customHeight="1">
      <c r="A161" s="59"/>
      <c r="B161" s="59"/>
      <c r="C161" s="59"/>
      <c r="D161" s="59"/>
      <c r="E161" s="59"/>
      <c r="F161" s="59"/>
      <c r="I161" s="59"/>
      <c r="J161" s="59"/>
    </row>
    <row r="162" ht="12.75" customHeight="1">
      <c r="A162" s="59"/>
      <c r="B162" s="59"/>
      <c r="C162" s="59"/>
      <c r="D162" s="59"/>
      <c r="E162" s="59"/>
      <c r="F162" s="59"/>
      <c r="I162" s="59"/>
      <c r="J162" s="59"/>
    </row>
    <row r="163" ht="12.75" customHeight="1">
      <c r="A163" s="59"/>
      <c r="B163" s="59"/>
      <c r="C163" s="59"/>
      <c r="D163" s="59"/>
      <c r="E163" s="59"/>
      <c r="F163" s="59"/>
      <c r="I163" s="59"/>
      <c r="J163" s="59"/>
    </row>
    <row r="164" ht="12.75" customHeight="1">
      <c r="A164" s="59"/>
      <c r="B164" s="59"/>
      <c r="C164" s="59"/>
      <c r="D164" s="59"/>
      <c r="E164" s="59"/>
      <c r="F164" s="59"/>
      <c r="I164" s="59"/>
      <c r="J164" s="59"/>
    </row>
    <row r="165" ht="12.75" customHeight="1">
      <c r="A165" s="59"/>
      <c r="B165" s="59"/>
      <c r="C165" s="59"/>
      <c r="D165" s="59"/>
      <c r="E165" s="59"/>
      <c r="F165" s="59"/>
      <c r="I165" s="59"/>
      <c r="J165" s="59"/>
    </row>
    <row r="166" ht="12.75" customHeight="1">
      <c r="A166" s="59"/>
      <c r="B166" s="59"/>
      <c r="C166" s="59"/>
      <c r="D166" s="59"/>
      <c r="E166" s="59"/>
      <c r="F166" s="59"/>
      <c r="I166" s="59"/>
      <c r="J166" s="59"/>
    </row>
    <row r="167" ht="12.75" customHeight="1">
      <c r="A167" s="59"/>
      <c r="B167" s="59"/>
      <c r="C167" s="59"/>
      <c r="D167" s="59"/>
      <c r="E167" s="59"/>
      <c r="F167" s="59"/>
      <c r="I167" s="59"/>
      <c r="J167" s="59"/>
    </row>
    <row r="168" ht="12.75" customHeight="1">
      <c r="A168" s="59"/>
      <c r="B168" s="59"/>
      <c r="C168" s="59"/>
      <c r="D168" s="59"/>
      <c r="E168" s="59"/>
      <c r="F168" s="59"/>
      <c r="I168" s="59"/>
      <c r="J168" s="59"/>
    </row>
    <row r="169" ht="12.75" customHeight="1">
      <c r="A169" s="59"/>
      <c r="B169" s="59"/>
      <c r="C169" s="59"/>
      <c r="D169" s="59"/>
      <c r="E169" s="59"/>
      <c r="F169" s="59"/>
      <c r="I169" s="59"/>
      <c r="J169" s="59"/>
    </row>
    <row r="170" ht="12.75" customHeight="1">
      <c r="A170" s="59"/>
      <c r="B170" s="59"/>
      <c r="C170" s="59"/>
      <c r="D170" s="59"/>
      <c r="E170" s="59"/>
      <c r="F170" s="59"/>
      <c r="I170" s="59"/>
      <c r="J170" s="59"/>
    </row>
    <row r="171" ht="12.75" customHeight="1">
      <c r="A171" s="59"/>
      <c r="B171" s="59"/>
      <c r="C171" s="59"/>
      <c r="D171" s="59"/>
      <c r="E171" s="59"/>
      <c r="F171" s="59"/>
      <c r="I171" s="59"/>
      <c r="J171" s="59"/>
    </row>
    <row r="172" ht="12.75" customHeight="1">
      <c r="A172" s="59"/>
      <c r="B172" s="59"/>
      <c r="C172" s="59"/>
      <c r="D172" s="59"/>
      <c r="E172" s="59"/>
      <c r="F172" s="59"/>
      <c r="I172" s="59"/>
      <c r="J172" s="59"/>
    </row>
    <row r="173" ht="12.75" customHeight="1">
      <c r="A173" s="59"/>
      <c r="B173" s="59"/>
      <c r="C173" s="59"/>
      <c r="D173" s="59"/>
      <c r="E173" s="59"/>
      <c r="F173" s="59"/>
      <c r="I173" s="59"/>
      <c r="J173" s="59"/>
    </row>
    <row r="174" ht="12.75" customHeight="1">
      <c r="A174" s="59"/>
      <c r="B174" s="59"/>
      <c r="C174" s="59"/>
      <c r="D174" s="59"/>
      <c r="E174" s="59"/>
      <c r="F174" s="59"/>
      <c r="I174" s="59"/>
      <c r="J174" s="59"/>
    </row>
    <row r="175" ht="12.75" customHeight="1">
      <c r="A175" s="59"/>
      <c r="B175" s="59"/>
      <c r="C175" s="59"/>
      <c r="D175" s="59"/>
      <c r="E175" s="59"/>
      <c r="F175" s="59"/>
      <c r="I175" s="59"/>
      <c r="J175" s="59"/>
    </row>
    <row r="176" ht="12.75" customHeight="1">
      <c r="A176" s="59"/>
      <c r="B176" s="59"/>
      <c r="C176" s="59"/>
      <c r="D176" s="59"/>
      <c r="E176" s="59"/>
      <c r="F176" s="59"/>
      <c r="I176" s="59"/>
      <c r="J176" s="59"/>
    </row>
    <row r="177" ht="12.75" customHeight="1">
      <c r="A177" s="59"/>
      <c r="B177" s="59"/>
      <c r="C177" s="59"/>
      <c r="D177" s="59"/>
      <c r="E177" s="59"/>
      <c r="F177" s="59"/>
      <c r="I177" s="59"/>
      <c r="J177" s="59"/>
    </row>
    <row r="178" ht="12.75" customHeight="1">
      <c r="A178" s="59"/>
      <c r="B178" s="59"/>
      <c r="C178" s="59"/>
      <c r="D178" s="59"/>
      <c r="E178" s="59"/>
      <c r="F178" s="59"/>
      <c r="I178" s="59"/>
      <c r="J178" s="59"/>
    </row>
    <row r="179" ht="12.75" customHeight="1">
      <c r="A179" s="59"/>
      <c r="B179" s="59"/>
      <c r="C179" s="59"/>
      <c r="D179" s="59"/>
      <c r="E179" s="59"/>
      <c r="F179" s="59"/>
      <c r="I179" s="59"/>
      <c r="J179" s="59"/>
    </row>
    <row r="180" ht="12.75" customHeight="1">
      <c r="A180" s="59"/>
      <c r="B180" s="59"/>
      <c r="C180" s="59"/>
      <c r="D180" s="59"/>
      <c r="E180" s="59"/>
      <c r="F180" s="59"/>
      <c r="I180" s="59"/>
      <c r="J180" s="59"/>
    </row>
    <row r="181" ht="12.75" customHeight="1">
      <c r="A181" s="59"/>
      <c r="B181" s="59"/>
      <c r="C181" s="59"/>
      <c r="D181" s="59"/>
      <c r="E181" s="59"/>
      <c r="F181" s="59"/>
      <c r="I181" s="59"/>
      <c r="J181" s="59"/>
    </row>
    <row r="182" ht="12.75" customHeight="1">
      <c r="A182" s="59"/>
      <c r="B182" s="59"/>
      <c r="C182" s="59"/>
      <c r="D182" s="59"/>
      <c r="E182" s="59"/>
      <c r="F182" s="59"/>
      <c r="I182" s="59"/>
      <c r="J182" s="59"/>
    </row>
    <row r="183" ht="12.75" customHeight="1">
      <c r="A183" s="59"/>
      <c r="B183" s="59"/>
      <c r="C183" s="59"/>
      <c r="D183" s="59"/>
      <c r="E183" s="59"/>
      <c r="F183" s="59"/>
      <c r="I183" s="59"/>
      <c r="J183" s="59"/>
    </row>
    <row r="184" ht="12.75" customHeight="1">
      <c r="A184" s="59"/>
      <c r="B184" s="59"/>
      <c r="C184" s="59"/>
      <c r="D184" s="59"/>
      <c r="E184" s="59"/>
      <c r="F184" s="59"/>
      <c r="I184" s="59"/>
      <c r="J184" s="59"/>
    </row>
    <row r="185" ht="12.75" customHeight="1">
      <c r="A185" s="59"/>
      <c r="B185" s="59"/>
      <c r="C185" s="59"/>
      <c r="D185" s="59"/>
      <c r="E185" s="59"/>
      <c r="F185" s="59"/>
      <c r="I185" s="59"/>
      <c r="J185" s="59"/>
    </row>
    <row r="186" ht="12.75" customHeight="1">
      <c r="A186" s="59"/>
      <c r="B186" s="59"/>
      <c r="C186" s="59"/>
      <c r="D186" s="59"/>
      <c r="E186" s="59"/>
      <c r="F186" s="59"/>
      <c r="I186" s="59"/>
      <c r="J186" s="59"/>
    </row>
    <row r="187" ht="12.75" customHeight="1">
      <c r="A187" s="59"/>
      <c r="B187" s="59"/>
      <c r="C187" s="59"/>
      <c r="D187" s="59"/>
      <c r="E187" s="59"/>
      <c r="F187" s="59"/>
      <c r="I187" s="59"/>
      <c r="J187" s="59"/>
    </row>
    <row r="188" ht="12.75" customHeight="1">
      <c r="A188" s="59"/>
      <c r="B188" s="59"/>
      <c r="C188" s="59"/>
      <c r="D188" s="59"/>
      <c r="E188" s="59"/>
      <c r="F188" s="59"/>
      <c r="I188" s="59"/>
      <c r="J188" s="59"/>
    </row>
    <row r="189" ht="12.75" customHeight="1">
      <c r="A189" s="59"/>
      <c r="B189" s="59"/>
      <c r="C189" s="59"/>
      <c r="D189" s="59"/>
      <c r="E189" s="59"/>
      <c r="F189" s="59"/>
      <c r="I189" s="59"/>
      <c r="J189" s="59"/>
    </row>
    <row r="190" ht="12.75" customHeight="1">
      <c r="A190" s="59"/>
      <c r="B190" s="59"/>
      <c r="C190" s="59"/>
      <c r="D190" s="59"/>
      <c r="E190" s="59"/>
      <c r="F190" s="59"/>
      <c r="I190" s="59"/>
      <c r="J190" s="59"/>
    </row>
    <row r="191" ht="12.75" customHeight="1">
      <c r="A191" s="59"/>
      <c r="B191" s="59"/>
      <c r="C191" s="59"/>
      <c r="D191" s="59"/>
      <c r="E191" s="59"/>
      <c r="F191" s="59"/>
      <c r="I191" s="59"/>
      <c r="J191" s="59"/>
    </row>
    <row r="192" ht="12.75" customHeight="1">
      <c r="A192" s="59"/>
      <c r="B192" s="59"/>
      <c r="C192" s="59"/>
      <c r="D192" s="59"/>
      <c r="E192" s="59"/>
      <c r="F192" s="59"/>
      <c r="I192" s="59"/>
      <c r="J192" s="59"/>
    </row>
    <row r="193" ht="12.75" customHeight="1">
      <c r="A193" s="59"/>
      <c r="B193" s="59"/>
      <c r="C193" s="59"/>
      <c r="D193" s="59"/>
      <c r="E193" s="59"/>
      <c r="F193" s="59"/>
      <c r="I193" s="59"/>
      <c r="J193" s="59"/>
    </row>
    <row r="194" ht="12.75" customHeight="1">
      <c r="A194" s="59"/>
      <c r="B194" s="59"/>
      <c r="C194" s="59"/>
      <c r="D194" s="59"/>
      <c r="E194" s="59"/>
      <c r="F194" s="59"/>
      <c r="I194" s="59"/>
      <c r="J194" s="59"/>
    </row>
    <row r="195" ht="12.75" customHeight="1">
      <c r="A195" s="59"/>
      <c r="B195" s="59"/>
      <c r="C195" s="59"/>
      <c r="D195" s="59"/>
      <c r="E195" s="59"/>
      <c r="F195" s="59"/>
      <c r="I195" s="59"/>
      <c r="J195" s="59"/>
    </row>
    <row r="196" ht="12.75" customHeight="1">
      <c r="A196" s="59"/>
      <c r="B196" s="59"/>
      <c r="C196" s="59"/>
      <c r="D196" s="59"/>
      <c r="E196" s="59"/>
      <c r="F196" s="59"/>
      <c r="I196" s="59"/>
      <c r="J196" s="59"/>
    </row>
    <row r="197" ht="12.75" customHeight="1">
      <c r="A197" s="59"/>
      <c r="B197" s="59"/>
      <c r="C197" s="59"/>
      <c r="D197" s="59"/>
      <c r="E197" s="59"/>
      <c r="F197" s="59"/>
      <c r="I197" s="59"/>
      <c r="J197" s="59"/>
    </row>
    <row r="198" ht="12.75" customHeight="1">
      <c r="A198" s="59"/>
      <c r="B198" s="59"/>
      <c r="C198" s="59"/>
      <c r="D198" s="59"/>
      <c r="E198" s="59"/>
      <c r="F198" s="59"/>
      <c r="I198" s="59"/>
      <c r="J198" s="59"/>
    </row>
    <row r="199" ht="12.75" customHeight="1">
      <c r="A199" s="59"/>
      <c r="B199" s="59"/>
      <c r="C199" s="59"/>
      <c r="D199" s="59"/>
      <c r="E199" s="59"/>
      <c r="F199" s="59"/>
      <c r="I199" s="59"/>
      <c r="J199" s="59"/>
    </row>
    <row r="200" ht="12.75" customHeight="1">
      <c r="A200" s="59"/>
      <c r="B200" s="59"/>
      <c r="C200" s="59"/>
      <c r="D200" s="59"/>
      <c r="E200" s="59"/>
      <c r="F200" s="59"/>
      <c r="I200" s="59"/>
      <c r="J200" s="59"/>
    </row>
    <row r="201" ht="12.75" customHeight="1">
      <c r="A201" s="59"/>
      <c r="B201" s="59"/>
      <c r="C201" s="59"/>
      <c r="D201" s="59"/>
      <c r="E201" s="59"/>
      <c r="F201" s="59"/>
      <c r="I201" s="59"/>
      <c r="J201" s="59"/>
    </row>
    <row r="202" ht="12.75" customHeight="1">
      <c r="A202" s="59"/>
      <c r="B202" s="59"/>
      <c r="C202" s="59"/>
      <c r="D202" s="59"/>
      <c r="E202" s="59"/>
      <c r="F202" s="59"/>
      <c r="I202" s="59"/>
      <c r="J202" s="59"/>
    </row>
    <row r="203" ht="12.75" customHeight="1">
      <c r="A203" s="59"/>
      <c r="B203" s="59"/>
      <c r="C203" s="59"/>
      <c r="D203" s="59"/>
      <c r="E203" s="59"/>
      <c r="F203" s="59"/>
      <c r="I203" s="59"/>
      <c r="J203" s="59"/>
    </row>
    <row r="204" ht="12.75" customHeight="1">
      <c r="A204" s="59"/>
      <c r="B204" s="59"/>
      <c r="C204" s="59"/>
      <c r="D204" s="59"/>
      <c r="E204" s="59"/>
      <c r="F204" s="59"/>
      <c r="I204" s="59"/>
      <c r="J204" s="59"/>
    </row>
    <row r="205" ht="12.75" customHeight="1">
      <c r="A205" s="59"/>
      <c r="B205" s="59"/>
      <c r="C205" s="59"/>
      <c r="D205" s="59"/>
      <c r="E205" s="59"/>
      <c r="F205" s="59"/>
      <c r="I205" s="59"/>
      <c r="J205" s="59"/>
    </row>
    <row r="206" ht="12.75" customHeight="1">
      <c r="A206" s="59"/>
      <c r="B206" s="59"/>
      <c r="C206" s="59"/>
      <c r="D206" s="59"/>
      <c r="E206" s="59"/>
      <c r="F206" s="59"/>
      <c r="I206" s="59"/>
      <c r="J206" s="59"/>
    </row>
    <row r="207" ht="12.75" customHeight="1">
      <c r="A207" s="59"/>
      <c r="B207" s="59"/>
      <c r="C207" s="59"/>
      <c r="D207" s="59"/>
      <c r="E207" s="59"/>
      <c r="F207" s="59"/>
      <c r="I207" s="59"/>
      <c r="J207" s="59"/>
    </row>
    <row r="208" ht="12.75" customHeight="1">
      <c r="A208" s="59"/>
      <c r="B208" s="59"/>
      <c r="C208" s="59"/>
      <c r="D208" s="59"/>
      <c r="E208" s="59"/>
      <c r="F208" s="59"/>
      <c r="I208" s="59"/>
      <c r="J208" s="59"/>
    </row>
    <row r="209" ht="12.75" customHeight="1">
      <c r="A209" s="59"/>
      <c r="B209" s="59"/>
      <c r="C209" s="59"/>
      <c r="D209" s="59"/>
      <c r="E209" s="59"/>
      <c r="F209" s="59"/>
      <c r="I209" s="59"/>
      <c r="J209" s="59"/>
    </row>
    <row r="210" ht="12.75" customHeight="1">
      <c r="A210" s="59"/>
      <c r="B210" s="59"/>
      <c r="C210" s="59"/>
      <c r="D210" s="59"/>
      <c r="E210" s="59"/>
      <c r="F210" s="59"/>
      <c r="I210" s="59"/>
      <c r="J210" s="59"/>
    </row>
    <row r="211" ht="12.75" customHeight="1">
      <c r="A211" s="59"/>
      <c r="B211" s="59"/>
      <c r="C211" s="59"/>
      <c r="D211" s="59"/>
      <c r="E211" s="59"/>
      <c r="F211" s="59"/>
      <c r="I211" s="59"/>
      <c r="J211" s="59"/>
    </row>
    <row r="212" ht="12.75" customHeight="1">
      <c r="A212" s="59"/>
      <c r="B212" s="59"/>
      <c r="C212" s="59"/>
      <c r="D212" s="59"/>
      <c r="E212" s="59"/>
      <c r="F212" s="59"/>
      <c r="I212" s="59"/>
      <c r="J212" s="59"/>
    </row>
    <row r="213" ht="12.75" customHeight="1">
      <c r="A213" s="59"/>
      <c r="B213" s="59"/>
      <c r="C213" s="59"/>
      <c r="D213" s="59"/>
      <c r="E213" s="59"/>
      <c r="F213" s="59"/>
      <c r="I213" s="59"/>
      <c r="J213" s="59"/>
    </row>
    <row r="214" ht="12.75" customHeight="1">
      <c r="A214" s="59"/>
      <c r="B214" s="59"/>
      <c r="C214" s="59"/>
      <c r="D214" s="59"/>
      <c r="E214" s="59"/>
      <c r="F214" s="59"/>
      <c r="I214" s="59"/>
      <c r="J214" s="59"/>
    </row>
    <row r="215" ht="12.75" customHeight="1">
      <c r="A215" s="59"/>
      <c r="B215" s="59"/>
      <c r="C215" s="59"/>
      <c r="D215" s="59"/>
      <c r="E215" s="59"/>
      <c r="F215" s="59"/>
      <c r="I215" s="59"/>
      <c r="J215" s="59"/>
    </row>
    <row r="216" ht="12.75" customHeight="1">
      <c r="A216" s="59"/>
      <c r="B216" s="59"/>
      <c r="C216" s="59"/>
      <c r="D216" s="59"/>
      <c r="E216" s="59"/>
      <c r="F216" s="59"/>
      <c r="I216" s="59"/>
      <c r="J216" s="59"/>
    </row>
    <row r="217" ht="12.75" customHeight="1">
      <c r="A217" s="59"/>
      <c r="B217" s="59"/>
      <c r="C217" s="59"/>
      <c r="D217" s="59"/>
      <c r="E217" s="59"/>
      <c r="F217" s="59"/>
      <c r="I217" s="59"/>
      <c r="J217" s="59"/>
    </row>
    <row r="218" ht="12.75" customHeight="1">
      <c r="A218" s="59"/>
      <c r="B218" s="59"/>
      <c r="C218" s="59"/>
      <c r="D218" s="59"/>
      <c r="E218" s="59"/>
      <c r="F218" s="59"/>
      <c r="I218" s="59"/>
      <c r="J218" s="59"/>
    </row>
    <row r="219" ht="12.75" customHeight="1">
      <c r="A219" s="59"/>
      <c r="B219" s="59"/>
      <c r="C219" s="59"/>
      <c r="D219" s="59"/>
      <c r="E219" s="59"/>
      <c r="F219" s="59"/>
      <c r="I219" s="59"/>
      <c r="J219" s="59"/>
    </row>
    <row r="220" ht="12.75" customHeight="1">
      <c r="A220" s="59"/>
      <c r="B220" s="59"/>
      <c r="C220" s="59"/>
      <c r="D220" s="59"/>
      <c r="E220" s="59"/>
      <c r="F220" s="59"/>
      <c r="I220" s="59"/>
      <c r="J220" s="59"/>
    </row>
    <row r="221" ht="12.75" customHeight="1">
      <c r="A221" s="59"/>
      <c r="B221" s="59"/>
      <c r="C221" s="59"/>
      <c r="D221" s="59"/>
      <c r="E221" s="59"/>
      <c r="F221" s="59"/>
      <c r="I221" s="59"/>
      <c r="J221" s="59"/>
    </row>
    <row r="222" ht="12.75" customHeight="1">
      <c r="A222" s="59"/>
      <c r="B222" s="59"/>
      <c r="C222" s="59"/>
      <c r="D222" s="59"/>
      <c r="E222" s="59"/>
      <c r="F222" s="59"/>
      <c r="I222" s="59"/>
      <c r="J222" s="59"/>
    </row>
    <row r="223" ht="12.75" customHeight="1">
      <c r="A223" s="59"/>
      <c r="B223" s="59"/>
      <c r="C223" s="59"/>
      <c r="D223" s="59"/>
      <c r="E223" s="59"/>
      <c r="F223" s="59"/>
      <c r="I223" s="59"/>
      <c r="J223" s="59"/>
    </row>
    <row r="224" ht="12.75" customHeight="1">
      <c r="A224" s="59"/>
      <c r="B224" s="59"/>
      <c r="C224" s="59"/>
      <c r="D224" s="59"/>
      <c r="E224" s="59"/>
      <c r="F224" s="59"/>
      <c r="I224" s="59"/>
      <c r="J224" s="59"/>
    </row>
    <row r="225" ht="12.75" customHeight="1">
      <c r="A225" s="59"/>
      <c r="B225" s="59"/>
      <c r="C225" s="59"/>
      <c r="D225" s="59"/>
      <c r="E225" s="59"/>
      <c r="F225" s="59"/>
      <c r="I225" s="59"/>
      <c r="J225" s="59"/>
    </row>
    <row r="226" ht="12.75" customHeight="1">
      <c r="A226" s="59"/>
      <c r="B226" s="59"/>
      <c r="C226" s="59"/>
      <c r="D226" s="59"/>
      <c r="E226" s="59"/>
      <c r="F226" s="59"/>
      <c r="I226" s="59"/>
      <c r="J226" s="59"/>
    </row>
    <row r="227" ht="12.75" customHeight="1">
      <c r="A227" s="59"/>
      <c r="B227" s="59"/>
      <c r="C227" s="59"/>
      <c r="D227" s="59"/>
      <c r="E227" s="59"/>
      <c r="F227" s="59"/>
      <c r="I227" s="59"/>
      <c r="J227" s="59"/>
    </row>
    <row r="228" ht="12.75" customHeight="1">
      <c r="A228" s="59"/>
      <c r="B228" s="59"/>
      <c r="C228" s="59"/>
      <c r="D228" s="59"/>
      <c r="E228" s="59"/>
      <c r="F228" s="59"/>
      <c r="I228" s="59"/>
      <c r="J228" s="59"/>
    </row>
    <row r="229" ht="12.75" customHeight="1">
      <c r="A229" s="59"/>
      <c r="B229" s="59"/>
      <c r="C229" s="59"/>
      <c r="D229" s="59"/>
      <c r="E229" s="59"/>
      <c r="F229" s="59"/>
      <c r="I229" s="59"/>
      <c r="J229" s="59"/>
    </row>
    <row r="230" ht="12.75" customHeight="1">
      <c r="A230" s="59"/>
      <c r="B230" s="59"/>
      <c r="C230" s="59"/>
      <c r="D230" s="59"/>
      <c r="E230" s="59"/>
      <c r="F230" s="59"/>
      <c r="I230" s="59"/>
      <c r="J230" s="59"/>
    </row>
    <row r="231" ht="12.75" customHeight="1">
      <c r="A231" s="59"/>
      <c r="B231" s="59"/>
      <c r="C231" s="59"/>
      <c r="D231" s="59"/>
      <c r="E231" s="59"/>
      <c r="F231" s="59"/>
      <c r="I231" s="59"/>
      <c r="J231" s="59"/>
    </row>
    <row r="232" ht="12.75" customHeight="1">
      <c r="A232" s="59"/>
      <c r="B232" s="59"/>
      <c r="C232" s="59"/>
      <c r="D232" s="59"/>
      <c r="E232" s="59"/>
      <c r="F232" s="59"/>
      <c r="I232" s="59"/>
      <c r="J232" s="59"/>
    </row>
    <row r="233" ht="12.75" customHeight="1">
      <c r="A233" s="59"/>
      <c r="B233" s="59"/>
      <c r="C233" s="59"/>
      <c r="D233" s="59"/>
      <c r="E233" s="59"/>
      <c r="F233" s="59"/>
      <c r="I233" s="59"/>
      <c r="J233" s="59"/>
    </row>
    <row r="234" ht="12.75" customHeight="1">
      <c r="A234" s="59"/>
      <c r="B234" s="59"/>
      <c r="C234" s="59"/>
      <c r="D234" s="59"/>
      <c r="E234" s="59"/>
      <c r="F234" s="59"/>
      <c r="I234" s="59"/>
      <c r="J234" s="59"/>
    </row>
    <row r="235" ht="12.75" customHeight="1">
      <c r="A235" s="59"/>
      <c r="B235" s="59"/>
      <c r="C235" s="59"/>
      <c r="D235" s="59"/>
      <c r="E235" s="59"/>
      <c r="F235" s="59"/>
      <c r="I235" s="59"/>
      <c r="J235" s="59"/>
    </row>
    <row r="236" ht="12.75" customHeight="1">
      <c r="A236" s="59"/>
      <c r="B236" s="59"/>
      <c r="C236" s="59"/>
      <c r="D236" s="59"/>
      <c r="E236" s="59"/>
      <c r="F236" s="59"/>
      <c r="I236" s="59"/>
      <c r="J236" s="59"/>
    </row>
    <row r="237" ht="12.75" customHeight="1">
      <c r="A237" s="59"/>
      <c r="B237" s="59"/>
      <c r="C237" s="59"/>
      <c r="D237" s="59"/>
      <c r="E237" s="59"/>
      <c r="F237" s="59"/>
      <c r="I237" s="59"/>
      <c r="J237" s="59"/>
    </row>
    <row r="238" ht="12.75" customHeight="1">
      <c r="A238" s="59"/>
      <c r="B238" s="59"/>
      <c r="C238" s="59"/>
      <c r="D238" s="59"/>
      <c r="E238" s="59"/>
      <c r="F238" s="59"/>
      <c r="I238" s="59"/>
      <c r="J238" s="59"/>
    </row>
    <row r="239" ht="12.75" customHeight="1">
      <c r="A239" s="59"/>
      <c r="B239" s="59"/>
      <c r="C239" s="59"/>
      <c r="D239" s="59"/>
      <c r="E239" s="59"/>
      <c r="F239" s="59"/>
      <c r="I239" s="59"/>
      <c r="J239" s="59"/>
    </row>
    <row r="240" ht="12.75" customHeight="1">
      <c r="A240" s="59"/>
      <c r="B240" s="59"/>
      <c r="C240" s="59"/>
      <c r="D240" s="59"/>
      <c r="E240" s="59"/>
      <c r="F240" s="59"/>
      <c r="I240" s="59"/>
      <c r="J240" s="59"/>
    </row>
    <row r="241" ht="12.75" customHeight="1">
      <c r="A241" s="59"/>
      <c r="B241" s="59"/>
      <c r="C241" s="59"/>
      <c r="D241" s="59"/>
      <c r="E241" s="59"/>
      <c r="F241" s="59"/>
      <c r="I241" s="59"/>
      <c r="J241" s="59"/>
    </row>
    <row r="242" ht="12.75" customHeight="1">
      <c r="A242" s="59"/>
      <c r="B242" s="59"/>
      <c r="C242" s="59"/>
      <c r="D242" s="59"/>
      <c r="E242" s="59"/>
      <c r="F242" s="59"/>
      <c r="I242" s="59"/>
      <c r="J242" s="59"/>
    </row>
    <row r="243" ht="12.75" customHeight="1">
      <c r="A243" s="59"/>
      <c r="B243" s="59"/>
      <c r="C243" s="59"/>
      <c r="D243" s="59"/>
      <c r="E243" s="59"/>
      <c r="F243" s="59"/>
      <c r="I243" s="59"/>
      <c r="J243" s="59"/>
    </row>
    <row r="244" ht="12.75" customHeight="1">
      <c r="A244" s="59"/>
      <c r="B244" s="59"/>
      <c r="C244" s="59"/>
      <c r="D244" s="59"/>
      <c r="E244" s="59"/>
      <c r="F244" s="59"/>
      <c r="I244" s="59"/>
      <c r="J244" s="59"/>
    </row>
    <row r="245" ht="12.75" customHeight="1">
      <c r="A245" s="59"/>
      <c r="B245" s="59"/>
      <c r="C245" s="59"/>
      <c r="D245" s="59"/>
      <c r="E245" s="59"/>
      <c r="F245" s="59"/>
      <c r="I245" s="59"/>
      <c r="J245" s="59"/>
    </row>
    <row r="246" ht="12.75" customHeight="1">
      <c r="A246" s="59"/>
      <c r="B246" s="59"/>
      <c r="C246" s="59"/>
      <c r="D246" s="59"/>
      <c r="E246" s="59"/>
      <c r="F246" s="59"/>
      <c r="I246" s="59"/>
      <c r="J246" s="59"/>
    </row>
    <row r="247" ht="12.75" customHeight="1">
      <c r="A247" s="59"/>
      <c r="B247" s="59"/>
      <c r="C247" s="59"/>
      <c r="D247" s="59"/>
      <c r="E247" s="59"/>
      <c r="F247" s="59"/>
      <c r="I247" s="59"/>
      <c r="J247" s="59"/>
    </row>
    <row r="248" ht="12.75" customHeight="1">
      <c r="A248" s="59"/>
      <c r="B248" s="59"/>
      <c r="C248" s="59"/>
      <c r="D248" s="59"/>
      <c r="E248" s="59"/>
      <c r="F248" s="59"/>
      <c r="I248" s="59"/>
      <c r="J248" s="59"/>
    </row>
    <row r="249" ht="12.75" customHeight="1">
      <c r="A249" s="59"/>
      <c r="B249" s="59"/>
      <c r="C249" s="59"/>
      <c r="D249" s="59"/>
      <c r="E249" s="59"/>
      <c r="F249" s="59"/>
      <c r="I249" s="59"/>
      <c r="J249" s="59"/>
    </row>
    <row r="250" ht="12.75" customHeight="1">
      <c r="A250" s="59"/>
      <c r="B250" s="59"/>
      <c r="C250" s="59"/>
      <c r="D250" s="59"/>
      <c r="E250" s="59"/>
      <c r="F250" s="59"/>
      <c r="I250" s="59"/>
      <c r="J250" s="59"/>
    </row>
    <row r="251" ht="12.75" customHeight="1">
      <c r="A251" s="59"/>
      <c r="B251" s="59"/>
      <c r="C251" s="59"/>
      <c r="D251" s="59"/>
      <c r="E251" s="59"/>
      <c r="F251" s="59"/>
      <c r="I251" s="59"/>
      <c r="J251" s="59"/>
    </row>
    <row r="252" ht="12.75" customHeight="1">
      <c r="A252" s="59"/>
      <c r="B252" s="59"/>
      <c r="C252" s="59"/>
      <c r="D252" s="59"/>
      <c r="E252" s="59"/>
      <c r="F252" s="59"/>
      <c r="I252" s="59"/>
      <c r="J252" s="59"/>
    </row>
    <row r="253" ht="12.75" customHeight="1">
      <c r="A253" s="59"/>
      <c r="B253" s="59"/>
      <c r="C253" s="59"/>
      <c r="D253" s="59"/>
      <c r="E253" s="59"/>
      <c r="F253" s="59"/>
      <c r="I253" s="59"/>
      <c r="J253" s="59"/>
    </row>
    <row r="254" ht="12.75" customHeight="1">
      <c r="A254" s="59"/>
      <c r="B254" s="59"/>
      <c r="C254" s="59"/>
      <c r="D254" s="59"/>
      <c r="E254" s="59"/>
      <c r="F254" s="59"/>
      <c r="I254" s="59"/>
      <c r="J254" s="59"/>
    </row>
    <row r="255" ht="12.75" customHeight="1">
      <c r="A255" s="59"/>
      <c r="B255" s="59"/>
      <c r="C255" s="59"/>
      <c r="D255" s="59"/>
      <c r="E255" s="59"/>
      <c r="F255" s="59"/>
      <c r="I255" s="59"/>
      <c r="J255" s="59"/>
    </row>
    <row r="256" ht="12.75" customHeight="1">
      <c r="A256" s="59"/>
      <c r="B256" s="59"/>
      <c r="C256" s="59"/>
      <c r="D256" s="59"/>
      <c r="E256" s="59"/>
      <c r="F256" s="59"/>
      <c r="I256" s="59"/>
      <c r="J256" s="59"/>
    </row>
    <row r="257" ht="12.75" customHeight="1">
      <c r="A257" s="59"/>
      <c r="B257" s="59"/>
      <c r="C257" s="59"/>
      <c r="D257" s="59"/>
      <c r="E257" s="59"/>
      <c r="F257" s="59"/>
      <c r="I257" s="59"/>
      <c r="J257" s="59"/>
    </row>
    <row r="258" ht="12.75" customHeight="1">
      <c r="A258" s="59"/>
      <c r="B258" s="59"/>
      <c r="C258" s="59"/>
      <c r="D258" s="59"/>
      <c r="E258" s="59"/>
      <c r="F258" s="59"/>
      <c r="I258" s="59"/>
      <c r="J258" s="59"/>
    </row>
    <row r="259" ht="12.75" customHeight="1">
      <c r="A259" s="59"/>
      <c r="B259" s="59"/>
      <c r="C259" s="59"/>
      <c r="D259" s="59"/>
      <c r="E259" s="59"/>
      <c r="F259" s="59"/>
      <c r="I259" s="59"/>
      <c r="J259" s="59"/>
    </row>
    <row r="260" ht="12.75" customHeight="1">
      <c r="A260" s="59"/>
      <c r="B260" s="59"/>
      <c r="C260" s="59"/>
      <c r="D260" s="59"/>
      <c r="E260" s="59"/>
      <c r="F260" s="59"/>
      <c r="I260" s="59"/>
      <c r="J260" s="59"/>
    </row>
    <row r="261" ht="12.75" customHeight="1">
      <c r="A261" s="59"/>
      <c r="B261" s="59"/>
      <c r="C261" s="59"/>
      <c r="D261" s="59"/>
      <c r="E261" s="59"/>
      <c r="F261" s="59"/>
      <c r="I261" s="59"/>
      <c r="J261" s="59"/>
    </row>
    <row r="262" ht="12.75" customHeight="1">
      <c r="A262" s="59"/>
      <c r="B262" s="59"/>
      <c r="C262" s="59"/>
      <c r="D262" s="59"/>
      <c r="E262" s="59"/>
      <c r="F262" s="59"/>
      <c r="I262" s="59"/>
      <c r="J262" s="59"/>
    </row>
    <row r="263" ht="12.75" customHeight="1">
      <c r="A263" s="59"/>
      <c r="B263" s="59"/>
      <c r="C263" s="59"/>
      <c r="D263" s="59"/>
      <c r="E263" s="59"/>
      <c r="F263" s="59"/>
      <c r="I263" s="59"/>
      <c r="J263" s="59"/>
    </row>
    <row r="264" ht="12.75" customHeight="1">
      <c r="A264" s="59"/>
      <c r="B264" s="59"/>
      <c r="C264" s="59"/>
      <c r="D264" s="59"/>
      <c r="E264" s="59"/>
      <c r="F264" s="59"/>
      <c r="I264" s="59"/>
      <c r="J264" s="59"/>
    </row>
    <row r="265" ht="12.75" customHeight="1">
      <c r="A265" s="59"/>
      <c r="B265" s="59"/>
      <c r="C265" s="59"/>
      <c r="D265" s="59"/>
      <c r="E265" s="59"/>
      <c r="F265" s="59"/>
      <c r="I265" s="59"/>
      <c r="J265" s="59"/>
    </row>
    <row r="266" ht="12.75" customHeight="1">
      <c r="A266" s="59"/>
      <c r="B266" s="59"/>
      <c r="C266" s="59"/>
      <c r="D266" s="59"/>
      <c r="E266" s="59"/>
      <c r="F266" s="59"/>
      <c r="I266" s="59"/>
      <c r="J266" s="59"/>
    </row>
    <row r="267" ht="12.75" customHeight="1">
      <c r="A267" s="59"/>
      <c r="B267" s="59"/>
      <c r="C267" s="59"/>
      <c r="D267" s="59"/>
      <c r="E267" s="59"/>
      <c r="F267" s="59"/>
      <c r="I267" s="59"/>
      <c r="J267" s="59"/>
    </row>
    <row r="268" ht="12.75" customHeight="1">
      <c r="A268" s="59"/>
      <c r="B268" s="59"/>
      <c r="C268" s="59"/>
      <c r="D268" s="59"/>
      <c r="E268" s="59"/>
      <c r="F268" s="59"/>
      <c r="I268" s="59"/>
      <c r="J268" s="59"/>
    </row>
    <row r="269" ht="12.75" customHeight="1">
      <c r="A269" s="59"/>
      <c r="B269" s="59"/>
      <c r="C269" s="59"/>
      <c r="D269" s="59"/>
      <c r="E269" s="59"/>
      <c r="F269" s="59"/>
      <c r="I269" s="59"/>
      <c r="J269" s="59"/>
    </row>
    <row r="270" ht="12.75" customHeight="1">
      <c r="A270" s="59"/>
      <c r="B270" s="59"/>
      <c r="C270" s="59"/>
      <c r="D270" s="59"/>
      <c r="E270" s="59"/>
      <c r="F270" s="59"/>
      <c r="I270" s="59"/>
      <c r="J270" s="59"/>
    </row>
    <row r="271" ht="12.75" customHeight="1">
      <c r="A271" s="59"/>
      <c r="B271" s="59"/>
      <c r="C271" s="59"/>
      <c r="D271" s="59"/>
      <c r="E271" s="59"/>
      <c r="F271" s="59"/>
      <c r="I271" s="59"/>
      <c r="J271" s="59"/>
    </row>
    <row r="272" ht="12.75" customHeight="1">
      <c r="A272" s="59"/>
      <c r="B272" s="59"/>
      <c r="C272" s="59"/>
      <c r="D272" s="59"/>
      <c r="E272" s="59"/>
      <c r="F272" s="59"/>
      <c r="I272" s="59"/>
      <c r="J272" s="59"/>
    </row>
    <row r="273" ht="12.75" customHeight="1">
      <c r="A273" s="59"/>
      <c r="B273" s="59"/>
      <c r="C273" s="59"/>
      <c r="D273" s="59"/>
      <c r="E273" s="59"/>
      <c r="F273" s="59"/>
      <c r="I273" s="59"/>
      <c r="J273" s="59"/>
    </row>
    <row r="274" ht="12.75" customHeight="1">
      <c r="A274" s="59"/>
      <c r="B274" s="59"/>
      <c r="C274" s="59"/>
      <c r="D274" s="59"/>
      <c r="E274" s="59"/>
      <c r="F274" s="59"/>
      <c r="I274" s="59"/>
      <c r="J274" s="59"/>
    </row>
    <row r="275" ht="12.75" customHeight="1">
      <c r="A275" s="59"/>
      <c r="B275" s="59"/>
      <c r="C275" s="59"/>
      <c r="D275" s="59"/>
      <c r="E275" s="59"/>
      <c r="F275" s="59"/>
      <c r="I275" s="59"/>
      <c r="J275" s="59"/>
    </row>
    <row r="276" ht="12.75" customHeight="1">
      <c r="A276" s="59"/>
      <c r="B276" s="59"/>
      <c r="C276" s="59"/>
      <c r="D276" s="59"/>
      <c r="E276" s="59"/>
      <c r="F276" s="59"/>
      <c r="I276" s="59"/>
      <c r="J276" s="59"/>
    </row>
    <row r="277" ht="12.75" customHeight="1">
      <c r="A277" s="59"/>
      <c r="B277" s="59"/>
      <c r="C277" s="59"/>
      <c r="D277" s="59"/>
      <c r="E277" s="59"/>
      <c r="F277" s="59"/>
      <c r="I277" s="59"/>
      <c r="J277" s="59"/>
    </row>
    <row r="278" ht="12.75" customHeight="1">
      <c r="A278" s="59"/>
      <c r="B278" s="59"/>
      <c r="C278" s="59"/>
      <c r="D278" s="59"/>
      <c r="E278" s="59"/>
      <c r="F278" s="59"/>
      <c r="I278" s="59"/>
      <c r="J278" s="59"/>
    </row>
    <row r="279" ht="12.75" customHeight="1">
      <c r="A279" s="59"/>
      <c r="B279" s="59"/>
      <c r="C279" s="59"/>
      <c r="D279" s="59"/>
      <c r="E279" s="59"/>
      <c r="F279" s="59"/>
      <c r="I279" s="59"/>
      <c r="J279" s="59"/>
    </row>
    <row r="280" ht="12.75" customHeight="1">
      <c r="A280" s="59"/>
      <c r="B280" s="59"/>
      <c r="C280" s="59"/>
      <c r="D280" s="59"/>
      <c r="E280" s="59"/>
      <c r="F280" s="59"/>
      <c r="I280" s="59"/>
      <c r="J280" s="59"/>
    </row>
    <row r="281" ht="12.75" customHeight="1">
      <c r="A281" s="59"/>
      <c r="B281" s="59"/>
      <c r="C281" s="59"/>
      <c r="D281" s="59"/>
      <c r="E281" s="59"/>
      <c r="F281" s="59"/>
      <c r="I281" s="59"/>
      <c r="J281" s="59"/>
    </row>
    <row r="282" ht="12.75" customHeight="1">
      <c r="A282" s="59"/>
      <c r="B282" s="59"/>
      <c r="C282" s="59"/>
      <c r="D282" s="59"/>
      <c r="E282" s="59"/>
      <c r="F282" s="59"/>
      <c r="I282" s="59"/>
      <c r="J282" s="59"/>
    </row>
    <row r="283" ht="12.75" customHeight="1">
      <c r="A283" s="59"/>
      <c r="B283" s="59"/>
      <c r="C283" s="59"/>
      <c r="D283" s="59"/>
      <c r="E283" s="59"/>
      <c r="F283" s="59"/>
      <c r="I283" s="59"/>
      <c r="J283" s="59"/>
    </row>
    <row r="284" ht="12.75" customHeight="1">
      <c r="A284" s="59"/>
      <c r="B284" s="59"/>
      <c r="C284" s="59"/>
      <c r="D284" s="59"/>
      <c r="E284" s="59"/>
      <c r="F284" s="59"/>
      <c r="I284" s="59"/>
      <c r="J284" s="59"/>
    </row>
    <row r="285" ht="12.75" customHeight="1">
      <c r="A285" s="59"/>
      <c r="B285" s="59"/>
      <c r="C285" s="59"/>
      <c r="D285" s="59"/>
      <c r="E285" s="59"/>
      <c r="F285" s="59"/>
      <c r="I285" s="59"/>
      <c r="J285" s="59"/>
    </row>
    <row r="286" ht="12.75" customHeight="1">
      <c r="A286" s="59"/>
      <c r="B286" s="59"/>
      <c r="C286" s="59"/>
      <c r="D286" s="59"/>
      <c r="E286" s="59"/>
      <c r="F286" s="59"/>
      <c r="I286" s="59"/>
      <c r="J286" s="59"/>
    </row>
    <row r="287" ht="12.75" customHeight="1">
      <c r="A287" s="59"/>
      <c r="B287" s="59"/>
      <c r="C287" s="59"/>
      <c r="D287" s="59"/>
      <c r="E287" s="59"/>
      <c r="F287" s="59"/>
      <c r="I287" s="59"/>
      <c r="J287" s="59"/>
    </row>
    <row r="288" ht="12.75" customHeight="1">
      <c r="A288" s="59"/>
      <c r="B288" s="59"/>
      <c r="C288" s="59"/>
      <c r="D288" s="59"/>
      <c r="E288" s="59"/>
      <c r="F288" s="59"/>
      <c r="I288" s="59"/>
      <c r="J288" s="59"/>
    </row>
    <row r="289" ht="12.75" customHeight="1">
      <c r="A289" s="59"/>
      <c r="B289" s="59"/>
      <c r="C289" s="59"/>
      <c r="D289" s="59"/>
      <c r="E289" s="59"/>
      <c r="F289" s="59"/>
      <c r="I289" s="59"/>
      <c r="J289" s="59"/>
    </row>
    <row r="290" ht="12.75" customHeight="1">
      <c r="A290" s="59"/>
      <c r="B290" s="59"/>
      <c r="C290" s="59"/>
      <c r="D290" s="59"/>
      <c r="E290" s="59"/>
      <c r="F290" s="59"/>
      <c r="I290" s="59"/>
      <c r="J290" s="59"/>
    </row>
    <row r="291" ht="12.75" customHeight="1">
      <c r="A291" s="59"/>
      <c r="B291" s="59"/>
      <c r="C291" s="59"/>
      <c r="D291" s="59"/>
      <c r="E291" s="59"/>
      <c r="F291" s="59"/>
      <c r="I291" s="59"/>
      <c r="J291" s="59"/>
    </row>
    <row r="292" ht="12.75" customHeight="1">
      <c r="A292" s="59"/>
      <c r="B292" s="59"/>
      <c r="C292" s="59"/>
      <c r="D292" s="59"/>
      <c r="E292" s="59"/>
      <c r="F292" s="59"/>
      <c r="I292" s="59"/>
      <c r="J292" s="59"/>
    </row>
    <row r="293" ht="12.75" customHeight="1">
      <c r="A293" s="59"/>
      <c r="B293" s="59"/>
      <c r="C293" s="59"/>
      <c r="D293" s="59"/>
      <c r="E293" s="59"/>
      <c r="F293" s="59"/>
      <c r="I293" s="59"/>
      <c r="J293" s="59"/>
    </row>
    <row r="294" ht="12.75" customHeight="1">
      <c r="A294" s="59"/>
      <c r="B294" s="59"/>
      <c r="C294" s="59"/>
      <c r="D294" s="59"/>
      <c r="E294" s="59"/>
      <c r="F294" s="59"/>
      <c r="I294" s="59"/>
      <c r="J294" s="59"/>
    </row>
    <row r="295" ht="12.75" customHeight="1">
      <c r="A295" s="59"/>
      <c r="B295" s="59"/>
      <c r="C295" s="59"/>
      <c r="D295" s="59"/>
      <c r="E295" s="59"/>
      <c r="F295" s="59"/>
      <c r="I295" s="59"/>
      <c r="J295" s="59"/>
    </row>
    <row r="296" ht="12.75" customHeight="1">
      <c r="A296" s="59"/>
      <c r="B296" s="59"/>
      <c r="C296" s="59"/>
      <c r="D296" s="59"/>
      <c r="E296" s="59"/>
      <c r="F296" s="59"/>
      <c r="I296" s="59"/>
      <c r="J296" s="59"/>
    </row>
    <row r="297" ht="12.75" customHeight="1">
      <c r="A297" s="59"/>
      <c r="B297" s="59"/>
      <c r="C297" s="59"/>
      <c r="D297" s="59"/>
      <c r="E297" s="59"/>
      <c r="F297" s="59"/>
      <c r="I297" s="59"/>
      <c r="J297" s="59"/>
    </row>
    <row r="298" ht="12.75" customHeight="1">
      <c r="A298" s="59"/>
      <c r="B298" s="59"/>
      <c r="C298" s="59"/>
      <c r="D298" s="59"/>
      <c r="E298" s="59"/>
      <c r="F298" s="59"/>
      <c r="I298" s="59"/>
      <c r="J298" s="59"/>
    </row>
    <row r="299" ht="12.75" customHeight="1">
      <c r="A299" s="59"/>
      <c r="B299" s="59"/>
      <c r="C299" s="59"/>
      <c r="D299" s="59"/>
      <c r="E299" s="59"/>
      <c r="F299" s="59"/>
      <c r="I299" s="59"/>
      <c r="J299" s="59"/>
    </row>
    <row r="300" ht="12.75" customHeight="1">
      <c r="A300" s="59"/>
      <c r="B300" s="59"/>
      <c r="C300" s="59"/>
      <c r="D300" s="59"/>
      <c r="E300" s="59"/>
      <c r="F300" s="59"/>
      <c r="I300" s="59"/>
      <c r="J300" s="59"/>
    </row>
    <row r="301" ht="12.75" customHeight="1">
      <c r="A301" s="59"/>
      <c r="B301" s="59"/>
      <c r="C301" s="59"/>
      <c r="D301" s="59"/>
      <c r="E301" s="59"/>
      <c r="F301" s="59"/>
      <c r="I301" s="59"/>
      <c r="J301" s="59"/>
    </row>
    <row r="302" ht="12.75" customHeight="1">
      <c r="A302" s="59"/>
      <c r="B302" s="59"/>
      <c r="C302" s="59"/>
      <c r="D302" s="59"/>
      <c r="E302" s="59"/>
      <c r="F302" s="59"/>
      <c r="I302" s="59"/>
      <c r="J302" s="59"/>
    </row>
    <row r="303" ht="12.75" customHeight="1">
      <c r="A303" s="59"/>
      <c r="B303" s="59"/>
      <c r="C303" s="59"/>
      <c r="D303" s="59"/>
      <c r="E303" s="59"/>
      <c r="F303" s="59"/>
      <c r="I303" s="59"/>
      <c r="J303" s="59"/>
    </row>
    <row r="304" ht="12.75" customHeight="1">
      <c r="A304" s="59"/>
      <c r="B304" s="59"/>
      <c r="C304" s="59"/>
      <c r="D304" s="59"/>
      <c r="E304" s="59"/>
      <c r="F304" s="59"/>
      <c r="I304" s="59"/>
      <c r="J304" s="59"/>
    </row>
    <row r="305" ht="12.75" customHeight="1">
      <c r="A305" s="59"/>
      <c r="B305" s="59"/>
      <c r="C305" s="59"/>
      <c r="D305" s="59"/>
      <c r="E305" s="59"/>
      <c r="F305" s="59"/>
      <c r="I305" s="59"/>
      <c r="J305" s="59"/>
    </row>
    <row r="306" ht="12.75" customHeight="1">
      <c r="A306" s="59"/>
      <c r="B306" s="59"/>
      <c r="C306" s="59"/>
      <c r="D306" s="59"/>
      <c r="E306" s="59"/>
      <c r="F306" s="59"/>
      <c r="I306" s="59"/>
      <c r="J306" s="59"/>
    </row>
    <row r="307" ht="12.75" customHeight="1">
      <c r="A307" s="59"/>
      <c r="B307" s="59"/>
      <c r="C307" s="59"/>
      <c r="D307" s="59"/>
      <c r="E307" s="59"/>
      <c r="F307" s="59"/>
      <c r="I307" s="59"/>
      <c r="J307" s="59"/>
    </row>
    <row r="308" ht="12.75" customHeight="1">
      <c r="A308" s="59"/>
      <c r="B308" s="59"/>
      <c r="C308" s="59"/>
      <c r="D308" s="59"/>
      <c r="E308" s="59"/>
      <c r="F308" s="59"/>
      <c r="I308" s="59"/>
      <c r="J308" s="59"/>
    </row>
    <row r="309" ht="12.75" customHeight="1">
      <c r="A309" s="59"/>
      <c r="B309" s="59"/>
      <c r="C309" s="59"/>
      <c r="D309" s="59"/>
      <c r="E309" s="59"/>
      <c r="F309" s="59"/>
      <c r="I309" s="59"/>
      <c r="J309" s="59"/>
    </row>
    <row r="310" ht="12.75" customHeight="1">
      <c r="A310" s="59"/>
      <c r="B310" s="59"/>
      <c r="C310" s="59"/>
      <c r="D310" s="59"/>
      <c r="E310" s="59"/>
      <c r="F310" s="59"/>
      <c r="I310" s="59"/>
      <c r="J310" s="59"/>
    </row>
    <row r="311" ht="12.75" customHeight="1">
      <c r="A311" s="59"/>
      <c r="B311" s="59"/>
      <c r="C311" s="59"/>
      <c r="D311" s="59"/>
      <c r="E311" s="59"/>
      <c r="F311" s="59"/>
      <c r="I311" s="59"/>
      <c r="J311" s="59"/>
    </row>
    <row r="312" ht="12.75" customHeight="1">
      <c r="A312" s="59"/>
      <c r="B312" s="59"/>
      <c r="C312" s="59"/>
      <c r="D312" s="59"/>
      <c r="E312" s="59"/>
      <c r="F312" s="59"/>
      <c r="I312" s="59"/>
      <c r="J312" s="59"/>
    </row>
    <row r="313" ht="12.75" customHeight="1">
      <c r="A313" s="59"/>
      <c r="B313" s="59"/>
      <c r="C313" s="59"/>
      <c r="D313" s="59"/>
      <c r="E313" s="59"/>
      <c r="F313" s="59"/>
      <c r="I313" s="59"/>
      <c r="J313" s="59"/>
    </row>
    <row r="314" ht="12.75" customHeight="1">
      <c r="A314" s="59"/>
      <c r="B314" s="59"/>
      <c r="C314" s="59"/>
      <c r="D314" s="59"/>
      <c r="E314" s="59"/>
      <c r="F314" s="59"/>
      <c r="I314" s="59"/>
      <c r="J314" s="59"/>
    </row>
    <row r="315" ht="12.75" customHeight="1">
      <c r="A315" s="59"/>
      <c r="B315" s="59"/>
      <c r="C315" s="59"/>
      <c r="D315" s="59"/>
      <c r="E315" s="59"/>
      <c r="F315" s="59"/>
      <c r="I315" s="59"/>
      <c r="J315" s="59"/>
    </row>
    <row r="316" ht="12.75" customHeight="1">
      <c r="A316" s="59"/>
      <c r="B316" s="59"/>
      <c r="C316" s="59"/>
      <c r="D316" s="59"/>
      <c r="E316" s="59"/>
      <c r="F316" s="59"/>
      <c r="I316" s="59"/>
      <c r="J316" s="59"/>
    </row>
    <row r="317" ht="12.75" customHeight="1">
      <c r="A317" s="59"/>
      <c r="B317" s="59"/>
      <c r="C317" s="59"/>
      <c r="D317" s="59"/>
      <c r="E317" s="59"/>
      <c r="F317" s="59"/>
      <c r="I317" s="59"/>
      <c r="J317" s="59"/>
    </row>
    <row r="318" ht="12.75" customHeight="1">
      <c r="A318" s="59"/>
      <c r="B318" s="59"/>
      <c r="C318" s="59"/>
      <c r="D318" s="59"/>
      <c r="E318" s="59"/>
      <c r="F318" s="59"/>
      <c r="I318" s="59"/>
      <c r="J318" s="59"/>
    </row>
    <row r="319" ht="12.75" customHeight="1">
      <c r="A319" s="59"/>
      <c r="B319" s="59"/>
      <c r="C319" s="59"/>
      <c r="D319" s="59"/>
      <c r="E319" s="59"/>
      <c r="F319" s="59"/>
      <c r="I319" s="59"/>
      <c r="J319" s="59"/>
    </row>
    <row r="320" ht="12.75" customHeight="1">
      <c r="A320" s="59"/>
      <c r="B320" s="59"/>
      <c r="C320" s="59"/>
      <c r="D320" s="59"/>
      <c r="E320" s="59"/>
      <c r="F320" s="59"/>
      <c r="I320" s="59"/>
      <c r="J320" s="59"/>
    </row>
    <row r="321" ht="12.75" customHeight="1">
      <c r="A321" s="59"/>
      <c r="B321" s="59"/>
      <c r="C321" s="59"/>
      <c r="D321" s="59"/>
      <c r="E321" s="59"/>
      <c r="F321" s="59"/>
      <c r="I321" s="59"/>
      <c r="J321" s="59"/>
    </row>
    <row r="322" ht="12.75" customHeight="1">
      <c r="A322" s="59"/>
      <c r="B322" s="59"/>
      <c r="C322" s="59"/>
      <c r="D322" s="59"/>
      <c r="E322" s="59"/>
      <c r="F322" s="59"/>
      <c r="I322" s="59"/>
      <c r="J322" s="59"/>
    </row>
    <row r="323" ht="12.75" customHeight="1">
      <c r="A323" s="59"/>
      <c r="B323" s="59"/>
      <c r="C323" s="59"/>
      <c r="D323" s="59"/>
      <c r="E323" s="59"/>
      <c r="F323" s="59"/>
      <c r="I323" s="59"/>
      <c r="J323" s="59"/>
    </row>
    <row r="324" ht="12.75" customHeight="1">
      <c r="A324" s="59"/>
      <c r="B324" s="59"/>
      <c r="C324" s="59"/>
      <c r="D324" s="59"/>
      <c r="E324" s="59"/>
      <c r="F324" s="59"/>
      <c r="I324" s="59"/>
      <c r="J324" s="59"/>
    </row>
    <row r="325" ht="12.75" customHeight="1">
      <c r="A325" s="59"/>
      <c r="B325" s="59"/>
      <c r="C325" s="59"/>
      <c r="D325" s="59"/>
      <c r="E325" s="59"/>
      <c r="F325" s="59"/>
      <c r="I325" s="59"/>
      <c r="J325" s="59"/>
    </row>
    <row r="326" ht="12.75" customHeight="1">
      <c r="A326" s="59"/>
      <c r="B326" s="59"/>
      <c r="C326" s="59"/>
      <c r="D326" s="59"/>
      <c r="E326" s="59"/>
      <c r="F326" s="59"/>
      <c r="I326" s="59"/>
      <c r="J326" s="59"/>
    </row>
    <row r="327" ht="12.75" customHeight="1">
      <c r="A327" s="59"/>
      <c r="B327" s="59"/>
      <c r="C327" s="59"/>
      <c r="D327" s="59"/>
      <c r="E327" s="59"/>
      <c r="F327" s="59"/>
      <c r="I327" s="59"/>
      <c r="J327" s="59"/>
    </row>
    <row r="328" ht="12.75" customHeight="1">
      <c r="A328" s="59"/>
      <c r="B328" s="59"/>
      <c r="C328" s="59"/>
      <c r="D328" s="59"/>
      <c r="E328" s="59"/>
      <c r="F328" s="59"/>
      <c r="I328" s="59"/>
      <c r="J328" s="59"/>
    </row>
    <row r="329" ht="12.75" customHeight="1">
      <c r="A329" s="59"/>
      <c r="B329" s="59"/>
      <c r="C329" s="59"/>
      <c r="D329" s="59"/>
      <c r="E329" s="59"/>
      <c r="F329" s="59"/>
      <c r="I329" s="59"/>
      <c r="J329" s="59"/>
    </row>
    <row r="330" ht="12.75" customHeight="1">
      <c r="A330" s="59"/>
      <c r="B330" s="59"/>
      <c r="C330" s="59"/>
      <c r="D330" s="59"/>
      <c r="E330" s="59"/>
      <c r="F330" s="59"/>
      <c r="I330" s="59"/>
      <c r="J330" s="59"/>
    </row>
    <row r="331" ht="12.75" customHeight="1">
      <c r="A331" s="59"/>
      <c r="B331" s="59"/>
      <c r="C331" s="59"/>
      <c r="D331" s="59"/>
      <c r="E331" s="59"/>
      <c r="F331" s="59"/>
      <c r="I331" s="59"/>
      <c r="J331" s="59"/>
    </row>
    <row r="332" ht="12.75" customHeight="1">
      <c r="A332" s="59"/>
      <c r="B332" s="59"/>
      <c r="C332" s="59"/>
      <c r="D332" s="59"/>
      <c r="E332" s="59"/>
      <c r="F332" s="59"/>
      <c r="I332" s="59"/>
      <c r="J332" s="59"/>
    </row>
    <row r="333" ht="12.75" customHeight="1">
      <c r="A333" s="59"/>
      <c r="B333" s="59"/>
      <c r="C333" s="59"/>
      <c r="D333" s="59"/>
      <c r="E333" s="59"/>
      <c r="F333" s="59"/>
      <c r="I333" s="59"/>
      <c r="J333" s="59"/>
    </row>
    <row r="334" ht="12.75" customHeight="1">
      <c r="A334" s="59"/>
      <c r="B334" s="59"/>
      <c r="C334" s="59"/>
      <c r="D334" s="59"/>
      <c r="E334" s="59"/>
      <c r="F334" s="59"/>
      <c r="I334" s="59"/>
      <c r="J334" s="59"/>
    </row>
    <row r="335" ht="12.75" customHeight="1">
      <c r="A335" s="59"/>
      <c r="B335" s="59"/>
      <c r="C335" s="59"/>
      <c r="D335" s="59"/>
      <c r="E335" s="59"/>
      <c r="F335" s="59"/>
      <c r="I335" s="59"/>
      <c r="J335" s="59"/>
    </row>
    <row r="336" ht="12.75" customHeight="1">
      <c r="A336" s="59"/>
      <c r="B336" s="59"/>
      <c r="C336" s="59"/>
      <c r="D336" s="59"/>
      <c r="E336" s="59"/>
      <c r="F336" s="59"/>
      <c r="I336" s="59"/>
      <c r="J336" s="59"/>
    </row>
    <row r="337" ht="12.75" customHeight="1">
      <c r="A337" s="59"/>
      <c r="B337" s="59"/>
      <c r="C337" s="59"/>
      <c r="D337" s="59"/>
      <c r="E337" s="59"/>
      <c r="F337" s="59"/>
      <c r="I337" s="59"/>
      <c r="J337" s="59"/>
    </row>
    <row r="338" ht="12.75" customHeight="1">
      <c r="A338" s="59"/>
      <c r="B338" s="59"/>
      <c r="C338" s="59"/>
      <c r="D338" s="59"/>
      <c r="E338" s="59"/>
      <c r="F338" s="59"/>
      <c r="I338" s="59"/>
      <c r="J338" s="59"/>
    </row>
    <row r="339" ht="12.75" customHeight="1">
      <c r="A339" s="59"/>
      <c r="B339" s="59"/>
      <c r="C339" s="59"/>
      <c r="D339" s="59"/>
      <c r="E339" s="59"/>
      <c r="F339" s="59"/>
      <c r="I339" s="59"/>
      <c r="J339" s="59"/>
    </row>
    <row r="340" ht="12.75" customHeight="1">
      <c r="A340" s="59"/>
      <c r="B340" s="59"/>
      <c r="C340" s="59"/>
      <c r="D340" s="59"/>
      <c r="E340" s="59"/>
      <c r="F340" s="59"/>
      <c r="I340" s="59"/>
      <c r="J340" s="59"/>
    </row>
    <row r="341" ht="12.75" customHeight="1">
      <c r="A341" s="59"/>
      <c r="B341" s="59"/>
      <c r="C341" s="59"/>
      <c r="D341" s="59"/>
      <c r="E341" s="59"/>
      <c r="F341" s="59"/>
      <c r="I341" s="59"/>
      <c r="J341" s="59"/>
    </row>
    <row r="342" ht="12.75" customHeight="1">
      <c r="A342" s="59"/>
      <c r="B342" s="59"/>
      <c r="C342" s="59"/>
      <c r="D342" s="59"/>
      <c r="E342" s="59"/>
      <c r="F342" s="59"/>
      <c r="I342" s="59"/>
      <c r="J342" s="59"/>
    </row>
    <row r="343" ht="12.75" customHeight="1">
      <c r="A343" s="59"/>
      <c r="B343" s="59"/>
      <c r="C343" s="59"/>
      <c r="D343" s="59"/>
      <c r="E343" s="59"/>
      <c r="F343" s="59"/>
      <c r="I343" s="59"/>
      <c r="J343" s="59"/>
    </row>
    <row r="344" ht="12.75" customHeight="1">
      <c r="A344" s="59"/>
      <c r="B344" s="59"/>
      <c r="C344" s="59"/>
      <c r="D344" s="59"/>
      <c r="E344" s="59"/>
      <c r="F344" s="59"/>
      <c r="I344" s="59"/>
      <c r="J344" s="59"/>
    </row>
    <row r="345" ht="12.75" customHeight="1">
      <c r="A345" s="59"/>
      <c r="B345" s="59"/>
      <c r="C345" s="59"/>
      <c r="D345" s="59"/>
      <c r="E345" s="59"/>
      <c r="F345" s="59"/>
      <c r="I345" s="59"/>
      <c r="J345" s="59"/>
    </row>
    <row r="346" ht="12.75" customHeight="1">
      <c r="A346" s="59"/>
      <c r="B346" s="59"/>
      <c r="C346" s="59"/>
      <c r="D346" s="59"/>
      <c r="E346" s="59"/>
      <c r="F346" s="59"/>
      <c r="I346" s="59"/>
      <c r="J346" s="59"/>
    </row>
    <row r="347" ht="12.75" customHeight="1">
      <c r="A347" s="59"/>
      <c r="B347" s="59"/>
      <c r="C347" s="59"/>
      <c r="D347" s="59"/>
      <c r="E347" s="59"/>
      <c r="F347" s="59"/>
      <c r="I347" s="59"/>
      <c r="J347" s="59"/>
    </row>
    <row r="348" ht="12.75" customHeight="1">
      <c r="A348" s="59"/>
      <c r="B348" s="59"/>
      <c r="C348" s="59"/>
      <c r="D348" s="59"/>
      <c r="E348" s="59"/>
      <c r="F348" s="59"/>
      <c r="I348" s="59"/>
      <c r="J348" s="59"/>
    </row>
    <row r="349" ht="12.75" customHeight="1">
      <c r="A349" s="59"/>
      <c r="B349" s="59"/>
      <c r="C349" s="59"/>
      <c r="D349" s="59"/>
      <c r="E349" s="59"/>
      <c r="F349" s="59"/>
      <c r="I349" s="59"/>
      <c r="J349" s="59"/>
    </row>
    <row r="350" ht="12.75" customHeight="1">
      <c r="A350" s="59"/>
      <c r="B350" s="59"/>
      <c r="C350" s="59"/>
      <c r="D350" s="59"/>
      <c r="E350" s="59"/>
      <c r="F350" s="59"/>
      <c r="I350" s="59"/>
      <c r="J350" s="59"/>
    </row>
    <row r="351" ht="12.75" customHeight="1">
      <c r="A351" s="59"/>
      <c r="B351" s="59"/>
      <c r="C351" s="59"/>
      <c r="D351" s="59"/>
      <c r="E351" s="59"/>
      <c r="F351" s="59"/>
      <c r="I351" s="59"/>
      <c r="J351" s="59"/>
    </row>
    <row r="352" ht="12.75" customHeight="1">
      <c r="A352" s="59"/>
      <c r="B352" s="59"/>
      <c r="C352" s="59"/>
      <c r="D352" s="59"/>
      <c r="E352" s="59"/>
      <c r="F352" s="59"/>
      <c r="I352" s="59"/>
      <c r="J352" s="59"/>
    </row>
    <row r="353" ht="12.75" customHeight="1">
      <c r="A353" s="59"/>
      <c r="B353" s="59"/>
      <c r="C353" s="59"/>
      <c r="D353" s="59"/>
      <c r="E353" s="59"/>
      <c r="F353" s="59"/>
      <c r="I353" s="59"/>
      <c r="J353" s="59"/>
    </row>
    <row r="354" ht="12.75" customHeight="1">
      <c r="A354" s="59"/>
      <c r="B354" s="59"/>
      <c r="C354" s="59"/>
      <c r="D354" s="59"/>
      <c r="E354" s="59"/>
      <c r="F354" s="59"/>
      <c r="I354" s="59"/>
      <c r="J354" s="59"/>
    </row>
    <row r="355" ht="12.75" customHeight="1">
      <c r="A355" s="59"/>
      <c r="B355" s="59"/>
      <c r="C355" s="59"/>
      <c r="D355" s="59"/>
      <c r="E355" s="59"/>
      <c r="F355" s="59"/>
      <c r="I355" s="59"/>
      <c r="J355" s="59"/>
    </row>
    <row r="356" ht="12.75" customHeight="1">
      <c r="A356" s="59"/>
      <c r="B356" s="59"/>
      <c r="C356" s="59"/>
      <c r="D356" s="59"/>
      <c r="E356" s="59"/>
      <c r="F356" s="59"/>
      <c r="I356" s="59"/>
      <c r="J356" s="59"/>
    </row>
    <row r="357" ht="12.75" customHeight="1">
      <c r="A357" s="59"/>
      <c r="B357" s="59"/>
      <c r="C357" s="59"/>
      <c r="D357" s="59"/>
      <c r="E357" s="59"/>
      <c r="F357" s="59"/>
      <c r="I357" s="59"/>
      <c r="J357" s="59"/>
    </row>
    <row r="358" ht="12.75" customHeight="1">
      <c r="A358" s="59"/>
      <c r="B358" s="59"/>
      <c r="C358" s="59"/>
      <c r="D358" s="59"/>
      <c r="E358" s="59"/>
      <c r="F358" s="59"/>
      <c r="I358" s="59"/>
      <c r="J358" s="59"/>
    </row>
    <row r="359" ht="12.75" customHeight="1">
      <c r="A359" s="59"/>
      <c r="B359" s="59"/>
      <c r="C359" s="59"/>
      <c r="D359" s="59"/>
      <c r="E359" s="59"/>
      <c r="F359" s="59"/>
      <c r="I359" s="59"/>
      <c r="J359" s="59"/>
    </row>
    <row r="360" ht="12.75" customHeight="1">
      <c r="A360" s="59"/>
      <c r="B360" s="59"/>
      <c r="C360" s="59"/>
      <c r="D360" s="59"/>
      <c r="E360" s="59"/>
      <c r="F360" s="59"/>
      <c r="I360" s="59"/>
      <c r="J360" s="59"/>
    </row>
    <row r="361" ht="12.75" customHeight="1">
      <c r="A361" s="59"/>
      <c r="B361" s="59"/>
      <c r="C361" s="59"/>
      <c r="D361" s="59"/>
      <c r="E361" s="59"/>
      <c r="F361" s="59"/>
      <c r="I361" s="59"/>
      <c r="J361" s="59"/>
    </row>
    <row r="362" ht="12.75" customHeight="1">
      <c r="A362" s="59"/>
      <c r="B362" s="59"/>
      <c r="C362" s="59"/>
      <c r="D362" s="59"/>
      <c r="E362" s="59"/>
      <c r="F362" s="59"/>
      <c r="I362" s="59"/>
      <c r="J362" s="59"/>
    </row>
    <row r="363" ht="12.75" customHeight="1">
      <c r="A363" s="59"/>
      <c r="B363" s="59"/>
      <c r="C363" s="59"/>
      <c r="D363" s="59"/>
      <c r="E363" s="59"/>
      <c r="F363" s="59"/>
      <c r="I363" s="59"/>
      <c r="J363" s="59"/>
    </row>
    <row r="364" ht="12.75" customHeight="1">
      <c r="A364" s="59"/>
      <c r="B364" s="59"/>
      <c r="C364" s="59"/>
      <c r="D364" s="59"/>
      <c r="E364" s="59"/>
      <c r="F364" s="59"/>
      <c r="I364" s="59"/>
      <c r="J364" s="59"/>
    </row>
    <row r="365" ht="12.75" customHeight="1">
      <c r="A365" s="59"/>
      <c r="B365" s="59"/>
      <c r="C365" s="59"/>
      <c r="D365" s="59"/>
      <c r="E365" s="59"/>
      <c r="F365" s="59"/>
      <c r="I365" s="59"/>
      <c r="J365" s="59"/>
    </row>
    <row r="366" ht="12.75" customHeight="1">
      <c r="A366" s="59"/>
      <c r="B366" s="59"/>
      <c r="C366" s="59"/>
      <c r="D366" s="59"/>
      <c r="E366" s="59"/>
      <c r="F366" s="59"/>
      <c r="I366" s="59"/>
      <c r="J366" s="59"/>
    </row>
    <row r="367" ht="12.75" customHeight="1">
      <c r="A367" s="59"/>
      <c r="B367" s="59"/>
      <c r="C367" s="59"/>
      <c r="D367" s="59"/>
      <c r="E367" s="59"/>
      <c r="F367" s="59"/>
      <c r="I367" s="59"/>
      <c r="J367" s="59"/>
    </row>
    <row r="368" ht="12.75" customHeight="1">
      <c r="A368" s="59"/>
      <c r="B368" s="59"/>
      <c r="C368" s="59"/>
      <c r="D368" s="59"/>
      <c r="E368" s="59"/>
      <c r="F368" s="59"/>
      <c r="I368" s="59"/>
      <c r="J368" s="59"/>
    </row>
    <row r="369" ht="12.75" customHeight="1">
      <c r="A369" s="59"/>
      <c r="B369" s="59"/>
      <c r="C369" s="59"/>
      <c r="D369" s="59"/>
      <c r="E369" s="59"/>
      <c r="F369" s="59"/>
      <c r="I369" s="59"/>
      <c r="J369" s="59"/>
    </row>
    <row r="370" ht="12.75" customHeight="1">
      <c r="A370" s="59"/>
      <c r="B370" s="59"/>
      <c r="C370" s="59"/>
      <c r="D370" s="59"/>
      <c r="E370" s="59"/>
      <c r="F370" s="59"/>
      <c r="I370" s="59"/>
      <c r="J370" s="59"/>
    </row>
    <row r="371" ht="12.75" customHeight="1">
      <c r="A371" s="59"/>
      <c r="B371" s="59"/>
      <c r="C371" s="59"/>
      <c r="D371" s="59"/>
      <c r="E371" s="59"/>
      <c r="F371" s="59"/>
      <c r="I371" s="59"/>
      <c r="J371" s="59"/>
    </row>
    <row r="372" ht="12.75" customHeight="1">
      <c r="A372" s="59"/>
      <c r="B372" s="59"/>
      <c r="C372" s="59"/>
      <c r="D372" s="59"/>
      <c r="E372" s="59"/>
      <c r="F372" s="59"/>
      <c r="I372" s="59"/>
      <c r="J372" s="59"/>
    </row>
    <row r="373" ht="12.75" customHeight="1">
      <c r="A373" s="59"/>
      <c r="B373" s="59"/>
      <c r="C373" s="59"/>
      <c r="D373" s="59"/>
      <c r="E373" s="59"/>
      <c r="F373" s="59"/>
      <c r="I373" s="59"/>
      <c r="J373" s="59"/>
    </row>
    <row r="374" ht="12.75" customHeight="1">
      <c r="A374" s="59"/>
      <c r="B374" s="59"/>
      <c r="C374" s="59"/>
      <c r="D374" s="59"/>
      <c r="E374" s="59"/>
      <c r="F374" s="59"/>
      <c r="I374" s="59"/>
      <c r="J374" s="59"/>
    </row>
    <row r="375" ht="12.75" customHeight="1">
      <c r="A375" s="59"/>
      <c r="B375" s="59"/>
      <c r="C375" s="59"/>
      <c r="D375" s="59"/>
      <c r="E375" s="59"/>
      <c r="F375" s="59"/>
      <c r="I375" s="59"/>
      <c r="J375" s="59"/>
    </row>
    <row r="376" ht="12.75" customHeight="1">
      <c r="A376" s="59"/>
      <c r="B376" s="59"/>
      <c r="C376" s="59"/>
      <c r="D376" s="59"/>
      <c r="E376" s="59"/>
      <c r="F376" s="59"/>
      <c r="I376" s="59"/>
      <c r="J376" s="59"/>
    </row>
    <row r="377" ht="12.75" customHeight="1">
      <c r="A377" s="59"/>
      <c r="B377" s="59"/>
      <c r="C377" s="59"/>
      <c r="D377" s="59"/>
      <c r="E377" s="59"/>
      <c r="F377" s="59"/>
      <c r="I377" s="59"/>
      <c r="J377" s="59"/>
    </row>
    <row r="378" ht="12.75" customHeight="1">
      <c r="A378" s="59"/>
      <c r="B378" s="59"/>
      <c r="C378" s="59"/>
      <c r="D378" s="59"/>
      <c r="E378" s="59"/>
      <c r="F378" s="59"/>
      <c r="I378" s="59"/>
      <c r="J378" s="59"/>
    </row>
    <row r="379" ht="12.75" customHeight="1">
      <c r="A379" s="59"/>
      <c r="B379" s="59"/>
      <c r="C379" s="59"/>
      <c r="D379" s="59"/>
      <c r="E379" s="59"/>
      <c r="F379" s="59"/>
      <c r="I379" s="59"/>
      <c r="J379" s="59"/>
    </row>
    <row r="380" ht="12.75" customHeight="1">
      <c r="A380" s="59"/>
      <c r="B380" s="59"/>
      <c r="C380" s="59"/>
      <c r="D380" s="59"/>
      <c r="E380" s="59"/>
      <c r="F380" s="59"/>
      <c r="I380" s="59"/>
      <c r="J380" s="59"/>
    </row>
    <row r="381" ht="12.75" customHeight="1">
      <c r="A381" s="59"/>
      <c r="B381" s="59"/>
      <c r="C381" s="59"/>
      <c r="D381" s="59"/>
      <c r="E381" s="59"/>
      <c r="F381" s="59"/>
      <c r="I381" s="59"/>
      <c r="J381" s="59"/>
    </row>
    <row r="382" ht="12.75" customHeight="1">
      <c r="A382" s="59"/>
      <c r="B382" s="59"/>
      <c r="C382" s="59"/>
      <c r="D382" s="59"/>
      <c r="E382" s="59"/>
      <c r="F382" s="59"/>
      <c r="I382" s="59"/>
      <c r="J382" s="59"/>
    </row>
    <row r="383" ht="12.75" customHeight="1">
      <c r="A383" s="59"/>
      <c r="B383" s="59"/>
      <c r="C383" s="59"/>
      <c r="D383" s="59"/>
      <c r="E383" s="59"/>
      <c r="F383" s="59"/>
      <c r="I383" s="59"/>
      <c r="J383" s="59"/>
    </row>
    <row r="384" ht="12.75" customHeight="1">
      <c r="A384" s="59"/>
      <c r="B384" s="59"/>
      <c r="C384" s="59"/>
      <c r="D384" s="59"/>
      <c r="E384" s="59"/>
      <c r="F384" s="59"/>
      <c r="I384" s="59"/>
      <c r="J384" s="59"/>
    </row>
    <row r="385" ht="12.75" customHeight="1">
      <c r="A385" s="59"/>
      <c r="B385" s="59"/>
      <c r="C385" s="59"/>
      <c r="D385" s="59"/>
      <c r="E385" s="59"/>
      <c r="F385" s="59"/>
      <c r="I385" s="59"/>
      <c r="J385" s="59"/>
    </row>
    <row r="386" ht="12.75" customHeight="1">
      <c r="A386" s="59"/>
      <c r="B386" s="59"/>
      <c r="C386" s="59"/>
      <c r="D386" s="59"/>
      <c r="E386" s="59"/>
      <c r="F386" s="59"/>
      <c r="I386" s="59"/>
      <c r="J386" s="59"/>
    </row>
    <row r="387" ht="12.75" customHeight="1">
      <c r="A387" s="59"/>
      <c r="B387" s="59"/>
      <c r="C387" s="59"/>
      <c r="D387" s="59"/>
      <c r="E387" s="59"/>
      <c r="F387" s="59"/>
      <c r="I387" s="59"/>
      <c r="J387" s="59"/>
    </row>
    <row r="388" ht="12.75" customHeight="1">
      <c r="A388" s="59"/>
      <c r="B388" s="59"/>
      <c r="C388" s="59"/>
      <c r="D388" s="59"/>
      <c r="E388" s="59"/>
      <c r="F388" s="59"/>
      <c r="I388" s="59"/>
      <c r="J388" s="59"/>
    </row>
    <row r="389" ht="12.75" customHeight="1">
      <c r="A389" s="59"/>
      <c r="B389" s="59"/>
      <c r="C389" s="59"/>
      <c r="D389" s="59"/>
      <c r="E389" s="59"/>
      <c r="F389" s="59"/>
      <c r="I389" s="59"/>
      <c r="J389" s="59"/>
    </row>
    <row r="390" ht="12.75" customHeight="1">
      <c r="A390" s="59"/>
      <c r="B390" s="59"/>
      <c r="C390" s="59"/>
      <c r="D390" s="59"/>
      <c r="E390" s="59"/>
      <c r="F390" s="59"/>
      <c r="I390" s="59"/>
      <c r="J390" s="59"/>
    </row>
    <row r="391" ht="12.75" customHeight="1">
      <c r="A391" s="59"/>
      <c r="B391" s="59"/>
      <c r="C391" s="59"/>
      <c r="D391" s="59"/>
      <c r="E391" s="59"/>
      <c r="F391" s="59"/>
      <c r="I391" s="59"/>
      <c r="J391" s="59"/>
    </row>
    <row r="392" ht="12.75" customHeight="1">
      <c r="A392" s="59"/>
      <c r="B392" s="59"/>
      <c r="C392" s="59"/>
      <c r="D392" s="59"/>
      <c r="E392" s="59"/>
      <c r="F392" s="59"/>
      <c r="I392" s="59"/>
      <c r="J392" s="59"/>
    </row>
    <row r="393" ht="12.75" customHeight="1">
      <c r="A393" s="59"/>
      <c r="B393" s="59"/>
      <c r="C393" s="59"/>
      <c r="D393" s="59"/>
      <c r="E393" s="59"/>
      <c r="F393" s="59"/>
      <c r="I393" s="59"/>
      <c r="J393" s="59"/>
    </row>
    <row r="394" ht="12.75" customHeight="1">
      <c r="A394" s="59"/>
      <c r="B394" s="59"/>
      <c r="C394" s="59"/>
      <c r="D394" s="59"/>
      <c r="E394" s="59"/>
      <c r="F394" s="59"/>
      <c r="I394" s="59"/>
      <c r="J394" s="59"/>
    </row>
    <row r="395" ht="12.75" customHeight="1">
      <c r="A395" s="59"/>
      <c r="B395" s="59"/>
      <c r="C395" s="59"/>
      <c r="D395" s="59"/>
      <c r="E395" s="59"/>
      <c r="F395" s="59"/>
      <c r="I395" s="59"/>
      <c r="J395" s="59"/>
    </row>
    <row r="396" ht="12.75" customHeight="1">
      <c r="A396" s="59"/>
      <c r="B396" s="59"/>
      <c r="C396" s="59"/>
      <c r="D396" s="59"/>
      <c r="E396" s="59"/>
      <c r="F396" s="59"/>
      <c r="I396" s="59"/>
      <c r="J396" s="59"/>
    </row>
    <row r="397" ht="12.75" customHeight="1">
      <c r="A397" s="59"/>
      <c r="B397" s="59"/>
      <c r="C397" s="59"/>
      <c r="D397" s="59"/>
      <c r="E397" s="59"/>
      <c r="F397" s="59"/>
      <c r="I397" s="59"/>
      <c r="J397" s="59"/>
    </row>
    <row r="398" ht="12.75" customHeight="1">
      <c r="A398" s="59"/>
      <c r="B398" s="59"/>
      <c r="C398" s="59"/>
      <c r="D398" s="59"/>
      <c r="E398" s="59"/>
      <c r="F398" s="59"/>
      <c r="I398" s="59"/>
      <c r="J398" s="59"/>
    </row>
    <row r="399" ht="12.75" customHeight="1">
      <c r="A399" s="59"/>
      <c r="B399" s="59"/>
      <c r="C399" s="59"/>
      <c r="D399" s="59"/>
      <c r="E399" s="59"/>
      <c r="F399" s="59"/>
      <c r="I399" s="59"/>
      <c r="J399" s="59"/>
    </row>
    <row r="400" ht="12.75" customHeight="1">
      <c r="A400" s="59"/>
      <c r="B400" s="59"/>
      <c r="C400" s="59"/>
      <c r="D400" s="59"/>
      <c r="E400" s="59"/>
      <c r="F400" s="59"/>
      <c r="I400" s="59"/>
      <c r="J400" s="59"/>
    </row>
    <row r="401" ht="12.75" customHeight="1">
      <c r="A401" s="59"/>
      <c r="B401" s="59"/>
      <c r="C401" s="59"/>
      <c r="D401" s="59"/>
      <c r="E401" s="59"/>
      <c r="F401" s="59"/>
      <c r="I401" s="59"/>
      <c r="J401" s="59"/>
    </row>
    <row r="402" ht="12.75" customHeight="1">
      <c r="A402" s="59"/>
      <c r="B402" s="59"/>
      <c r="C402" s="59"/>
      <c r="D402" s="59"/>
      <c r="E402" s="59"/>
      <c r="F402" s="59"/>
      <c r="I402" s="59"/>
      <c r="J402" s="59"/>
    </row>
    <row r="403" ht="12.75" customHeight="1">
      <c r="A403" s="59"/>
      <c r="B403" s="59"/>
      <c r="C403" s="59"/>
      <c r="D403" s="59"/>
      <c r="E403" s="59"/>
      <c r="F403" s="59"/>
      <c r="I403" s="59"/>
      <c r="J403" s="59"/>
    </row>
    <row r="404" ht="12.75" customHeight="1">
      <c r="A404" s="59"/>
      <c r="B404" s="59"/>
      <c r="C404" s="59"/>
      <c r="D404" s="59"/>
      <c r="E404" s="59"/>
      <c r="F404" s="59"/>
      <c r="I404" s="59"/>
      <c r="J404" s="59"/>
    </row>
    <row r="405" ht="12.75" customHeight="1">
      <c r="A405" s="59"/>
      <c r="B405" s="59"/>
      <c r="C405" s="59"/>
      <c r="D405" s="59"/>
      <c r="E405" s="59"/>
      <c r="F405" s="59"/>
      <c r="I405" s="59"/>
      <c r="J405" s="59"/>
    </row>
    <row r="406" ht="12.75" customHeight="1">
      <c r="A406" s="59"/>
      <c r="B406" s="59"/>
      <c r="C406" s="59"/>
      <c r="D406" s="59"/>
      <c r="E406" s="59"/>
      <c r="F406" s="59"/>
      <c r="I406" s="59"/>
      <c r="J406" s="59"/>
    </row>
    <row r="407" ht="12.75" customHeight="1">
      <c r="A407" s="59"/>
      <c r="B407" s="59"/>
      <c r="C407" s="59"/>
      <c r="D407" s="59"/>
      <c r="E407" s="59"/>
      <c r="F407" s="59"/>
      <c r="I407" s="59"/>
      <c r="J407" s="59"/>
    </row>
    <row r="408" ht="12.75" customHeight="1">
      <c r="A408" s="59"/>
      <c r="B408" s="59"/>
      <c r="C408" s="59"/>
      <c r="D408" s="59"/>
      <c r="E408" s="59"/>
      <c r="F408" s="59"/>
      <c r="I408" s="59"/>
      <c r="J408" s="59"/>
    </row>
    <row r="409" ht="12.75" customHeight="1">
      <c r="A409" s="59"/>
      <c r="B409" s="59"/>
      <c r="C409" s="59"/>
      <c r="D409" s="59"/>
      <c r="E409" s="59"/>
      <c r="F409" s="59"/>
      <c r="I409" s="59"/>
      <c r="J409" s="59"/>
    </row>
    <row r="410" ht="12.75" customHeight="1">
      <c r="A410" s="59"/>
      <c r="B410" s="59"/>
      <c r="C410" s="59"/>
      <c r="D410" s="59"/>
      <c r="E410" s="59"/>
      <c r="F410" s="59"/>
      <c r="I410" s="59"/>
      <c r="J410" s="59"/>
    </row>
    <row r="411" ht="12.75" customHeight="1">
      <c r="A411" s="59"/>
      <c r="B411" s="59"/>
      <c r="C411" s="59"/>
      <c r="D411" s="59"/>
      <c r="E411" s="59"/>
      <c r="F411" s="59"/>
      <c r="I411" s="59"/>
      <c r="J411" s="59"/>
    </row>
    <row r="412" ht="12.75" customHeight="1">
      <c r="A412" s="59"/>
      <c r="B412" s="59"/>
      <c r="C412" s="59"/>
      <c r="D412" s="59"/>
      <c r="E412" s="59"/>
      <c r="F412" s="59"/>
      <c r="I412" s="59"/>
      <c r="J412" s="59"/>
    </row>
    <row r="413" ht="12.75" customHeight="1">
      <c r="A413" s="59"/>
      <c r="B413" s="59"/>
      <c r="C413" s="59"/>
      <c r="D413" s="59"/>
      <c r="E413" s="59"/>
      <c r="F413" s="59"/>
      <c r="I413" s="59"/>
      <c r="J413" s="59"/>
    </row>
    <row r="414" ht="12.75" customHeight="1">
      <c r="A414" s="59"/>
      <c r="B414" s="59"/>
      <c r="C414" s="59"/>
      <c r="D414" s="59"/>
      <c r="E414" s="59"/>
      <c r="F414" s="59"/>
      <c r="I414" s="59"/>
      <c r="J414" s="59"/>
    </row>
    <row r="415" ht="12.75" customHeight="1">
      <c r="A415" s="59"/>
      <c r="B415" s="59"/>
      <c r="C415" s="59"/>
      <c r="D415" s="59"/>
      <c r="E415" s="59"/>
      <c r="F415" s="59"/>
      <c r="I415" s="59"/>
      <c r="J415" s="59"/>
    </row>
    <row r="416" ht="12.75" customHeight="1">
      <c r="A416" s="59"/>
      <c r="B416" s="59"/>
      <c r="C416" s="59"/>
      <c r="D416" s="59"/>
      <c r="E416" s="59"/>
      <c r="F416" s="59"/>
      <c r="I416" s="59"/>
      <c r="J416" s="59"/>
    </row>
    <row r="417" ht="12.75" customHeight="1">
      <c r="A417" s="59"/>
      <c r="B417" s="59"/>
      <c r="C417" s="59"/>
      <c r="D417" s="59"/>
      <c r="E417" s="59"/>
      <c r="F417" s="59"/>
      <c r="I417" s="59"/>
      <c r="J417" s="59"/>
    </row>
    <row r="418" ht="12.75" customHeight="1">
      <c r="A418" s="59"/>
      <c r="B418" s="59"/>
      <c r="C418" s="59"/>
      <c r="D418" s="59"/>
      <c r="E418" s="59"/>
      <c r="F418" s="59"/>
      <c r="I418" s="59"/>
      <c r="J418" s="59"/>
    </row>
    <row r="419" ht="12.75" customHeight="1">
      <c r="A419" s="59"/>
      <c r="B419" s="59"/>
      <c r="C419" s="59"/>
      <c r="D419" s="59"/>
      <c r="E419" s="59"/>
      <c r="F419" s="59"/>
      <c r="I419" s="59"/>
      <c r="J419" s="59"/>
    </row>
    <row r="420" ht="12.75" customHeight="1">
      <c r="A420" s="59"/>
      <c r="B420" s="59"/>
      <c r="C420" s="59"/>
      <c r="D420" s="59"/>
      <c r="E420" s="59"/>
      <c r="F420" s="59"/>
      <c r="I420" s="59"/>
      <c r="J420" s="59"/>
    </row>
    <row r="421" ht="12.75" customHeight="1">
      <c r="A421" s="59"/>
      <c r="B421" s="59"/>
      <c r="C421" s="59"/>
      <c r="D421" s="59"/>
      <c r="E421" s="59"/>
      <c r="F421" s="59"/>
      <c r="I421" s="59"/>
      <c r="J421" s="59"/>
    </row>
    <row r="422" ht="12.75" customHeight="1">
      <c r="A422" s="59"/>
      <c r="B422" s="59"/>
      <c r="C422" s="59"/>
      <c r="D422" s="59"/>
      <c r="E422" s="59"/>
      <c r="F422" s="59"/>
      <c r="I422" s="59"/>
      <c r="J422" s="59"/>
    </row>
    <row r="423" ht="12.75" customHeight="1">
      <c r="A423" s="59"/>
      <c r="B423" s="59"/>
      <c r="C423" s="59"/>
      <c r="D423" s="59"/>
      <c r="E423" s="59"/>
      <c r="F423" s="59"/>
      <c r="I423" s="59"/>
      <c r="J423" s="59"/>
    </row>
    <row r="424" ht="12.75" customHeight="1">
      <c r="A424" s="59"/>
      <c r="B424" s="59"/>
      <c r="C424" s="59"/>
      <c r="D424" s="59"/>
      <c r="E424" s="59"/>
      <c r="F424" s="59"/>
      <c r="I424" s="59"/>
      <c r="J424" s="59"/>
    </row>
    <row r="425" ht="12.75" customHeight="1">
      <c r="A425" s="59"/>
      <c r="B425" s="59"/>
      <c r="C425" s="59"/>
      <c r="D425" s="59"/>
      <c r="E425" s="59"/>
      <c r="F425" s="59"/>
      <c r="I425" s="59"/>
      <c r="J425" s="59"/>
    </row>
    <row r="426" ht="12.75" customHeight="1">
      <c r="A426" s="59"/>
      <c r="B426" s="59"/>
      <c r="C426" s="59"/>
      <c r="D426" s="59"/>
      <c r="E426" s="59"/>
      <c r="F426" s="59"/>
      <c r="I426" s="59"/>
      <c r="J426" s="59"/>
    </row>
    <row r="427" ht="12.75" customHeight="1">
      <c r="A427" s="59"/>
      <c r="B427" s="59"/>
      <c r="C427" s="59"/>
      <c r="D427" s="59"/>
      <c r="E427" s="59"/>
      <c r="F427" s="59"/>
      <c r="I427" s="59"/>
      <c r="J427" s="59"/>
    </row>
    <row r="428" ht="12.75" customHeight="1">
      <c r="A428" s="59"/>
      <c r="B428" s="59"/>
      <c r="C428" s="59"/>
      <c r="D428" s="59"/>
      <c r="E428" s="59"/>
      <c r="F428" s="59"/>
      <c r="I428" s="59"/>
      <c r="J428" s="59"/>
    </row>
    <row r="429" ht="12.75" customHeight="1">
      <c r="A429" s="59"/>
      <c r="B429" s="59"/>
      <c r="C429" s="59"/>
      <c r="D429" s="59"/>
      <c r="E429" s="59"/>
      <c r="F429" s="59"/>
      <c r="I429" s="59"/>
      <c r="J429" s="59"/>
    </row>
    <row r="430" ht="12.75" customHeight="1">
      <c r="A430" s="59"/>
      <c r="B430" s="59"/>
      <c r="C430" s="59"/>
      <c r="D430" s="59"/>
      <c r="E430" s="59"/>
      <c r="F430" s="59"/>
      <c r="I430" s="59"/>
      <c r="J430" s="59"/>
    </row>
    <row r="431" ht="12.75" customHeight="1">
      <c r="A431" s="59"/>
      <c r="B431" s="59"/>
      <c r="C431" s="59"/>
      <c r="D431" s="59"/>
      <c r="E431" s="59"/>
      <c r="F431" s="59"/>
      <c r="I431" s="59"/>
      <c r="J431" s="59"/>
    </row>
    <row r="432" ht="12.75" customHeight="1">
      <c r="A432" s="59"/>
      <c r="B432" s="59"/>
      <c r="C432" s="59"/>
      <c r="D432" s="59"/>
      <c r="E432" s="59"/>
      <c r="F432" s="59"/>
      <c r="I432" s="59"/>
      <c r="J432" s="59"/>
    </row>
    <row r="433" ht="12.75" customHeight="1">
      <c r="A433" s="59"/>
      <c r="B433" s="59"/>
      <c r="C433" s="59"/>
      <c r="D433" s="59"/>
      <c r="E433" s="59"/>
      <c r="F433" s="59"/>
      <c r="I433" s="59"/>
      <c r="J433" s="59"/>
    </row>
    <row r="434" ht="12.75" customHeight="1">
      <c r="A434" s="59"/>
      <c r="B434" s="59"/>
      <c r="C434" s="59"/>
      <c r="D434" s="59"/>
      <c r="E434" s="59"/>
      <c r="F434" s="59"/>
      <c r="I434" s="59"/>
      <c r="J434" s="59"/>
    </row>
    <row r="435" ht="12.75" customHeight="1">
      <c r="A435" s="59"/>
      <c r="B435" s="59"/>
      <c r="C435" s="59"/>
      <c r="D435" s="59"/>
      <c r="E435" s="59"/>
      <c r="F435" s="59"/>
      <c r="I435" s="59"/>
      <c r="J435" s="59"/>
    </row>
    <row r="436" ht="12.75" customHeight="1">
      <c r="A436" s="59"/>
      <c r="B436" s="59"/>
      <c r="C436" s="59"/>
      <c r="D436" s="59"/>
      <c r="E436" s="59"/>
      <c r="F436" s="59"/>
      <c r="I436" s="59"/>
      <c r="J436" s="59"/>
    </row>
    <row r="437" ht="12.75" customHeight="1">
      <c r="A437" s="59"/>
      <c r="B437" s="59"/>
      <c r="C437" s="59"/>
      <c r="D437" s="59"/>
      <c r="E437" s="59"/>
      <c r="F437" s="59"/>
      <c r="I437" s="59"/>
      <c r="J437" s="59"/>
    </row>
    <row r="438" ht="12.75" customHeight="1">
      <c r="A438" s="59"/>
      <c r="B438" s="59"/>
      <c r="C438" s="59"/>
      <c r="D438" s="59"/>
      <c r="E438" s="59"/>
      <c r="F438" s="59"/>
      <c r="I438" s="59"/>
      <c r="J438" s="59"/>
    </row>
    <row r="439" ht="12.75" customHeight="1">
      <c r="A439" s="59"/>
      <c r="B439" s="59"/>
      <c r="C439" s="59"/>
      <c r="D439" s="59"/>
      <c r="E439" s="59"/>
      <c r="F439" s="59"/>
      <c r="I439" s="59"/>
      <c r="J439" s="59"/>
    </row>
    <row r="440" ht="12.75" customHeight="1">
      <c r="A440" s="59"/>
      <c r="B440" s="59"/>
      <c r="C440" s="59"/>
      <c r="D440" s="59"/>
      <c r="E440" s="59"/>
      <c r="F440" s="59"/>
      <c r="I440" s="59"/>
      <c r="J440" s="59"/>
    </row>
    <row r="441" ht="12.75" customHeight="1">
      <c r="A441" s="59"/>
      <c r="B441" s="59"/>
      <c r="C441" s="59"/>
      <c r="D441" s="59"/>
      <c r="E441" s="59"/>
      <c r="F441" s="59"/>
      <c r="I441" s="59"/>
      <c r="J441" s="59"/>
    </row>
    <row r="442" ht="12.75" customHeight="1">
      <c r="A442" s="59"/>
      <c r="B442" s="59"/>
      <c r="C442" s="59"/>
      <c r="D442" s="59"/>
      <c r="E442" s="59"/>
      <c r="F442" s="59"/>
      <c r="I442" s="59"/>
      <c r="J442" s="59"/>
    </row>
    <row r="443" ht="12.75" customHeight="1">
      <c r="A443" s="59"/>
      <c r="B443" s="59"/>
      <c r="C443" s="59"/>
      <c r="D443" s="59"/>
      <c r="E443" s="59"/>
      <c r="F443" s="59"/>
      <c r="I443" s="59"/>
      <c r="J443" s="59"/>
    </row>
    <row r="444" ht="12.75" customHeight="1">
      <c r="A444" s="59"/>
      <c r="B444" s="59"/>
      <c r="C444" s="59"/>
      <c r="D444" s="59"/>
      <c r="E444" s="59"/>
      <c r="F444" s="59"/>
      <c r="I444" s="59"/>
      <c r="J444" s="59"/>
    </row>
    <row r="445" ht="12.75" customHeight="1">
      <c r="A445" s="59"/>
      <c r="B445" s="59"/>
      <c r="C445" s="59"/>
      <c r="D445" s="59"/>
      <c r="E445" s="59"/>
      <c r="F445" s="59"/>
      <c r="I445" s="59"/>
      <c r="J445" s="59"/>
    </row>
    <row r="446" ht="12.75" customHeight="1">
      <c r="A446" s="59"/>
      <c r="B446" s="59"/>
      <c r="C446" s="59"/>
      <c r="D446" s="59"/>
      <c r="E446" s="59"/>
      <c r="F446" s="59"/>
      <c r="I446" s="59"/>
      <c r="J446" s="59"/>
    </row>
    <row r="447" ht="12.75" customHeight="1">
      <c r="A447" s="59"/>
      <c r="B447" s="59"/>
      <c r="C447" s="59"/>
      <c r="D447" s="59"/>
      <c r="E447" s="59"/>
      <c r="F447" s="59"/>
      <c r="I447" s="59"/>
      <c r="J447" s="59"/>
    </row>
    <row r="448" ht="12.75" customHeight="1">
      <c r="A448" s="59"/>
      <c r="B448" s="59"/>
      <c r="C448" s="59"/>
      <c r="D448" s="59"/>
      <c r="E448" s="59"/>
      <c r="F448" s="59"/>
      <c r="I448" s="59"/>
      <c r="J448" s="59"/>
    </row>
    <row r="449" ht="12.75" customHeight="1">
      <c r="A449" s="59"/>
      <c r="B449" s="59"/>
      <c r="C449" s="59"/>
      <c r="D449" s="59"/>
      <c r="E449" s="59"/>
      <c r="F449" s="59"/>
      <c r="I449" s="59"/>
      <c r="J449" s="59"/>
    </row>
    <row r="450" ht="12.75" customHeight="1">
      <c r="A450" s="59"/>
      <c r="B450" s="59"/>
      <c r="C450" s="59"/>
      <c r="D450" s="59"/>
      <c r="E450" s="59"/>
      <c r="F450" s="59"/>
      <c r="I450" s="59"/>
      <c r="J450" s="59"/>
    </row>
    <row r="451" ht="12.75" customHeight="1">
      <c r="A451" s="59"/>
      <c r="B451" s="59"/>
      <c r="C451" s="59"/>
      <c r="D451" s="59"/>
      <c r="E451" s="59"/>
      <c r="F451" s="59"/>
      <c r="I451" s="59"/>
      <c r="J451" s="59"/>
    </row>
    <row r="452" ht="12.75" customHeight="1">
      <c r="A452" s="59"/>
      <c r="B452" s="59"/>
      <c r="C452" s="59"/>
      <c r="D452" s="59"/>
      <c r="E452" s="59"/>
      <c r="F452" s="59"/>
      <c r="I452" s="59"/>
      <c r="J452" s="59"/>
    </row>
    <row r="453" ht="12.75" customHeight="1">
      <c r="A453" s="59"/>
      <c r="B453" s="59"/>
      <c r="C453" s="59"/>
      <c r="D453" s="59"/>
      <c r="E453" s="59"/>
      <c r="F453" s="59"/>
      <c r="I453" s="59"/>
      <c r="J453" s="59"/>
    </row>
    <row r="454" ht="12.75" customHeight="1">
      <c r="A454" s="59"/>
      <c r="B454" s="59"/>
      <c r="C454" s="59"/>
      <c r="D454" s="59"/>
      <c r="E454" s="59"/>
      <c r="F454" s="59"/>
      <c r="I454" s="59"/>
      <c r="J454" s="59"/>
    </row>
    <row r="455" ht="12.75" customHeight="1">
      <c r="A455" s="59"/>
      <c r="B455" s="59"/>
      <c r="C455" s="59"/>
      <c r="D455" s="59"/>
      <c r="E455" s="59"/>
      <c r="F455" s="59"/>
      <c r="I455" s="59"/>
      <c r="J455" s="59"/>
    </row>
    <row r="456" ht="12.75" customHeight="1">
      <c r="A456" s="59"/>
      <c r="B456" s="59"/>
      <c r="C456" s="59"/>
      <c r="D456" s="59"/>
      <c r="E456" s="59"/>
      <c r="F456" s="59"/>
      <c r="I456" s="59"/>
      <c r="J456" s="59"/>
    </row>
    <row r="457" ht="12.75" customHeight="1">
      <c r="A457" s="59"/>
      <c r="B457" s="59"/>
      <c r="C457" s="59"/>
      <c r="D457" s="59"/>
      <c r="E457" s="59"/>
      <c r="F457" s="59"/>
      <c r="I457" s="59"/>
      <c r="J457" s="59"/>
    </row>
    <row r="458" ht="12.75" customHeight="1">
      <c r="A458" s="59"/>
      <c r="B458" s="59"/>
      <c r="C458" s="59"/>
      <c r="D458" s="59"/>
      <c r="E458" s="59"/>
      <c r="F458" s="59"/>
      <c r="I458" s="59"/>
      <c r="J458" s="59"/>
    </row>
    <row r="459" ht="12.75" customHeight="1">
      <c r="A459" s="59"/>
      <c r="B459" s="59"/>
      <c r="C459" s="59"/>
      <c r="D459" s="59"/>
      <c r="E459" s="59"/>
      <c r="F459" s="59"/>
      <c r="I459" s="59"/>
      <c r="J459" s="59"/>
    </row>
    <row r="460" ht="12.75" customHeight="1">
      <c r="A460" s="59"/>
      <c r="B460" s="59"/>
      <c r="C460" s="59"/>
      <c r="D460" s="59"/>
      <c r="E460" s="59"/>
      <c r="F460" s="59"/>
      <c r="I460" s="59"/>
      <c r="J460" s="59"/>
    </row>
    <row r="461" ht="12.75" customHeight="1">
      <c r="A461" s="59"/>
      <c r="B461" s="59"/>
      <c r="C461" s="59"/>
      <c r="D461" s="59"/>
      <c r="E461" s="59"/>
      <c r="F461" s="59"/>
      <c r="I461" s="59"/>
      <c r="J461" s="59"/>
    </row>
    <row r="462" ht="12.75" customHeight="1">
      <c r="A462" s="59"/>
      <c r="B462" s="59"/>
      <c r="C462" s="59"/>
      <c r="D462" s="59"/>
      <c r="E462" s="59"/>
      <c r="F462" s="59"/>
      <c r="I462" s="59"/>
      <c r="J462" s="59"/>
    </row>
    <row r="463" ht="12.75" customHeight="1">
      <c r="A463" s="59"/>
      <c r="B463" s="59"/>
      <c r="C463" s="59"/>
      <c r="D463" s="59"/>
      <c r="E463" s="59"/>
      <c r="F463" s="59"/>
      <c r="I463" s="59"/>
      <c r="J463" s="59"/>
    </row>
    <row r="464" ht="12.75" customHeight="1">
      <c r="A464" s="59"/>
      <c r="B464" s="59"/>
      <c r="C464" s="59"/>
      <c r="D464" s="59"/>
      <c r="E464" s="59"/>
      <c r="F464" s="59"/>
      <c r="I464" s="59"/>
      <c r="J464" s="59"/>
    </row>
    <row r="465" ht="12.75" customHeight="1">
      <c r="A465" s="59"/>
      <c r="B465" s="59"/>
      <c r="C465" s="59"/>
      <c r="D465" s="59"/>
      <c r="E465" s="59"/>
      <c r="F465" s="59"/>
      <c r="I465" s="59"/>
      <c r="J465" s="59"/>
    </row>
    <row r="466" ht="12.75" customHeight="1">
      <c r="A466" s="59"/>
      <c r="B466" s="59"/>
      <c r="C466" s="59"/>
      <c r="D466" s="59"/>
      <c r="E466" s="59"/>
      <c r="F466" s="59"/>
      <c r="I466" s="59"/>
      <c r="J466" s="59"/>
    </row>
    <row r="467" ht="12.75" customHeight="1">
      <c r="A467" s="59"/>
      <c r="B467" s="59"/>
      <c r="C467" s="59"/>
      <c r="D467" s="59"/>
      <c r="E467" s="59"/>
      <c r="F467" s="59"/>
      <c r="I467" s="59"/>
      <c r="J467" s="59"/>
    </row>
    <row r="468" ht="12.75" customHeight="1">
      <c r="A468" s="59"/>
      <c r="B468" s="59"/>
      <c r="C468" s="59"/>
      <c r="D468" s="59"/>
      <c r="E468" s="59"/>
      <c r="F468" s="59"/>
      <c r="I468" s="59"/>
      <c r="J468" s="59"/>
    </row>
    <row r="469" ht="12.75" customHeight="1">
      <c r="A469" s="59"/>
      <c r="B469" s="59"/>
      <c r="C469" s="59"/>
      <c r="D469" s="59"/>
      <c r="E469" s="59"/>
      <c r="F469" s="59"/>
      <c r="I469" s="59"/>
      <c r="J469" s="59"/>
    </row>
    <row r="470" ht="12.75" customHeight="1">
      <c r="A470" s="59"/>
      <c r="B470" s="59"/>
      <c r="C470" s="59"/>
      <c r="D470" s="59"/>
      <c r="E470" s="59"/>
      <c r="F470" s="59"/>
      <c r="I470" s="59"/>
      <c r="J470" s="59"/>
    </row>
    <row r="471" ht="12.75" customHeight="1">
      <c r="A471" s="59"/>
      <c r="B471" s="59"/>
      <c r="C471" s="59"/>
      <c r="D471" s="59"/>
      <c r="E471" s="59"/>
      <c r="F471" s="59"/>
      <c r="I471" s="59"/>
      <c r="J471" s="59"/>
    </row>
    <row r="472" ht="12.75" customHeight="1">
      <c r="A472" s="59"/>
      <c r="B472" s="59"/>
      <c r="C472" s="59"/>
      <c r="D472" s="59"/>
      <c r="E472" s="59"/>
      <c r="F472" s="59"/>
      <c r="I472" s="59"/>
      <c r="J472" s="59"/>
    </row>
    <row r="473" ht="12.75" customHeight="1">
      <c r="A473" s="59"/>
      <c r="B473" s="59"/>
      <c r="C473" s="59"/>
      <c r="D473" s="59"/>
      <c r="E473" s="59"/>
      <c r="F473" s="59"/>
      <c r="I473" s="59"/>
      <c r="J473" s="59"/>
    </row>
    <row r="474" ht="12.75" customHeight="1">
      <c r="A474" s="59"/>
      <c r="B474" s="59"/>
      <c r="C474" s="59"/>
      <c r="D474" s="59"/>
      <c r="E474" s="59"/>
      <c r="F474" s="59"/>
      <c r="I474" s="59"/>
      <c r="J474" s="59"/>
    </row>
    <row r="475" ht="12.75" customHeight="1">
      <c r="A475" s="59"/>
      <c r="B475" s="59"/>
      <c r="C475" s="59"/>
      <c r="D475" s="59"/>
      <c r="E475" s="59"/>
      <c r="F475" s="59"/>
      <c r="I475" s="59"/>
      <c r="J475" s="59"/>
    </row>
    <row r="476" ht="12.75" customHeight="1">
      <c r="A476" s="59"/>
      <c r="B476" s="59"/>
      <c r="C476" s="59"/>
      <c r="D476" s="59"/>
      <c r="E476" s="59"/>
      <c r="F476" s="59"/>
      <c r="I476" s="59"/>
      <c r="J476" s="59"/>
    </row>
    <row r="477" ht="12.75" customHeight="1">
      <c r="A477" s="59"/>
      <c r="B477" s="59"/>
      <c r="C477" s="59"/>
      <c r="D477" s="59"/>
      <c r="E477" s="59"/>
      <c r="F477" s="59"/>
      <c r="I477" s="59"/>
      <c r="J477" s="59"/>
    </row>
    <row r="478" ht="12.75" customHeight="1">
      <c r="A478" s="59"/>
      <c r="B478" s="59"/>
      <c r="C478" s="59"/>
      <c r="D478" s="59"/>
      <c r="E478" s="59"/>
      <c r="F478" s="59"/>
      <c r="I478" s="59"/>
      <c r="J478" s="59"/>
    </row>
    <row r="479" ht="12.75" customHeight="1">
      <c r="A479" s="59"/>
      <c r="B479" s="59"/>
      <c r="C479" s="59"/>
      <c r="D479" s="59"/>
      <c r="E479" s="59"/>
      <c r="F479" s="59"/>
      <c r="I479" s="59"/>
      <c r="J479" s="59"/>
    </row>
    <row r="480" ht="12.75" customHeight="1">
      <c r="A480" s="59"/>
      <c r="B480" s="59"/>
      <c r="C480" s="59"/>
      <c r="D480" s="59"/>
      <c r="E480" s="59"/>
      <c r="F480" s="59"/>
      <c r="I480" s="59"/>
      <c r="J480" s="59"/>
    </row>
    <row r="481" ht="12.75" customHeight="1">
      <c r="A481" s="59"/>
      <c r="B481" s="59"/>
      <c r="C481" s="59"/>
      <c r="D481" s="59"/>
      <c r="E481" s="59"/>
      <c r="F481" s="59"/>
      <c r="I481" s="59"/>
      <c r="J481" s="59"/>
    </row>
    <row r="482" ht="12.75" customHeight="1">
      <c r="A482" s="59"/>
      <c r="B482" s="59"/>
      <c r="C482" s="59"/>
      <c r="D482" s="59"/>
      <c r="E482" s="59"/>
      <c r="F482" s="59"/>
      <c r="I482" s="59"/>
      <c r="J482" s="59"/>
    </row>
    <row r="483" ht="12.75" customHeight="1">
      <c r="A483" s="59"/>
      <c r="B483" s="59"/>
      <c r="C483" s="59"/>
      <c r="D483" s="59"/>
      <c r="E483" s="59"/>
      <c r="F483" s="59"/>
      <c r="I483" s="59"/>
      <c r="J483" s="59"/>
    </row>
    <row r="484" ht="12.75" customHeight="1">
      <c r="A484" s="59"/>
      <c r="B484" s="59"/>
      <c r="C484" s="59"/>
      <c r="D484" s="59"/>
      <c r="E484" s="59"/>
      <c r="F484" s="59"/>
      <c r="I484" s="59"/>
      <c r="J484" s="59"/>
    </row>
    <row r="485" ht="12.75" customHeight="1">
      <c r="A485" s="59"/>
      <c r="B485" s="59"/>
      <c r="C485" s="59"/>
      <c r="D485" s="59"/>
      <c r="E485" s="59"/>
      <c r="F485" s="59"/>
      <c r="I485" s="59"/>
      <c r="J485" s="59"/>
    </row>
    <row r="486" ht="12.75" customHeight="1">
      <c r="A486" s="59"/>
      <c r="B486" s="59"/>
      <c r="C486" s="59"/>
      <c r="D486" s="59"/>
      <c r="E486" s="59"/>
      <c r="F486" s="59"/>
      <c r="I486" s="59"/>
      <c r="J486" s="59"/>
    </row>
    <row r="487" ht="12.75" customHeight="1">
      <c r="A487" s="59"/>
      <c r="B487" s="59"/>
      <c r="C487" s="59"/>
      <c r="D487" s="59"/>
      <c r="E487" s="59"/>
      <c r="F487" s="59"/>
      <c r="I487" s="59"/>
      <c r="J487" s="59"/>
    </row>
    <row r="488" ht="12.75" customHeight="1">
      <c r="A488" s="59"/>
      <c r="B488" s="59"/>
      <c r="C488" s="59"/>
      <c r="D488" s="59"/>
      <c r="E488" s="59"/>
      <c r="F488" s="59"/>
      <c r="I488" s="59"/>
      <c r="J488" s="59"/>
    </row>
    <row r="489" ht="12.75" customHeight="1">
      <c r="A489" s="59"/>
      <c r="B489" s="59"/>
      <c r="C489" s="59"/>
      <c r="D489" s="59"/>
      <c r="E489" s="59"/>
      <c r="F489" s="59"/>
      <c r="I489" s="59"/>
      <c r="J489" s="59"/>
    </row>
    <row r="490" ht="12.75" customHeight="1">
      <c r="A490" s="59"/>
      <c r="B490" s="59"/>
      <c r="C490" s="59"/>
      <c r="D490" s="59"/>
      <c r="E490" s="59"/>
      <c r="F490" s="59"/>
      <c r="I490" s="59"/>
      <c r="J490" s="59"/>
    </row>
    <row r="491" ht="12.75" customHeight="1">
      <c r="A491" s="59"/>
      <c r="B491" s="59"/>
      <c r="C491" s="59"/>
      <c r="D491" s="59"/>
      <c r="E491" s="59"/>
      <c r="F491" s="59"/>
      <c r="I491" s="59"/>
      <c r="J491" s="59"/>
    </row>
    <row r="492" ht="12.75" customHeight="1">
      <c r="A492" s="59"/>
      <c r="B492" s="59"/>
      <c r="C492" s="59"/>
      <c r="D492" s="59"/>
      <c r="E492" s="59"/>
      <c r="F492" s="59"/>
      <c r="I492" s="59"/>
      <c r="J492" s="59"/>
    </row>
    <row r="493" ht="12.75" customHeight="1">
      <c r="A493" s="59"/>
      <c r="B493" s="59"/>
      <c r="C493" s="59"/>
      <c r="D493" s="59"/>
      <c r="E493" s="59"/>
      <c r="F493" s="59"/>
      <c r="I493" s="59"/>
      <c r="J493" s="59"/>
    </row>
    <row r="494" ht="12.75" customHeight="1">
      <c r="A494" s="59"/>
      <c r="B494" s="59"/>
      <c r="C494" s="59"/>
      <c r="D494" s="59"/>
      <c r="E494" s="59"/>
      <c r="F494" s="59"/>
      <c r="I494" s="59"/>
      <c r="J494" s="59"/>
    </row>
    <row r="495" ht="12.75" customHeight="1">
      <c r="A495" s="59"/>
      <c r="B495" s="59"/>
      <c r="C495" s="59"/>
      <c r="D495" s="59"/>
      <c r="E495" s="59"/>
      <c r="F495" s="59"/>
      <c r="I495" s="59"/>
      <c r="J495" s="59"/>
    </row>
    <row r="496" ht="12.75" customHeight="1">
      <c r="A496" s="59"/>
      <c r="B496" s="59"/>
      <c r="C496" s="59"/>
      <c r="D496" s="59"/>
      <c r="E496" s="59"/>
      <c r="F496" s="59"/>
      <c r="I496" s="59"/>
      <c r="J496" s="59"/>
    </row>
    <row r="497" ht="12.75" customHeight="1">
      <c r="A497" s="59"/>
      <c r="B497" s="59"/>
      <c r="C497" s="59"/>
      <c r="D497" s="59"/>
      <c r="E497" s="59"/>
      <c r="F497" s="59"/>
      <c r="I497" s="59"/>
      <c r="J497" s="59"/>
    </row>
    <row r="498" ht="12.75" customHeight="1">
      <c r="A498" s="59"/>
      <c r="B498" s="59"/>
      <c r="C498" s="59"/>
      <c r="D498" s="59"/>
      <c r="E498" s="59"/>
      <c r="F498" s="59"/>
      <c r="I498" s="59"/>
      <c r="J498" s="59"/>
    </row>
    <row r="499" ht="12.75" customHeight="1">
      <c r="A499" s="59"/>
      <c r="B499" s="59"/>
      <c r="C499" s="59"/>
      <c r="D499" s="59"/>
      <c r="E499" s="59"/>
      <c r="F499" s="59"/>
      <c r="I499" s="59"/>
      <c r="J499" s="59"/>
    </row>
    <row r="500" ht="12.75" customHeight="1">
      <c r="A500" s="59"/>
      <c r="B500" s="59"/>
      <c r="C500" s="59"/>
      <c r="D500" s="59"/>
      <c r="E500" s="59"/>
      <c r="F500" s="59"/>
      <c r="I500" s="59"/>
      <c r="J500" s="59"/>
    </row>
    <row r="501" ht="12.75" customHeight="1">
      <c r="A501" s="59"/>
      <c r="B501" s="59"/>
      <c r="C501" s="59"/>
      <c r="D501" s="59"/>
      <c r="E501" s="59"/>
      <c r="F501" s="59"/>
      <c r="I501" s="59"/>
      <c r="J501" s="59"/>
    </row>
    <row r="502" ht="12.75" customHeight="1">
      <c r="A502" s="59"/>
      <c r="B502" s="59"/>
      <c r="C502" s="59"/>
      <c r="D502" s="59"/>
      <c r="E502" s="59"/>
      <c r="F502" s="59"/>
      <c r="I502" s="59"/>
      <c r="J502" s="59"/>
    </row>
    <row r="503" ht="12.75" customHeight="1">
      <c r="A503" s="59"/>
      <c r="B503" s="59"/>
      <c r="C503" s="59"/>
      <c r="D503" s="59"/>
      <c r="E503" s="59"/>
      <c r="F503" s="59"/>
      <c r="I503" s="59"/>
      <c r="J503" s="59"/>
    </row>
    <row r="504" ht="12.75" customHeight="1">
      <c r="A504" s="59"/>
      <c r="B504" s="59"/>
      <c r="C504" s="59"/>
      <c r="D504" s="59"/>
      <c r="E504" s="59"/>
      <c r="F504" s="59"/>
      <c r="I504" s="59"/>
      <c r="J504" s="59"/>
    </row>
    <row r="505" ht="12.75" customHeight="1">
      <c r="A505" s="59"/>
      <c r="B505" s="59"/>
      <c r="C505" s="59"/>
      <c r="D505" s="59"/>
      <c r="E505" s="59"/>
      <c r="F505" s="59"/>
      <c r="I505" s="59"/>
      <c r="J505" s="59"/>
    </row>
    <row r="506" ht="12.75" customHeight="1">
      <c r="A506" s="59"/>
      <c r="B506" s="59"/>
      <c r="C506" s="59"/>
      <c r="D506" s="59"/>
      <c r="E506" s="59"/>
      <c r="F506" s="59"/>
      <c r="I506" s="59"/>
      <c r="J506" s="59"/>
    </row>
    <row r="507" ht="12.75" customHeight="1">
      <c r="A507" s="59"/>
      <c r="B507" s="59"/>
      <c r="C507" s="59"/>
      <c r="D507" s="59"/>
      <c r="E507" s="59"/>
      <c r="F507" s="59"/>
      <c r="I507" s="59"/>
      <c r="J507" s="59"/>
    </row>
    <row r="508" ht="12.75" customHeight="1">
      <c r="A508" s="59"/>
      <c r="B508" s="59"/>
      <c r="C508" s="59"/>
      <c r="D508" s="59"/>
      <c r="E508" s="59"/>
      <c r="F508" s="59"/>
      <c r="I508" s="59"/>
      <c r="J508" s="59"/>
    </row>
    <row r="509" ht="12.75" customHeight="1">
      <c r="A509" s="59"/>
      <c r="B509" s="59"/>
      <c r="C509" s="59"/>
      <c r="D509" s="59"/>
      <c r="E509" s="59"/>
      <c r="F509" s="59"/>
      <c r="I509" s="59"/>
      <c r="J509" s="59"/>
    </row>
    <row r="510" ht="12.75" customHeight="1">
      <c r="A510" s="59"/>
      <c r="B510" s="59"/>
      <c r="C510" s="59"/>
      <c r="D510" s="59"/>
      <c r="E510" s="59"/>
      <c r="F510" s="59"/>
      <c r="I510" s="59"/>
      <c r="J510" s="59"/>
    </row>
    <row r="511" ht="12.75" customHeight="1">
      <c r="A511" s="59"/>
      <c r="B511" s="59"/>
      <c r="C511" s="59"/>
      <c r="D511" s="59"/>
      <c r="E511" s="59"/>
      <c r="F511" s="59"/>
      <c r="I511" s="59"/>
      <c r="J511" s="59"/>
    </row>
    <row r="512" ht="12.75" customHeight="1">
      <c r="A512" s="59"/>
      <c r="B512" s="59"/>
      <c r="C512" s="59"/>
      <c r="D512" s="59"/>
      <c r="E512" s="59"/>
      <c r="F512" s="59"/>
      <c r="I512" s="59"/>
      <c r="J512" s="59"/>
    </row>
    <row r="513" ht="12.75" customHeight="1">
      <c r="A513" s="59"/>
      <c r="B513" s="59"/>
      <c r="C513" s="59"/>
      <c r="D513" s="59"/>
      <c r="E513" s="59"/>
      <c r="F513" s="59"/>
      <c r="I513" s="59"/>
      <c r="J513" s="59"/>
    </row>
    <row r="514" ht="12.75" customHeight="1">
      <c r="A514" s="59"/>
      <c r="B514" s="59"/>
      <c r="C514" s="59"/>
      <c r="D514" s="59"/>
      <c r="E514" s="59"/>
      <c r="F514" s="59"/>
      <c r="I514" s="59"/>
      <c r="J514" s="59"/>
    </row>
    <row r="515" ht="12.75" customHeight="1">
      <c r="A515" s="59"/>
      <c r="B515" s="59"/>
      <c r="C515" s="59"/>
      <c r="D515" s="59"/>
      <c r="E515" s="59"/>
      <c r="F515" s="59"/>
      <c r="I515" s="59"/>
      <c r="J515" s="59"/>
    </row>
    <row r="516" ht="12.75" customHeight="1">
      <c r="A516" s="59"/>
      <c r="B516" s="59"/>
      <c r="C516" s="59"/>
      <c r="D516" s="59"/>
      <c r="E516" s="59"/>
      <c r="F516" s="59"/>
      <c r="I516" s="59"/>
      <c r="J516" s="59"/>
    </row>
    <row r="517" ht="12.75" customHeight="1">
      <c r="A517" s="59"/>
      <c r="B517" s="59"/>
      <c r="C517" s="59"/>
      <c r="D517" s="59"/>
      <c r="E517" s="59"/>
      <c r="F517" s="59"/>
      <c r="I517" s="59"/>
      <c r="J517" s="59"/>
    </row>
    <row r="518" ht="12.75" customHeight="1">
      <c r="A518" s="59"/>
      <c r="B518" s="59"/>
      <c r="C518" s="59"/>
      <c r="D518" s="59"/>
      <c r="E518" s="59"/>
      <c r="F518" s="59"/>
      <c r="I518" s="59"/>
      <c r="J518" s="59"/>
    </row>
    <row r="519" ht="12.75" customHeight="1">
      <c r="A519" s="59"/>
      <c r="B519" s="59"/>
      <c r="C519" s="59"/>
      <c r="D519" s="59"/>
      <c r="E519" s="59"/>
      <c r="F519" s="59"/>
      <c r="I519" s="59"/>
      <c r="J519" s="59"/>
    </row>
    <row r="520" ht="12.75" customHeight="1">
      <c r="A520" s="59"/>
      <c r="B520" s="59"/>
      <c r="C520" s="59"/>
      <c r="D520" s="59"/>
      <c r="E520" s="59"/>
      <c r="F520" s="59"/>
      <c r="I520" s="59"/>
      <c r="J520" s="59"/>
    </row>
    <row r="521" ht="12.75" customHeight="1">
      <c r="A521" s="59"/>
      <c r="B521" s="59"/>
      <c r="C521" s="59"/>
      <c r="D521" s="59"/>
      <c r="E521" s="59"/>
      <c r="F521" s="59"/>
      <c r="I521" s="59"/>
      <c r="J521" s="59"/>
    </row>
    <row r="522" ht="12.75" customHeight="1">
      <c r="A522" s="59"/>
      <c r="B522" s="59"/>
      <c r="C522" s="59"/>
      <c r="D522" s="59"/>
      <c r="E522" s="59"/>
      <c r="F522" s="59"/>
      <c r="I522" s="59"/>
      <c r="J522" s="59"/>
    </row>
    <row r="523" ht="12.75" customHeight="1">
      <c r="A523" s="59"/>
      <c r="B523" s="59"/>
      <c r="C523" s="59"/>
      <c r="D523" s="59"/>
      <c r="E523" s="59"/>
      <c r="F523" s="59"/>
      <c r="I523" s="59"/>
      <c r="J523" s="59"/>
    </row>
    <row r="524" ht="12.75" customHeight="1">
      <c r="A524" s="59"/>
      <c r="B524" s="59"/>
      <c r="C524" s="59"/>
      <c r="D524" s="59"/>
      <c r="E524" s="59"/>
      <c r="F524" s="59"/>
      <c r="I524" s="59"/>
      <c r="J524" s="59"/>
    </row>
    <row r="525" ht="12.75" customHeight="1">
      <c r="A525" s="59"/>
      <c r="B525" s="59"/>
      <c r="C525" s="59"/>
      <c r="D525" s="59"/>
      <c r="E525" s="59"/>
      <c r="F525" s="59"/>
      <c r="I525" s="59"/>
      <c r="J525" s="59"/>
    </row>
    <row r="526" ht="12.75" customHeight="1">
      <c r="A526" s="59"/>
      <c r="B526" s="59"/>
      <c r="C526" s="59"/>
      <c r="D526" s="59"/>
      <c r="E526" s="59"/>
      <c r="F526" s="59"/>
      <c r="I526" s="59"/>
      <c r="J526" s="59"/>
    </row>
    <row r="527" ht="12.75" customHeight="1">
      <c r="A527" s="59"/>
      <c r="B527" s="59"/>
      <c r="C527" s="59"/>
      <c r="D527" s="59"/>
      <c r="E527" s="59"/>
      <c r="F527" s="59"/>
      <c r="I527" s="59"/>
      <c r="J527" s="59"/>
    </row>
    <row r="528" ht="12.75" customHeight="1">
      <c r="A528" s="59"/>
      <c r="B528" s="59"/>
      <c r="C528" s="59"/>
      <c r="D528" s="59"/>
      <c r="E528" s="59"/>
      <c r="F528" s="59"/>
      <c r="I528" s="59"/>
      <c r="J528" s="59"/>
    </row>
    <row r="529" ht="12.75" customHeight="1">
      <c r="A529" s="59"/>
      <c r="B529" s="59"/>
      <c r="C529" s="59"/>
      <c r="D529" s="59"/>
      <c r="E529" s="59"/>
      <c r="F529" s="59"/>
      <c r="I529" s="59"/>
      <c r="J529" s="59"/>
    </row>
    <row r="530" ht="12.75" customHeight="1">
      <c r="A530" s="59"/>
      <c r="B530" s="59"/>
      <c r="C530" s="59"/>
      <c r="D530" s="59"/>
      <c r="E530" s="59"/>
      <c r="F530" s="59"/>
      <c r="I530" s="59"/>
      <c r="J530" s="59"/>
    </row>
    <row r="531" ht="12.75" customHeight="1">
      <c r="A531" s="59"/>
      <c r="B531" s="59"/>
      <c r="C531" s="59"/>
      <c r="D531" s="59"/>
      <c r="E531" s="59"/>
      <c r="F531" s="59"/>
      <c r="I531" s="59"/>
      <c r="J531" s="59"/>
    </row>
    <row r="532" ht="12.75" customHeight="1">
      <c r="A532" s="59"/>
      <c r="B532" s="59"/>
      <c r="C532" s="59"/>
      <c r="D532" s="59"/>
      <c r="E532" s="59"/>
      <c r="F532" s="59"/>
      <c r="I532" s="59"/>
      <c r="J532" s="59"/>
    </row>
    <row r="533" ht="12.75" customHeight="1">
      <c r="A533" s="59"/>
      <c r="B533" s="59"/>
      <c r="C533" s="59"/>
      <c r="D533" s="59"/>
      <c r="E533" s="59"/>
      <c r="F533" s="59"/>
      <c r="I533" s="59"/>
      <c r="J533" s="59"/>
    </row>
    <row r="534" ht="12.75" customHeight="1">
      <c r="A534" s="59"/>
      <c r="B534" s="59"/>
      <c r="C534" s="59"/>
      <c r="D534" s="59"/>
      <c r="E534" s="59"/>
      <c r="F534" s="59"/>
      <c r="I534" s="59"/>
      <c r="J534" s="59"/>
    </row>
    <row r="535" ht="12.75" customHeight="1">
      <c r="A535" s="59"/>
      <c r="B535" s="59"/>
      <c r="C535" s="59"/>
      <c r="D535" s="59"/>
      <c r="E535" s="59"/>
      <c r="F535" s="59"/>
      <c r="I535" s="59"/>
      <c r="J535" s="59"/>
    </row>
    <row r="536" ht="12.75" customHeight="1">
      <c r="A536" s="59"/>
      <c r="B536" s="59"/>
      <c r="C536" s="59"/>
      <c r="D536" s="59"/>
      <c r="E536" s="59"/>
      <c r="F536" s="59"/>
      <c r="I536" s="59"/>
      <c r="J536" s="59"/>
    </row>
    <row r="537" ht="12.75" customHeight="1">
      <c r="A537" s="59"/>
      <c r="B537" s="59"/>
      <c r="C537" s="59"/>
      <c r="D537" s="59"/>
      <c r="E537" s="59"/>
      <c r="F537" s="59"/>
      <c r="I537" s="59"/>
      <c r="J537" s="59"/>
    </row>
    <row r="538" ht="12.75" customHeight="1">
      <c r="A538" s="59"/>
      <c r="B538" s="59"/>
      <c r="C538" s="59"/>
      <c r="D538" s="59"/>
      <c r="E538" s="59"/>
      <c r="F538" s="59"/>
      <c r="I538" s="59"/>
      <c r="J538" s="59"/>
    </row>
    <row r="539" ht="12.75" customHeight="1">
      <c r="A539" s="59"/>
      <c r="B539" s="59"/>
      <c r="C539" s="59"/>
      <c r="D539" s="59"/>
      <c r="E539" s="59"/>
      <c r="F539" s="59"/>
      <c r="I539" s="59"/>
      <c r="J539" s="59"/>
    </row>
    <row r="540" ht="12.75" customHeight="1">
      <c r="A540" s="59"/>
      <c r="B540" s="59"/>
      <c r="C540" s="59"/>
      <c r="D540" s="59"/>
      <c r="E540" s="59"/>
      <c r="F540" s="59"/>
      <c r="I540" s="59"/>
      <c r="J540" s="59"/>
    </row>
    <row r="541" ht="12.75" customHeight="1">
      <c r="A541" s="59"/>
      <c r="B541" s="59"/>
      <c r="C541" s="59"/>
      <c r="D541" s="59"/>
      <c r="E541" s="59"/>
      <c r="F541" s="59"/>
      <c r="I541" s="59"/>
      <c r="J541" s="59"/>
    </row>
    <row r="542" ht="12.75" customHeight="1">
      <c r="A542" s="59"/>
      <c r="B542" s="59"/>
      <c r="C542" s="59"/>
      <c r="D542" s="59"/>
      <c r="E542" s="59"/>
      <c r="F542" s="59"/>
      <c r="I542" s="59"/>
      <c r="J542" s="59"/>
    </row>
    <row r="543" ht="12.75" customHeight="1">
      <c r="A543" s="59"/>
      <c r="B543" s="59"/>
      <c r="C543" s="59"/>
      <c r="D543" s="59"/>
      <c r="E543" s="59"/>
      <c r="F543" s="59"/>
      <c r="I543" s="59"/>
      <c r="J543" s="59"/>
    </row>
    <row r="544" ht="12.75" customHeight="1">
      <c r="A544" s="59"/>
      <c r="B544" s="59"/>
      <c r="C544" s="59"/>
      <c r="D544" s="59"/>
      <c r="E544" s="59"/>
      <c r="F544" s="59"/>
      <c r="I544" s="59"/>
      <c r="J544" s="59"/>
    </row>
    <row r="545" ht="12.75" customHeight="1">
      <c r="A545" s="59"/>
      <c r="B545" s="59"/>
      <c r="C545" s="59"/>
      <c r="D545" s="59"/>
      <c r="E545" s="59"/>
      <c r="F545" s="59"/>
      <c r="I545" s="59"/>
      <c r="J545" s="59"/>
    </row>
    <row r="546" ht="12.75" customHeight="1">
      <c r="A546" s="59"/>
      <c r="B546" s="59"/>
      <c r="C546" s="59"/>
      <c r="D546" s="59"/>
      <c r="E546" s="59"/>
      <c r="F546" s="59"/>
      <c r="I546" s="59"/>
      <c r="J546" s="59"/>
    </row>
    <row r="547" ht="12.75" customHeight="1">
      <c r="A547" s="59"/>
      <c r="B547" s="59"/>
      <c r="C547" s="59"/>
      <c r="D547" s="59"/>
      <c r="E547" s="59"/>
      <c r="F547" s="59"/>
      <c r="I547" s="59"/>
      <c r="J547" s="59"/>
    </row>
    <row r="548" ht="12.75" customHeight="1">
      <c r="A548" s="59"/>
      <c r="B548" s="59"/>
      <c r="C548" s="59"/>
      <c r="D548" s="59"/>
      <c r="E548" s="59"/>
      <c r="F548" s="59"/>
      <c r="I548" s="59"/>
      <c r="J548" s="59"/>
    </row>
    <row r="549" ht="12.75" customHeight="1">
      <c r="A549" s="59"/>
      <c r="B549" s="59"/>
      <c r="C549" s="59"/>
      <c r="D549" s="59"/>
      <c r="E549" s="59"/>
      <c r="F549" s="59"/>
      <c r="I549" s="59"/>
      <c r="J549" s="59"/>
    </row>
    <row r="550" ht="12.75" customHeight="1">
      <c r="A550" s="59"/>
      <c r="B550" s="59"/>
      <c r="C550" s="59"/>
      <c r="D550" s="59"/>
      <c r="E550" s="59"/>
      <c r="F550" s="59"/>
      <c r="I550" s="59"/>
      <c r="J550" s="59"/>
    </row>
    <row r="551" ht="12.75" customHeight="1">
      <c r="A551" s="59"/>
      <c r="B551" s="59"/>
      <c r="C551" s="59"/>
      <c r="D551" s="59"/>
      <c r="E551" s="59"/>
      <c r="F551" s="59"/>
      <c r="I551" s="59"/>
      <c r="J551" s="59"/>
    </row>
    <row r="552" ht="12.75" customHeight="1">
      <c r="A552" s="59"/>
      <c r="B552" s="59"/>
      <c r="C552" s="59"/>
      <c r="D552" s="59"/>
      <c r="E552" s="59"/>
      <c r="F552" s="59"/>
      <c r="I552" s="59"/>
      <c r="J552" s="59"/>
    </row>
    <row r="553" ht="12.75" customHeight="1">
      <c r="A553" s="59"/>
      <c r="B553" s="59"/>
      <c r="C553" s="59"/>
      <c r="D553" s="59"/>
      <c r="E553" s="59"/>
      <c r="F553" s="59"/>
      <c r="I553" s="59"/>
      <c r="J553" s="59"/>
    </row>
    <row r="554" ht="12.75" customHeight="1">
      <c r="A554" s="59"/>
      <c r="B554" s="59"/>
      <c r="C554" s="59"/>
      <c r="D554" s="59"/>
      <c r="E554" s="59"/>
      <c r="F554" s="59"/>
      <c r="I554" s="59"/>
      <c r="J554" s="59"/>
    </row>
    <row r="555" ht="12.75" customHeight="1">
      <c r="A555" s="59"/>
      <c r="B555" s="59"/>
      <c r="C555" s="59"/>
      <c r="D555" s="59"/>
      <c r="E555" s="59"/>
      <c r="F555" s="59"/>
      <c r="I555" s="59"/>
      <c r="J555" s="59"/>
    </row>
    <row r="556" ht="12.75" customHeight="1">
      <c r="A556" s="59"/>
      <c r="B556" s="59"/>
      <c r="C556" s="59"/>
      <c r="D556" s="59"/>
      <c r="E556" s="59"/>
      <c r="F556" s="59"/>
      <c r="I556" s="59"/>
      <c r="J556" s="59"/>
    </row>
    <row r="557" ht="12.75" customHeight="1">
      <c r="A557" s="59"/>
      <c r="B557" s="59"/>
      <c r="C557" s="59"/>
      <c r="D557" s="59"/>
      <c r="E557" s="59"/>
      <c r="F557" s="59"/>
      <c r="I557" s="59"/>
      <c r="J557" s="59"/>
    </row>
    <row r="558" ht="12.75" customHeight="1">
      <c r="A558" s="59"/>
      <c r="B558" s="59"/>
      <c r="C558" s="59"/>
      <c r="D558" s="59"/>
      <c r="E558" s="59"/>
      <c r="F558" s="59"/>
      <c r="I558" s="59"/>
      <c r="J558" s="59"/>
    </row>
    <row r="559" ht="12.75" customHeight="1">
      <c r="A559" s="59"/>
      <c r="B559" s="59"/>
      <c r="C559" s="59"/>
      <c r="D559" s="59"/>
      <c r="E559" s="59"/>
      <c r="F559" s="59"/>
      <c r="I559" s="59"/>
      <c r="J559" s="59"/>
    </row>
    <row r="560" ht="12.75" customHeight="1">
      <c r="A560" s="59"/>
      <c r="B560" s="59"/>
      <c r="C560" s="59"/>
      <c r="D560" s="59"/>
      <c r="E560" s="59"/>
      <c r="F560" s="59"/>
      <c r="I560" s="59"/>
      <c r="J560" s="59"/>
    </row>
    <row r="561" ht="12.75" customHeight="1">
      <c r="A561" s="59"/>
      <c r="B561" s="59"/>
      <c r="C561" s="59"/>
      <c r="D561" s="59"/>
      <c r="E561" s="59"/>
      <c r="F561" s="59"/>
      <c r="I561" s="59"/>
      <c r="J561" s="59"/>
    </row>
    <row r="562" ht="12.75" customHeight="1">
      <c r="A562" s="59"/>
      <c r="B562" s="59"/>
      <c r="C562" s="59"/>
      <c r="D562" s="59"/>
      <c r="E562" s="59"/>
      <c r="F562" s="59"/>
      <c r="I562" s="59"/>
      <c r="J562" s="59"/>
    </row>
    <row r="563" ht="12.75" customHeight="1">
      <c r="A563" s="59"/>
      <c r="B563" s="59"/>
      <c r="C563" s="59"/>
      <c r="D563" s="59"/>
      <c r="E563" s="59"/>
      <c r="F563" s="59"/>
      <c r="I563" s="59"/>
      <c r="J563" s="59"/>
    </row>
    <row r="564" ht="12.75" customHeight="1">
      <c r="A564" s="59"/>
      <c r="B564" s="59"/>
      <c r="C564" s="59"/>
      <c r="D564" s="59"/>
      <c r="E564" s="59"/>
      <c r="F564" s="59"/>
      <c r="I564" s="59"/>
      <c r="J564" s="59"/>
    </row>
    <row r="565" ht="12.75" customHeight="1">
      <c r="A565" s="59"/>
      <c r="B565" s="59"/>
      <c r="C565" s="59"/>
      <c r="D565" s="59"/>
      <c r="E565" s="59"/>
      <c r="F565" s="59"/>
      <c r="I565" s="59"/>
      <c r="J565" s="59"/>
    </row>
    <row r="566" ht="12.75" customHeight="1">
      <c r="A566" s="59"/>
      <c r="B566" s="59"/>
      <c r="C566" s="59"/>
      <c r="D566" s="59"/>
      <c r="E566" s="59"/>
      <c r="F566" s="59"/>
      <c r="I566" s="59"/>
      <c r="J566" s="59"/>
    </row>
    <row r="567" ht="12.75" customHeight="1">
      <c r="A567" s="59"/>
      <c r="B567" s="59"/>
      <c r="C567" s="59"/>
      <c r="D567" s="59"/>
      <c r="E567" s="59"/>
      <c r="F567" s="59"/>
      <c r="I567" s="59"/>
      <c r="J567" s="59"/>
    </row>
    <row r="568" ht="12.75" customHeight="1">
      <c r="A568" s="59"/>
      <c r="B568" s="59"/>
      <c r="C568" s="59"/>
      <c r="D568" s="59"/>
      <c r="E568" s="59"/>
      <c r="F568" s="59"/>
      <c r="I568" s="59"/>
      <c r="J568" s="59"/>
    </row>
    <row r="569" ht="12.75" customHeight="1">
      <c r="A569" s="59"/>
      <c r="B569" s="59"/>
      <c r="C569" s="59"/>
      <c r="D569" s="59"/>
      <c r="E569" s="59"/>
      <c r="F569" s="59"/>
      <c r="I569" s="59"/>
      <c r="J569" s="59"/>
    </row>
    <row r="570" ht="12.75" customHeight="1">
      <c r="A570" s="59"/>
      <c r="B570" s="59"/>
      <c r="C570" s="59"/>
      <c r="D570" s="59"/>
      <c r="E570" s="59"/>
      <c r="F570" s="59"/>
      <c r="I570" s="59"/>
      <c r="J570" s="59"/>
    </row>
    <row r="571" ht="12.75" customHeight="1">
      <c r="A571" s="59"/>
      <c r="B571" s="59"/>
      <c r="C571" s="59"/>
      <c r="D571" s="59"/>
      <c r="E571" s="59"/>
      <c r="F571" s="59"/>
      <c r="I571" s="59"/>
      <c r="J571" s="59"/>
    </row>
    <row r="572" ht="12.75" customHeight="1">
      <c r="A572" s="59"/>
      <c r="B572" s="59"/>
      <c r="C572" s="59"/>
      <c r="D572" s="59"/>
      <c r="E572" s="59"/>
      <c r="F572" s="59"/>
      <c r="I572" s="59"/>
      <c r="J572" s="59"/>
    </row>
    <row r="573" ht="12.75" customHeight="1">
      <c r="A573" s="59"/>
      <c r="B573" s="59"/>
      <c r="C573" s="59"/>
      <c r="D573" s="59"/>
      <c r="E573" s="59"/>
      <c r="F573" s="59"/>
      <c r="I573" s="59"/>
      <c r="J573" s="59"/>
    </row>
    <row r="574" ht="12.75" customHeight="1">
      <c r="A574" s="59"/>
      <c r="B574" s="59"/>
      <c r="C574" s="59"/>
      <c r="D574" s="59"/>
      <c r="E574" s="59"/>
      <c r="F574" s="59"/>
      <c r="I574" s="59"/>
      <c r="J574" s="59"/>
    </row>
    <row r="575" ht="12.75" customHeight="1">
      <c r="A575" s="59"/>
      <c r="B575" s="59"/>
      <c r="C575" s="59"/>
      <c r="D575" s="59"/>
      <c r="E575" s="59"/>
      <c r="F575" s="59"/>
      <c r="I575" s="59"/>
      <c r="J575" s="59"/>
    </row>
    <row r="576" ht="12.75" customHeight="1">
      <c r="A576" s="59"/>
      <c r="B576" s="59"/>
      <c r="C576" s="59"/>
      <c r="D576" s="59"/>
      <c r="E576" s="59"/>
      <c r="F576" s="59"/>
      <c r="I576" s="59"/>
      <c r="J576" s="59"/>
    </row>
    <row r="577" ht="12.75" customHeight="1">
      <c r="A577" s="59"/>
      <c r="B577" s="59"/>
      <c r="C577" s="59"/>
      <c r="D577" s="59"/>
      <c r="E577" s="59"/>
      <c r="F577" s="59"/>
      <c r="I577" s="59"/>
      <c r="J577" s="59"/>
    </row>
    <row r="578" ht="12.75" customHeight="1">
      <c r="A578" s="59"/>
      <c r="B578" s="59"/>
      <c r="C578" s="59"/>
      <c r="D578" s="59"/>
      <c r="E578" s="59"/>
      <c r="F578" s="59"/>
      <c r="I578" s="59"/>
      <c r="J578" s="59"/>
    </row>
    <row r="579" ht="12.75" customHeight="1">
      <c r="A579" s="59"/>
      <c r="B579" s="59"/>
      <c r="C579" s="59"/>
      <c r="D579" s="59"/>
      <c r="E579" s="59"/>
      <c r="F579" s="59"/>
      <c r="I579" s="59"/>
      <c r="J579" s="59"/>
    </row>
    <row r="580" ht="12.75" customHeight="1">
      <c r="A580" s="59"/>
      <c r="B580" s="59"/>
      <c r="C580" s="59"/>
      <c r="D580" s="59"/>
      <c r="E580" s="59"/>
      <c r="F580" s="59"/>
      <c r="I580" s="59"/>
      <c r="J580" s="59"/>
    </row>
    <row r="581" ht="12.75" customHeight="1">
      <c r="A581" s="59"/>
      <c r="B581" s="59"/>
      <c r="C581" s="59"/>
      <c r="D581" s="59"/>
      <c r="E581" s="59"/>
      <c r="F581" s="59"/>
      <c r="I581" s="59"/>
      <c r="J581" s="59"/>
    </row>
    <row r="582" ht="12.75" customHeight="1">
      <c r="A582" s="59"/>
      <c r="B582" s="59"/>
      <c r="C582" s="59"/>
      <c r="D582" s="59"/>
      <c r="E582" s="59"/>
      <c r="F582" s="59"/>
      <c r="I582" s="59"/>
      <c r="J582" s="59"/>
    </row>
    <row r="583" ht="12.75" customHeight="1">
      <c r="A583" s="59"/>
      <c r="B583" s="59"/>
      <c r="C583" s="59"/>
      <c r="D583" s="59"/>
      <c r="E583" s="59"/>
      <c r="F583" s="59"/>
      <c r="I583" s="59"/>
      <c r="J583" s="59"/>
    </row>
    <row r="584" ht="12.75" customHeight="1">
      <c r="A584" s="59"/>
      <c r="B584" s="59"/>
      <c r="C584" s="59"/>
      <c r="D584" s="59"/>
      <c r="E584" s="59"/>
      <c r="F584" s="59"/>
      <c r="I584" s="59"/>
      <c r="J584" s="59"/>
    </row>
    <row r="585" ht="12.75" customHeight="1">
      <c r="A585" s="59"/>
      <c r="B585" s="59"/>
      <c r="C585" s="59"/>
      <c r="D585" s="59"/>
      <c r="E585" s="59"/>
      <c r="F585" s="59"/>
      <c r="I585" s="59"/>
      <c r="J585" s="59"/>
    </row>
    <row r="586" ht="12.75" customHeight="1">
      <c r="A586" s="59"/>
      <c r="B586" s="59"/>
      <c r="C586" s="59"/>
      <c r="D586" s="59"/>
      <c r="E586" s="59"/>
      <c r="F586" s="59"/>
      <c r="I586" s="59"/>
      <c r="J586" s="59"/>
    </row>
    <row r="587" ht="12.75" customHeight="1">
      <c r="A587" s="59"/>
      <c r="B587" s="59"/>
      <c r="C587" s="59"/>
      <c r="D587" s="59"/>
      <c r="E587" s="59"/>
      <c r="F587" s="59"/>
      <c r="I587" s="59"/>
      <c r="J587" s="59"/>
    </row>
    <row r="588" ht="12.75" customHeight="1">
      <c r="A588" s="59"/>
      <c r="B588" s="59"/>
      <c r="C588" s="59"/>
      <c r="D588" s="59"/>
      <c r="E588" s="59"/>
      <c r="F588" s="59"/>
      <c r="I588" s="59"/>
      <c r="J588" s="59"/>
    </row>
    <row r="589" ht="12.75" customHeight="1">
      <c r="A589" s="59"/>
      <c r="B589" s="59"/>
      <c r="C589" s="59"/>
      <c r="D589" s="59"/>
      <c r="E589" s="59"/>
      <c r="F589" s="59"/>
      <c r="I589" s="59"/>
      <c r="J589" s="59"/>
    </row>
    <row r="590" ht="12.75" customHeight="1">
      <c r="A590" s="59"/>
      <c r="B590" s="59"/>
      <c r="C590" s="59"/>
      <c r="D590" s="59"/>
      <c r="E590" s="59"/>
      <c r="F590" s="59"/>
      <c r="I590" s="59"/>
      <c r="J590" s="59"/>
    </row>
    <row r="591" ht="12.75" customHeight="1">
      <c r="A591" s="59"/>
      <c r="B591" s="59"/>
      <c r="C591" s="59"/>
      <c r="D591" s="59"/>
      <c r="E591" s="59"/>
      <c r="F591" s="59"/>
      <c r="I591" s="59"/>
      <c r="J591" s="59"/>
    </row>
    <row r="592" ht="12.75" customHeight="1">
      <c r="A592" s="59"/>
      <c r="B592" s="59"/>
      <c r="C592" s="59"/>
      <c r="D592" s="59"/>
      <c r="E592" s="59"/>
      <c r="F592" s="59"/>
      <c r="I592" s="59"/>
      <c r="J592" s="59"/>
    </row>
    <row r="593" ht="12.75" customHeight="1">
      <c r="A593" s="59"/>
      <c r="B593" s="59"/>
      <c r="C593" s="59"/>
      <c r="D593" s="59"/>
      <c r="E593" s="59"/>
      <c r="F593" s="59"/>
      <c r="I593" s="59"/>
      <c r="J593" s="59"/>
    </row>
    <row r="594" ht="12.75" customHeight="1">
      <c r="A594" s="59"/>
      <c r="B594" s="59"/>
      <c r="C594" s="59"/>
      <c r="D594" s="59"/>
      <c r="E594" s="59"/>
      <c r="F594" s="59"/>
      <c r="I594" s="59"/>
      <c r="J594" s="59"/>
    </row>
    <row r="595" ht="12.75" customHeight="1">
      <c r="A595" s="59"/>
      <c r="B595" s="59"/>
      <c r="C595" s="59"/>
      <c r="D595" s="59"/>
      <c r="E595" s="59"/>
      <c r="F595" s="59"/>
      <c r="I595" s="59"/>
      <c r="J595" s="59"/>
    </row>
    <row r="596" ht="12.75" customHeight="1">
      <c r="A596" s="59"/>
      <c r="B596" s="59"/>
      <c r="C596" s="59"/>
      <c r="D596" s="59"/>
      <c r="E596" s="59"/>
      <c r="F596" s="59"/>
      <c r="I596" s="59"/>
      <c r="J596" s="59"/>
    </row>
    <row r="597" ht="12.75" customHeight="1">
      <c r="A597" s="59"/>
      <c r="B597" s="59"/>
      <c r="C597" s="59"/>
      <c r="D597" s="59"/>
      <c r="E597" s="59"/>
      <c r="F597" s="59"/>
      <c r="I597" s="59"/>
      <c r="J597" s="59"/>
    </row>
    <row r="598" ht="12.75" customHeight="1">
      <c r="A598" s="59"/>
      <c r="B598" s="59"/>
      <c r="C598" s="59"/>
      <c r="D598" s="59"/>
      <c r="E598" s="59"/>
      <c r="F598" s="59"/>
      <c r="I598" s="59"/>
      <c r="J598" s="59"/>
    </row>
    <row r="599" ht="12.75" customHeight="1">
      <c r="A599" s="59"/>
      <c r="B599" s="59"/>
      <c r="C599" s="59"/>
      <c r="D599" s="59"/>
      <c r="E599" s="59"/>
      <c r="F599" s="59"/>
      <c r="I599" s="59"/>
      <c r="J599" s="59"/>
    </row>
    <row r="600" ht="12.75" customHeight="1">
      <c r="A600" s="59"/>
      <c r="B600" s="59"/>
      <c r="C600" s="59"/>
      <c r="D600" s="59"/>
      <c r="E600" s="59"/>
      <c r="F600" s="59"/>
      <c r="I600" s="59"/>
      <c r="J600" s="59"/>
    </row>
    <row r="601" ht="12.75" customHeight="1">
      <c r="A601" s="59"/>
      <c r="B601" s="59"/>
      <c r="C601" s="59"/>
      <c r="D601" s="59"/>
      <c r="E601" s="59"/>
      <c r="F601" s="59"/>
      <c r="I601" s="59"/>
      <c r="J601" s="59"/>
    </row>
    <row r="602" ht="12.75" customHeight="1">
      <c r="A602" s="59"/>
      <c r="B602" s="59"/>
      <c r="C602" s="59"/>
      <c r="D602" s="59"/>
      <c r="E602" s="59"/>
      <c r="F602" s="59"/>
      <c r="I602" s="59"/>
      <c r="J602" s="59"/>
    </row>
    <row r="603" ht="12.75" customHeight="1">
      <c r="A603" s="59"/>
      <c r="B603" s="59"/>
      <c r="C603" s="59"/>
      <c r="D603" s="59"/>
      <c r="E603" s="59"/>
      <c r="F603" s="59"/>
      <c r="I603" s="59"/>
      <c r="J603" s="59"/>
    </row>
    <row r="604" ht="12.75" customHeight="1">
      <c r="A604" s="59"/>
      <c r="B604" s="59"/>
      <c r="C604" s="59"/>
      <c r="D604" s="59"/>
      <c r="E604" s="59"/>
      <c r="F604" s="59"/>
      <c r="I604" s="59"/>
      <c r="J604" s="59"/>
    </row>
    <row r="605" ht="12.75" customHeight="1">
      <c r="A605" s="59"/>
      <c r="B605" s="59"/>
      <c r="C605" s="59"/>
      <c r="D605" s="59"/>
      <c r="E605" s="59"/>
      <c r="F605" s="59"/>
      <c r="I605" s="59"/>
      <c r="J605" s="59"/>
    </row>
    <row r="606" ht="12.75" customHeight="1">
      <c r="A606" s="59"/>
      <c r="B606" s="59"/>
      <c r="C606" s="59"/>
      <c r="D606" s="59"/>
      <c r="E606" s="59"/>
      <c r="F606" s="59"/>
      <c r="I606" s="59"/>
      <c r="J606" s="59"/>
    </row>
    <row r="607" ht="12.75" customHeight="1">
      <c r="A607" s="59"/>
      <c r="B607" s="59"/>
      <c r="C607" s="59"/>
      <c r="D607" s="59"/>
      <c r="E607" s="59"/>
      <c r="F607" s="59"/>
      <c r="I607" s="59"/>
      <c r="J607" s="59"/>
    </row>
    <row r="608" ht="12.75" customHeight="1">
      <c r="A608" s="59"/>
      <c r="B608" s="59"/>
      <c r="C608" s="59"/>
      <c r="D608" s="59"/>
      <c r="E608" s="59"/>
      <c r="F608" s="59"/>
      <c r="I608" s="59"/>
      <c r="J608" s="59"/>
    </row>
    <row r="609" ht="12.75" customHeight="1">
      <c r="A609" s="59"/>
      <c r="B609" s="59"/>
      <c r="C609" s="59"/>
      <c r="D609" s="59"/>
      <c r="E609" s="59"/>
      <c r="F609" s="59"/>
      <c r="I609" s="59"/>
      <c r="J609" s="59"/>
    </row>
    <row r="610" ht="12.75" customHeight="1">
      <c r="A610" s="59"/>
      <c r="B610" s="59"/>
      <c r="C610" s="59"/>
      <c r="D610" s="59"/>
      <c r="E610" s="59"/>
      <c r="F610" s="59"/>
      <c r="I610" s="59"/>
      <c r="J610" s="59"/>
    </row>
    <row r="611" ht="12.75" customHeight="1">
      <c r="A611" s="59"/>
      <c r="B611" s="59"/>
      <c r="C611" s="59"/>
      <c r="D611" s="59"/>
      <c r="E611" s="59"/>
      <c r="F611" s="59"/>
      <c r="I611" s="59"/>
      <c r="J611" s="59"/>
    </row>
    <row r="612" ht="12.75" customHeight="1">
      <c r="A612" s="59"/>
      <c r="B612" s="59"/>
      <c r="C612" s="59"/>
      <c r="D612" s="59"/>
      <c r="E612" s="59"/>
      <c r="F612" s="59"/>
      <c r="I612" s="59"/>
      <c r="J612" s="59"/>
    </row>
    <row r="613" ht="12.75" customHeight="1">
      <c r="A613" s="59"/>
      <c r="B613" s="59"/>
      <c r="C613" s="59"/>
      <c r="D613" s="59"/>
      <c r="E613" s="59"/>
      <c r="F613" s="59"/>
      <c r="I613" s="59"/>
      <c r="J613" s="59"/>
    </row>
    <row r="614" ht="12.75" customHeight="1">
      <c r="A614" s="59"/>
      <c r="B614" s="59"/>
      <c r="C614" s="59"/>
      <c r="D614" s="59"/>
      <c r="E614" s="59"/>
      <c r="F614" s="59"/>
      <c r="I614" s="59"/>
      <c r="J614" s="59"/>
    </row>
    <row r="615" ht="12.75" customHeight="1">
      <c r="A615" s="59"/>
      <c r="B615" s="59"/>
      <c r="C615" s="59"/>
      <c r="D615" s="59"/>
      <c r="E615" s="59"/>
      <c r="F615" s="59"/>
      <c r="I615" s="59"/>
      <c r="J615" s="59"/>
    </row>
    <row r="616" ht="12.75" customHeight="1">
      <c r="A616" s="59"/>
      <c r="B616" s="59"/>
      <c r="C616" s="59"/>
      <c r="D616" s="59"/>
      <c r="E616" s="59"/>
      <c r="F616" s="59"/>
      <c r="I616" s="59"/>
      <c r="J616" s="59"/>
    </row>
    <row r="617" ht="12.75" customHeight="1">
      <c r="A617" s="59"/>
      <c r="B617" s="59"/>
      <c r="C617" s="59"/>
      <c r="D617" s="59"/>
      <c r="E617" s="59"/>
      <c r="F617" s="59"/>
      <c r="I617" s="59"/>
      <c r="J617" s="59"/>
    </row>
    <row r="618" ht="12.75" customHeight="1">
      <c r="A618" s="59"/>
      <c r="B618" s="59"/>
      <c r="C618" s="59"/>
      <c r="D618" s="59"/>
      <c r="E618" s="59"/>
      <c r="F618" s="59"/>
      <c r="I618" s="59"/>
      <c r="J618" s="59"/>
    </row>
    <row r="619" ht="12.75" customHeight="1">
      <c r="A619" s="59"/>
      <c r="B619" s="59"/>
      <c r="C619" s="59"/>
      <c r="D619" s="59"/>
      <c r="E619" s="59"/>
      <c r="F619" s="59"/>
      <c r="I619" s="59"/>
      <c r="J619" s="59"/>
    </row>
    <row r="620" ht="12.75" customHeight="1">
      <c r="A620" s="59"/>
      <c r="B620" s="59"/>
      <c r="C620" s="59"/>
      <c r="D620" s="59"/>
      <c r="E620" s="59"/>
      <c r="F620" s="59"/>
      <c r="I620" s="59"/>
      <c r="J620" s="59"/>
    </row>
    <row r="621" ht="12.75" customHeight="1">
      <c r="A621" s="59"/>
      <c r="B621" s="59"/>
      <c r="C621" s="59"/>
      <c r="D621" s="59"/>
      <c r="E621" s="59"/>
      <c r="F621" s="59"/>
      <c r="I621" s="59"/>
      <c r="J621" s="59"/>
    </row>
    <row r="622" ht="12.75" customHeight="1">
      <c r="A622" s="59"/>
      <c r="B622" s="59"/>
      <c r="C622" s="59"/>
      <c r="D622" s="59"/>
      <c r="E622" s="59"/>
      <c r="F622" s="59"/>
      <c r="I622" s="59"/>
      <c r="J622" s="59"/>
    </row>
    <row r="623" ht="12.75" customHeight="1">
      <c r="A623" s="59"/>
      <c r="B623" s="59"/>
      <c r="C623" s="59"/>
      <c r="D623" s="59"/>
      <c r="E623" s="59"/>
      <c r="F623" s="59"/>
      <c r="I623" s="59"/>
      <c r="J623" s="59"/>
    </row>
    <row r="624" ht="12.75" customHeight="1">
      <c r="A624" s="59"/>
      <c r="B624" s="59"/>
      <c r="C624" s="59"/>
      <c r="D624" s="59"/>
      <c r="E624" s="59"/>
      <c r="F624" s="59"/>
      <c r="I624" s="59"/>
      <c r="J624" s="59"/>
    </row>
    <row r="625" ht="12.75" customHeight="1">
      <c r="A625" s="59"/>
      <c r="B625" s="59"/>
      <c r="C625" s="59"/>
      <c r="D625" s="59"/>
      <c r="E625" s="59"/>
      <c r="F625" s="59"/>
      <c r="I625" s="59"/>
      <c r="J625" s="59"/>
    </row>
    <row r="626" ht="12.75" customHeight="1">
      <c r="A626" s="59"/>
      <c r="B626" s="59"/>
      <c r="C626" s="59"/>
      <c r="D626" s="59"/>
      <c r="E626" s="59"/>
      <c r="F626" s="59"/>
      <c r="I626" s="59"/>
      <c r="J626" s="59"/>
    </row>
    <row r="627" ht="12.75" customHeight="1">
      <c r="A627" s="59"/>
      <c r="B627" s="59"/>
      <c r="C627" s="59"/>
      <c r="D627" s="59"/>
      <c r="E627" s="59"/>
      <c r="F627" s="59"/>
      <c r="I627" s="59"/>
      <c r="J627" s="59"/>
    </row>
    <row r="628" ht="12.75" customHeight="1">
      <c r="A628" s="59"/>
      <c r="B628" s="59"/>
      <c r="C628" s="59"/>
      <c r="D628" s="59"/>
      <c r="E628" s="59"/>
      <c r="F628" s="59"/>
      <c r="I628" s="59"/>
      <c r="J628" s="59"/>
    </row>
    <row r="629" ht="12.75" customHeight="1">
      <c r="A629" s="59"/>
      <c r="B629" s="59"/>
      <c r="C629" s="59"/>
      <c r="D629" s="59"/>
      <c r="E629" s="59"/>
      <c r="F629" s="59"/>
      <c r="I629" s="59"/>
      <c r="J629" s="59"/>
    </row>
    <row r="630" ht="12.75" customHeight="1">
      <c r="A630" s="59"/>
      <c r="B630" s="59"/>
      <c r="C630" s="59"/>
      <c r="D630" s="59"/>
      <c r="E630" s="59"/>
      <c r="F630" s="59"/>
      <c r="I630" s="59"/>
      <c r="J630" s="59"/>
    </row>
    <row r="631" ht="12.75" customHeight="1">
      <c r="A631" s="59"/>
      <c r="B631" s="59"/>
      <c r="C631" s="59"/>
      <c r="D631" s="59"/>
      <c r="E631" s="59"/>
      <c r="F631" s="59"/>
      <c r="I631" s="59"/>
      <c r="J631" s="59"/>
    </row>
    <row r="632" ht="12.75" customHeight="1">
      <c r="A632" s="59"/>
      <c r="B632" s="59"/>
      <c r="C632" s="59"/>
      <c r="D632" s="59"/>
      <c r="E632" s="59"/>
      <c r="F632" s="59"/>
      <c r="I632" s="59"/>
      <c r="J632" s="59"/>
    </row>
    <row r="633" ht="12.75" customHeight="1">
      <c r="A633" s="59"/>
      <c r="B633" s="59"/>
      <c r="C633" s="59"/>
      <c r="D633" s="59"/>
      <c r="E633" s="59"/>
      <c r="F633" s="59"/>
      <c r="I633" s="59"/>
      <c r="J633" s="59"/>
    </row>
    <row r="634" ht="12.75" customHeight="1">
      <c r="A634" s="59"/>
      <c r="B634" s="59"/>
      <c r="C634" s="59"/>
      <c r="D634" s="59"/>
      <c r="E634" s="59"/>
      <c r="F634" s="59"/>
      <c r="I634" s="59"/>
      <c r="J634" s="59"/>
    </row>
    <row r="635" ht="12.75" customHeight="1">
      <c r="A635" s="59"/>
      <c r="B635" s="59"/>
      <c r="C635" s="59"/>
      <c r="D635" s="59"/>
      <c r="E635" s="59"/>
      <c r="F635" s="59"/>
      <c r="I635" s="59"/>
      <c r="J635" s="59"/>
    </row>
    <row r="636" ht="12.75" customHeight="1">
      <c r="A636" s="59"/>
      <c r="B636" s="59"/>
      <c r="C636" s="59"/>
      <c r="D636" s="59"/>
      <c r="E636" s="59"/>
      <c r="F636" s="59"/>
      <c r="I636" s="59"/>
      <c r="J636" s="59"/>
    </row>
    <row r="637" ht="12.75" customHeight="1">
      <c r="A637" s="59"/>
      <c r="B637" s="59"/>
      <c r="C637" s="59"/>
      <c r="D637" s="59"/>
      <c r="E637" s="59"/>
      <c r="F637" s="59"/>
      <c r="I637" s="59"/>
      <c r="J637" s="59"/>
    </row>
    <row r="638" ht="12.75" customHeight="1">
      <c r="A638" s="59"/>
      <c r="B638" s="59"/>
      <c r="C638" s="59"/>
      <c r="D638" s="59"/>
      <c r="E638" s="59"/>
      <c r="F638" s="59"/>
      <c r="I638" s="59"/>
      <c r="J638" s="59"/>
    </row>
    <row r="639" ht="12.75" customHeight="1">
      <c r="A639" s="59"/>
      <c r="B639" s="59"/>
      <c r="C639" s="59"/>
      <c r="D639" s="59"/>
      <c r="E639" s="59"/>
      <c r="F639" s="59"/>
      <c r="I639" s="59"/>
      <c r="J639" s="59"/>
    </row>
    <row r="640" ht="12.75" customHeight="1">
      <c r="A640" s="59"/>
      <c r="B640" s="59"/>
      <c r="C640" s="59"/>
      <c r="D640" s="59"/>
      <c r="E640" s="59"/>
      <c r="F640" s="59"/>
      <c r="I640" s="59"/>
      <c r="J640" s="59"/>
    </row>
    <row r="641" ht="12.75" customHeight="1">
      <c r="A641" s="59"/>
      <c r="B641" s="59"/>
      <c r="C641" s="59"/>
      <c r="D641" s="59"/>
      <c r="E641" s="59"/>
      <c r="F641" s="59"/>
      <c r="I641" s="59"/>
      <c r="J641" s="59"/>
    </row>
    <row r="642" ht="12.75" customHeight="1">
      <c r="A642" s="59"/>
      <c r="B642" s="59"/>
      <c r="C642" s="59"/>
      <c r="D642" s="59"/>
      <c r="E642" s="59"/>
      <c r="F642" s="59"/>
      <c r="I642" s="59"/>
      <c r="J642" s="59"/>
    </row>
    <row r="643" ht="12.75" customHeight="1">
      <c r="A643" s="59"/>
      <c r="B643" s="59"/>
      <c r="C643" s="59"/>
      <c r="D643" s="59"/>
      <c r="E643" s="59"/>
      <c r="F643" s="59"/>
      <c r="I643" s="59"/>
      <c r="J643" s="59"/>
    </row>
    <row r="644" ht="12.75" customHeight="1">
      <c r="A644" s="59"/>
      <c r="B644" s="59"/>
      <c r="C644" s="59"/>
      <c r="D644" s="59"/>
      <c r="E644" s="59"/>
      <c r="F644" s="59"/>
      <c r="I644" s="59"/>
      <c r="J644" s="59"/>
    </row>
    <row r="645" ht="12.75" customHeight="1">
      <c r="A645" s="59"/>
      <c r="B645" s="59"/>
      <c r="C645" s="59"/>
      <c r="D645" s="59"/>
      <c r="E645" s="59"/>
      <c r="F645" s="59"/>
      <c r="I645" s="59"/>
      <c r="J645" s="59"/>
    </row>
    <row r="646" ht="12.75" customHeight="1">
      <c r="A646" s="59"/>
      <c r="B646" s="59"/>
      <c r="C646" s="59"/>
      <c r="D646" s="59"/>
      <c r="E646" s="59"/>
      <c r="F646" s="59"/>
      <c r="I646" s="59"/>
      <c r="J646" s="59"/>
    </row>
    <row r="647" ht="12.75" customHeight="1">
      <c r="A647" s="59"/>
      <c r="B647" s="59"/>
      <c r="C647" s="59"/>
      <c r="D647" s="59"/>
      <c r="E647" s="59"/>
      <c r="F647" s="59"/>
      <c r="I647" s="59"/>
      <c r="J647" s="59"/>
    </row>
    <row r="648" ht="12.75" customHeight="1">
      <c r="A648" s="59"/>
      <c r="B648" s="59"/>
      <c r="C648" s="59"/>
      <c r="D648" s="59"/>
      <c r="E648" s="59"/>
      <c r="F648" s="59"/>
      <c r="I648" s="59"/>
      <c r="J648" s="59"/>
    </row>
    <row r="649" ht="12.75" customHeight="1">
      <c r="A649" s="59"/>
      <c r="B649" s="59"/>
      <c r="C649" s="59"/>
      <c r="D649" s="59"/>
      <c r="E649" s="59"/>
      <c r="F649" s="59"/>
      <c r="I649" s="59"/>
      <c r="J649" s="59"/>
    </row>
    <row r="650" ht="12.75" customHeight="1">
      <c r="A650" s="59"/>
      <c r="B650" s="59"/>
      <c r="C650" s="59"/>
      <c r="D650" s="59"/>
      <c r="E650" s="59"/>
      <c r="F650" s="59"/>
      <c r="I650" s="59"/>
      <c r="J650" s="59"/>
    </row>
    <row r="651" ht="12.75" customHeight="1">
      <c r="A651" s="59"/>
      <c r="B651" s="59"/>
      <c r="C651" s="59"/>
      <c r="D651" s="59"/>
      <c r="E651" s="59"/>
      <c r="F651" s="59"/>
      <c r="I651" s="59"/>
      <c r="J651" s="59"/>
    </row>
    <row r="652" ht="12.75" customHeight="1">
      <c r="A652" s="59"/>
      <c r="B652" s="59"/>
      <c r="C652" s="59"/>
      <c r="D652" s="59"/>
      <c r="E652" s="59"/>
      <c r="F652" s="59"/>
      <c r="I652" s="59"/>
      <c r="J652" s="59"/>
    </row>
    <row r="653" ht="12.75" customHeight="1">
      <c r="A653" s="59"/>
      <c r="B653" s="59"/>
      <c r="C653" s="59"/>
      <c r="D653" s="59"/>
      <c r="E653" s="59"/>
      <c r="F653" s="59"/>
      <c r="I653" s="59"/>
      <c r="J653" s="59"/>
    </row>
    <row r="654" ht="12.75" customHeight="1">
      <c r="A654" s="59"/>
      <c r="B654" s="59"/>
      <c r="C654" s="59"/>
      <c r="D654" s="59"/>
      <c r="E654" s="59"/>
      <c r="F654" s="59"/>
      <c r="I654" s="59"/>
      <c r="J654" s="59"/>
    </row>
    <row r="655" ht="12.75" customHeight="1">
      <c r="A655" s="59"/>
      <c r="B655" s="59"/>
      <c r="C655" s="59"/>
      <c r="D655" s="59"/>
      <c r="E655" s="59"/>
      <c r="F655" s="59"/>
      <c r="I655" s="59"/>
      <c r="J655" s="59"/>
    </row>
    <row r="656" ht="12.75" customHeight="1">
      <c r="A656" s="59"/>
      <c r="B656" s="59"/>
      <c r="C656" s="59"/>
      <c r="D656" s="59"/>
      <c r="E656" s="59"/>
      <c r="F656" s="59"/>
      <c r="I656" s="59"/>
      <c r="J656" s="59"/>
    </row>
    <row r="657" ht="12.75" customHeight="1">
      <c r="A657" s="59"/>
      <c r="B657" s="59"/>
      <c r="C657" s="59"/>
      <c r="D657" s="59"/>
      <c r="E657" s="59"/>
      <c r="F657" s="59"/>
      <c r="I657" s="59"/>
      <c r="J657" s="59"/>
    </row>
    <row r="658" ht="12.75" customHeight="1">
      <c r="A658" s="59"/>
      <c r="B658" s="59"/>
      <c r="C658" s="59"/>
      <c r="D658" s="59"/>
      <c r="E658" s="59"/>
      <c r="F658" s="59"/>
      <c r="I658" s="59"/>
      <c r="J658" s="59"/>
    </row>
    <row r="659" ht="12.75" customHeight="1">
      <c r="A659" s="59"/>
      <c r="B659" s="59"/>
      <c r="C659" s="59"/>
      <c r="D659" s="59"/>
      <c r="E659" s="59"/>
      <c r="F659" s="59"/>
      <c r="I659" s="59"/>
      <c r="J659" s="59"/>
    </row>
    <row r="660" ht="12.75" customHeight="1">
      <c r="A660" s="59"/>
      <c r="B660" s="59"/>
      <c r="C660" s="59"/>
      <c r="D660" s="59"/>
      <c r="E660" s="59"/>
      <c r="F660" s="59"/>
      <c r="I660" s="59"/>
      <c r="J660" s="59"/>
    </row>
    <row r="661" ht="12.75" customHeight="1">
      <c r="A661" s="59"/>
      <c r="B661" s="59"/>
      <c r="C661" s="59"/>
      <c r="D661" s="59"/>
      <c r="E661" s="59"/>
      <c r="F661" s="59"/>
      <c r="I661" s="59"/>
      <c r="J661" s="59"/>
    </row>
    <row r="662" ht="12.75" customHeight="1">
      <c r="A662" s="59"/>
      <c r="B662" s="59"/>
      <c r="C662" s="59"/>
      <c r="D662" s="59"/>
      <c r="E662" s="59"/>
      <c r="F662" s="59"/>
      <c r="I662" s="59"/>
      <c r="J662" s="59"/>
    </row>
    <row r="663" ht="12.75" customHeight="1">
      <c r="A663" s="59"/>
      <c r="B663" s="59"/>
      <c r="C663" s="59"/>
      <c r="D663" s="59"/>
      <c r="E663" s="59"/>
      <c r="F663" s="59"/>
      <c r="I663" s="59"/>
      <c r="J663" s="59"/>
    </row>
    <row r="664" ht="12.75" customHeight="1">
      <c r="A664" s="59"/>
      <c r="B664" s="59"/>
      <c r="C664" s="59"/>
      <c r="D664" s="59"/>
      <c r="E664" s="59"/>
      <c r="F664" s="59"/>
      <c r="I664" s="59"/>
      <c r="J664" s="59"/>
    </row>
    <row r="665" ht="12.75" customHeight="1">
      <c r="A665" s="59"/>
      <c r="B665" s="59"/>
      <c r="C665" s="59"/>
      <c r="D665" s="59"/>
      <c r="E665" s="59"/>
      <c r="F665" s="59"/>
      <c r="I665" s="59"/>
      <c r="J665" s="59"/>
    </row>
    <row r="666" ht="12.75" customHeight="1">
      <c r="A666" s="59"/>
      <c r="B666" s="59"/>
      <c r="C666" s="59"/>
      <c r="D666" s="59"/>
      <c r="E666" s="59"/>
      <c r="F666" s="59"/>
      <c r="I666" s="59"/>
      <c r="J666" s="59"/>
    </row>
    <row r="667" ht="12.75" customHeight="1">
      <c r="A667" s="59"/>
      <c r="B667" s="59"/>
      <c r="C667" s="59"/>
      <c r="D667" s="59"/>
      <c r="E667" s="59"/>
      <c r="F667" s="59"/>
      <c r="I667" s="59"/>
      <c r="J667" s="59"/>
    </row>
    <row r="668" ht="12.75" customHeight="1">
      <c r="A668" s="59"/>
      <c r="B668" s="59"/>
      <c r="C668" s="59"/>
      <c r="D668" s="59"/>
      <c r="E668" s="59"/>
      <c r="F668" s="59"/>
      <c r="I668" s="59"/>
      <c r="J668" s="59"/>
    </row>
    <row r="669" ht="12.75" customHeight="1">
      <c r="A669" s="59"/>
      <c r="B669" s="59"/>
      <c r="C669" s="59"/>
      <c r="D669" s="59"/>
      <c r="E669" s="59"/>
      <c r="F669" s="59"/>
      <c r="I669" s="59"/>
      <c r="J669" s="59"/>
    </row>
    <row r="670" ht="12.75" customHeight="1">
      <c r="A670" s="59"/>
      <c r="B670" s="59"/>
      <c r="C670" s="59"/>
      <c r="D670" s="59"/>
      <c r="E670" s="59"/>
      <c r="F670" s="59"/>
      <c r="I670" s="59"/>
      <c r="J670" s="59"/>
    </row>
    <row r="671" ht="12.75" customHeight="1">
      <c r="A671" s="59"/>
      <c r="B671" s="59"/>
      <c r="C671" s="59"/>
      <c r="D671" s="59"/>
      <c r="E671" s="59"/>
      <c r="F671" s="59"/>
      <c r="I671" s="59"/>
      <c r="J671" s="59"/>
    </row>
    <row r="672" ht="12.75" customHeight="1">
      <c r="A672" s="59"/>
      <c r="B672" s="59"/>
      <c r="C672" s="59"/>
      <c r="D672" s="59"/>
      <c r="E672" s="59"/>
      <c r="F672" s="59"/>
      <c r="I672" s="59"/>
      <c r="J672" s="59"/>
    </row>
    <row r="673" ht="12.75" customHeight="1">
      <c r="A673" s="59"/>
      <c r="B673" s="59"/>
      <c r="C673" s="59"/>
      <c r="D673" s="59"/>
      <c r="E673" s="59"/>
      <c r="F673" s="59"/>
      <c r="I673" s="59"/>
      <c r="J673" s="59"/>
    </row>
    <row r="674" ht="12.75" customHeight="1">
      <c r="A674" s="59"/>
      <c r="B674" s="59"/>
      <c r="C674" s="59"/>
      <c r="D674" s="59"/>
      <c r="E674" s="59"/>
      <c r="F674" s="59"/>
      <c r="I674" s="59"/>
      <c r="J674" s="59"/>
    </row>
    <row r="675" ht="12.75" customHeight="1">
      <c r="A675" s="59"/>
      <c r="B675" s="59"/>
      <c r="C675" s="59"/>
      <c r="D675" s="59"/>
      <c r="E675" s="59"/>
      <c r="F675" s="59"/>
      <c r="I675" s="59"/>
      <c r="J675" s="59"/>
    </row>
    <row r="676" ht="12.75" customHeight="1">
      <c r="A676" s="59"/>
      <c r="B676" s="59"/>
      <c r="C676" s="59"/>
      <c r="D676" s="59"/>
      <c r="E676" s="59"/>
      <c r="F676" s="59"/>
      <c r="I676" s="59"/>
      <c r="J676" s="59"/>
    </row>
    <row r="677" ht="12.75" customHeight="1">
      <c r="A677" s="59"/>
      <c r="B677" s="59"/>
      <c r="C677" s="59"/>
      <c r="D677" s="59"/>
      <c r="E677" s="59"/>
      <c r="F677" s="59"/>
      <c r="I677" s="59"/>
      <c r="J677" s="59"/>
    </row>
    <row r="678" ht="12.75" customHeight="1">
      <c r="A678" s="59"/>
      <c r="B678" s="59"/>
      <c r="C678" s="59"/>
      <c r="D678" s="59"/>
      <c r="E678" s="59"/>
      <c r="F678" s="59"/>
      <c r="I678" s="59"/>
      <c r="J678" s="59"/>
    </row>
    <row r="679" ht="12.75" customHeight="1">
      <c r="A679" s="59"/>
      <c r="B679" s="59"/>
      <c r="C679" s="59"/>
      <c r="D679" s="59"/>
      <c r="E679" s="59"/>
      <c r="F679" s="59"/>
      <c r="I679" s="59"/>
      <c r="J679" s="59"/>
    </row>
    <row r="680" ht="12.75" customHeight="1">
      <c r="A680" s="59"/>
      <c r="B680" s="59"/>
      <c r="C680" s="59"/>
      <c r="D680" s="59"/>
      <c r="E680" s="59"/>
      <c r="F680" s="59"/>
      <c r="I680" s="59"/>
      <c r="J680" s="59"/>
    </row>
    <row r="681" ht="12.75" customHeight="1">
      <c r="A681" s="59"/>
      <c r="B681" s="59"/>
      <c r="C681" s="59"/>
      <c r="D681" s="59"/>
      <c r="E681" s="59"/>
      <c r="F681" s="59"/>
      <c r="I681" s="59"/>
      <c r="J681" s="59"/>
    </row>
    <row r="682" ht="12.75" customHeight="1">
      <c r="A682" s="59"/>
      <c r="B682" s="59"/>
      <c r="C682" s="59"/>
      <c r="D682" s="59"/>
      <c r="E682" s="59"/>
      <c r="F682" s="59"/>
      <c r="I682" s="59"/>
      <c r="J682" s="59"/>
    </row>
    <row r="683" ht="12.75" customHeight="1">
      <c r="A683" s="59"/>
      <c r="B683" s="59"/>
      <c r="C683" s="59"/>
      <c r="D683" s="59"/>
      <c r="E683" s="59"/>
      <c r="F683" s="59"/>
      <c r="I683" s="59"/>
      <c r="J683" s="59"/>
    </row>
    <row r="684" ht="12.75" customHeight="1">
      <c r="A684" s="59"/>
      <c r="B684" s="59"/>
      <c r="C684" s="59"/>
      <c r="D684" s="59"/>
      <c r="E684" s="59"/>
      <c r="F684" s="59"/>
      <c r="I684" s="59"/>
      <c r="J684" s="59"/>
    </row>
    <row r="685" ht="12.75" customHeight="1">
      <c r="A685" s="59"/>
      <c r="B685" s="59"/>
      <c r="C685" s="59"/>
      <c r="D685" s="59"/>
      <c r="E685" s="59"/>
      <c r="F685" s="59"/>
      <c r="I685" s="59"/>
      <c r="J685" s="59"/>
    </row>
    <row r="686" ht="12.75" customHeight="1">
      <c r="A686" s="59"/>
      <c r="B686" s="59"/>
      <c r="C686" s="59"/>
      <c r="D686" s="59"/>
      <c r="E686" s="59"/>
      <c r="F686" s="59"/>
      <c r="I686" s="59"/>
      <c r="J686" s="59"/>
    </row>
    <row r="687" ht="12.75" customHeight="1">
      <c r="A687" s="59"/>
      <c r="B687" s="59"/>
      <c r="C687" s="59"/>
      <c r="D687" s="59"/>
      <c r="E687" s="59"/>
      <c r="F687" s="59"/>
      <c r="I687" s="59"/>
      <c r="J687" s="59"/>
    </row>
    <row r="688" ht="12.75" customHeight="1">
      <c r="A688" s="59"/>
      <c r="B688" s="59"/>
      <c r="C688" s="59"/>
      <c r="D688" s="59"/>
      <c r="E688" s="59"/>
      <c r="F688" s="59"/>
      <c r="I688" s="59"/>
      <c r="J688" s="59"/>
    </row>
    <row r="689" ht="12.75" customHeight="1">
      <c r="A689" s="59"/>
      <c r="B689" s="59"/>
      <c r="C689" s="59"/>
      <c r="D689" s="59"/>
      <c r="E689" s="59"/>
      <c r="F689" s="59"/>
      <c r="I689" s="59"/>
      <c r="J689" s="59"/>
    </row>
    <row r="690" ht="12.75" customHeight="1">
      <c r="A690" s="59"/>
      <c r="B690" s="59"/>
      <c r="C690" s="59"/>
      <c r="D690" s="59"/>
      <c r="E690" s="59"/>
      <c r="F690" s="59"/>
      <c r="I690" s="59"/>
      <c r="J690" s="59"/>
    </row>
    <row r="691" ht="12.75" customHeight="1">
      <c r="A691" s="59"/>
      <c r="B691" s="59"/>
      <c r="C691" s="59"/>
      <c r="D691" s="59"/>
      <c r="E691" s="59"/>
      <c r="F691" s="59"/>
      <c r="I691" s="59"/>
      <c r="J691" s="59"/>
    </row>
    <row r="692" ht="12.75" customHeight="1">
      <c r="A692" s="59"/>
      <c r="B692" s="59"/>
      <c r="C692" s="59"/>
      <c r="D692" s="59"/>
      <c r="E692" s="59"/>
      <c r="F692" s="59"/>
      <c r="I692" s="59"/>
      <c r="J692" s="59"/>
    </row>
    <row r="693" ht="12.75" customHeight="1">
      <c r="A693" s="59"/>
      <c r="B693" s="59"/>
      <c r="C693" s="59"/>
      <c r="D693" s="59"/>
      <c r="E693" s="59"/>
      <c r="F693" s="59"/>
      <c r="I693" s="59"/>
      <c r="J693" s="59"/>
    </row>
    <row r="694" ht="12.75" customHeight="1">
      <c r="A694" s="59"/>
      <c r="B694" s="59"/>
      <c r="C694" s="59"/>
      <c r="D694" s="59"/>
      <c r="E694" s="59"/>
      <c r="F694" s="59"/>
      <c r="I694" s="59"/>
      <c r="J694" s="59"/>
    </row>
    <row r="695" ht="12.75" customHeight="1">
      <c r="A695" s="59"/>
      <c r="B695" s="59"/>
      <c r="C695" s="59"/>
      <c r="D695" s="59"/>
      <c r="E695" s="59"/>
      <c r="F695" s="59"/>
      <c r="I695" s="59"/>
      <c r="J695" s="59"/>
    </row>
    <row r="696" ht="12.75" customHeight="1">
      <c r="A696" s="59"/>
      <c r="B696" s="59"/>
      <c r="C696" s="59"/>
      <c r="D696" s="59"/>
      <c r="E696" s="59"/>
      <c r="F696" s="59"/>
      <c r="I696" s="59"/>
      <c r="J696" s="59"/>
    </row>
    <row r="697" ht="12.75" customHeight="1">
      <c r="A697" s="59"/>
      <c r="B697" s="59"/>
      <c r="C697" s="59"/>
      <c r="D697" s="59"/>
      <c r="E697" s="59"/>
      <c r="F697" s="59"/>
      <c r="I697" s="59"/>
      <c r="J697" s="59"/>
    </row>
    <row r="698" ht="12.75" customHeight="1">
      <c r="A698" s="59"/>
      <c r="B698" s="59"/>
      <c r="C698" s="59"/>
      <c r="D698" s="59"/>
      <c r="E698" s="59"/>
      <c r="F698" s="59"/>
      <c r="I698" s="59"/>
      <c r="J698" s="59"/>
    </row>
    <row r="699" ht="12.75" customHeight="1">
      <c r="A699" s="59"/>
      <c r="B699" s="59"/>
      <c r="C699" s="59"/>
      <c r="D699" s="59"/>
      <c r="E699" s="59"/>
      <c r="F699" s="59"/>
      <c r="I699" s="59"/>
      <c r="J699" s="59"/>
    </row>
    <row r="700" ht="12.75" customHeight="1">
      <c r="A700" s="59"/>
      <c r="B700" s="59"/>
      <c r="C700" s="59"/>
      <c r="D700" s="59"/>
      <c r="E700" s="59"/>
      <c r="F700" s="59"/>
      <c r="I700" s="59"/>
      <c r="J700" s="59"/>
    </row>
    <row r="701" ht="12.75" customHeight="1">
      <c r="A701" s="59"/>
      <c r="B701" s="59"/>
      <c r="C701" s="59"/>
      <c r="D701" s="59"/>
      <c r="E701" s="59"/>
      <c r="F701" s="59"/>
      <c r="I701" s="59"/>
      <c r="J701" s="59"/>
    </row>
    <row r="702" ht="12.75" customHeight="1">
      <c r="A702" s="59"/>
      <c r="B702" s="59"/>
      <c r="C702" s="59"/>
      <c r="D702" s="59"/>
      <c r="E702" s="59"/>
      <c r="F702" s="59"/>
      <c r="I702" s="59"/>
      <c r="J702" s="59"/>
    </row>
    <row r="703" ht="12.75" customHeight="1">
      <c r="A703" s="59"/>
      <c r="B703" s="59"/>
      <c r="C703" s="59"/>
      <c r="D703" s="59"/>
      <c r="E703" s="59"/>
      <c r="F703" s="59"/>
      <c r="I703" s="59"/>
      <c r="J703" s="59"/>
    </row>
    <row r="704" ht="12.75" customHeight="1">
      <c r="A704" s="59"/>
      <c r="B704" s="59"/>
      <c r="C704" s="59"/>
      <c r="D704" s="59"/>
      <c r="E704" s="59"/>
      <c r="F704" s="59"/>
      <c r="I704" s="59"/>
      <c r="J704" s="59"/>
    </row>
    <row r="705" ht="12.75" customHeight="1">
      <c r="A705" s="59"/>
      <c r="B705" s="59"/>
      <c r="C705" s="59"/>
      <c r="D705" s="59"/>
      <c r="E705" s="59"/>
      <c r="F705" s="59"/>
      <c r="I705" s="59"/>
      <c r="J705" s="59"/>
    </row>
    <row r="706" ht="12.75" customHeight="1">
      <c r="A706" s="59"/>
      <c r="B706" s="59"/>
      <c r="C706" s="59"/>
      <c r="D706" s="59"/>
      <c r="E706" s="59"/>
      <c r="F706" s="59"/>
      <c r="I706" s="59"/>
      <c r="J706" s="59"/>
    </row>
    <row r="707" ht="12.75" customHeight="1">
      <c r="A707" s="59"/>
      <c r="B707" s="59"/>
      <c r="C707" s="59"/>
      <c r="D707" s="59"/>
      <c r="E707" s="59"/>
      <c r="F707" s="59"/>
      <c r="I707" s="59"/>
      <c r="J707" s="59"/>
    </row>
    <row r="708" ht="12.75" customHeight="1">
      <c r="A708" s="59"/>
      <c r="B708" s="59"/>
      <c r="C708" s="59"/>
      <c r="D708" s="59"/>
      <c r="E708" s="59"/>
      <c r="F708" s="59"/>
      <c r="I708" s="59"/>
      <c r="J708" s="59"/>
    </row>
    <row r="709" ht="12.75" customHeight="1">
      <c r="A709" s="59"/>
      <c r="B709" s="59"/>
      <c r="C709" s="59"/>
      <c r="D709" s="59"/>
      <c r="E709" s="59"/>
      <c r="F709" s="59"/>
      <c r="I709" s="59"/>
      <c r="J709" s="59"/>
    </row>
    <row r="710" ht="12.75" customHeight="1">
      <c r="A710" s="59"/>
      <c r="B710" s="59"/>
      <c r="C710" s="59"/>
      <c r="D710" s="59"/>
      <c r="E710" s="59"/>
      <c r="F710" s="59"/>
      <c r="I710" s="59"/>
      <c r="J710" s="59"/>
    </row>
    <row r="711" ht="12.75" customHeight="1">
      <c r="A711" s="59"/>
      <c r="B711" s="59"/>
      <c r="C711" s="59"/>
      <c r="D711" s="59"/>
      <c r="E711" s="59"/>
      <c r="F711" s="59"/>
      <c r="I711" s="59"/>
      <c r="J711" s="59"/>
    </row>
    <row r="712" ht="12.75" customHeight="1">
      <c r="A712" s="59"/>
      <c r="B712" s="59"/>
      <c r="C712" s="59"/>
      <c r="D712" s="59"/>
      <c r="E712" s="59"/>
      <c r="F712" s="59"/>
      <c r="I712" s="59"/>
      <c r="J712" s="59"/>
    </row>
    <row r="713" ht="12.75" customHeight="1">
      <c r="A713" s="59"/>
      <c r="B713" s="59"/>
      <c r="C713" s="59"/>
      <c r="D713" s="59"/>
      <c r="E713" s="59"/>
      <c r="F713" s="59"/>
      <c r="I713" s="59"/>
      <c r="J713" s="59"/>
    </row>
    <row r="714" ht="12.75" customHeight="1">
      <c r="A714" s="59"/>
      <c r="B714" s="59"/>
      <c r="C714" s="59"/>
      <c r="D714" s="59"/>
      <c r="E714" s="59"/>
      <c r="F714" s="59"/>
      <c r="I714" s="59"/>
      <c r="J714" s="59"/>
    </row>
    <row r="715" ht="12.75" customHeight="1">
      <c r="A715" s="59"/>
      <c r="B715" s="59"/>
      <c r="C715" s="59"/>
      <c r="D715" s="59"/>
      <c r="E715" s="59"/>
      <c r="F715" s="59"/>
      <c r="I715" s="59"/>
      <c r="J715" s="59"/>
    </row>
    <row r="716" ht="12.75" customHeight="1">
      <c r="A716" s="59"/>
      <c r="B716" s="59"/>
      <c r="C716" s="59"/>
      <c r="D716" s="59"/>
      <c r="E716" s="59"/>
      <c r="F716" s="59"/>
      <c r="I716" s="59"/>
      <c r="J716" s="59"/>
    </row>
    <row r="717" ht="12.75" customHeight="1">
      <c r="A717" s="59"/>
      <c r="B717" s="59"/>
      <c r="C717" s="59"/>
      <c r="D717" s="59"/>
      <c r="E717" s="59"/>
      <c r="F717" s="59"/>
      <c r="I717" s="59"/>
      <c r="J717" s="59"/>
    </row>
    <row r="718" ht="12.75" customHeight="1">
      <c r="A718" s="59"/>
      <c r="B718" s="59"/>
      <c r="C718" s="59"/>
      <c r="D718" s="59"/>
      <c r="E718" s="59"/>
      <c r="F718" s="59"/>
      <c r="I718" s="59"/>
      <c r="J718" s="59"/>
    </row>
    <row r="719" ht="12.75" customHeight="1">
      <c r="A719" s="59"/>
      <c r="B719" s="59"/>
      <c r="C719" s="59"/>
      <c r="D719" s="59"/>
      <c r="E719" s="59"/>
      <c r="F719" s="59"/>
      <c r="I719" s="59"/>
      <c r="J719" s="59"/>
    </row>
    <row r="720" ht="12.75" customHeight="1">
      <c r="A720" s="59"/>
      <c r="B720" s="59"/>
      <c r="C720" s="59"/>
      <c r="D720" s="59"/>
      <c r="E720" s="59"/>
      <c r="F720" s="59"/>
      <c r="I720" s="59"/>
      <c r="J720" s="59"/>
    </row>
    <row r="721" ht="12.75" customHeight="1">
      <c r="A721" s="59"/>
      <c r="B721" s="59"/>
      <c r="C721" s="59"/>
      <c r="D721" s="59"/>
      <c r="E721" s="59"/>
      <c r="F721" s="59"/>
      <c r="I721" s="59"/>
      <c r="J721" s="59"/>
    </row>
    <row r="722" ht="12.75" customHeight="1">
      <c r="A722" s="59"/>
      <c r="B722" s="59"/>
      <c r="C722" s="59"/>
      <c r="D722" s="59"/>
      <c r="E722" s="59"/>
      <c r="F722" s="59"/>
      <c r="I722" s="59"/>
      <c r="J722" s="59"/>
    </row>
    <row r="723" ht="12.75" customHeight="1">
      <c r="A723" s="59"/>
      <c r="B723" s="59"/>
      <c r="C723" s="59"/>
      <c r="D723" s="59"/>
      <c r="E723" s="59"/>
      <c r="F723" s="59"/>
      <c r="I723" s="59"/>
      <c r="J723" s="59"/>
    </row>
    <row r="724" ht="12.75" customHeight="1">
      <c r="A724" s="59"/>
      <c r="B724" s="59"/>
      <c r="C724" s="59"/>
      <c r="D724" s="59"/>
      <c r="E724" s="59"/>
      <c r="F724" s="59"/>
      <c r="I724" s="59"/>
      <c r="J724" s="59"/>
    </row>
    <row r="725" ht="12.75" customHeight="1">
      <c r="A725" s="59"/>
      <c r="B725" s="59"/>
      <c r="C725" s="59"/>
      <c r="D725" s="59"/>
      <c r="E725" s="59"/>
      <c r="F725" s="59"/>
      <c r="I725" s="59"/>
      <c r="J725" s="59"/>
    </row>
    <row r="726" ht="12.75" customHeight="1">
      <c r="A726" s="59"/>
      <c r="B726" s="59"/>
      <c r="C726" s="59"/>
      <c r="D726" s="59"/>
      <c r="E726" s="59"/>
      <c r="F726" s="59"/>
      <c r="I726" s="59"/>
      <c r="J726" s="59"/>
    </row>
    <row r="727" ht="12.75" customHeight="1">
      <c r="A727" s="59"/>
      <c r="B727" s="59"/>
      <c r="C727" s="59"/>
      <c r="D727" s="59"/>
      <c r="E727" s="59"/>
      <c r="F727" s="59"/>
      <c r="I727" s="59"/>
      <c r="J727" s="59"/>
    </row>
    <row r="728" ht="12.75" customHeight="1">
      <c r="A728" s="59"/>
      <c r="B728" s="59"/>
      <c r="C728" s="59"/>
      <c r="D728" s="59"/>
      <c r="E728" s="59"/>
      <c r="F728" s="59"/>
      <c r="I728" s="59"/>
      <c r="J728" s="59"/>
    </row>
    <row r="729" ht="12.75" customHeight="1">
      <c r="A729" s="59"/>
      <c r="B729" s="59"/>
      <c r="C729" s="59"/>
      <c r="D729" s="59"/>
      <c r="E729" s="59"/>
      <c r="F729" s="59"/>
      <c r="I729" s="59"/>
      <c r="J729" s="59"/>
    </row>
    <row r="730" ht="12.75" customHeight="1">
      <c r="A730" s="59"/>
      <c r="B730" s="59"/>
      <c r="C730" s="59"/>
      <c r="D730" s="59"/>
      <c r="E730" s="59"/>
      <c r="F730" s="59"/>
      <c r="I730" s="59"/>
      <c r="J730" s="59"/>
    </row>
    <row r="731" ht="12.75" customHeight="1">
      <c r="A731" s="59"/>
      <c r="B731" s="59"/>
      <c r="C731" s="59"/>
      <c r="D731" s="59"/>
      <c r="E731" s="59"/>
      <c r="F731" s="59"/>
      <c r="I731" s="59"/>
      <c r="J731" s="59"/>
    </row>
    <row r="732" ht="12.75" customHeight="1">
      <c r="A732" s="59"/>
      <c r="B732" s="59"/>
      <c r="C732" s="59"/>
      <c r="D732" s="59"/>
      <c r="E732" s="59"/>
      <c r="F732" s="59"/>
      <c r="I732" s="59"/>
      <c r="J732" s="59"/>
    </row>
    <row r="733" ht="12.75" customHeight="1">
      <c r="A733" s="59"/>
      <c r="B733" s="59"/>
      <c r="C733" s="59"/>
      <c r="D733" s="59"/>
      <c r="E733" s="59"/>
      <c r="F733" s="59"/>
      <c r="I733" s="59"/>
      <c r="J733" s="59"/>
    </row>
    <row r="734" ht="12.75" customHeight="1">
      <c r="A734" s="59"/>
      <c r="B734" s="59"/>
      <c r="C734" s="59"/>
      <c r="D734" s="59"/>
      <c r="E734" s="59"/>
      <c r="F734" s="59"/>
      <c r="I734" s="59"/>
      <c r="J734" s="59"/>
    </row>
    <row r="735" ht="12.75" customHeight="1">
      <c r="A735" s="59"/>
      <c r="B735" s="59"/>
      <c r="C735" s="59"/>
      <c r="D735" s="59"/>
      <c r="E735" s="59"/>
      <c r="F735" s="59"/>
      <c r="I735" s="59"/>
      <c r="J735" s="59"/>
    </row>
    <row r="736" ht="12.75" customHeight="1">
      <c r="A736" s="59"/>
      <c r="B736" s="59"/>
      <c r="C736" s="59"/>
      <c r="D736" s="59"/>
      <c r="E736" s="59"/>
      <c r="F736" s="59"/>
      <c r="I736" s="59"/>
      <c r="J736" s="59"/>
    </row>
    <row r="737" ht="12.75" customHeight="1">
      <c r="A737" s="59"/>
      <c r="B737" s="59"/>
      <c r="C737" s="59"/>
      <c r="D737" s="59"/>
      <c r="E737" s="59"/>
      <c r="F737" s="59"/>
      <c r="I737" s="59"/>
      <c r="J737" s="59"/>
    </row>
    <row r="738" ht="12.75" customHeight="1">
      <c r="A738" s="59"/>
      <c r="B738" s="59"/>
      <c r="C738" s="59"/>
      <c r="D738" s="59"/>
      <c r="E738" s="59"/>
      <c r="F738" s="59"/>
      <c r="I738" s="59"/>
      <c r="J738" s="59"/>
    </row>
    <row r="739" ht="12.75" customHeight="1">
      <c r="A739" s="59"/>
      <c r="B739" s="59"/>
      <c r="C739" s="59"/>
      <c r="D739" s="59"/>
      <c r="E739" s="59"/>
      <c r="F739" s="59"/>
      <c r="I739" s="59"/>
      <c r="J739" s="59"/>
    </row>
    <row r="740" ht="12.75" customHeight="1">
      <c r="A740" s="59"/>
      <c r="B740" s="59"/>
      <c r="C740" s="59"/>
      <c r="D740" s="59"/>
      <c r="E740" s="59"/>
      <c r="F740" s="59"/>
      <c r="I740" s="59"/>
      <c r="J740" s="59"/>
    </row>
    <row r="741" ht="12.75" customHeight="1">
      <c r="A741" s="59"/>
      <c r="B741" s="59"/>
      <c r="C741" s="59"/>
      <c r="D741" s="59"/>
      <c r="E741" s="59"/>
      <c r="F741" s="59"/>
      <c r="I741" s="59"/>
      <c r="J741" s="59"/>
    </row>
    <row r="742" ht="12.75" customHeight="1">
      <c r="A742" s="59"/>
      <c r="B742" s="59"/>
      <c r="C742" s="59"/>
      <c r="D742" s="59"/>
      <c r="E742" s="59"/>
      <c r="F742" s="59"/>
      <c r="I742" s="59"/>
      <c r="J742" s="59"/>
    </row>
    <row r="743" ht="12.75" customHeight="1">
      <c r="A743" s="59"/>
      <c r="B743" s="59"/>
      <c r="C743" s="59"/>
      <c r="D743" s="59"/>
      <c r="E743" s="59"/>
      <c r="F743" s="59"/>
      <c r="I743" s="59"/>
      <c r="J743" s="59"/>
    </row>
    <row r="744" ht="12.75" customHeight="1">
      <c r="A744" s="59"/>
      <c r="B744" s="59"/>
      <c r="C744" s="59"/>
      <c r="D744" s="59"/>
      <c r="E744" s="59"/>
      <c r="F744" s="59"/>
      <c r="I744" s="59"/>
      <c r="J744" s="59"/>
    </row>
    <row r="745" ht="12.75" customHeight="1">
      <c r="A745" s="59"/>
      <c r="B745" s="59"/>
      <c r="C745" s="59"/>
      <c r="D745" s="59"/>
      <c r="E745" s="59"/>
      <c r="F745" s="59"/>
      <c r="I745" s="59"/>
      <c r="J745" s="59"/>
    </row>
    <row r="746" ht="12.75" customHeight="1">
      <c r="A746" s="59"/>
      <c r="B746" s="59"/>
      <c r="C746" s="59"/>
      <c r="D746" s="59"/>
      <c r="E746" s="59"/>
      <c r="F746" s="59"/>
      <c r="I746" s="59"/>
      <c r="J746" s="59"/>
    </row>
    <row r="747" ht="12.75" customHeight="1">
      <c r="A747" s="59"/>
      <c r="B747" s="59"/>
      <c r="C747" s="59"/>
      <c r="D747" s="59"/>
      <c r="E747" s="59"/>
      <c r="F747" s="59"/>
      <c r="I747" s="59"/>
      <c r="J747" s="59"/>
    </row>
    <row r="748" ht="12.75" customHeight="1">
      <c r="A748" s="59"/>
      <c r="B748" s="59"/>
      <c r="C748" s="59"/>
      <c r="D748" s="59"/>
      <c r="E748" s="59"/>
      <c r="F748" s="59"/>
      <c r="I748" s="59"/>
      <c r="J748" s="59"/>
    </row>
    <row r="749" ht="12.75" customHeight="1">
      <c r="A749" s="59"/>
      <c r="B749" s="59"/>
      <c r="C749" s="59"/>
      <c r="D749" s="59"/>
      <c r="E749" s="59"/>
      <c r="F749" s="59"/>
      <c r="I749" s="59"/>
      <c r="J749" s="59"/>
    </row>
    <row r="750" ht="12.75" customHeight="1">
      <c r="A750" s="59"/>
      <c r="B750" s="59"/>
      <c r="C750" s="59"/>
      <c r="D750" s="59"/>
      <c r="E750" s="59"/>
      <c r="F750" s="59"/>
      <c r="I750" s="59"/>
      <c r="J750" s="59"/>
    </row>
    <row r="751" ht="12.75" customHeight="1">
      <c r="A751" s="59"/>
      <c r="B751" s="59"/>
      <c r="C751" s="59"/>
      <c r="D751" s="59"/>
      <c r="E751" s="59"/>
      <c r="F751" s="59"/>
      <c r="I751" s="59"/>
      <c r="J751" s="59"/>
    </row>
    <row r="752" ht="12.75" customHeight="1">
      <c r="A752" s="59"/>
      <c r="B752" s="59"/>
      <c r="C752" s="59"/>
      <c r="D752" s="59"/>
      <c r="E752" s="59"/>
      <c r="F752" s="59"/>
      <c r="I752" s="59"/>
      <c r="J752" s="59"/>
    </row>
    <row r="753" ht="12.75" customHeight="1">
      <c r="A753" s="59"/>
      <c r="B753" s="59"/>
      <c r="C753" s="59"/>
      <c r="D753" s="59"/>
      <c r="E753" s="59"/>
      <c r="F753" s="59"/>
      <c r="I753" s="59"/>
      <c r="J753" s="59"/>
    </row>
    <row r="754" ht="12.75" customHeight="1">
      <c r="A754" s="59"/>
      <c r="B754" s="59"/>
      <c r="C754" s="59"/>
      <c r="D754" s="59"/>
      <c r="E754" s="59"/>
      <c r="F754" s="59"/>
      <c r="I754" s="59"/>
      <c r="J754" s="59"/>
    </row>
    <row r="755" ht="12.75" customHeight="1">
      <c r="A755" s="59"/>
      <c r="B755" s="59"/>
      <c r="C755" s="59"/>
      <c r="D755" s="59"/>
      <c r="E755" s="59"/>
      <c r="F755" s="59"/>
      <c r="I755" s="59"/>
      <c r="J755" s="59"/>
    </row>
    <row r="756" ht="12.75" customHeight="1">
      <c r="A756" s="59"/>
      <c r="B756" s="59"/>
      <c r="C756" s="59"/>
      <c r="D756" s="59"/>
      <c r="E756" s="59"/>
      <c r="F756" s="59"/>
      <c r="I756" s="59"/>
      <c r="J756" s="59"/>
    </row>
    <row r="757" ht="12.75" customHeight="1">
      <c r="A757" s="59"/>
      <c r="B757" s="59"/>
      <c r="C757" s="59"/>
      <c r="D757" s="59"/>
      <c r="E757" s="59"/>
      <c r="F757" s="59"/>
      <c r="I757" s="59"/>
      <c r="J757" s="59"/>
    </row>
    <row r="758" ht="12.75" customHeight="1">
      <c r="A758" s="59"/>
      <c r="B758" s="59"/>
      <c r="C758" s="59"/>
      <c r="D758" s="59"/>
      <c r="E758" s="59"/>
      <c r="F758" s="59"/>
      <c r="I758" s="59"/>
      <c r="J758" s="59"/>
    </row>
    <row r="759" ht="12.75" customHeight="1">
      <c r="A759" s="59"/>
      <c r="B759" s="59"/>
      <c r="C759" s="59"/>
      <c r="D759" s="59"/>
      <c r="E759" s="59"/>
      <c r="F759" s="59"/>
      <c r="I759" s="59"/>
      <c r="J759" s="59"/>
    </row>
    <row r="760" ht="12.75" customHeight="1">
      <c r="A760" s="59"/>
      <c r="B760" s="59"/>
      <c r="C760" s="59"/>
      <c r="D760" s="59"/>
      <c r="E760" s="59"/>
      <c r="F760" s="59"/>
      <c r="I760" s="59"/>
      <c r="J760" s="59"/>
    </row>
    <row r="761" ht="12.75" customHeight="1">
      <c r="A761" s="59"/>
      <c r="B761" s="59"/>
      <c r="C761" s="59"/>
      <c r="D761" s="59"/>
      <c r="E761" s="59"/>
      <c r="F761" s="59"/>
      <c r="I761" s="59"/>
      <c r="J761" s="59"/>
    </row>
    <row r="762" ht="12.75" customHeight="1">
      <c r="A762" s="59"/>
      <c r="B762" s="59"/>
      <c r="C762" s="59"/>
      <c r="D762" s="59"/>
      <c r="E762" s="59"/>
      <c r="F762" s="59"/>
      <c r="I762" s="59"/>
      <c r="J762" s="59"/>
    </row>
    <row r="763" ht="12.75" customHeight="1">
      <c r="A763" s="59"/>
      <c r="B763" s="59"/>
      <c r="C763" s="59"/>
      <c r="D763" s="59"/>
      <c r="E763" s="59"/>
      <c r="F763" s="59"/>
      <c r="I763" s="59"/>
      <c r="J763" s="59"/>
    </row>
    <row r="764" ht="12.75" customHeight="1">
      <c r="A764" s="59"/>
      <c r="B764" s="59"/>
      <c r="C764" s="59"/>
      <c r="D764" s="59"/>
      <c r="E764" s="59"/>
      <c r="F764" s="59"/>
      <c r="I764" s="59"/>
      <c r="J764" s="59"/>
    </row>
    <row r="765" ht="12.75" customHeight="1">
      <c r="A765" s="59"/>
      <c r="B765" s="59"/>
      <c r="C765" s="59"/>
      <c r="D765" s="59"/>
      <c r="E765" s="59"/>
      <c r="F765" s="59"/>
      <c r="I765" s="59"/>
      <c r="J765" s="59"/>
    </row>
    <row r="766" ht="12.75" customHeight="1">
      <c r="A766" s="59"/>
      <c r="B766" s="59"/>
      <c r="C766" s="59"/>
      <c r="D766" s="59"/>
      <c r="E766" s="59"/>
      <c r="F766" s="59"/>
      <c r="I766" s="59"/>
      <c r="J766" s="59"/>
    </row>
    <row r="767" ht="12.75" customHeight="1">
      <c r="A767" s="59"/>
      <c r="B767" s="59"/>
      <c r="C767" s="59"/>
      <c r="D767" s="59"/>
      <c r="E767" s="59"/>
      <c r="F767" s="59"/>
      <c r="I767" s="59"/>
      <c r="J767" s="59"/>
    </row>
    <row r="768" ht="12.75" customHeight="1">
      <c r="A768" s="59"/>
      <c r="B768" s="59"/>
      <c r="C768" s="59"/>
      <c r="D768" s="59"/>
      <c r="E768" s="59"/>
      <c r="F768" s="59"/>
      <c r="I768" s="59"/>
      <c r="J768" s="59"/>
    </row>
    <row r="769" ht="12.75" customHeight="1">
      <c r="A769" s="59"/>
      <c r="B769" s="59"/>
      <c r="C769" s="59"/>
      <c r="D769" s="59"/>
      <c r="E769" s="59"/>
      <c r="F769" s="59"/>
      <c r="I769" s="59"/>
      <c r="J769" s="59"/>
    </row>
    <row r="770" ht="12.75" customHeight="1">
      <c r="A770" s="59"/>
      <c r="B770" s="59"/>
      <c r="C770" s="59"/>
      <c r="D770" s="59"/>
      <c r="E770" s="59"/>
      <c r="F770" s="59"/>
      <c r="I770" s="59"/>
      <c r="J770" s="59"/>
    </row>
    <row r="771" ht="12.75" customHeight="1">
      <c r="A771" s="59"/>
      <c r="B771" s="59"/>
      <c r="C771" s="59"/>
      <c r="D771" s="59"/>
      <c r="E771" s="59"/>
      <c r="F771" s="59"/>
      <c r="I771" s="59"/>
      <c r="J771" s="59"/>
    </row>
    <row r="772" ht="12.75" customHeight="1">
      <c r="A772" s="59"/>
      <c r="B772" s="59"/>
      <c r="C772" s="59"/>
      <c r="D772" s="59"/>
      <c r="E772" s="59"/>
      <c r="F772" s="59"/>
      <c r="I772" s="59"/>
      <c r="J772" s="59"/>
    </row>
    <row r="773" ht="12.75" customHeight="1">
      <c r="A773" s="59"/>
      <c r="B773" s="59"/>
      <c r="C773" s="59"/>
      <c r="D773" s="59"/>
      <c r="E773" s="59"/>
      <c r="F773" s="59"/>
      <c r="I773" s="59"/>
      <c r="J773" s="59"/>
    </row>
    <row r="774" ht="12.75" customHeight="1">
      <c r="A774" s="59"/>
      <c r="B774" s="59"/>
      <c r="C774" s="59"/>
      <c r="D774" s="59"/>
      <c r="E774" s="59"/>
      <c r="F774" s="59"/>
      <c r="I774" s="59"/>
      <c r="J774" s="59"/>
    </row>
    <row r="775" ht="12.75" customHeight="1">
      <c r="A775" s="59"/>
      <c r="B775" s="59"/>
      <c r="C775" s="59"/>
      <c r="D775" s="59"/>
      <c r="E775" s="59"/>
      <c r="F775" s="59"/>
      <c r="I775" s="59"/>
      <c r="J775" s="59"/>
    </row>
    <row r="776" ht="12.75" customHeight="1">
      <c r="A776" s="59"/>
      <c r="B776" s="59"/>
      <c r="C776" s="59"/>
      <c r="D776" s="59"/>
      <c r="E776" s="59"/>
      <c r="F776" s="59"/>
      <c r="I776" s="59"/>
      <c r="J776" s="59"/>
    </row>
    <row r="777" ht="12.75" customHeight="1">
      <c r="A777" s="59"/>
      <c r="B777" s="59"/>
      <c r="C777" s="59"/>
      <c r="D777" s="59"/>
      <c r="E777" s="59"/>
      <c r="F777" s="59"/>
      <c r="I777" s="59"/>
      <c r="J777" s="59"/>
    </row>
    <row r="778" ht="12.75" customHeight="1">
      <c r="A778" s="59"/>
      <c r="B778" s="59"/>
      <c r="C778" s="59"/>
      <c r="D778" s="59"/>
      <c r="E778" s="59"/>
      <c r="F778" s="59"/>
      <c r="I778" s="59"/>
      <c r="J778" s="59"/>
    </row>
    <row r="779" ht="12.75" customHeight="1">
      <c r="A779" s="59"/>
      <c r="B779" s="59"/>
      <c r="C779" s="59"/>
      <c r="D779" s="59"/>
      <c r="E779" s="59"/>
      <c r="F779" s="59"/>
      <c r="I779" s="59"/>
      <c r="J779" s="59"/>
    </row>
    <row r="780" ht="12.75" customHeight="1">
      <c r="A780" s="59"/>
      <c r="B780" s="59"/>
      <c r="C780" s="59"/>
      <c r="D780" s="59"/>
      <c r="E780" s="59"/>
      <c r="F780" s="59"/>
      <c r="I780" s="59"/>
      <c r="J780" s="59"/>
    </row>
    <row r="781" ht="12.75" customHeight="1">
      <c r="A781" s="59"/>
      <c r="B781" s="59"/>
      <c r="C781" s="59"/>
      <c r="D781" s="59"/>
      <c r="E781" s="59"/>
      <c r="F781" s="59"/>
      <c r="I781" s="59"/>
      <c r="J781" s="59"/>
    </row>
    <row r="782" ht="12.75" customHeight="1">
      <c r="A782" s="59"/>
      <c r="B782" s="59"/>
      <c r="C782" s="59"/>
      <c r="D782" s="59"/>
      <c r="E782" s="59"/>
      <c r="F782" s="59"/>
      <c r="I782" s="59"/>
      <c r="J782" s="59"/>
    </row>
    <row r="783" ht="12.75" customHeight="1">
      <c r="A783" s="59"/>
      <c r="B783" s="59"/>
      <c r="C783" s="59"/>
      <c r="D783" s="59"/>
      <c r="E783" s="59"/>
      <c r="F783" s="59"/>
      <c r="I783" s="59"/>
      <c r="J783" s="59"/>
    </row>
    <row r="784" ht="12.75" customHeight="1">
      <c r="A784" s="59"/>
      <c r="B784" s="59"/>
      <c r="C784" s="59"/>
      <c r="D784" s="59"/>
      <c r="E784" s="59"/>
      <c r="F784" s="59"/>
      <c r="I784" s="59"/>
      <c r="J784" s="59"/>
    </row>
    <row r="785" ht="12.75" customHeight="1">
      <c r="A785" s="59"/>
      <c r="B785" s="59"/>
      <c r="C785" s="59"/>
      <c r="D785" s="59"/>
      <c r="E785" s="59"/>
      <c r="F785" s="59"/>
      <c r="I785" s="59"/>
      <c r="J785" s="59"/>
    </row>
    <row r="786" ht="12.75" customHeight="1">
      <c r="A786" s="59"/>
      <c r="B786" s="59"/>
      <c r="C786" s="59"/>
      <c r="D786" s="59"/>
      <c r="E786" s="59"/>
      <c r="F786" s="59"/>
      <c r="I786" s="59"/>
      <c r="J786" s="59"/>
    </row>
    <row r="787" ht="12.75" customHeight="1">
      <c r="A787" s="59"/>
      <c r="B787" s="59"/>
      <c r="C787" s="59"/>
      <c r="D787" s="59"/>
      <c r="E787" s="59"/>
      <c r="F787" s="59"/>
      <c r="I787" s="59"/>
      <c r="J787" s="59"/>
    </row>
    <row r="788" ht="12.75" customHeight="1">
      <c r="A788" s="59"/>
      <c r="B788" s="59"/>
      <c r="C788" s="59"/>
      <c r="D788" s="59"/>
      <c r="E788" s="59"/>
      <c r="F788" s="59"/>
      <c r="I788" s="59"/>
      <c r="J788" s="59"/>
    </row>
    <row r="789" ht="12.75" customHeight="1">
      <c r="A789" s="59"/>
      <c r="B789" s="59"/>
      <c r="C789" s="59"/>
      <c r="D789" s="59"/>
      <c r="E789" s="59"/>
      <c r="F789" s="59"/>
      <c r="I789" s="59"/>
      <c r="J789" s="59"/>
    </row>
    <row r="790" ht="12.75" customHeight="1">
      <c r="A790" s="59"/>
      <c r="B790" s="59"/>
      <c r="C790" s="59"/>
      <c r="D790" s="59"/>
      <c r="E790" s="59"/>
      <c r="F790" s="59"/>
      <c r="I790" s="59"/>
      <c r="J790" s="59"/>
    </row>
    <row r="791" ht="12.75" customHeight="1">
      <c r="A791" s="59"/>
      <c r="B791" s="59"/>
      <c r="C791" s="59"/>
      <c r="D791" s="59"/>
      <c r="E791" s="59"/>
      <c r="F791" s="59"/>
      <c r="I791" s="59"/>
      <c r="J791" s="59"/>
    </row>
    <row r="792" ht="12.75" customHeight="1">
      <c r="A792" s="59"/>
      <c r="B792" s="59"/>
      <c r="C792" s="59"/>
      <c r="D792" s="59"/>
      <c r="E792" s="59"/>
      <c r="F792" s="59"/>
      <c r="I792" s="59"/>
      <c r="J792" s="59"/>
    </row>
    <row r="793" ht="12.75" customHeight="1">
      <c r="A793" s="59"/>
      <c r="B793" s="59"/>
      <c r="C793" s="59"/>
      <c r="D793" s="59"/>
      <c r="E793" s="59"/>
      <c r="F793" s="59"/>
      <c r="I793" s="59"/>
      <c r="J793" s="59"/>
    </row>
    <row r="794" ht="12.75" customHeight="1">
      <c r="A794" s="59"/>
      <c r="B794" s="59"/>
      <c r="C794" s="59"/>
      <c r="D794" s="59"/>
      <c r="E794" s="59"/>
      <c r="F794" s="59"/>
      <c r="I794" s="59"/>
      <c r="J794" s="59"/>
    </row>
    <row r="795" ht="12.75" customHeight="1">
      <c r="A795" s="59"/>
      <c r="B795" s="59"/>
      <c r="C795" s="59"/>
      <c r="D795" s="59"/>
      <c r="E795" s="59"/>
      <c r="F795" s="59"/>
      <c r="I795" s="59"/>
      <c r="J795" s="59"/>
    </row>
    <row r="796" ht="12.75" customHeight="1">
      <c r="A796" s="59"/>
      <c r="B796" s="59"/>
      <c r="C796" s="59"/>
      <c r="D796" s="59"/>
      <c r="E796" s="59"/>
      <c r="F796" s="59"/>
      <c r="I796" s="59"/>
      <c r="J796" s="59"/>
    </row>
    <row r="797" ht="12.75" customHeight="1">
      <c r="A797" s="59"/>
      <c r="B797" s="59"/>
      <c r="C797" s="59"/>
      <c r="D797" s="59"/>
      <c r="E797" s="59"/>
      <c r="F797" s="59"/>
      <c r="I797" s="59"/>
      <c r="J797" s="59"/>
    </row>
    <row r="798" ht="12.75" customHeight="1">
      <c r="A798" s="59"/>
      <c r="B798" s="59"/>
      <c r="C798" s="59"/>
      <c r="D798" s="59"/>
      <c r="E798" s="59"/>
      <c r="F798" s="59"/>
      <c r="I798" s="59"/>
      <c r="J798" s="59"/>
    </row>
    <row r="799" ht="12.75" customHeight="1">
      <c r="A799" s="59"/>
      <c r="B799" s="59"/>
      <c r="C799" s="59"/>
      <c r="D799" s="59"/>
      <c r="E799" s="59"/>
      <c r="F799" s="59"/>
      <c r="I799" s="59"/>
      <c r="J799" s="59"/>
    </row>
    <row r="800" ht="12.75" customHeight="1">
      <c r="A800" s="59"/>
      <c r="B800" s="59"/>
      <c r="C800" s="59"/>
      <c r="D800" s="59"/>
      <c r="E800" s="59"/>
      <c r="F800" s="59"/>
      <c r="I800" s="59"/>
      <c r="J800" s="59"/>
    </row>
    <row r="801" ht="12.75" customHeight="1">
      <c r="A801" s="59"/>
      <c r="B801" s="59"/>
      <c r="C801" s="59"/>
      <c r="D801" s="59"/>
      <c r="E801" s="59"/>
      <c r="F801" s="59"/>
      <c r="I801" s="59"/>
      <c r="J801" s="59"/>
    </row>
    <row r="802" ht="12.75" customHeight="1">
      <c r="A802" s="59"/>
      <c r="B802" s="59"/>
      <c r="C802" s="59"/>
      <c r="D802" s="59"/>
      <c r="E802" s="59"/>
      <c r="F802" s="59"/>
      <c r="I802" s="59"/>
      <c r="J802" s="59"/>
    </row>
    <row r="803" ht="12.75" customHeight="1">
      <c r="A803" s="59"/>
      <c r="B803" s="59"/>
      <c r="C803" s="59"/>
      <c r="D803" s="59"/>
      <c r="E803" s="59"/>
      <c r="F803" s="59"/>
      <c r="I803" s="59"/>
      <c r="J803" s="59"/>
    </row>
    <row r="804" ht="12.75" customHeight="1">
      <c r="A804" s="59"/>
      <c r="B804" s="59"/>
      <c r="C804" s="59"/>
      <c r="D804" s="59"/>
      <c r="E804" s="59"/>
      <c r="F804" s="59"/>
      <c r="I804" s="59"/>
      <c r="J804" s="59"/>
    </row>
    <row r="805" ht="12.75" customHeight="1">
      <c r="A805" s="59"/>
      <c r="B805" s="59"/>
      <c r="C805" s="59"/>
      <c r="D805" s="59"/>
      <c r="E805" s="59"/>
      <c r="F805" s="59"/>
      <c r="I805" s="59"/>
      <c r="J805" s="59"/>
    </row>
    <row r="806" ht="12.75" customHeight="1">
      <c r="A806" s="59"/>
      <c r="B806" s="59"/>
      <c r="C806" s="59"/>
      <c r="D806" s="59"/>
      <c r="E806" s="59"/>
      <c r="F806" s="59"/>
      <c r="I806" s="59"/>
      <c r="J806" s="59"/>
    </row>
    <row r="807" ht="12.75" customHeight="1">
      <c r="A807" s="59"/>
      <c r="B807" s="59"/>
      <c r="C807" s="59"/>
      <c r="D807" s="59"/>
      <c r="E807" s="59"/>
      <c r="F807" s="59"/>
      <c r="I807" s="59"/>
      <c r="J807" s="59"/>
    </row>
    <row r="808" ht="12.75" customHeight="1">
      <c r="A808" s="59"/>
      <c r="B808" s="59"/>
      <c r="C808" s="59"/>
      <c r="D808" s="59"/>
      <c r="E808" s="59"/>
      <c r="F808" s="59"/>
      <c r="I808" s="59"/>
      <c r="J808" s="59"/>
    </row>
    <row r="809" ht="12.75" customHeight="1">
      <c r="A809" s="59"/>
      <c r="B809" s="59"/>
      <c r="C809" s="59"/>
      <c r="D809" s="59"/>
      <c r="E809" s="59"/>
      <c r="F809" s="59"/>
      <c r="I809" s="59"/>
      <c r="J809" s="59"/>
    </row>
    <row r="810" ht="12.75" customHeight="1">
      <c r="A810" s="59"/>
      <c r="B810" s="59"/>
      <c r="C810" s="59"/>
      <c r="D810" s="59"/>
      <c r="E810" s="59"/>
      <c r="F810" s="59"/>
      <c r="I810" s="59"/>
      <c r="J810" s="59"/>
    </row>
    <row r="811" ht="12.75" customHeight="1">
      <c r="A811" s="59"/>
      <c r="B811" s="59"/>
      <c r="C811" s="59"/>
      <c r="D811" s="59"/>
      <c r="E811" s="59"/>
      <c r="F811" s="59"/>
      <c r="I811" s="59"/>
      <c r="J811" s="59"/>
    </row>
    <row r="812" ht="12.75" customHeight="1">
      <c r="A812" s="59"/>
      <c r="B812" s="59"/>
      <c r="C812" s="59"/>
      <c r="D812" s="59"/>
      <c r="E812" s="59"/>
      <c r="F812" s="59"/>
      <c r="I812" s="59"/>
      <c r="J812" s="59"/>
    </row>
    <row r="813" ht="12.75" customHeight="1">
      <c r="A813" s="59"/>
      <c r="B813" s="59"/>
      <c r="C813" s="59"/>
      <c r="D813" s="59"/>
      <c r="E813" s="59"/>
      <c r="F813" s="59"/>
      <c r="I813" s="59"/>
      <c r="J813" s="59"/>
    </row>
    <row r="814" ht="12.75" customHeight="1">
      <c r="A814" s="59"/>
      <c r="B814" s="59"/>
      <c r="C814" s="59"/>
      <c r="D814" s="59"/>
      <c r="E814" s="59"/>
      <c r="F814" s="59"/>
      <c r="I814" s="59"/>
      <c r="J814" s="59"/>
    </row>
    <row r="815" ht="12.75" customHeight="1">
      <c r="A815" s="59"/>
      <c r="B815" s="59"/>
      <c r="C815" s="59"/>
      <c r="D815" s="59"/>
      <c r="E815" s="59"/>
      <c r="F815" s="59"/>
      <c r="I815" s="59"/>
      <c r="J815" s="59"/>
    </row>
    <row r="816" ht="12.75" customHeight="1">
      <c r="A816" s="59"/>
      <c r="B816" s="59"/>
      <c r="C816" s="59"/>
      <c r="D816" s="59"/>
      <c r="E816" s="59"/>
      <c r="F816" s="59"/>
      <c r="I816" s="59"/>
      <c r="J816" s="59"/>
    </row>
    <row r="817" ht="12.75" customHeight="1">
      <c r="A817" s="59"/>
      <c r="B817" s="59"/>
      <c r="C817" s="59"/>
      <c r="D817" s="59"/>
      <c r="E817" s="59"/>
      <c r="F817" s="59"/>
      <c r="I817" s="59"/>
      <c r="J817" s="59"/>
    </row>
    <row r="818" ht="12.75" customHeight="1">
      <c r="A818" s="59"/>
      <c r="B818" s="59"/>
      <c r="C818" s="59"/>
      <c r="D818" s="59"/>
      <c r="E818" s="59"/>
      <c r="F818" s="59"/>
      <c r="I818" s="59"/>
      <c r="J818" s="59"/>
    </row>
    <row r="819" ht="12.75" customHeight="1">
      <c r="A819" s="59"/>
      <c r="B819" s="59"/>
      <c r="C819" s="59"/>
      <c r="D819" s="59"/>
      <c r="E819" s="59"/>
      <c r="F819" s="59"/>
      <c r="I819" s="59"/>
      <c r="J819" s="59"/>
    </row>
    <row r="820" ht="12.75" customHeight="1">
      <c r="A820" s="59"/>
      <c r="B820" s="59"/>
      <c r="C820" s="59"/>
      <c r="D820" s="59"/>
      <c r="E820" s="59"/>
      <c r="F820" s="59"/>
      <c r="I820" s="59"/>
      <c r="J820" s="59"/>
    </row>
    <row r="821" ht="12.75" customHeight="1">
      <c r="A821" s="59"/>
      <c r="B821" s="59"/>
      <c r="C821" s="59"/>
      <c r="D821" s="59"/>
      <c r="E821" s="59"/>
      <c r="F821" s="59"/>
      <c r="I821" s="59"/>
      <c r="J821" s="59"/>
    </row>
    <row r="822" ht="12.75" customHeight="1">
      <c r="A822" s="59"/>
      <c r="B822" s="59"/>
      <c r="C822" s="59"/>
      <c r="D822" s="59"/>
      <c r="E822" s="59"/>
      <c r="F822" s="59"/>
      <c r="I822" s="59"/>
      <c r="J822" s="59"/>
    </row>
    <row r="823" ht="12.75" customHeight="1">
      <c r="A823" s="59"/>
      <c r="B823" s="59"/>
      <c r="C823" s="59"/>
      <c r="D823" s="59"/>
      <c r="E823" s="59"/>
      <c r="F823" s="59"/>
      <c r="I823" s="59"/>
      <c r="J823" s="59"/>
    </row>
    <row r="824" ht="12.75" customHeight="1">
      <c r="A824" s="59"/>
      <c r="B824" s="59"/>
      <c r="C824" s="59"/>
      <c r="D824" s="59"/>
      <c r="E824" s="59"/>
      <c r="F824" s="59"/>
      <c r="I824" s="59"/>
      <c r="J824" s="59"/>
    </row>
    <row r="825" ht="12.75" customHeight="1">
      <c r="A825" s="59"/>
      <c r="B825" s="59"/>
      <c r="C825" s="59"/>
      <c r="D825" s="59"/>
      <c r="E825" s="59"/>
      <c r="F825" s="59"/>
      <c r="I825" s="59"/>
      <c r="J825" s="59"/>
    </row>
    <row r="826" ht="12.75" customHeight="1">
      <c r="A826" s="59"/>
      <c r="B826" s="59"/>
      <c r="C826" s="59"/>
      <c r="D826" s="59"/>
      <c r="E826" s="59"/>
      <c r="F826" s="59"/>
      <c r="I826" s="59"/>
      <c r="J826" s="59"/>
    </row>
    <row r="827" ht="12.75" customHeight="1">
      <c r="A827" s="59"/>
      <c r="B827" s="59"/>
      <c r="C827" s="59"/>
      <c r="D827" s="59"/>
      <c r="E827" s="59"/>
      <c r="F827" s="59"/>
      <c r="I827" s="59"/>
      <c r="J827" s="59"/>
    </row>
    <row r="828" ht="12.75" customHeight="1">
      <c r="A828" s="59"/>
      <c r="B828" s="59"/>
      <c r="C828" s="59"/>
      <c r="D828" s="59"/>
      <c r="E828" s="59"/>
      <c r="F828" s="59"/>
      <c r="I828" s="59"/>
      <c r="J828" s="59"/>
    </row>
    <row r="829" ht="12.75" customHeight="1">
      <c r="A829" s="59"/>
      <c r="B829" s="59"/>
      <c r="C829" s="59"/>
      <c r="D829" s="59"/>
      <c r="E829" s="59"/>
      <c r="F829" s="59"/>
      <c r="I829" s="59"/>
      <c r="J829" s="59"/>
    </row>
    <row r="830" ht="12.75" customHeight="1">
      <c r="A830" s="59"/>
      <c r="B830" s="59"/>
      <c r="C830" s="59"/>
      <c r="D830" s="59"/>
      <c r="E830" s="59"/>
      <c r="F830" s="59"/>
      <c r="I830" s="59"/>
      <c r="J830" s="59"/>
    </row>
    <row r="831" ht="12.75" customHeight="1">
      <c r="A831" s="59"/>
      <c r="B831" s="59"/>
      <c r="C831" s="59"/>
      <c r="D831" s="59"/>
      <c r="E831" s="59"/>
      <c r="F831" s="59"/>
      <c r="I831" s="59"/>
      <c r="J831" s="59"/>
    </row>
    <row r="832" ht="12.75" customHeight="1">
      <c r="A832" s="59"/>
      <c r="B832" s="59"/>
      <c r="C832" s="59"/>
      <c r="D832" s="59"/>
      <c r="E832" s="59"/>
      <c r="F832" s="59"/>
      <c r="I832" s="59"/>
      <c r="J832" s="59"/>
    </row>
    <row r="833" ht="12.75" customHeight="1">
      <c r="A833" s="59"/>
      <c r="B833" s="59"/>
      <c r="C833" s="59"/>
      <c r="D833" s="59"/>
      <c r="E833" s="59"/>
      <c r="F833" s="59"/>
      <c r="I833" s="59"/>
      <c r="J833" s="59"/>
    </row>
    <row r="834" ht="12.75" customHeight="1">
      <c r="A834" s="59"/>
      <c r="B834" s="59"/>
      <c r="C834" s="59"/>
      <c r="D834" s="59"/>
      <c r="E834" s="59"/>
      <c r="F834" s="59"/>
      <c r="I834" s="59"/>
      <c r="J834" s="59"/>
    </row>
    <row r="835" ht="12.75" customHeight="1">
      <c r="A835" s="59"/>
      <c r="B835" s="59"/>
      <c r="C835" s="59"/>
      <c r="D835" s="59"/>
      <c r="E835" s="59"/>
      <c r="F835" s="59"/>
      <c r="I835" s="59"/>
      <c r="J835" s="59"/>
    </row>
    <row r="836" ht="12.75" customHeight="1">
      <c r="A836" s="59"/>
      <c r="B836" s="59"/>
      <c r="C836" s="59"/>
      <c r="D836" s="59"/>
      <c r="E836" s="59"/>
      <c r="F836" s="59"/>
      <c r="I836" s="59"/>
      <c r="J836" s="59"/>
    </row>
    <row r="837" ht="12.75" customHeight="1">
      <c r="A837" s="59"/>
      <c r="B837" s="59"/>
      <c r="C837" s="59"/>
      <c r="D837" s="59"/>
      <c r="E837" s="59"/>
      <c r="F837" s="59"/>
      <c r="I837" s="59"/>
      <c r="J837" s="59"/>
    </row>
    <row r="838" ht="12.75" customHeight="1">
      <c r="A838" s="59"/>
      <c r="B838" s="59"/>
      <c r="C838" s="59"/>
      <c r="D838" s="59"/>
      <c r="E838" s="59"/>
      <c r="F838" s="59"/>
      <c r="I838" s="59"/>
      <c r="J838" s="59"/>
    </row>
    <row r="839" ht="12.75" customHeight="1">
      <c r="A839" s="59"/>
      <c r="B839" s="59"/>
      <c r="C839" s="59"/>
      <c r="D839" s="59"/>
      <c r="E839" s="59"/>
      <c r="F839" s="59"/>
      <c r="I839" s="59"/>
      <c r="J839" s="59"/>
    </row>
    <row r="840" ht="12.75" customHeight="1">
      <c r="A840" s="59"/>
      <c r="B840" s="59"/>
      <c r="C840" s="59"/>
      <c r="D840" s="59"/>
      <c r="E840" s="59"/>
      <c r="F840" s="59"/>
      <c r="I840" s="59"/>
      <c r="J840" s="59"/>
    </row>
    <row r="841" ht="12.75" customHeight="1">
      <c r="A841" s="59"/>
      <c r="B841" s="59"/>
      <c r="C841" s="59"/>
      <c r="D841" s="59"/>
      <c r="E841" s="59"/>
      <c r="F841" s="59"/>
      <c r="I841" s="59"/>
      <c r="J841" s="59"/>
    </row>
    <row r="842" ht="12.75" customHeight="1">
      <c r="A842" s="59"/>
      <c r="B842" s="59"/>
      <c r="C842" s="59"/>
      <c r="D842" s="59"/>
      <c r="E842" s="59"/>
      <c r="F842" s="59"/>
      <c r="I842" s="59"/>
      <c r="J842" s="59"/>
    </row>
    <row r="843" ht="12.75" customHeight="1">
      <c r="A843" s="59"/>
      <c r="B843" s="59"/>
      <c r="C843" s="59"/>
      <c r="D843" s="59"/>
      <c r="E843" s="59"/>
      <c r="F843" s="59"/>
      <c r="I843" s="59"/>
      <c r="J843" s="59"/>
    </row>
    <row r="844" ht="12.75" customHeight="1">
      <c r="A844" s="59"/>
      <c r="B844" s="59"/>
      <c r="C844" s="59"/>
      <c r="D844" s="59"/>
      <c r="E844" s="59"/>
      <c r="F844" s="59"/>
      <c r="I844" s="59"/>
      <c r="J844" s="59"/>
    </row>
    <row r="845" ht="12.75" customHeight="1">
      <c r="A845" s="59"/>
      <c r="B845" s="59"/>
      <c r="C845" s="59"/>
      <c r="D845" s="59"/>
      <c r="E845" s="59"/>
      <c r="F845" s="59"/>
      <c r="I845" s="59"/>
      <c r="J845" s="59"/>
    </row>
    <row r="846" ht="12.75" customHeight="1">
      <c r="A846" s="59"/>
      <c r="B846" s="59"/>
      <c r="C846" s="59"/>
      <c r="D846" s="59"/>
      <c r="E846" s="59"/>
      <c r="F846" s="59"/>
      <c r="I846" s="59"/>
      <c r="J846" s="59"/>
    </row>
    <row r="847" ht="12.75" customHeight="1">
      <c r="A847" s="59"/>
      <c r="B847" s="59"/>
      <c r="C847" s="59"/>
      <c r="D847" s="59"/>
      <c r="E847" s="59"/>
      <c r="F847" s="59"/>
      <c r="I847" s="59"/>
      <c r="J847" s="59"/>
    </row>
    <row r="848" ht="12.75" customHeight="1">
      <c r="A848" s="59"/>
      <c r="B848" s="59"/>
      <c r="C848" s="59"/>
      <c r="D848" s="59"/>
      <c r="E848" s="59"/>
      <c r="F848" s="59"/>
      <c r="I848" s="59"/>
      <c r="J848" s="59"/>
    </row>
    <row r="849" ht="12.75" customHeight="1">
      <c r="A849" s="59"/>
      <c r="B849" s="59"/>
      <c r="C849" s="59"/>
      <c r="D849" s="59"/>
      <c r="E849" s="59"/>
      <c r="F849" s="59"/>
      <c r="I849" s="59"/>
      <c r="J849" s="59"/>
    </row>
    <row r="850" ht="12.75" customHeight="1">
      <c r="A850" s="59"/>
      <c r="B850" s="59"/>
      <c r="C850" s="59"/>
      <c r="D850" s="59"/>
      <c r="E850" s="59"/>
      <c r="F850" s="59"/>
      <c r="I850" s="59"/>
      <c r="J850" s="59"/>
    </row>
    <row r="851" ht="12.75" customHeight="1">
      <c r="A851" s="59"/>
      <c r="B851" s="59"/>
      <c r="C851" s="59"/>
      <c r="D851" s="59"/>
      <c r="E851" s="59"/>
      <c r="F851" s="59"/>
      <c r="I851" s="59"/>
      <c r="J851" s="59"/>
    </row>
    <row r="852" ht="12.75" customHeight="1">
      <c r="A852" s="59"/>
      <c r="B852" s="59"/>
      <c r="C852" s="59"/>
      <c r="D852" s="59"/>
      <c r="E852" s="59"/>
      <c r="F852" s="59"/>
      <c r="I852" s="59"/>
      <c r="J852" s="59"/>
    </row>
    <row r="853" ht="12.75" customHeight="1">
      <c r="A853" s="59"/>
      <c r="B853" s="59"/>
      <c r="C853" s="59"/>
      <c r="D853" s="59"/>
      <c r="E853" s="59"/>
      <c r="F853" s="59"/>
      <c r="I853" s="59"/>
      <c r="J853" s="59"/>
    </row>
    <row r="854" ht="12.75" customHeight="1">
      <c r="A854" s="59"/>
      <c r="B854" s="59"/>
      <c r="C854" s="59"/>
      <c r="D854" s="59"/>
      <c r="E854" s="59"/>
      <c r="F854" s="59"/>
      <c r="I854" s="59"/>
      <c r="J854" s="59"/>
    </row>
    <row r="855" ht="12.75" customHeight="1">
      <c r="A855" s="59"/>
      <c r="B855" s="59"/>
      <c r="C855" s="59"/>
      <c r="D855" s="59"/>
      <c r="E855" s="59"/>
      <c r="F855" s="59"/>
      <c r="I855" s="59"/>
      <c r="J855" s="59"/>
    </row>
    <row r="856" ht="12.75" customHeight="1">
      <c r="A856" s="59"/>
      <c r="B856" s="59"/>
      <c r="C856" s="59"/>
      <c r="D856" s="59"/>
      <c r="E856" s="59"/>
      <c r="F856" s="59"/>
      <c r="I856" s="59"/>
      <c r="J856" s="59"/>
    </row>
    <row r="857" ht="12.75" customHeight="1">
      <c r="A857" s="59"/>
      <c r="B857" s="59"/>
      <c r="C857" s="59"/>
      <c r="D857" s="59"/>
      <c r="E857" s="59"/>
      <c r="F857" s="59"/>
      <c r="I857" s="59"/>
      <c r="J857" s="59"/>
    </row>
    <row r="858" ht="12.75" customHeight="1">
      <c r="A858" s="59"/>
      <c r="B858" s="59"/>
      <c r="C858" s="59"/>
      <c r="D858" s="59"/>
      <c r="E858" s="59"/>
      <c r="F858" s="59"/>
      <c r="I858" s="59"/>
      <c r="J858" s="59"/>
    </row>
    <row r="859" ht="12.75" customHeight="1">
      <c r="A859" s="59"/>
      <c r="B859" s="59"/>
      <c r="C859" s="59"/>
      <c r="D859" s="59"/>
      <c r="E859" s="59"/>
      <c r="F859" s="59"/>
      <c r="I859" s="59"/>
      <c r="J859" s="59"/>
    </row>
    <row r="860" ht="12.75" customHeight="1">
      <c r="A860" s="59"/>
      <c r="B860" s="59"/>
      <c r="C860" s="59"/>
      <c r="D860" s="59"/>
      <c r="E860" s="59"/>
      <c r="F860" s="59"/>
      <c r="I860" s="59"/>
      <c r="J860" s="59"/>
    </row>
    <row r="861" ht="12.75" customHeight="1">
      <c r="A861" s="59"/>
      <c r="B861" s="59"/>
      <c r="C861" s="59"/>
      <c r="D861" s="59"/>
      <c r="E861" s="59"/>
      <c r="F861" s="59"/>
      <c r="I861" s="59"/>
      <c r="J861" s="59"/>
    </row>
    <row r="862" ht="12.75" customHeight="1">
      <c r="A862" s="59"/>
      <c r="B862" s="59"/>
      <c r="C862" s="59"/>
      <c r="D862" s="59"/>
      <c r="E862" s="59"/>
      <c r="F862" s="59"/>
      <c r="I862" s="59"/>
      <c r="J862" s="59"/>
    </row>
    <row r="863" ht="12.75" customHeight="1">
      <c r="A863" s="59"/>
      <c r="B863" s="59"/>
      <c r="C863" s="59"/>
      <c r="D863" s="59"/>
      <c r="E863" s="59"/>
      <c r="F863" s="59"/>
      <c r="I863" s="59"/>
      <c r="J863" s="59"/>
    </row>
    <row r="864" ht="12.75" customHeight="1">
      <c r="A864" s="59"/>
      <c r="B864" s="59"/>
      <c r="C864" s="59"/>
      <c r="D864" s="59"/>
      <c r="E864" s="59"/>
      <c r="F864" s="59"/>
      <c r="I864" s="59"/>
      <c r="J864" s="59"/>
    </row>
    <row r="865" ht="12.75" customHeight="1">
      <c r="A865" s="59"/>
      <c r="B865" s="59"/>
      <c r="C865" s="59"/>
      <c r="D865" s="59"/>
      <c r="E865" s="59"/>
      <c r="F865" s="59"/>
      <c r="I865" s="59"/>
      <c r="J865" s="59"/>
    </row>
    <row r="866" ht="12.75" customHeight="1">
      <c r="A866" s="59"/>
      <c r="B866" s="59"/>
      <c r="C866" s="59"/>
      <c r="D866" s="59"/>
      <c r="E866" s="59"/>
      <c r="F866" s="59"/>
      <c r="I866" s="59"/>
      <c r="J866" s="59"/>
    </row>
    <row r="867" ht="12.75" customHeight="1">
      <c r="A867" s="59"/>
      <c r="B867" s="59"/>
      <c r="C867" s="59"/>
      <c r="D867" s="59"/>
      <c r="E867" s="59"/>
      <c r="F867" s="59"/>
      <c r="I867" s="59"/>
      <c r="J867" s="59"/>
    </row>
    <row r="868" ht="12.75" customHeight="1">
      <c r="A868" s="59"/>
      <c r="B868" s="59"/>
      <c r="C868" s="59"/>
      <c r="D868" s="59"/>
      <c r="E868" s="59"/>
      <c r="F868" s="59"/>
      <c r="I868" s="59"/>
      <c r="J868" s="59"/>
    </row>
    <row r="869" ht="12.75" customHeight="1">
      <c r="A869" s="59"/>
      <c r="B869" s="59"/>
      <c r="C869" s="59"/>
      <c r="D869" s="59"/>
      <c r="E869" s="59"/>
      <c r="F869" s="59"/>
      <c r="I869" s="59"/>
      <c r="J869" s="59"/>
    </row>
    <row r="870" ht="12.75" customHeight="1">
      <c r="A870" s="59"/>
      <c r="B870" s="59"/>
      <c r="C870" s="59"/>
      <c r="D870" s="59"/>
      <c r="E870" s="59"/>
      <c r="F870" s="59"/>
      <c r="I870" s="59"/>
      <c r="J870" s="59"/>
    </row>
    <row r="871" ht="12.75" customHeight="1">
      <c r="A871" s="59"/>
      <c r="B871" s="59"/>
      <c r="C871" s="59"/>
      <c r="D871" s="59"/>
      <c r="E871" s="59"/>
      <c r="F871" s="59"/>
      <c r="I871" s="59"/>
      <c r="J871" s="59"/>
    </row>
    <row r="872" ht="12.75" customHeight="1">
      <c r="A872" s="59"/>
      <c r="B872" s="59"/>
      <c r="C872" s="59"/>
      <c r="D872" s="59"/>
      <c r="E872" s="59"/>
      <c r="F872" s="59"/>
      <c r="I872" s="59"/>
      <c r="J872" s="59"/>
    </row>
    <row r="873" ht="12.75" customHeight="1">
      <c r="A873" s="59"/>
      <c r="B873" s="59"/>
      <c r="C873" s="59"/>
      <c r="D873" s="59"/>
      <c r="E873" s="59"/>
      <c r="F873" s="59"/>
      <c r="I873" s="59"/>
      <c r="J873" s="59"/>
    </row>
    <row r="874" ht="12.75" customHeight="1">
      <c r="A874" s="59"/>
      <c r="B874" s="59"/>
      <c r="C874" s="59"/>
      <c r="D874" s="59"/>
      <c r="E874" s="59"/>
      <c r="F874" s="59"/>
      <c r="I874" s="59"/>
      <c r="J874" s="59"/>
    </row>
    <row r="875" ht="12.75" customHeight="1">
      <c r="A875" s="59"/>
      <c r="B875" s="59"/>
      <c r="C875" s="59"/>
      <c r="D875" s="59"/>
      <c r="E875" s="59"/>
      <c r="F875" s="59"/>
      <c r="I875" s="59"/>
      <c r="J875" s="59"/>
    </row>
    <row r="876" ht="12.75" customHeight="1">
      <c r="A876" s="59"/>
      <c r="B876" s="59"/>
      <c r="C876" s="59"/>
      <c r="D876" s="59"/>
      <c r="E876" s="59"/>
      <c r="F876" s="59"/>
      <c r="I876" s="59"/>
      <c r="J876" s="59"/>
    </row>
    <row r="877" ht="12.75" customHeight="1">
      <c r="A877" s="59"/>
      <c r="B877" s="59"/>
      <c r="C877" s="59"/>
      <c r="D877" s="59"/>
      <c r="E877" s="59"/>
      <c r="F877" s="59"/>
      <c r="I877" s="59"/>
      <c r="J877" s="59"/>
    </row>
    <row r="878" ht="12.75" customHeight="1">
      <c r="A878" s="59"/>
      <c r="B878" s="59"/>
      <c r="C878" s="59"/>
      <c r="D878" s="59"/>
      <c r="E878" s="59"/>
      <c r="F878" s="59"/>
      <c r="I878" s="59"/>
      <c r="J878" s="59"/>
    </row>
    <row r="879" ht="12.75" customHeight="1">
      <c r="A879" s="59"/>
      <c r="B879" s="59"/>
      <c r="C879" s="59"/>
      <c r="D879" s="59"/>
      <c r="E879" s="59"/>
      <c r="F879" s="59"/>
      <c r="I879" s="59"/>
      <c r="J879" s="59"/>
    </row>
    <row r="880" ht="12.75" customHeight="1">
      <c r="A880" s="59"/>
      <c r="B880" s="59"/>
      <c r="C880" s="59"/>
      <c r="D880" s="59"/>
      <c r="E880" s="59"/>
      <c r="F880" s="59"/>
      <c r="I880" s="59"/>
      <c r="J880" s="59"/>
    </row>
    <row r="881" ht="12.75" customHeight="1">
      <c r="A881" s="59"/>
      <c r="B881" s="59"/>
      <c r="C881" s="59"/>
      <c r="D881" s="59"/>
      <c r="E881" s="59"/>
      <c r="F881" s="59"/>
      <c r="I881" s="59"/>
      <c r="J881" s="59"/>
    </row>
    <row r="882" ht="12.75" customHeight="1">
      <c r="A882" s="59"/>
      <c r="B882" s="59"/>
      <c r="C882" s="59"/>
      <c r="D882" s="59"/>
      <c r="E882" s="59"/>
      <c r="F882" s="59"/>
      <c r="I882" s="59"/>
      <c r="J882" s="59"/>
    </row>
    <row r="883" ht="12.75" customHeight="1">
      <c r="A883" s="59"/>
      <c r="B883" s="59"/>
      <c r="C883" s="59"/>
      <c r="D883" s="59"/>
      <c r="E883" s="59"/>
      <c r="F883" s="59"/>
      <c r="I883" s="59"/>
      <c r="J883" s="59"/>
    </row>
    <row r="884" ht="12.75" customHeight="1">
      <c r="A884" s="59"/>
      <c r="B884" s="59"/>
      <c r="C884" s="59"/>
      <c r="D884" s="59"/>
      <c r="E884" s="59"/>
      <c r="F884" s="59"/>
      <c r="I884" s="59"/>
      <c r="J884" s="59"/>
    </row>
    <row r="885" ht="12.75" customHeight="1">
      <c r="A885" s="59"/>
      <c r="B885" s="59"/>
      <c r="C885" s="59"/>
      <c r="D885" s="59"/>
      <c r="E885" s="59"/>
      <c r="F885" s="59"/>
      <c r="I885" s="59"/>
      <c r="J885" s="59"/>
    </row>
    <row r="886" ht="12.75" customHeight="1">
      <c r="A886" s="59"/>
      <c r="B886" s="59"/>
      <c r="C886" s="59"/>
      <c r="D886" s="59"/>
      <c r="E886" s="59"/>
      <c r="F886" s="59"/>
      <c r="I886" s="59"/>
      <c r="J886" s="59"/>
    </row>
    <row r="887" ht="12.75" customHeight="1">
      <c r="A887" s="59"/>
      <c r="B887" s="59"/>
      <c r="C887" s="59"/>
      <c r="D887" s="59"/>
      <c r="E887" s="59"/>
      <c r="F887" s="59"/>
      <c r="I887" s="59"/>
      <c r="J887" s="59"/>
    </row>
    <row r="888" ht="12.75" customHeight="1">
      <c r="A888" s="59"/>
      <c r="B888" s="59"/>
      <c r="C888" s="59"/>
      <c r="D888" s="59"/>
      <c r="E888" s="59"/>
      <c r="F888" s="59"/>
      <c r="I888" s="59"/>
      <c r="J888" s="59"/>
    </row>
    <row r="889" ht="12.75" customHeight="1">
      <c r="A889" s="59"/>
      <c r="B889" s="59"/>
      <c r="C889" s="59"/>
      <c r="D889" s="59"/>
      <c r="E889" s="59"/>
      <c r="F889" s="59"/>
      <c r="I889" s="59"/>
      <c r="J889" s="59"/>
    </row>
    <row r="890" ht="12.75" customHeight="1">
      <c r="A890" s="59"/>
      <c r="B890" s="59"/>
      <c r="C890" s="59"/>
      <c r="D890" s="59"/>
      <c r="E890" s="59"/>
      <c r="F890" s="59"/>
      <c r="I890" s="59"/>
      <c r="J890" s="59"/>
    </row>
    <row r="891" ht="12.75" customHeight="1">
      <c r="A891" s="59"/>
      <c r="B891" s="59"/>
      <c r="C891" s="59"/>
      <c r="D891" s="59"/>
      <c r="E891" s="59"/>
      <c r="F891" s="59"/>
      <c r="I891" s="59"/>
      <c r="J891" s="59"/>
    </row>
    <row r="892" ht="12.75" customHeight="1">
      <c r="A892" s="59"/>
      <c r="B892" s="59"/>
      <c r="C892" s="59"/>
      <c r="D892" s="59"/>
      <c r="E892" s="59"/>
      <c r="F892" s="59"/>
      <c r="I892" s="59"/>
      <c r="J892" s="59"/>
    </row>
    <row r="893" ht="12.75" customHeight="1">
      <c r="A893" s="59"/>
      <c r="B893" s="59"/>
      <c r="C893" s="59"/>
      <c r="D893" s="59"/>
      <c r="E893" s="59"/>
      <c r="F893" s="59"/>
      <c r="I893" s="59"/>
      <c r="J893" s="59"/>
    </row>
    <row r="894" ht="12.75" customHeight="1">
      <c r="A894" s="59"/>
      <c r="B894" s="59"/>
      <c r="C894" s="59"/>
      <c r="D894" s="59"/>
      <c r="E894" s="59"/>
      <c r="F894" s="59"/>
      <c r="I894" s="59"/>
      <c r="J894" s="59"/>
    </row>
    <row r="895" ht="12.75" customHeight="1">
      <c r="A895" s="59"/>
      <c r="B895" s="59"/>
      <c r="C895" s="59"/>
      <c r="D895" s="59"/>
      <c r="E895" s="59"/>
      <c r="F895" s="59"/>
      <c r="I895" s="59"/>
      <c r="J895" s="59"/>
    </row>
    <row r="896" ht="12.75" customHeight="1">
      <c r="A896" s="59"/>
      <c r="B896" s="59"/>
      <c r="C896" s="59"/>
      <c r="D896" s="59"/>
      <c r="E896" s="59"/>
      <c r="F896" s="59"/>
      <c r="I896" s="59"/>
      <c r="J896" s="59"/>
    </row>
    <row r="897" ht="12.75" customHeight="1">
      <c r="A897" s="59"/>
      <c r="B897" s="59"/>
      <c r="C897" s="59"/>
      <c r="D897" s="59"/>
      <c r="E897" s="59"/>
      <c r="F897" s="59"/>
      <c r="I897" s="59"/>
      <c r="J897" s="59"/>
    </row>
    <row r="898" ht="12.75" customHeight="1">
      <c r="A898" s="59"/>
      <c r="B898" s="59"/>
      <c r="C898" s="59"/>
      <c r="D898" s="59"/>
      <c r="E898" s="59"/>
      <c r="F898" s="59"/>
      <c r="I898" s="59"/>
      <c r="J898" s="59"/>
    </row>
    <row r="899" ht="12.75" customHeight="1">
      <c r="A899" s="59"/>
      <c r="B899" s="59"/>
      <c r="C899" s="59"/>
      <c r="D899" s="59"/>
      <c r="E899" s="59"/>
      <c r="F899" s="59"/>
      <c r="I899" s="59"/>
      <c r="J899" s="59"/>
    </row>
    <row r="900" ht="12.75" customHeight="1">
      <c r="A900" s="59"/>
      <c r="B900" s="59"/>
      <c r="C900" s="59"/>
      <c r="D900" s="59"/>
      <c r="E900" s="59"/>
      <c r="F900" s="59"/>
      <c r="I900" s="59"/>
      <c r="J900" s="59"/>
    </row>
    <row r="901" ht="12.75" customHeight="1">
      <c r="A901" s="59"/>
      <c r="B901" s="59"/>
      <c r="C901" s="59"/>
      <c r="D901" s="59"/>
      <c r="E901" s="59"/>
      <c r="F901" s="59"/>
      <c r="I901" s="59"/>
      <c r="J901" s="59"/>
    </row>
    <row r="902" ht="12.75" customHeight="1">
      <c r="A902" s="59"/>
      <c r="B902" s="59"/>
      <c r="C902" s="59"/>
      <c r="D902" s="59"/>
      <c r="E902" s="59"/>
      <c r="F902" s="59"/>
      <c r="I902" s="59"/>
      <c r="J902" s="59"/>
    </row>
    <row r="903" ht="12.75" customHeight="1">
      <c r="A903" s="59"/>
      <c r="B903" s="59"/>
      <c r="C903" s="59"/>
      <c r="D903" s="59"/>
      <c r="E903" s="59"/>
      <c r="F903" s="59"/>
      <c r="I903" s="59"/>
      <c r="J903" s="59"/>
    </row>
    <row r="904" ht="12.75" customHeight="1">
      <c r="A904" s="59"/>
      <c r="B904" s="59"/>
      <c r="C904" s="59"/>
      <c r="D904" s="59"/>
      <c r="E904" s="59"/>
      <c r="F904" s="59"/>
      <c r="I904" s="59"/>
      <c r="J904" s="59"/>
    </row>
    <row r="905" ht="12.75" customHeight="1">
      <c r="A905" s="59"/>
      <c r="B905" s="59"/>
      <c r="C905" s="59"/>
      <c r="D905" s="59"/>
      <c r="E905" s="59"/>
      <c r="F905" s="59"/>
      <c r="I905" s="59"/>
      <c r="J905" s="59"/>
    </row>
    <row r="906" ht="12.75" customHeight="1">
      <c r="A906" s="59"/>
      <c r="B906" s="59"/>
      <c r="C906" s="59"/>
      <c r="D906" s="59"/>
      <c r="E906" s="59"/>
      <c r="F906" s="59"/>
      <c r="I906" s="59"/>
      <c r="J906" s="59"/>
    </row>
    <row r="907" ht="12.75" customHeight="1">
      <c r="A907" s="59"/>
      <c r="B907" s="59"/>
      <c r="C907" s="59"/>
      <c r="D907" s="59"/>
      <c r="E907" s="59"/>
      <c r="F907" s="59"/>
      <c r="I907" s="59"/>
      <c r="J907" s="59"/>
    </row>
    <row r="908" ht="12.75" customHeight="1">
      <c r="A908" s="59"/>
      <c r="B908" s="59"/>
      <c r="C908" s="59"/>
      <c r="D908" s="59"/>
      <c r="E908" s="59"/>
      <c r="F908" s="59"/>
      <c r="I908" s="59"/>
      <c r="J908" s="59"/>
    </row>
    <row r="909" ht="12.75" customHeight="1">
      <c r="A909" s="59"/>
      <c r="B909" s="59"/>
      <c r="C909" s="59"/>
      <c r="D909" s="59"/>
      <c r="E909" s="59"/>
      <c r="F909" s="59"/>
      <c r="I909" s="59"/>
      <c r="J909" s="59"/>
    </row>
    <row r="910" ht="12.75" customHeight="1">
      <c r="A910" s="59"/>
      <c r="B910" s="59"/>
      <c r="C910" s="59"/>
      <c r="D910" s="59"/>
      <c r="E910" s="59"/>
      <c r="F910" s="59"/>
      <c r="I910" s="59"/>
      <c r="J910" s="59"/>
    </row>
    <row r="911" ht="12.75" customHeight="1">
      <c r="A911" s="59"/>
      <c r="B911" s="59"/>
      <c r="C911" s="59"/>
      <c r="D911" s="59"/>
      <c r="E911" s="59"/>
      <c r="F911" s="59"/>
      <c r="I911" s="59"/>
      <c r="J911" s="59"/>
    </row>
    <row r="912" ht="12.75" customHeight="1">
      <c r="A912" s="59"/>
      <c r="B912" s="59"/>
      <c r="C912" s="59"/>
      <c r="D912" s="59"/>
      <c r="E912" s="59"/>
      <c r="F912" s="59"/>
      <c r="I912" s="59"/>
      <c r="J912" s="59"/>
    </row>
    <row r="913" ht="12.75" customHeight="1">
      <c r="A913" s="59"/>
      <c r="B913" s="59"/>
      <c r="C913" s="59"/>
      <c r="D913" s="59"/>
      <c r="E913" s="59"/>
      <c r="F913" s="59"/>
      <c r="I913" s="59"/>
      <c r="J913" s="59"/>
    </row>
    <row r="914" ht="12.75" customHeight="1">
      <c r="A914" s="59"/>
      <c r="B914" s="59"/>
      <c r="C914" s="59"/>
      <c r="D914" s="59"/>
      <c r="E914" s="59"/>
      <c r="F914" s="59"/>
      <c r="I914" s="59"/>
      <c r="J914" s="59"/>
    </row>
    <row r="915" ht="12.75" customHeight="1">
      <c r="A915" s="59"/>
      <c r="B915" s="59"/>
      <c r="C915" s="59"/>
      <c r="D915" s="59"/>
      <c r="E915" s="59"/>
      <c r="F915" s="59"/>
      <c r="I915" s="59"/>
      <c r="J915" s="59"/>
    </row>
    <row r="916" ht="12.75" customHeight="1">
      <c r="A916" s="59"/>
      <c r="B916" s="59"/>
      <c r="C916" s="59"/>
      <c r="D916" s="59"/>
      <c r="E916" s="59"/>
      <c r="F916" s="59"/>
      <c r="I916" s="59"/>
      <c r="J916" s="59"/>
    </row>
    <row r="917" ht="12.75" customHeight="1">
      <c r="A917" s="59"/>
      <c r="B917" s="59"/>
      <c r="C917" s="59"/>
      <c r="D917" s="59"/>
      <c r="E917" s="59"/>
      <c r="F917" s="59"/>
      <c r="I917" s="59"/>
      <c r="J917" s="59"/>
    </row>
    <row r="918" ht="12.75" customHeight="1">
      <c r="A918" s="59"/>
      <c r="B918" s="59"/>
      <c r="C918" s="59"/>
      <c r="D918" s="59"/>
      <c r="E918" s="59"/>
      <c r="F918" s="59"/>
      <c r="I918" s="59"/>
      <c r="J918" s="59"/>
    </row>
    <row r="919" ht="12.75" customHeight="1">
      <c r="A919" s="59"/>
      <c r="B919" s="59"/>
      <c r="C919" s="59"/>
      <c r="D919" s="59"/>
      <c r="E919" s="59"/>
      <c r="F919" s="59"/>
      <c r="I919" s="59"/>
      <c r="J919" s="59"/>
    </row>
    <row r="920" ht="12.75" customHeight="1">
      <c r="A920" s="59"/>
      <c r="B920" s="59"/>
      <c r="C920" s="59"/>
      <c r="D920" s="59"/>
      <c r="E920" s="59"/>
      <c r="F920" s="59"/>
      <c r="I920" s="59"/>
      <c r="J920" s="59"/>
    </row>
    <row r="921" ht="12.75" customHeight="1">
      <c r="A921" s="59"/>
      <c r="B921" s="59"/>
      <c r="C921" s="59"/>
      <c r="D921" s="59"/>
      <c r="E921" s="59"/>
      <c r="F921" s="59"/>
      <c r="I921" s="59"/>
      <c r="J921" s="59"/>
    </row>
    <row r="922" ht="12.75" customHeight="1">
      <c r="A922" s="59"/>
      <c r="B922" s="59"/>
      <c r="C922" s="59"/>
      <c r="D922" s="59"/>
      <c r="E922" s="59"/>
      <c r="F922" s="59"/>
      <c r="I922" s="59"/>
      <c r="J922" s="59"/>
    </row>
    <row r="923" ht="12.75" customHeight="1">
      <c r="A923" s="59"/>
      <c r="B923" s="59"/>
      <c r="C923" s="59"/>
      <c r="D923" s="59"/>
      <c r="E923" s="59"/>
      <c r="F923" s="59"/>
      <c r="I923" s="59"/>
      <c r="J923" s="59"/>
    </row>
    <row r="924" ht="12.75" customHeight="1">
      <c r="A924" s="59"/>
      <c r="B924" s="59"/>
      <c r="C924" s="59"/>
      <c r="D924" s="59"/>
      <c r="E924" s="59"/>
      <c r="F924" s="59"/>
      <c r="I924" s="59"/>
      <c r="J924" s="59"/>
    </row>
    <row r="925" ht="12.75" customHeight="1">
      <c r="A925" s="59"/>
      <c r="B925" s="59"/>
      <c r="C925" s="59"/>
      <c r="D925" s="59"/>
      <c r="E925" s="59"/>
      <c r="F925" s="59"/>
      <c r="I925" s="59"/>
      <c r="J925" s="59"/>
    </row>
    <row r="926" ht="12.75" customHeight="1">
      <c r="A926" s="59"/>
      <c r="B926" s="59"/>
      <c r="C926" s="59"/>
      <c r="D926" s="59"/>
      <c r="E926" s="59"/>
      <c r="F926" s="59"/>
      <c r="I926" s="59"/>
      <c r="J926" s="59"/>
    </row>
    <row r="927" ht="12.75" customHeight="1">
      <c r="A927" s="59"/>
      <c r="B927" s="59"/>
      <c r="C927" s="59"/>
      <c r="D927" s="59"/>
      <c r="E927" s="59"/>
      <c r="F927" s="59"/>
      <c r="I927" s="59"/>
      <c r="J927" s="59"/>
    </row>
    <row r="928" ht="12.75" customHeight="1">
      <c r="A928" s="59"/>
      <c r="B928" s="59"/>
      <c r="C928" s="59"/>
      <c r="D928" s="59"/>
      <c r="E928" s="59"/>
      <c r="F928" s="59"/>
      <c r="I928" s="59"/>
      <c r="J928" s="59"/>
    </row>
    <row r="929" ht="12.75" customHeight="1">
      <c r="A929" s="59"/>
      <c r="B929" s="59"/>
      <c r="C929" s="59"/>
      <c r="D929" s="59"/>
      <c r="E929" s="59"/>
      <c r="F929" s="59"/>
      <c r="I929" s="59"/>
      <c r="J929" s="59"/>
    </row>
    <row r="930" ht="12.75" customHeight="1">
      <c r="A930" s="59"/>
      <c r="B930" s="59"/>
      <c r="C930" s="59"/>
      <c r="D930" s="59"/>
      <c r="E930" s="59"/>
      <c r="F930" s="59"/>
      <c r="I930" s="59"/>
      <c r="J930" s="59"/>
    </row>
    <row r="931" ht="12.75" customHeight="1">
      <c r="A931" s="59"/>
      <c r="B931" s="59"/>
      <c r="C931" s="59"/>
      <c r="D931" s="59"/>
      <c r="E931" s="59"/>
      <c r="F931" s="59"/>
      <c r="I931" s="59"/>
      <c r="J931" s="59"/>
    </row>
    <row r="932" ht="12.75" customHeight="1">
      <c r="A932" s="59"/>
      <c r="B932" s="59"/>
      <c r="C932" s="59"/>
      <c r="D932" s="59"/>
      <c r="E932" s="59"/>
      <c r="F932" s="59"/>
      <c r="I932" s="59"/>
      <c r="J932" s="59"/>
    </row>
    <row r="933" ht="12.75" customHeight="1">
      <c r="A933" s="59"/>
      <c r="B933" s="59"/>
      <c r="C933" s="59"/>
      <c r="D933" s="59"/>
      <c r="E933" s="59"/>
      <c r="F933" s="59"/>
      <c r="I933" s="59"/>
      <c r="J933" s="59"/>
    </row>
    <row r="934" ht="12.75" customHeight="1">
      <c r="A934" s="59"/>
      <c r="B934" s="59"/>
      <c r="C934" s="59"/>
      <c r="D934" s="59"/>
      <c r="E934" s="59"/>
      <c r="F934" s="59"/>
      <c r="I934" s="59"/>
      <c r="J934" s="59"/>
    </row>
    <row r="935" ht="12.75" customHeight="1">
      <c r="A935" s="59"/>
      <c r="B935" s="59"/>
      <c r="C935" s="59"/>
      <c r="D935" s="59"/>
      <c r="E935" s="59"/>
      <c r="F935" s="59"/>
      <c r="I935" s="59"/>
      <c r="J935" s="59"/>
    </row>
    <row r="936" ht="12.75" customHeight="1">
      <c r="A936" s="59"/>
      <c r="B936" s="59"/>
      <c r="C936" s="59"/>
      <c r="D936" s="59"/>
      <c r="E936" s="59"/>
      <c r="F936" s="59"/>
      <c r="I936" s="59"/>
      <c r="J936" s="59"/>
    </row>
    <row r="937" ht="12.75" customHeight="1">
      <c r="A937" s="59"/>
      <c r="B937" s="59"/>
      <c r="C937" s="59"/>
      <c r="D937" s="59"/>
      <c r="E937" s="59"/>
      <c r="F937" s="59"/>
      <c r="I937" s="59"/>
      <c r="J937" s="59"/>
    </row>
    <row r="938" ht="12.75" customHeight="1">
      <c r="A938" s="59"/>
      <c r="B938" s="59"/>
      <c r="C938" s="59"/>
      <c r="D938" s="59"/>
      <c r="E938" s="59"/>
      <c r="F938" s="59"/>
      <c r="I938" s="59"/>
      <c r="J938" s="59"/>
    </row>
    <row r="939" ht="12.75" customHeight="1">
      <c r="A939" s="59"/>
      <c r="B939" s="59"/>
      <c r="C939" s="59"/>
      <c r="D939" s="59"/>
      <c r="E939" s="59"/>
      <c r="F939" s="59"/>
      <c r="I939" s="59"/>
      <c r="J939" s="59"/>
    </row>
    <row r="940" ht="12.75" customHeight="1">
      <c r="A940" s="59"/>
      <c r="B940" s="59"/>
      <c r="C940" s="59"/>
      <c r="D940" s="59"/>
      <c r="E940" s="59"/>
      <c r="F940" s="59"/>
      <c r="I940" s="59"/>
      <c r="J940" s="59"/>
    </row>
    <row r="941" ht="12.75" customHeight="1">
      <c r="A941" s="59"/>
      <c r="B941" s="59"/>
      <c r="C941" s="59"/>
      <c r="D941" s="59"/>
      <c r="E941" s="59"/>
      <c r="F941" s="59"/>
      <c r="I941" s="59"/>
      <c r="J941" s="59"/>
    </row>
    <row r="942" ht="12.75" customHeight="1">
      <c r="A942" s="59"/>
      <c r="B942" s="59"/>
      <c r="C942" s="59"/>
      <c r="D942" s="59"/>
      <c r="E942" s="59"/>
      <c r="F942" s="59"/>
      <c r="I942" s="59"/>
      <c r="J942" s="59"/>
    </row>
    <row r="943" ht="12.75" customHeight="1">
      <c r="A943" s="59"/>
      <c r="B943" s="59"/>
      <c r="C943" s="59"/>
      <c r="D943" s="59"/>
      <c r="E943" s="59"/>
      <c r="F943" s="59"/>
      <c r="I943" s="59"/>
      <c r="J943" s="59"/>
    </row>
    <row r="944" ht="12.75" customHeight="1">
      <c r="A944" s="59"/>
      <c r="B944" s="59"/>
      <c r="C944" s="59"/>
      <c r="D944" s="59"/>
      <c r="E944" s="59"/>
      <c r="F944" s="59"/>
      <c r="I944" s="59"/>
      <c r="J944" s="59"/>
    </row>
    <row r="945" ht="12.75" customHeight="1">
      <c r="A945" s="59"/>
      <c r="B945" s="59"/>
      <c r="C945" s="59"/>
      <c r="D945" s="59"/>
      <c r="E945" s="59"/>
      <c r="F945" s="59"/>
      <c r="I945" s="59"/>
      <c r="J945" s="59"/>
    </row>
    <row r="946" ht="12.75" customHeight="1">
      <c r="A946" s="59"/>
      <c r="B946" s="59"/>
      <c r="C946" s="59"/>
      <c r="D946" s="59"/>
      <c r="E946" s="59"/>
      <c r="F946" s="59"/>
      <c r="I946" s="59"/>
      <c r="J946" s="59"/>
    </row>
    <row r="947" ht="12.75" customHeight="1">
      <c r="A947" s="59"/>
      <c r="B947" s="59"/>
      <c r="C947" s="59"/>
      <c r="D947" s="59"/>
      <c r="E947" s="59"/>
      <c r="F947" s="59"/>
      <c r="I947" s="59"/>
      <c r="J947" s="59"/>
    </row>
    <row r="948" ht="12.75" customHeight="1">
      <c r="A948" s="59"/>
      <c r="B948" s="59"/>
      <c r="C948" s="59"/>
      <c r="D948" s="59"/>
      <c r="E948" s="59"/>
      <c r="F948" s="59"/>
      <c r="I948" s="59"/>
      <c r="J948" s="59"/>
    </row>
    <row r="949" ht="12.75" customHeight="1">
      <c r="A949" s="59"/>
      <c r="B949" s="59"/>
      <c r="C949" s="59"/>
      <c r="D949" s="59"/>
      <c r="E949" s="59"/>
      <c r="F949" s="59"/>
      <c r="I949" s="59"/>
      <c r="J949" s="59"/>
    </row>
    <row r="950" ht="12.75" customHeight="1">
      <c r="A950" s="59"/>
      <c r="B950" s="59"/>
      <c r="C950" s="59"/>
      <c r="D950" s="59"/>
      <c r="E950" s="59"/>
      <c r="F950" s="59"/>
      <c r="I950" s="59"/>
      <c r="J950" s="59"/>
    </row>
    <row r="951" ht="12.75" customHeight="1">
      <c r="A951" s="59"/>
      <c r="B951" s="59"/>
      <c r="C951" s="59"/>
      <c r="D951" s="59"/>
      <c r="E951" s="59"/>
      <c r="F951" s="59"/>
      <c r="I951" s="59"/>
      <c r="J951" s="59"/>
    </row>
    <row r="952" ht="12.75" customHeight="1">
      <c r="A952" s="59"/>
      <c r="B952" s="59"/>
      <c r="C952" s="59"/>
      <c r="D952" s="59"/>
      <c r="E952" s="59"/>
      <c r="F952" s="59"/>
      <c r="I952" s="59"/>
      <c r="J952" s="59"/>
    </row>
    <row r="953" ht="12.75" customHeight="1">
      <c r="A953" s="59"/>
      <c r="B953" s="59"/>
      <c r="C953" s="59"/>
      <c r="D953" s="59"/>
      <c r="E953" s="59"/>
      <c r="F953" s="59"/>
      <c r="I953" s="59"/>
      <c r="J953" s="59"/>
    </row>
    <row r="954" ht="12.75" customHeight="1">
      <c r="A954" s="59"/>
      <c r="B954" s="59"/>
      <c r="C954" s="59"/>
      <c r="D954" s="59"/>
      <c r="E954" s="59"/>
      <c r="F954" s="59"/>
      <c r="I954" s="59"/>
      <c r="J954" s="59"/>
    </row>
    <row r="955" ht="12.75" customHeight="1">
      <c r="A955" s="59"/>
      <c r="B955" s="59"/>
      <c r="C955" s="59"/>
      <c r="D955" s="59"/>
      <c r="E955" s="59"/>
      <c r="F955" s="59"/>
      <c r="I955" s="59"/>
      <c r="J955" s="59"/>
    </row>
    <row r="956" ht="12.75" customHeight="1">
      <c r="A956" s="59"/>
      <c r="B956" s="59"/>
      <c r="C956" s="59"/>
      <c r="D956" s="59"/>
      <c r="E956" s="59"/>
      <c r="F956" s="59"/>
      <c r="I956" s="59"/>
      <c r="J956" s="59"/>
    </row>
    <row r="957" ht="12.75" customHeight="1">
      <c r="A957" s="59"/>
      <c r="B957" s="59"/>
      <c r="C957" s="59"/>
      <c r="D957" s="59"/>
      <c r="E957" s="59"/>
      <c r="F957" s="59"/>
      <c r="I957" s="59"/>
      <c r="J957" s="59"/>
    </row>
    <row r="958" ht="12.75" customHeight="1">
      <c r="A958" s="59"/>
      <c r="B958" s="59"/>
      <c r="C958" s="59"/>
      <c r="D958" s="59"/>
      <c r="E958" s="59"/>
      <c r="F958" s="59"/>
      <c r="I958" s="59"/>
      <c r="J958" s="59"/>
    </row>
    <row r="959" ht="12.75" customHeight="1">
      <c r="A959" s="59"/>
      <c r="B959" s="59"/>
      <c r="C959" s="59"/>
      <c r="D959" s="59"/>
      <c r="E959" s="59"/>
      <c r="F959" s="59"/>
      <c r="I959" s="59"/>
      <c r="J959" s="59"/>
    </row>
    <row r="960" ht="12.75" customHeight="1">
      <c r="A960" s="59"/>
      <c r="B960" s="59"/>
      <c r="C960" s="59"/>
      <c r="D960" s="59"/>
      <c r="E960" s="59"/>
      <c r="F960" s="59"/>
      <c r="I960" s="59"/>
      <c r="J960" s="59"/>
    </row>
    <row r="961" ht="12.75" customHeight="1">
      <c r="A961" s="59"/>
      <c r="B961" s="59"/>
      <c r="C961" s="59"/>
      <c r="D961" s="59"/>
      <c r="E961" s="59"/>
      <c r="F961" s="59"/>
      <c r="I961" s="59"/>
      <c r="J961" s="59"/>
    </row>
    <row r="962" ht="12.75" customHeight="1">
      <c r="A962" s="59"/>
      <c r="B962" s="59"/>
      <c r="C962" s="59"/>
      <c r="D962" s="59"/>
      <c r="E962" s="59"/>
      <c r="F962" s="59"/>
      <c r="I962" s="59"/>
      <c r="J962" s="59"/>
    </row>
    <row r="963" ht="12.75" customHeight="1">
      <c r="A963" s="59"/>
      <c r="B963" s="59"/>
      <c r="C963" s="59"/>
      <c r="D963" s="59"/>
      <c r="E963" s="59"/>
      <c r="F963" s="59"/>
      <c r="I963" s="59"/>
      <c r="J963" s="59"/>
    </row>
    <row r="964" ht="12.75" customHeight="1">
      <c r="A964" s="59"/>
      <c r="B964" s="59"/>
      <c r="C964" s="59"/>
      <c r="D964" s="59"/>
      <c r="E964" s="59"/>
      <c r="F964" s="59"/>
      <c r="I964" s="59"/>
      <c r="J964" s="59"/>
    </row>
    <row r="965" ht="12.75" customHeight="1">
      <c r="A965" s="59"/>
      <c r="B965" s="59"/>
      <c r="C965" s="59"/>
      <c r="D965" s="59"/>
      <c r="E965" s="59"/>
      <c r="F965" s="59"/>
      <c r="I965" s="59"/>
      <c r="J965" s="59"/>
    </row>
    <row r="966" ht="12.75" customHeight="1">
      <c r="A966" s="59"/>
      <c r="B966" s="59"/>
      <c r="C966" s="59"/>
      <c r="D966" s="59"/>
      <c r="E966" s="59"/>
      <c r="F966" s="59"/>
      <c r="I966" s="59"/>
      <c r="J966" s="59"/>
    </row>
    <row r="967" ht="12.75" customHeight="1">
      <c r="A967" s="59"/>
      <c r="B967" s="59"/>
      <c r="C967" s="59"/>
      <c r="D967" s="59"/>
      <c r="E967" s="59"/>
      <c r="F967" s="59"/>
      <c r="I967" s="59"/>
      <c r="J967" s="59"/>
    </row>
    <row r="968" ht="12.75" customHeight="1">
      <c r="A968" s="59"/>
      <c r="B968" s="59"/>
      <c r="C968" s="59"/>
      <c r="D968" s="59"/>
      <c r="E968" s="59"/>
      <c r="F968" s="59"/>
      <c r="I968" s="59"/>
      <c r="J968" s="59"/>
    </row>
    <row r="969" ht="12.75" customHeight="1">
      <c r="A969" s="59"/>
      <c r="B969" s="59"/>
      <c r="C969" s="59"/>
      <c r="D969" s="59"/>
      <c r="E969" s="59"/>
      <c r="F969" s="59"/>
      <c r="I969" s="59"/>
      <c r="J969" s="59"/>
    </row>
    <row r="970" ht="12.75" customHeight="1">
      <c r="A970" s="59"/>
      <c r="B970" s="59"/>
      <c r="C970" s="59"/>
      <c r="D970" s="59"/>
      <c r="E970" s="59"/>
      <c r="F970" s="59"/>
      <c r="I970" s="59"/>
      <c r="J970" s="59"/>
    </row>
    <row r="971" ht="12.75" customHeight="1">
      <c r="A971" s="59"/>
      <c r="B971" s="59"/>
      <c r="C971" s="59"/>
      <c r="D971" s="59"/>
      <c r="E971" s="59"/>
      <c r="F971" s="59"/>
      <c r="I971" s="59"/>
      <c r="J971" s="59"/>
    </row>
    <row r="972" ht="12.75" customHeight="1">
      <c r="A972" s="59"/>
      <c r="B972" s="59"/>
      <c r="C972" s="59"/>
      <c r="D972" s="59"/>
      <c r="E972" s="59"/>
      <c r="F972" s="59"/>
      <c r="I972" s="59"/>
      <c r="J972" s="59"/>
    </row>
    <row r="973" ht="12.75" customHeight="1">
      <c r="A973" s="59"/>
      <c r="B973" s="59"/>
      <c r="C973" s="59"/>
      <c r="D973" s="59"/>
      <c r="E973" s="59"/>
      <c r="F973" s="59"/>
      <c r="I973" s="59"/>
      <c r="J973" s="59"/>
    </row>
    <row r="974" ht="12.75" customHeight="1">
      <c r="A974" s="59"/>
      <c r="B974" s="59"/>
      <c r="C974" s="59"/>
      <c r="D974" s="59"/>
      <c r="E974" s="59"/>
      <c r="F974" s="59"/>
      <c r="I974" s="59"/>
      <c r="J974" s="59"/>
    </row>
    <row r="975" ht="12.75" customHeight="1">
      <c r="A975" s="59"/>
      <c r="B975" s="59"/>
      <c r="C975" s="59"/>
      <c r="D975" s="59"/>
      <c r="E975" s="59"/>
      <c r="F975" s="59"/>
      <c r="I975" s="59"/>
      <c r="J975" s="59"/>
    </row>
    <row r="976" ht="12.75" customHeight="1">
      <c r="A976" s="59"/>
      <c r="B976" s="59"/>
      <c r="C976" s="59"/>
      <c r="D976" s="59"/>
      <c r="E976" s="59"/>
      <c r="F976" s="59"/>
      <c r="I976" s="59"/>
      <c r="J976" s="59"/>
    </row>
    <row r="977" ht="12.75" customHeight="1">
      <c r="A977" s="59"/>
      <c r="B977" s="59"/>
      <c r="C977" s="59"/>
      <c r="D977" s="59"/>
      <c r="E977" s="59"/>
      <c r="F977" s="59"/>
      <c r="I977" s="59"/>
      <c r="J977" s="59"/>
    </row>
    <row r="978" ht="12.75" customHeight="1">
      <c r="A978" s="59"/>
      <c r="B978" s="59"/>
      <c r="C978" s="59"/>
      <c r="D978" s="59"/>
      <c r="E978" s="59"/>
      <c r="F978" s="59"/>
      <c r="I978" s="59"/>
      <c r="J978" s="59"/>
    </row>
    <row r="979" ht="12.75" customHeight="1">
      <c r="A979" s="59"/>
      <c r="B979" s="59"/>
      <c r="C979" s="59"/>
      <c r="D979" s="59"/>
      <c r="E979" s="59"/>
      <c r="F979" s="59"/>
      <c r="I979" s="59"/>
      <c r="J979" s="59"/>
    </row>
    <row r="980" ht="12.75" customHeight="1">
      <c r="A980" s="59"/>
      <c r="B980" s="59"/>
      <c r="C980" s="59"/>
      <c r="D980" s="59"/>
      <c r="E980" s="59"/>
      <c r="F980" s="59"/>
      <c r="I980" s="59"/>
      <c r="J980" s="59"/>
    </row>
    <row r="981" ht="12.75" customHeight="1">
      <c r="A981" s="59"/>
      <c r="B981" s="59"/>
      <c r="C981" s="59"/>
      <c r="D981" s="59"/>
      <c r="E981" s="59"/>
      <c r="F981" s="59"/>
      <c r="I981" s="59"/>
      <c r="J981" s="59"/>
    </row>
    <row r="982" ht="12.75" customHeight="1">
      <c r="A982" s="59"/>
      <c r="B982" s="59"/>
      <c r="C982" s="59"/>
      <c r="D982" s="59"/>
      <c r="E982" s="59"/>
      <c r="F982" s="59"/>
      <c r="I982" s="59"/>
      <c r="J982" s="59"/>
    </row>
    <row r="983" ht="12.75" customHeight="1">
      <c r="A983" s="59"/>
      <c r="B983" s="59"/>
      <c r="C983" s="59"/>
      <c r="D983" s="59"/>
      <c r="E983" s="59"/>
      <c r="F983" s="59"/>
      <c r="I983" s="59"/>
      <c r="J983" s="59"/>
    </row>
    <row r="984" ht="12.75" customHeight="1">
      <c r="A984" s="59"/>
      <c r="B984" s="59"/>
      <c r="C984" s="59"/>
      <c r="D984" s="59"/>
      <c r="E984" s="59"/>
      <c r="F984" s="59"/>
      <c r="I984" s="59"/>
      <c r="J984" s="59"/>
    </row>
    <row r="985" ht="12.75" customHeight="1">
      <c r="A985" s="59"/>
      <c r="B985" s="59"/>
      <c r="C985" s="59"/>
      <c r="D985" s="59"/>
      <c r="E985" s="59"/>
      <c r="F985" s="59"/>
      <c r="I985" s="59"/>
      <c r="J985" s="59"/>
    </row>
    <row r="986" ht="12.75" customHeight="1">
      <c r="A986" s="59"/>
      <c r="B986" s="59"/>
      <c r="C986" s="59"/>
      <c r="D986" s="59"/>
      <c r="E986" s="59"/>
      <c r="F986" s="59"/>
      <c r="I986" s="59"/>
      <c r="J986" s="59"/>
    </row>
    <row r="987" ht="12.75" customHeight="1">
      <c r="A987" s="59"/>
      <c r="B987" s="59"/>
      <c r="C987" s="59"/>
      <c r="D987" s="59"/>
      <c r="E987" s="59"/>
      <c r="F987" s="59"/>
      <c r="I987" s="59"/>
      <c r="J987" s="59"/>
    </row>
    <row r="988" ht="12.75" customHeight="1">
      <c r="A988" s="59"/>
      <c r="B988" s="59"/>
      <c r="C988" s="59"/>
      <c r="D988" s="59"/>
      <c r="E988" s="59"/>
      <c r="F988" s="59"/>
      <c r="I988" s="59"/>
      <c r="J988" s="59"/>
    </row>
    <row r="989" ht="12.75" customHeight="1">
      <c r="A989" s="59"/>
      <c r="B989" s="59"/>
      <c r="C989" s="59"/>
      <c r="D989" s="59"/>
      <c r="E989" s="59"/>
      <c r="F989" s="59"/>
      <c r="I989" s="59"/>
      <c r="J989" s="59"/>
    </row>
    <row r="990" ht="12.75" customHeight="1">
      <c r="A990" s="59"/>
      <c r="B990" s="59"/>
      <c r="C990" s="59"/>
      <c r="D990" s="59"/>
      <c r="E990" s="59"/>
      <c r="F990" s="59"/>
      <c r="I990" s="59"/>
      <c r="J990" s="59"/>
    </row>
    <row r="991" ht="12.75" customHeight="1">
      <c r="A991" s="59"/>
      <c r="B991" s="59"/>
      <c r="C991" s="59"/>
      <c r="D991" s="59"/>
      <c r="E991" s="59"/>
      <c r="F991" s="59"/>
      <c r="I991" s="59"/>
      <c r="J991" s="59"/>
    </row>
    <row r="992" ht="12.75" customHeight="1">
      <c r="A992" s="59"/>
      <c r="B992" s="59"/>
      <c r="C992" s="59"/>
      <c r="D992" s="59"/>
      <c r="E992" s="59"/>
      <c r="F992" s="59"/>
      <c r="I992" s="59"/>
      <c r="J992" s="59"/>
    </row>
    <row r="993" ht="12.75" customHeight="1">
      <c r="A993" s="59"/>
      <c r="B993" s="59"/>
      <c r="C993" s="59"/>
      <c r="D993" s="59"/>
      <c r="E993" s="59"/>
      <c r="F993" s="59"/>
      <c r="I993" s="59"/>
      <c r="J993" s="59"/>
    </row>
    <row r="994" ht="12.75" customHeight="1">
      <c r="A994" s="59"/>
      <c r="B994" s="59"/>
      <c r="C994" s="59"/>
      <c r="D994" s="59"/>
      <c r="E994" s="59"/>
      <c r="F994" s="59"/>
      <c r="I994" s="59"/>
      <c r="J994" s="59"/>
    </row>
    <row r="995" ht="12.75" customHeight="1">
      <c r="A995" s="59"/>
      <c r="B995" s="59"/>
      <c r="C995" s="59"/>
      <c r="D995" s="59"/>
      <c r="E995" s="59"/>
      <c r="F995" s="59"/>
      <c r="I995" s="59"/>
      <c r="J995" s="59"/>
    </row>
    <row r="996" ht="12.75" customHeight="1">
      <c r="A996" s="59"/>
      <c r="B996" s="59"/>
      <c r="C996" s="59"/>
      <c r="D996" s="59"/>
      <c r="E996" s="59"/>
      <c r="F996" s="59"/>
      <c r="I996" s="59"/>
      <c r="J996" s="59"/>
    </row>
    <row r="997" ht="12.75" customHeight="1">
      <c r="A997" s="59"/>
      <c r="B997" s="59"/>
      <c r="C997" s="59"/>
      <c r="D997" s="59"/>
      <c r="E997" s="59"/>
      <c r="F997" s="59"/>
      <c r="I997" s="59"/>
      <c r="J997" s="59"/>
    </row>
    <row r="998" ht="12.75" customHeight="1">
      <c r="A998" s="59"/>
      <c r="B998" s="59"/>
      <c r="C998" s="59"/>
      <c r="D998" s="59"/>
      <c r="E998" s="59"/>
      <c r="F998" s="59"/>
      <c r="I998" s="59"/>
      <c r="J998" s="59"/>
    </row>
    <row r="999" ht="12.75" customHeight="1">
      <c r="A999" s="59"/>
      <c r="B999" s="59"/>
      <c r="C999" s="59"/>
      <c r="D999" s="59"/>
      <c r="E999" s="59"/>
      <c r="F999" s="59"/>
      <c r="I999" s="59"/>
      <c r="J999" s="59"/>
    </row>
    <row r="1000" ht="12.75" customHeight="1">
      <c r="A1000" s="59"/>
      <c r="B1000" s="59"/>
      <c r="C1000" s="59"/>
      <c r="D1000" s="59"/>
      <c r="E1000" s="59"/>
      <c r="F1000" s="59"/>
      <c r="I1000" s="59"/>
      <c r="J1000" s="59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63"/>
    <col customWidth="1" min="3" max="3" width="13.75"/>
    <col customWidth="1" min="4" max="4" width="11.38"/>
    <col customWidth="1" min="5" max="8" width="10.63"/>
    <col customWidth="1" min="9" max="10" width="11.38"/>
    <col customWidth="1" min="11" max="12" width="10.63"/>
    <col customWidth="1" min="13" max="13" width="3.0"/>
    <col customWidth="1" min="14" max="26" width="10.63"/>
  </cols>
  <sheetData>
    <row r="1" ht="12.75" customHeight="1">
      <c r="A1" s="41">
        <v>2.0</v>
      </c>
      <c r="B1" s="59">
        <f t="shared" ref="B1:B28" si="1">D1-C1</f>
        <v>15294</v>
      </c>
      <c r="C1" s="59">
        <f>1740+1166</f>
        <v>2906</v>
      </c>
      <c r="D1" s="59">
        <f>10900+7300</f>
        <v>18200</v>
      </c>
      <c r="E1" s="59">
        <f t="shared" ref="E1:E28" si="2">D1*2.3681%</f>
        <v>430.9942</v>
      </c>
      <c r="F1" s="59">
        <f t="shared" ref="F1:F28" si="3">D1-E1</f>
        <v>17769.0058</v>
      </c>
      <c r="G1" s="37" t="s">
        <v>3200</v>
      </c>
      <c r="I1" s="59"/>
      <c r="J1" s="59"/>
      <c r="M1" s="41">
        <v>2.0</v>
      </c>
      <c r="N1" s="59">
        <f>10900+7300</f>
        <v>18200</v>
      </c>
    </row>
    <row r="2" ht="12.75" customHeight="1">
      <c r="A2" s="41">
        <v>0.0</v>
      </c>
      <c r="B2" s="59">
        <f t="shared" si="1"/>
        <v>0</v>
      </c>
      <c r="C2" s="59">
        <v>0.0</v>
      </c>
      <c r="D2" s="59">
        <v>0.0</v>
      </c>
      <c r="E2" s="59">
        <f t="shared" si="2"/>
        <v>0</v>
      </c>
      <c r="F2" s="59">
        <f t="shared" si="3"/>
        <v>0</v>
      </c>
      <c r="I2" s="59"/>
      <c r="J2" s="59"/>
      <c r="M2" s="41">
        <v>0.0</v>
      </c>
      <c r="N2" s="59">
        <v>0.0</v>
      </c>
    </row>
    <row r="3" ht="12.75" customHeight="1">
      <c r="A3" s="41">
        <v>4.0</v>
      </c>
      <c r="B3" s="59">
        <f t="shared" si="1"/>
        <v>20462</v>
      </c>
      <c r="C3" s="59">
        <f>1996+112+1054+726</f>
        <v>3888</v>
      </c>
      <c r="D3" s="59">
        <f>12500+700+6600+4550</f>
        <v>24350</v>
      </c>
      <c r="E3" s="59">
        <f t="shared" si="2"/>
        <v>576.63235</v>
      </c>
      <c r="F3" s="59">
        <f t="shared" si="3"/>
        <v>23773.36765</v>
      </c>
      <c r="G3" s="37" t="s">
        <v>3201</v>
      </c>
      <c r="I3" s="59">
        <v>23773.0</v>
      </c>
      <c r="J3" s="59">
        <v>23090.0</v>
      </c>
      <c r="K3" s="59">
        <f>I3-J3</f>
        <v>683</v>
      </c>
      <c r="M3" s="41">
        <v>4.0</v>
      </c>
      <c r="N3" s="59">
        <f>12500+700+6600+4550</f>
        <v>24350</v>
      </c>
    </row>
    <row r="4" ht="12.75" customHeight="1">
      <c r="A4" s="41">
        <v>2.0</v>
      </c>
      <c r="B4" s="59">
        <f t="shared" si="1"/>
        <v>31512</v>
      </c>
      <c r="C4" s="59">
        <f>1996+3992</f>
        <v>5988</v>
      </c>
      <c r="D4" s="59">
        <f>12500+25000</f>
        <v>37500</v>
      </c>
      <c r="E4" s="59">
        <f t="shared" si="2"/>
        <v>888.0375</v>
      </c>
      <c r="F4" s="59">
        <f t="shared" si="3"/>
        <v>36611.9625</v>
      </c>
      <c r="G4" s="37" t="s">
        <v>3202</v>
      </c>
      <c r="I4" s="59"/>
      <c r="J4" s="59"/>
      <c r="M4" s="41">
        <v>2.0</v>
      </c>
      <c r="N4" s="59">
        <f>12500+25000</f>
        <v>37500</v>
      </c>
    </row>
    <row r="5" ht="12.75" customHeight="1">
      <c r="A5" s="41">
        <v>2.0</v>
      </c>
      <c r="B5" s="59">
        <f t="shared" si="1"/>
        <v>5546</v>
      </c>
      <c r="C5" s="59">
        <f>447+607</f>
        <v>1054</v>
      </c>
      <c r="D5" s="59">
        <f>2800+3800</f>
        <v>6600</v>
      </c>
      <c r="E5" s="59">
        <f t="shared" si="2"/>
        <v>156.2946</v>
      </c>
      <c r="F5" s="59">
        <f t="shared" si="3"/>
        <v>6443.7054</v>
      </c>
      <c r="G5" s="37" t="s">
        <v>3203</v>
      </c>
      <c r="I5" s="59"/>
      <c r="J5" s="59"/>
      <c r="M5" s="41">
        <v>2.0</v>
      </c>
      <c r="N5" s="59">
        <f>2800+3800</f>
        <v>6600</v>
      </c>
    </row>
    <row r="6" ht="12.75" customHeight="1">
      <c r="A6" s="41">
        <v>7.0</v>
      </c>
      <c r="B6" s="59">
        <f t="shared" si="1"/>
        <v>33152</v>
      </c>
      <c r="C6" s="59">
        <f>447+319+1724+399+615+2475+319</f>
        <v>6298</v>
      </c>
      <c r="D6" s="59">
        <f>2800+2000+10800+2500+3850+15500+2000</f>
        <v>39450</v>
      </c>
      <c r="E6" s="59">
        <f t="shared" si="2"/>
        <v>934.21545</v>
      </c>
      <c r="F6" s="59">
        <f t="shared" si="3"/>
        <v>38515.78455</v>
      </c>
      <c r="G6" s="37" t="s">
        <v>3204</v>
      </c>
      <c r="I6" s="59"/>
      <c r="J6" s="59"/>
      <c r="M6" s="41">
        <v>7.0</v>
      </c>
      <c r="N6" s="59">
        <f>2800+2000+10800+2500+3850+15500+2000</f>
        <v>39450</v>
      </c>
    </row>
    <row r="7" ht="12.75" customHeight="1">
      <c r="A7" s="41">
        <v>5.0</v>
      </c>
      <c r="B7" s="59">
        <f t="shared" si="1"/>
        <v>42269</v>
      </c>
      <c r="C7" s="59">
        <f>3928+383+2587+255+878</f>
        <v>8031</v>
      </c>
      <c r="D7" s="59">
        <f>24600+2400+16200+1600+5500</f>
        <v>50300</v>
      </c>
      <c r="E7" s="59">
        <f t="shared" si="2"/>
        <v>1191.1543</v>
      </c>
      <c r="F7" s="59">
        <f t="shared" si="3"/>
        <v>49108.8457</v>
      </c>
      <c r="I7" s="59"/>
      <c r="J7" s="59"/>
      <c r="M7" s="41">
        <v>5.0</v>
      </c>
      <c r="N7" s="59">
        <f>24600+2400+16200+1600+5500</f>
        <v>50300</v>
      </c>
    </row>
    <row r="8" ht="12.75" customHeight="1">
      <c r="A8" s="41">
        <v>4.0</v>
      </c>
      <c r="B8" s="59">
        <f t="shared" si="1"/>
        <v>45841</v>
      </c>
      <c r="C8" s="59">
        <f>1668+4263+1357+1421</f>
        <v>8709</v>
      </c>
      <c r="D8" s="59">
        <f>10450+26700+8500+8900</f>
        <v>54550</v>
      </c>
      <c r="E8" s="59">
        <f t="shared" si="2"/>
        <v>1291.79855</v>
      </c>
      <c r="F8" s="59">
        <f t="shared" si="3"/>
        <v>53258.20145</v>
      </c>
      <c r="I8" s="59"/>
      <c r="J8" s="59"/>
      <c r="M8" s="41">
        <v>4.0</v>
      </c>
      <c r="N8" s="59">
        <f>10450+26700+8500+8900</f>
        <v>54550</v>
      </c>
    </row>
    <row r="9" ht="12.75" customHeight="1">
      <c r="A9" s="41">
        <v>3.0</v>
      </c>
      <c r="B9" s="59">
        <f t="shared" si="1"/>
        <v>15042</v>
      </c>
      <c r="C9" s="59">
        <f>798+1038+1022</f>
        <v>2858</v>
      </c>
      <c r="D9" s="59">
        <f>5000+6500+6400</f>
        <v>17900</v>
      </c>
      <c r="E9" s="59">
        <f t="shared" si="2"/>
        <v>423.8899</v>
      </c>
      <c r="F9" s="59">
        <f t="shared" si="3"/>
        <v>17476.1101</v>
      </c>
      <c r="G9" s="37" t="s">
        <v>3205</v>
      </c>
      <c r="I9" s="59">
        <v>119843.0</v>
      </c>
      <c r="J9" s="59">
        <v>114962.0</v>
      </c>
      <c r="K9" s="59">
        <f>I9-J9</f>
        <v>4881</v>
      </c>
      <c r="M9" s="41">
        <v>3.0</v>
      </c>
      <c r="N9" s="59">
        <f>5000+6500+6400</f>
        <v>17900</v>
      </c>
    </row>
    <row r="10" ht="12.75" customHeight="1">
      <c r="A10" s="41">
        <v>1.0</v>
      </c>
      <c r="B10" s="59">
        <f t="shared" si="1"/>
        <v>10924</v>
      </c>
      <c r="C10" s="59">
        <v>2076.0</v>
      </c>
      <c r="D10" s="59">
        <v>13000.0</v>
      </c>
      <c r="E10" s="59">
        <f t="shared" si="2"/>
        <v>307.853</v>
      </c>
      <c r="F10" s="59">
        <f t="shared" si="3"/>
        <v>12692.147</v>
      </c>
      <c r="G10" s="37" t="s">
        <v>3206</v>
      </c>
      <c r="I10" s="59"/>
      <c r="J10" s="59"/>
      <c r="M10" s="41">
        <v>1.0</v>
      </c>
      <c r="N10" s="59">
        <v>13000.0</v>
      </c>
    </row>
    <row r="11" ht="12.75" customHeight="1">
      <c r="A11" s="41">
        <v>2.0</v>
      </c>
      <c r="B11" s="59">
        <f t="shared" si="1"/>
        <v>3151</v>
      </c>
      <c r="C11" s="59">
        <f>128+471</f>
        <v>599</v>
      </c>
      <c r="D11" s="59">
        <f>800+2950</f>
        <v>3750</v>
      </c>
      <c r="E11" s="59">
        <f t="shared" si="2"/>
        <v>88.80375</v>
      </c>
      <c r="F11" s="59">
        <f t="shared" si="3"/>
        <v>3661.19625</v>
      </c>
      <c r="G11" s="37" t="s">
        <v>3207</v>
      </c>
      <c r="I11" s="59">
        <v>3661.0</v>
      </c>
      <c r="J11" s="59">
        <v>781.0</v>
      </c>
      <c r="K11" s="59">
        <f t="shared" ref="K11:K12" si="4">I11-J11</f>
        <v>2880</v>
      </c>
      <c r="M11" s="41">
        <v>2.0</v>
      </c>
      <c r="N11" s="59">
        <f>800+2950</f>
        <v>3750</v>
      </c>
    </row>
    <row r="12" ht="12.75" customHeight="1">
      <c r="A12" s="41">
        <v>2.0</v>
      </c>
      <c r="B12" s="59">
        <f t="shared" si="1"/>
        <v>6723</v>
      </c>
      <c r="C12" s="59">
        <f>798+479</f>
        <v>1277</v>
      </c>
      <c r="D12" s="59">
        <f>5000+3000</f>
        <v>8000</v>
      </c>
      <c r="E12" s="59">
        <f t="shared" si="2"/>
        <v>189.448</v>
      </c>
      <c r="F12" s="59">
        <f t="shared" si="3"/>
        <v>7810.552</v>
      </c>
      <c r="G12" s="37" t="s">
        <v>3208</v>
      </c>
      <c r="I12" s="59">
        <v>7811.0</v>
      </c>
      <c r="J12" s="59">
        <v>2929.0</v>
      </c>
      <c r="K12" s="59">
        <f t="shared" si="4"/>
        <v>4882</v>
      </c>
      <c r="M12" s="41">
        <v>2.0</v>
      </c>
      <c r="N12" s="59">
        <f>5000+3000</f>
        <v>8000</v>
      </c>
    </row>
    <row r="13" ht="12.75" customHeight="1">
      <c r="A13" s="41">
        <v>0.0</v>
      </c>
      <c r="B13" s="59">
        <f t="shared" si="1"/>
        <v>0</v>
      </c>
      <c r="C13" s="59">
        <v>0.0</v>
      </c>
      <c r="D13" s="59">
        <v>0.0</v>
      </c>
      <c r="E13" s="59">
        <f t="shared" si="2"/>
        <v>0</v>
      </c>
      <c r="F13" s="59">
        <f t="shared" si="3"/>
        <v>0</v>
      </c>
      <c r="I13" s="59"/>
      <c r="J13" s="59"/>
      <c r="M13" s="41">
        <v>0.0</v>
      </c>
      <c r="N13" s="59">
        <v>0.0</v>
      </c>
    </row>
    <row r="14" ht="12.75" customHeight="1">
      <c r="A14" s="41">
        <v>3.0</v>
      </c>
      <c r="B14" s="59">
        <f t="shared" si="1"/>
        <v>22017</v>
      </c>
      <c r="C14" s="59">
        <f>3353+351+479</f>
        <v>4183</v>
      </c>
      <c r="D14" s="59">
        <f>21000+2200+3000</f>
        <v>26200</v>
      </c>
      <c r="E14" s="59">
        <f t="shared" si="2"/>
        <v>620.4422</v>
      </c>
      <c r="F14" s="59">
        <f t="shared" si="3"/>
        <v>25579.5578</v>
      </c>
      <c r="I14" s="59"/>
      <c r="J14" s="59"/>
      <c r="M14" s="41">
        <v>3.0</v>
      </c>
      <c r="N14" s="59">
        <f>21000+2200+3000</f>
        <v>26200</v>
      </c>
    </row>
    <row r="15" ht="12.75" customHeight="1">
      <c r="A15" s="41">
        <v>10.0</v>
      </c>
      <c r="B15" s="59">
        <f t="shared" si="1"/>
        <v>38488</v>
      </c>
      <c r="C15" s="59">
        <f>319+319+1022+1341+734+479+160+782+639+1517</f>
        <v>7312</v>
      </c>
      <c r="D15" s="59">
        <f>2000+2000+6400+8400+4600+3000+1000+4900+4000+9500</f>
        <v>45800</v>
      </c>
      <c r="E15" s="59">
        <f t="shared" si="2"/>
        <v>1084.5898</v>
      </c>
      <c r="F15" s="59">
        <f t="shared" si="3"/>
        <v>44715.4102</v>
      </c>
      <c r="I15" s="59"/>
      <c r="J15" s="59"/>
      <c r="M15" s="41">
        <v>10.0</v>
      </c>
      <c r="N15" s="59">
        <f>2000+2000+6400+8400+4600+3000+1000+4900+4000+9500</f>
        <v>45800</v>
      </c>
    </row>
    <row r="16" ht="12.75" customHeight="1">
      <c r="A16" s="41">
        <v>2.0</v>
      </c>
      <c r="B16" s="59">
        <f t="shared" si="1"/>
        <v>21009</v>
      </c>
      <c r="C16" s="59">
        <f>3193+798</f>
        <v>3991</v>
      </c>
      <c r="D16" s="59">
        <f>20000+5000</f>
        <v>25000</v>
      </c>
      <c r="E16" s="59">
        <f t="shared" si="2"/>
        <v>592.025</v>
      </c>
      <c r="F16" s="59">
        <f t="shared" si="3"/>
        <v>24407.975</v>
      </c>
      <c r="G16" s="37" t="s">
        <v>3209</v>
      </c>
      <c r="I16" s="59"/>
      <c r="J16" s="59"/>
      <c r="M16" s="41">
        <v>2.0</v>
      </c>
      <c r="N16" s="59">
        <f>20000+5000</f>
        <v>25000</v>
      </c>
    </row>
    <row r="17" ht="12.75" customHeight="1">
      <c r="A17" s="41">
        <v>2.0</v>
      </c>
      <c r="B17" s="59">
        <f t="shared" si="1"/>
        <v>43823</v>
      </c>
      <c r="C17" s="59">
        <f>711+7616</f>
        <v>8327</v>
      </c>
      <c r="D17" s="59">
        <f>4450+47700</f>
        <v>52150</v>
      </c>
      <c r="E17" s="59">
        <f t="shared" si="2"/>
        <v>1234.96415</v>
      </c>
      <c r="F17" s="59">
        <f t="shared" si="3"/>
        <v>50915.03585</v>
      </c>
      <c r="G17" s="37" t="s">
        <v>3210</v>
      </c>
      <c r="I17" s="59"/>
      <c r="J17" s="59"/>
      <c r="M17" s="41">
        <v>2.0</v>
      </c>
      <c r="N17" s="59">
        <f>4450+47700</f>
        <v>52150</v>
      </c>
    </row>
    <row r="18" ht="12.75" customHeight="1">
      <c r="A18" s="41">
        <v>5.0</v>
      </c>
      <c r="B18" s="59">
        <f t="shared" si="1"/>
        <v>27017</v>
      </c>
      <c r="C18" s="59">
        <f>2874+471+271+559+958</f>
        <v>5133</v>
      </c>
      <c r="D18" s="59">
        <f>18000+2950+1700+3500+6000</f>
        <v>32150</v>
      </c>
      <c r="E18" s="59">
        <f t="shared" si="2"/>
        <v>761.34415</v>
      </c>
      <c r="F18" s="59">
        <f t="shared" si="3"/>
        <v>31388.65585</v>
      </c>
      <c r="G18" s="37" t="s">
        <v>3211</v>
      </c>
      <c r="I18" s="59"/>
      <c r="J18" s="59"/>
      <c r="M18" s="41">
        <v>5.0</v>
      </c>
      <c r="N18" s="59">
        <f>18000+2950+1700+3500+6000</f>
        <v>32150</v>
      </c>
    </row>
    <row r="19" ht="12.75" customHeight="1">
      <c r="A19" s="41">
        <v>2.0</v>
      </c>
      <c r="B19" s="59">
        <f t="shared" si="1"/>
        <v>11513</v>
      </c>
      <c r="C19" s="59">
        <f>830+1357</f>
        <v>2187</v>
      </c>
      <c r="D19" s="59">
        <f>5200+8500</f>
        <v>13700</v>
      </c>
      <c r="E19" s="59">
        <f t="shared" si="2"/>
        <v>324.4297</v>
      </c>
      <c r="F19" s="59">
        <f t="shared" si="3"/>
        <v>13375.5703</v>
      </c>
      <c r="G19" s="37" t="s">
        <v>3212</v>
      </c>
      <c r="I19" s="59"/>
      <c r="J19" s="59"/>
      <c r="M19" s="41">
        <v>2.0</v>
      </c>
      <c r="N19" s="59">
        <f>5200+8500</f>
        <v>13700</v>
      </c>
    </row>
    <row r="20" ht="12.75" customHeight="1">
      <c r="A20" s="41">
        <v>2.0</v>
      </c>
      <c r="B20" s="59">
        <f t="shared" si="1"/>
        <v>22773</v>
      </c>
      <c r="C20" s="59">
        <f>1469+2858</f>
        <v>4327</v>
      </c>
      <c r="D20" s="59">
        <f>9200+17900</f>
        <v>27100</v>
      </c>
      <c r="E20" s="59">
        <f t="shared" si="2"/>
        <v>641.7551</v>
      </c>
      <c r="F20" s="59">
        <f t="shared" si="3"/>
        <v>26458.2449</v>
      </c>
      <c r="G20" s="37" t="s">
        <v>3213</v>
      </c>
      <c r="I20" s="59"/>
      <c r="J20" s="59"/>
      <c r="M20" s="41">
        <v>2.0</v>
      </c>
      <c r="N20" s="59">
        <f>9200+17900</f>
        <v>27100</v>
      </c>
    </row>
    <row r="21" ht="12.75" customHeight="1">
      <c r="A21" s="41">
        <v>3.0</v>
      </c>
      <c r="B21" s="59">
        <f t="shared" si="1"/>
        <v>38782</v>
      </c>
      <c r="C21" s="59">
        <f>4574+1676+1118</f>
        <v>7368</v>
      </c>
      <c r="D21" s="59">
        <f>28650+10500+7000</f>
        <v>46150</v>
      </c>
      <c r="E21" s="59">
        <f t="shared" si="2"/>
        <v>1092.87815</v>
      </c>
      <c r="F21" s="59">
        <f t="shared" si="3"/>
        <v>45057.12185</v>
      </c>
      <c r="I21" s="59"/>
      <c r="J21" s="59"/>
      <c r="M21" s="41">
        <v>3.0</v>
      </c>
      <c r="N21" s="59">
        <f>28650+10500+7000</f>
        <v>46150</v>
      </c>
    </row>
    <row r="22" ht="12.75" customHeight="1">
      <c r="A22" s="41">
        <v>5.0</v>
      </c>
      <c r="B22" s="59">
        <f t="shared" si="1"/>
        <v>35590</v>
      </c>
      <c r="C22" s="59">
        <f>2155+2714+383+790+718</f>
        <v>6760</v>
      </c>
      <c r="D22" s="59">
        <f>13500+17000+2400+4950+4500</f>
        <v>42350</v>
      </c>
      <c r="E22" s="59">
        <f t="shared" si="2"/>
        <v>1002.89035</v>
      </c>
      <c r="F22" s="59">
        <f t="shared" si="3"/>
        <v>41347.10965</v>
      </c>
      <c r="I22" s="59"/>
      <c r="J22" s="59"/>
      <c r="M22" s="41">
        <v>5.0</v>
      </c>
      <c r="N22" s="59">
        <f>13500+17000+2400+4950+4500</f>
        <v>42350</v>
      </c>
    </row>
    <row r="23" ht="12.75" customHeight="1">
      <c r="A23" s="41">
        <v>1.0</v>
      </c>
      <c r="B23" s="59">
        <f t="shared" si="1"/>
        <v>4538</v>
      </c>
      <c r="C23" s="59">
        <v>862.0</v>
      </c>
      <c r="D23" s="59">
        <v>5400.0</v>
      </c>
      <c r="E23" s="59">
        <f t="shared" si="2"/>
        <v>127.8774</v>
      </c>
      <c r="F23" s="59">
        <f t="shared" si="3"/>
        <v>5272.1226</v>
      </c>
      <c r="G23" s="37" t="s">
        <v>3214</v>
      </c>
      <c r="I23" s="59"/>
      <c r="J23" s="59"/>
      <c r="M23" s="41">
        <v>1.0</v>
      </c>
      <c r="N23" s="59">
        <v>5400.0</v>
      </c>
    </row>
    <row r="24" ht="12.75" customHeight="1">
      <c r="A24" s="41">
        <v>7.0</v>
      </c>
      <c r="B24" s="59">
        <f t="shared" si="1"/>
        <v>30168</v>
      </c>
      <c r="C24" s="59">
        <f>798+160+319+1118+255+2539+543</f>
        <v>5732</v>
      </c>
      <c r="D24" s="59">
        <f>5000+1000+2000+7000+1600+15900+3400</f>
        <v>35900</v>
      </c>
      <c r="E24" s="59">
        <f t="shared" si="2"/>
        <v>850.1479</v>
      </c>
      <c r="F24" s="59">
        <f t="shared" si="3"/>
        <v>35049.8521</v>
      </c>
      <c r="G24" s="37" t="s">
        <v>3215</v>
      </c>
      <c r="I24" s="59">
        <v>35050.0</v>
      </c>
      <c r="J24" s="59">
        <v>28214.0</v>
      </c>
      <c r="K24" s="59">
        <f>I24-J24</f>
        <v>6836</v>
      </c>
      <c r="M24" s="41">
        <v>7.0</v>
      </c>
      <c r="N24" s="59">
        <f>5000+1000+2000+7000+1600+15900+3400</f>
        <v>35900</v>
      </c>
    </row>
    <row r="25" ht="12.75" customHeight="1">
      <c r="A25" s="41">
        <v>0.0</v>
      </c>
      <c r="B25" s="59">
        <f t="shared" si="1"/>
        <v>0</v>
      </c>
      <c r="C25" s="59">
        <v>0.0</v>
      </c>
      <c r="D25" s="59">
        <v>0.0</v>
      </c>
      <c r="E25" s="59">
        <f t="shared" si="2"/>
        <v>0</v>
      </c>
      <c r="F25" s="59">
        <f t="shared" si="3"/>
        <v>0</v>
      </c>
      <c r="I25" s="59"/>
      <c r="J25" s="59"/>
      <c r="M25" s="41">
        <v>0.0</v>
      </c>
      <c r="N25" s="59">
        <v>0.0</v>
      </c>
    </row>
    <row r="26" ht="12.75" customHeight="1">
      <c r="A26" s="41">
        <v>2.0</v>
      </c>
      <c r="B26" s="59">
        <f t="shared" si="1"/>
        <v>1848</v>
      </c>
      <c r="C26" s="59">
        <f>160+192</f>
        <v>352</v>
      </c>
      <c r="D26" s="59">
        <f>1000+1200</f>
        <v>2200</v>
      </c>
      <c r="E26" s="59">
        <f t="shared" si="2"/>
        <v>52.0982</v>
      </c>
      <c r="F26" s="59">
        <f t="shared" si="3"/>
        <v>2147.9018</v>
      </c>
      <c r="G26" s="37" t="s">
        <v>3216</v>
      </c>
      <c r="I26" s="59"/>
      <c r="J26" s="59"/>
      <c r="M26" s="41">
        <v>2.0</v>
      </c>
      <c r="N26" s="59">
        <f>1000+1200</f>
        <v>2200</v>
      </c>
    </row>
    <row r="27" ht="12.75" customHeight="1">
      <c r="A27" s="41">
        <v>3.0</v>
      </c>
      <c r="B27" s="59">
        <f t="shared" si="1"/>
        <v>4370</v>
      </c>
      <c r="C27" s="59">
        <f>399+80+351</f>
        <v>830</v>
      </c>
      <c r="D27" s="59">
        <f>2500+500+2200</f>
        <v>5200</v>
      </c>
      <c r="E27" s="59">
        <f t="shared" si="2"/>
        <v>123.1412</v>
      </c>
      <c r="F27" s="59">
        <f t="shared" si="3"/>
        <v>5076.8588</v>
      </c>
      <c r="G27" s="37" t="s">
        <v>3217</v>
      </c>
      <c r="I27" s="59"/>
      <c r="J27" s="59"/>
      <c r="M27" s="41">
        <v>3.0</v>
      </c>
      <c r="N27" s="59">
        <f>2500+500+2200</f>
        <v>5200</v>
      </c>
    </row>
    <row r="28" ht="12.75" customHeight="1">
      <c r="A28" s="41">
        <v>5.0</v>
      </c>
      <c r="B28" s="59">
        <f t="shared" si="1"/>
        <v>18362</v>
      </c>
      <c r="C28" s="59">
        <f>287+878+1150+319+854</f>
        <v>3488</v>
      </c>
      <c r="D28" s="59">
        <f>1800+5500+7200+2000+5350</f>
        <v>21850</v>
      </c>
      <c r="E28" s="59">
        <f t="shared" si="2"/>
        <v>517.42985</v>
      </c>
      <c r="F28" s="59">
        <f t="shared" si="3"/>
        <v>21332.57015</v>
      </c>
      <c r="I28" s="59"/>
      <c r="J28" s="59"/>
      <c r="M28" s="41">
        <v>5.0</v>
      </c>
      <c r="N28" s="59">
        <f>1800+5500+7200+2000+5350</f>
        <v>21850</v>
      </c>
    </row>
    <row r="29" ht="12.75" customHeight="1">
      <c r="A29" s="65">
        <f t="shared" ref="A29:F29" si="5">SUM(A1:A28)</f>
        <v>86</v>
      </c>
      <c r="B29" s="66">
        <f t="shared" si="5"/>
        <v>550214</v>
      </c>
      <c r="C29" s="66">
        <f t="shared" si="5"/>
        <v>104536</v>
      </c>
      <c r="D29" s="66">
        <f t="shared" si="5"/>
        <v>654750</v>
      </c>
      <c r="E29" s="67">
        <f t="shared" si="5"/>
        <v>15505.13475</v>
      </c>
      <c r="F29" s="67">
        <f t="shared" si="5"/>
        <v>639244.8653</v>
      </c>
      <c r="I29" s="59"/>
      <c r="J29" s="59"/>
      <c r="K29" s="59">
        <f>SUM(K1:K28)</f>
        <v>20162</v>
      </c>
    </row>
    <row r="30" ht="12.75" customHeight="1">
      <c r="C30" s="59"/>
      <c r="D30" s="59"/>
      <c r="I30" s="59"/>
      <c r="J30" s="59"/>
    </row>
    <row r="31" ht="12.75" customHeight="1">
      <c r="C31" s="59"/>
      <c r="D31" s="59"/>
      <c r="I31" s="59"/>
      <c r="J31" s="59"/>
    </row>
    <row r="32" ht="12.75" customHeight="1">
      <c r="C32" s="59"/>
      <c r="D32" s="59"/>
      <c r="I32" s="59"/>
      <c r="J32" s="59"/>
    </row>
    <row r="33" ht="12.75" customHeight="1">
      <c r="C33" s="74" t="s">
        <v>3218</v>
      </c>
      <c r="D33" s="74">
        <f>D29*2.3681%</f>
        <v>15505.13475</v>
      </c>
      <c r="I33" s="59"/>
      <c r="J33" s="59"/>
    </row>
    <row r="34" ht="12.75" customHeight="1">
      <c r="C34" s="59"/>
      <c r="D34" s="59"/>
      <c r="I34" s="59"/>
      <c r="J34" s="59"/>
    </row>
    <row r="35" ht="12.75" customHeight="1">
      <c r="C35" s="59"/>
      <c r="D35" s="59"/>
      <c r="I35" s="59"/>
      <c r="J35" s="59"/>
    </row>
    <row r="36" ht="12.75" customHeight="1">
      <c r="C36" s="59"/>
      <c r="D36" s="59"/>
      <c r="I36" s="59"/>
      <c r="J36" s="59"/>
    </row>
    <row r="37" ht="12.75" customHeight="1">
      <c r="C37" s="59"/>
      <c r="D37" s="59"/>
      <c r="I37" s="59"/>
      <c r="J37" s="59"/>
    </row>
    <row r="38" ht="12.75" customHeight="1">
      <c r="C38" s="59"/>
      <c r="D38" s="59"/>
      <c r="I38" s="59"/>
      <c r="J38" s="59"/>
    </row>
    <row r="39" ht="12.75" customHeight="1">
      <c r="C39" s="59"/>
      <c r="D39" s="59"/>
      <c r="I39" s="59"/>
      <c r="J39" s="59"/>
    </row>
    <row r="40" ht="12.75" customHeight="1">
      <c r="C40" s="59"/>
      <c r="D40" s="59"/>
      <c r="I40" s="59"/>
      <c r="J40" s="59"/>
    </row>
    <row r="41" ht="12.75" customHeight="1">
      <c r="C41" s="59"/>
      <c r="D41" s="59"/>
      <c r="I41" s="59"/>
      <c r="J41" s="59"/>
    </row>
    <row r="42" ht="12.75" customHeight="1">
      <c r="C42" s="59"/>
      <c r="D42" s="59"/>
      <c r="I42" s="59"/>
      <c r="J42" s="59"/>
    </row>
    <row r="43" ht="12.75" customHeight="1">
      <c r="C43" s="59"/>
      <c r="D43" s="59"/>
      <c r="I43" s="59"/>
      <c r="J43" s="59"/>
    </row>
    <row r="44" ht="12.75" customHeight="1">
      <c r="C44" s="59"/>
      <c r="D44" s="59"/>
      <c r="I44" s="59"/>
      <c r="J44" s="59"/>
    </row>
    <row r="45" ht="12.75" customHeight="1">
      <c r="C45" s="59"/>
      <c r="D45" s="59"/>
      <c r="I45" s="59"/>
      <c r="J45" s="59"/>
    </row>
    <row r="46" ht="12.75" customHeight="1">
      <c r="C46" s="59"/>
      <c r="D46" s="59"/>
      <c r="I46" s="59"/>
      <c r="J46" s="59"/>
    </row>
    <row r="47" ht="12.75" customHeight="1">
      <c r="C47" s="59"/>
      <c r="D47" s="59"/>
      <c r="I47" s="59"/>
      <c r="J47" s="59"/>
    </row>
    <row r="48" ht="12.75" customHeight="1">
      <c r="C48" s="59"/>
      <c r="D48" s="59"/>
      <c r="I48" s="59"/>
      <c r="J48" s="59"/>
    </row>
    <row r="49" ht="12.75" customHeight="1">
      <c r="C49" s="59"/>
      <c r="D49" s="59"/>
      <c r="I49" s="59"/>
      <c r="J49" s="59"/>
    </row>
    <row r="50" ht="12.75" customHeight="1">
      <c r="C50" s="59"/>
      <c r="D50" s="59"/>
      <c r="I50" s="59"/>
      <c r="J50" s="59"/>
    </row>
    <row r="51" ht="12.75" customHeight="1">
      <c r="C51" s="59"/>
      <c r="D51" s="59"/>
      <c r="I51" s="59"/>
      <c r="J51" s="59"/>
    </row>
    <row r="52" ht="12.75" customHeight="1">
      <c r="C52" s="59"/>
      <c r="D52" s="59"/>
      <c r="I52" s="59"/>
      <c r="J52" s="59"/>
    </row>
    <row r="53" ht="12.75" customHeight="1">
      <c r="C53" s="59"/>
      <c r="D53" s="59"/>
      <c r="I53" s="59"/>
      <c r="J53" s="59"/>
    </row>
    <row r="54" ht="12.75" customHeight="1">
      <c r="C54" s="59"/>
      <c r="D54" s="59"/>
      <c r="I54" s="59"/>
      <c r="J54" s="59"/>
    </row>
    <row r="55" ht="12.75" customHeight="1">
      <c r="C55" s="59"/>
      <c r="D55" s="59"/>
      <c r="I55" s="59"/>
      <c r="J55" s="59"/>
    </row>
    <row r="56" ht="12.75" customHeight="1">
      <c r="C56" s="59"/>
      <c r="D56" s="59"/>
      <c r="I56" s="59"/>
      <c r="J56" s="59"/>
    </row>
    <row r="57" ht="12.75" customHeight="1">
      <c r="C57" s="59"/>
      <c r="D57" s="59"/>
      <c r="I57" s="59"/>
      <c r="J57" s="59"/>
    </row>
    <row r="58" ht="12.75" customHeight="1">
      <c r="C58" s="59"/>
      <c r="D58" s="59"/>
      <c r="I58" s="59"/>
      <c r="J58" s="59"/>
    </row>
    <row r="59" ht="12.75" customHeight="1">
      <c r="C59" s="59"/>
      <c r="D59" s="59"/>
      <c r="I59" s="59"/>
      <c r="J59" s="59"/>
    </row>
    <row r="60" ht="12.75" customHeight="1">
      <c r="C60" s="59"/>
      <c r="D60" s="59"/>
      <c r="I60" s="59"/>
      <c r="J60" s="59"/>
    </row>
    <row r="61" ht="12.75" customHeight="1">
      <c r="C61" s="59"/>
      <c r="D61" s="59"/>
      <c r="I61" s="59"/>
      <c r="J61" s="59"/>
    </row>
    <row r="62" ht="12.75" customHeight="1">
      <c r="C62" s="59"/>
      <c r="D62" s="59"/>
      <c r="I62" s="59"/>
      <c r="J62" s="59"/>
    </row>
    <row r="63" ht="12.75" customHeight="1">
      <c r="C63" s="59"/>
      <c r="D63" s="59"/>
      <c r="I63" s="59"/>
      <c r="J63" s="59"/>
    </row>
    <row r="64" ht="12.75" customHeight="1">
      <c r="C64" s="59"/>
      <c r="D64" s="59"/>
      <c r="I64" s="59"/>
      <c r="J64" s="59"/>
    </row>
    <row r="65" ht="12.75" customHeight="1">
      <c r="C65" s="59"/>
      <c r="D65" s="59"/>
      <c r="I65" s="59"/>
      <c r="J65" s="59"/>
    </row>
    <row r="66" ht="12.75" customHeight="1">
      <c r="C66" s="59"/>
      <c r="D66" s="59"/>
      <c r="I66" s="59"/>
      <c r="J66" s="59"/>
    </row>
    <row r="67" ht="12.75" customHeight="1">
      <c r="C67" s="59"/>
      <c r="D67" s="59"/>
      <c r="I67" s="59"/>
      <c r="J67" s="59"/>
    </row>
    <row r="68" ht="12.75" customHeight="1">
      <c r="C68" s="59"/>
      <c r="D68" s="59"/>
      <c r="I68" s="59"/>
      <c r="J68" s="59"/>
    </row>
    <row r="69" ht="12.75" customHeight="1">
      <c r="C69" s="59"/>
      <c r="D69" s="59"/>
      <c r="I69" s="59"/>
      <c r="J69" s="59"/>
    </row>
    <row r="70" ht="12.75" customHeight="1">
      <c r="C70" s="59"/>
      <c r="D70" s="59"/>
      <c r="I70" s="59"/>
      <c r="J70" s="59"/>
    </row>
    <row r="71" ht="12.75" customHeight="1">
      <c r="C71" s="59"/>
      <c r="D71" s="59"/>
      <c r="I71" s="59"/>
      <c r="J71" s="59"/>
    </row>
    <row r="72" ht="12.75" customHeight="1">
      <c r="C72" s="59"/>
      <c r="D72" s="59"/>
      <c r="I72" s="59"/>
      <c r="J72" s="59"/>
    </row>
    <row r="73" ht="12.75" customHeight="1">
      <c r="C73" s="59"/>
      <c r="D73" s="59"/>
      <c r="I73" s="59"/>
      <c r="J73" s="59"/>
    </row>
    <row r="74" ht="12.75" customHeight="1">
      <c r="C74" s="59"/>
      <c r="D74" s="59"/>
      <c r="I74" s="59"/>
      <c r="J74" s="59"/>
    </row>
    <row r="75" ht="12.75" customHeight="1">
      <c r="C75" s="59"/>
      <c r="D75" s="59"/>
      <c r="I75" s="59"/>
      <c r="J75" s="59"/>
    </row>
    <row r="76" ht="12.75" customHeight="1">
      <c r="C76" s="59"/>
      <c r="D76" s="59"/>
      <c r="I76" s="59"/>
      <c r="J76" s="59"/>
    </row>
    <row r="77" ht="12.75" customHeight="1">
      <c r="C77" s="59"/>
      <c r="D77" s="59"/>
      <c r="I77" s="59"/>
      <c r="J77" s="59"/>
    </row>
    <row r="78" ht="12.75" customHeight="1">
      <c r="C78" s="59"/>
      <c r="D78" s="59"/>
      <c r="I78" s="59"/>
      <c r="J78" s="59"/>
    </row>
    <row r="79" ht="12.75" customHeight="1">
      <c r="C79" s="59"/>
      <c r="D79" s="59"/>
      <c r="I79" s="59"/>
      <c r="J79" s="59"/>
    </row>
    <row r="80" ht="12.75" customHeight="1">
      <c r="C80" s="59"/>
      <c r="D80" s="59"/>
      <c r="I80" s="59"/>
      <c r="J80" s="59"/>
    </row>
    <row r="81" ht="12.75" customHeight="1">
      <c r="C81" s="59"/>
      <c r="D81" s="59"/>
      <c r="I81" s="59"/>
      <c r="J81" s="59"/>
    </row>
    <row r="82" ht="12.75" customHeight="1">
      <c r="C82" s="59"/>
      <c r="D82" s="59"/>
      <c r="I82" s="59"/>
      <c r="J82" s="59"/>
    </row>
    <row r="83" ht="12.75" customHeight="1">
      <c r="C83" s="59"/>
      <c r="D83" s="59"/>
      <c r="I83" s="59"/>
      <c r="J83" s="59"/>
    </row>
    <row r="84" ht="12.75" customHeight="1">
      <c r="C84" s="59"/>
      <c r="D84" s="59"/>
      <c r="I84" s="59"/>
      <c r="J84" s="59"/>
    </row>
    <row r="85" ht="12.75" customHeight="1">
      <c r="C85" s="59"/>
      <c r="D85" s="59"/>
      <c r="I85" s="59"/>
      <c r="J85" s="59"/>
    </row>
    <row r="86" ht="12.75" customHeight="1">
      <c r="C86" s="59"/>
      <c r="D86" s="59"/>
      <c r="I86" s="59"/>
      <c r="J86" s="59"/>
    </row>
    <row r="87" ht="12.75" customHeight="1">
      <c r="C87" s="59"/>
      <c r="D87" s="59"/>
      <c r="I87" s="59"/>
      <c r="J87" s="59"/>
    </row>
    <row r="88" ht="12.75" customHeight="1">
      <c r="C88" s="59"/>
      <c r="D88" s="59"/>
      <c r="I88" s="59"/>
      <c r="J88" s="59"/>
    </row>
    <row r="89" ht="12.75" customHeight="1">
      <c r="C89" s="59"/>
      <c r="D89" s="59"/>
      <c r="I89" s="59"/>
      <c r="J89" s="59"/>
    </row>
    <row r="90" ht="12.75" customHeight="1">
      <c r="C90" s="59"/>
      <c r="D90" s="59"/>
      <c r="I90" s="59"/>
      <c r="J90" s="59"/>
    </row>
    <row r="91" ht="12.75" customHeight="1">
      <c r="C91" s="59"/>
      <c r="D91" s="59"/>
      <c r="I91" s="59"/>
      <c r="J91" s="59"/>
    </row>
    <row r="92" ht="12.75" customHeight="1">
      <c r="C92" s="59"/>
      <c r="D92" s="59"/>
      <c r="I92" s="59"/>
      <c r="J92" s="59"/>
    </row>
    <row r="93" ht="12.75" customHeight="1">
      <c r="C93" s="59"/>
      <c r="D93" s="59"/>
      <c r="I93" s="59"/>
      <c r="J93" s="59"/>
    </row>
    <row r="94" ht="12.75" customHeight="1">
      <c r="C94" s="59"/>
      <c r="D94" s="59"/>
      <c r="I94" s="59"/>
      <c r="J94" s="59"/>
    </row>
    <row r="95" ht="12.75" customHeight="1">
      <c r="C95" s="59"/>
      <c r="D95" s="59"/>
      <c r="I95" s="59"/>
      <c r="J95" s="59"/>
    </row>
    <row r="96" ht="12.75" customHeight="1">
      <c r="C96" s="59"/>
      <c r="D96" s="59"/>
      <c r="I96" s="59"/>
      <c r="J96" s="59"/>
    </row>
    <row r="97" ht="12.75" customHeight="1">
      <c r="C97" s="59"/>
      <c r="D97" s="59"/>
      <c r="I97" s="59"/>
      <c r="J97" s="59"/>
    </row>
    <row r="98" ht="12.75" customHeight="1">
      <c r="C98" s="59"/>
      <c r="D98" s="59"/>
      <c r="I98" s="59"/>
      <c r="J98" s="59"/>
    </row>
    <row r="99" ht="12.75" customHeight="1">
      <c r="C99" s="59"/>
      <c r="D99" s="59"/>
      <c r="I99" s="59"/>
      <c r="J99" s="59"/>
    </row>
    <row r="100" ht="12.75" customHeight="1">
      <c r="C100" s="59"/>
      <c r="D100" s="59"/>
      <c r="I100" s="59"/>
      <c r="J100" s="59"/>
    </row>
    <row r="101" ht="12.75" customHeight="1">
      <c r="C101" s="59"/>
      <c r="D101" s="59"/>
      <c r="I101" s="59"/>
      <c r="J101" s="59"/>
    </row>
    <row r="102" ht="12.75" customHeight="1">
      <c r="C102" s="59"/>
      <c r="D102" s="59"/>
      <c r="I102" s="59"/>
      <c r="J102" s="59"/>
    </row>
    <row r="103" ht="12.75" customHeight="1">
      <c r="C103" s="59"/>
      <c r="D103" s="59"/>
      <c r="I103" s="59"/>
      <c r="J103" s="59"/>
    </row>
    <row r="104" ht="12.75" customHeight="1">
      <c r="C104" s="59"/>
      <c r="D104" s="59"/>
      <c r="I104" s="59"/>
      <c r="J104" s="59"/>
    </row>
    <row r="105" ht="12.75" customHeight="1">
      <c r="C105" s="59"/>
      <c r="D105" s="59"/>
      <c r="I105" s="59"/>
      <c r="J105" s="59"/>
    </row>
    <row r="106" ht="12.75" customHeight="1">
      <c r="C106" s="59"/>
      <c r="D106" s="59"/>
      <c r="I106" s="59"/>
      <c r="J106" s="59"/>
    </row>
    <row r="107" ht="12.75" customHeight="1">
      <c r="C107" s="59"/>
      <c r="D107" s="59"/>
      <c r="I107" s="59"/>
      <c r="J107" s="59"/>
    </row>
    <row r="108" ht="12.75" customHeight="1">
      <c r="C108" s="59"/>
      <c r="D108" s="59"/>
      <c r="I108" s="59"/>
      <c r="J108" s="59"/>
    </row>
    <row r="109" ht="12.75" customHeight="1">
      <c r="C109" s="59"/>
      <c r="D109" s="59"/>
      <c r="I109" s="59"/>
      <c r="J109" s="59"/>
    </row>
    <row r="110" ht="12.75" customHeight="1">
      <c r="C110" s="59"/>
      <c r="D110" s="59"/>
      <c r="I110" s="59"/>
      <c r="J110" s="59"/>
    </row>
    <row r="111" ht="12.75" customHeight="1">
      <c r="C111" s="59"/>
      <c r="D111" s="59"/>
      <c r="I111" s="59"/>
      <c r="J111" s="59"/>
    </row>
    <row r="112" ht="12.75" customHeight="1">
      <c r="C112" s="59"/>
      <c r="D112" s="59"/>
      <c r="I112" s="59"/>
      <c r="J112" s="59"/>
    </row>
    <row r="113" ht="12.75" customHeight="1">
      <c r="C113" s="59"/>
      <c r="D113" s="59"/>
      <c r="I113" s="59"/>
      <c r="J113" s="59"/>
    </row>
    <row r="114" ht="12.75" customHeight="1">
      <c r="C114" s="59"/>
      <c r="D114" s="59"/>
      <c r="I114" s="59"/>
      <c r="J114" s="59"/>
    </row>
    <row r="115" ht="12.75" customHeight="1">
      <c r="C115" s="59"/>
      <c r="D115" s="59"/>
      <c r="I115" s="59"/>
      <c r="J115" s="59"/>
    </row>
    <row r="116" ht="12.75" customHeight="1">
      <c r="C116" s="59"/>
      <c r="D116" s="59"/>
      <c r="I116" s="59"/>
      <c r="J116" s="59"/>
    </row>
    <row r="117" ht="12.75" customHeight="1">
      <c r="C117" s="59"/>
      <c r="D117" s="59"/>
      <c r="I117" s="59"/>
      <c r="J117" s="59"/>
    </row>
    <row r="118" ht="12.75" customHeight="1">
      <c r="C118" s="59"/>
      <c r="D118" s="59"/>
      <c r="I118" s="59"/>
      <c r="J118" s="59"/>
    </row>
    <row r="119" ht="12.75" customHeight="1">
      <c r="C119" s="59"/>
      <c r="D119" s="59"/>
      <c r="I119" s="59"/>
      <c r="J119" s="59"/>
    </row>
    <row r="120" ht="12.75" customHeight="1">
      <c r="C120" s="59"/>
      <c r="D120" s="59"/>
      <c r="I120" s="59"/>
      <c r="J120" s="59"/>
    </row>
    <row r="121" ht="12.75" customHeight="1">
      <c r="C121" s="59"/>
      <c r="D121" s="59"/>
      <c r="I121" s="59"/>
      <c r="J121" s="59"/>
    </row>
    <row r="122" ht="12.75" customHeight="1">
      <c r="C122" s="59"/>
      <c r="D122" s="59"/>
      <c r="I122" s="59"/>
      <c r="J122" s="59"/>
    </row>
    <row r="123" ht="12.75" customHeight="1">
      <c r="C123" s="59"/>
      <c r="D123" s="59"/>
      <c r="I123" s="59"/>
      <c r="J123" s="59"/>
    </row>
    <row r="124" ht="12.75" customHeight="1">
      <c r="C124" s="59"/>
      <c r="D124" s="59"/>
      <c r="I124" s="59"/>
      <c r="J124" s="59"/>
    </row>
    <row r="125" ht="12.75" customHeight="1">
      <c r="C125" s="59"/>
      <c r="D125" s="59"/>
      <c r="I125" s="59"/>
      <c r="J125" s="59"/>
    </row>
    <row r="126" ht="12.75" customHeight="1">
      <c r="C126" s="59"/>
      <c r="D126" s="59"/>
      <c r="I126" s="59"/>
      <c r="J126" s="59"/>
    </row>
    <row r="127" ht="12.75" customHeight="1">
      <c r="C127" s="59"/>
      <c r="D127" s="59"/>
      <c r="I127" s="59"/>
      <c r="J127" s="59"/>
    </row>
    <row r="128" ht="12.75" customHeight="1">
      <c r="C128" s="59"/>
      <c r="D128" s="59"/>
      <c r="I128" s="59"/>
      <c r="J128" s="59"/>
    </row>
    <row r="129" ht="12.75" customHeight="1">
      <c r="C129" s="59"/>
      <c r="D129" s="59"/>
      <c r="I129" s="59"/>
      <c r="J129" s="59"/>
    </row>
    <row r="130" ht="12.75" customHeight="1">
      <c r="C130" s="59"/>
      <c r="D130" s="59"/>
      <c r="I130" s="59"/>
      <c r="J130" s="59"/>
    </row>
    <row r="131" ht="12.75" customHeight="1">
      <c r="C131" s="59"/>
      <c r="D131" s="59"/>
      <c r="I131" s="59"/>
      <c r="J131" s="59"/>
    </row>
    <row r="132" ht="12.75" customHeight="1">
      <c r="C132" s="59"/>
      <c r="D132" s="59"/>
      <c r="I132" s="59"/>
      <c r="J132" s="59"/>
    </row>
    <row r="133" ht="12.75" customHeight="1">
      <c r="C133" s="59"/>
      <c r="D133" s="59"/>
      <c r="I133" s="59"/>
      <c r="J133" s="59"/>
    </row>
    <row r="134" ht="12.75" customHeight="1">
      <c r="C134" s="59"/>
      <c r="D134" s="59"/>
      <c r="I134" s="59"/>
      <c r="J134" s="59"/>
    </row>
    <row r="135" ht="12.75" customHeight="1">
      <c r="C135" s="59"/>
      <c r="D135" s="59"/>
      <c r="I135" s="59"/>
      <c r="J135" s="59"/>
    </row>
    <row r="136" ht="12.75" customHeight="1">
      <c r="C136" s="59"/>
      <c r="D136" s="59"/>
      <c r="I136" s="59"/>
      <c r="J136" s="59"/>
    </row>
    <row r="137" ht="12.75" customHeight="1">
      <c r="C137" s="59"/>
      <c r="D137" s="59"/>
      <c r="I137" s="59"/>
      <c r="J137" s="59"/>
    </row>
    <row r="138" ht="12.75" customHeight="1">
      <c r="C138" s="59"/>
      <c r="D138" s="59"/>
      <c r="I138" s="59"/>
      <c r="J138" s="59"/>
    </row>
    <row r="139" ht="12.75" customHeight="1">
      <c r="C139" s="59"/>
      <c r="D139" s="59"/>
      <c r="I139" s="59"/>
      <c r="J139" s="59"/>
    </row>
    <row r="140" ht="12.75" customHeight="1">
      <c r="C140" s="59"/>
      <c r="D140" s="59"/>
      <c r="I140" s="59"/>
      <c r="J140" s="59"/>
    </row>
    <row r="141" ht="12.75" customHeight="1">
      <c r="C141" s="59"/>
      <c r="D141" s="59"/>
      <c r="I141" s="59"/>
      <c r="J141" s="59"/>
    </row>
    <row r="142" ht="12.75" customHeight="1">
      <c r="C142" s="59"/>
      <c r="D142" s="59"/>
      <c r="I142" s="59"/>
      <c r="J142" s="59"/>
    </row>
    <row r="143" ht="12.75" customHeight="1">
      <c r="C143" s="59"/>
      <c r="D143" s="59"/>
      <c r="I143" s="59"/>
      <c r="J143" s="59"/>
    </row>
    <row r="144" ht="12.75" customHeight="1">
      <c r="C144" s="59"/>
      <c r="D144" s="59"/>
      <c r="I144" s="59"/>
      <c r="J144" s="59"/>
    </row>
    <row r="145" ht="12.75" customHeight="1">
      <c r="C145" s="59"/>
      <c r="D145" s="59"/>
      <c r="I145" s="59"/>
      <c r="J145" s="59"/>
    </row>
    <row r="146" ht="12.75" customHeight="1">
      <c r="C146" s="59"/>
      <c r="D146" s="59"/>
      <c r="I146" s="59"/>
      <c r="J146" s="59"/>
    </row>
    <row r="147" ht="12.75" customHeight="1">
      <c r="C147" s="59"/>
      <c r="D147" s="59"/>
      <c r="I147" s="59"/>
      <c r="J147" s="59"/>
    </row>
    <row r="148" ht="12.75" customHeight="1">
      <c r="C148" s="59"/>
      <c r="D148" s="59"/>
      <c r="I148" s="59"/>
      <c r="J148" s="59"/>
    </row>
    <row r="149" ht="12.75" customHeight="1">
      <c r="C149" s="59"/>
      <c r="D149" s="59"/>
      <c r="I149" s="59"/>
      <c r="J149" s="59"/>
    </row>
    <row r="150" ht="12.75" customHeight="1">
      <c r="C150" s="59"/>
      <c r="D150" s="59"/>
      <c r="I150" s="59"/>
      <c r="J150" s="59"/>
    </row>
    <row r="151" ht="12.75" customHeight="1">
      <c r="C151" s="59"/>
      <c r="D151" s="59"/>
      <c r="I151" s="59"/>
      <c r="J151" s="59"/>
    </row>
    <row r="152" ht="12.75" customHeight="1">
      <c r="C152" s="59"/>
      <c r="D152" s="59"/>
      <c r="I152" s="59"/>
      <c r="J152" s="59"/>
    </row>
    <row r="153" ht="12.75" customHeight="1">
      <c r="C153" s="59"/>
      <c r="D153" s="59"/>
      <c r="I153" s="59"/>
      <c r="J153" s="59"/>
    </row>
    <row r="154" ht="12.75" customHeight="1">
      <c r="C154" s="59"/>
      <c r="D154" s="59"/>
      <c r="I154" s="59"/>
      <c r="J154" s="59"/>
    </row>
    <row r="155" ht="12.75" customHeight="1">
      <c r="C155" s="59"/>
      <c r="D155" s="59"/>
      <c r="I155" s="59"/>
      <c r="J155" s="59"/>
    </row>
    <row r="156" ht="12.75" customHeight="1">
      <c r="C156" s="59"/>
      <c r="D156" s="59"/>
      <c r="I156" s="59"/>
      <c r="J156" s="59"/>
    </row>
    <row r="157" ht="12.75" customHeight="1">
      <c r="C157" s="59"/>
      <c r="D157" s="59"/>
      <c r="I157" s="59"/>
      <c r="J157" s="59"/>
    </row>
    <row r="158" ht="12.75" customHeight="1">
      <c r="C158" s="59"/>
      <c r="D158" s="59"/>
      <c r="I158" s="59"/>
      <c r="J158" s="59"/>
    </row>
    <row r="159" ht="12.75" customHeight="1">
      <c r="C159" s="59"/>
      <c r="D159" s="59"/>
      <c r="I159" s="59"/>
      <c r="J159" s="59"/>
    </row>
    <row r="160" ht="12.75" customHeight="1">
      <c r="C160" s="59"/>
      <c r="D160" s="59"/>
      <c r="I160" s="59"/>
      <c r="J160" s="59"/>
    </row>
    <row r="161" ht="12.75" customHeight="1">
      <c r="C161" s="59"/>
      <c r="D161" s="59"/>
      <c r="I161" s="59"/>
      <c r="J161" s="59"/>
    </row>
    <row r="162" ht="12.75" customHeight="1">
      <c r="C162" s="59"/>
      <c r="D162" s="59"/>
      <c r="I162" s="59"/>
      <c r="J162" s="59"/>
    </row>
    <row r="163" ht="12.75" customHeight="1">
      <c r="C163" s="59"/>
      <c r="D163" s="59"/>
      <c r="I163" s="59"/>
      <c r="J163" s="59"/>
    </row>
    <row r="164" ht="12.75" customHeight="1">
      <c r="C164" s="59"/>
      <c r="D164" s="59"/>
      <c r="I164" s="59"/>
      <c r="J164" s="59"/>
    </row>
    <row r="165" ht="12.75" customHeight="1">
      <c r="C165" s="59"/>
      <c r="D165" s="59"/>
      <c r="I165" s="59"/>
      <c r="J165" s="59"/>
    </row>
    <row r="166" ht="12.75" customHeight="1">
      <c r="C166" s="59"/>
      <c r="D166" s="59"/>
      <c r="I166" s="59"/>
      <c r="J166" s="59"/>
    </row>
    <row r="167" ht="12.75" customHeight="1">
      <c r="C167" s="59"/>
      <c r="D167" s="59"/>
      <c r="I167" s="59"/>
      <c r="J167" s="59"/>
    </row>
    <row r="168" ht="12.75" customHeight="1">
      <c r="C168" s="59"/>
      <c r="D168" s="59"/>
      <c r="I168" s="59"/>
      <c r="J168" s="59"/>
    </row>
    <row r="169" ht="12.75" customHeight="1">
      <c r="C169" s="59"/>
      <c r="D169" s="59"/>
      <c r="I169" s="59"/>
      <c r="J169" s="59"/>
    </row>
    <row r="170" ht="12.75" customHeight="1">
      <c r="C170" s="59"/>
      <c r="D170" s="59"/>
      <c r="I170" s="59"/>
      <c r="J170" s="59"/>
    </row>
    <row r="171" ht="12.75" customHeight="1">
      <c r="C171" s="59"/>
      <c r="D171" s="59"/>
      <c r="I171" s="59"/>
      <c r="J171" s="59"/>
    </row>
    <row r="172" ht="12.75" customHeight="1">
      <c r="C172" s="59"/>
      <c r="D172" s="59"/>
      <c r="I172" s="59"/>
      <c r="J172" s="59"/>
    </row>
    <row r="173" ht="12.75" customHeight="1">
      <c r="C173" s="59"/>
      <c r="D173" s="59"/>
      <c r="I173" s="59"/>
      <c r="J173" s="59"/>
    </row>
    <row r="174" ht="12.75" customHeight="1">
      <c r="C174" s="59"/>
      <c r="D174" s="59"/>
      <c r="I174" s="59"/>
      <c r="J174" s="59"/>
    </row>
    <row r="175" ht="12.75" customHeight="1">
      <c r="C175" s="59"/>
      <c r="D175" s="59"/>
      <c r="I175" s="59"/>
      <c r="J175" s="59"/>
    </row>
    <row r="176" ht="12.75" customHeight="1">
      <c r="C176" s="59"/>
      <c r="D176" s="59"/>
      <c r="I176" s="59"/>
      <c r="J176" s="59"/>
    </row>
    <row r="177" ht="12.75" customHeight="1">
      <c r="C177" s="59"/>
      <c r="D177" s="59"/>
      <c r="I177" s="59"/>
      <c r="J177" s="59"/>
    </row>
    <row r="178" ht="12.75" customHeight="1">
      <c r="C178" s="59"/>
      <c r="D178" s="59"/>
      <c r="I178" s="59"/>
      <c r="J178" s="59"/>
    </row>
    <row r="179" ht="12.75" customHeight="1">
      <c r="C179" s="59"/>
      <c r="D179" s="59"/>
      <c r="I179" s="59"/>
      <c r="J179" s="59"/>
    </row>
    <row r="180" ht="12.75" customHeight="1">
      <c r="C180" s="59"/>
      <c r="D180" s="59"/>
      <c r="I180" s="59"/>
      <c r="J180" s="59"/>
    </row>
    <row r="181" ht="12.75" customHeight="1">
      <c r="C181" s="59"/>
      <c r="D181" s="59"/>
      <c r="I181" s="59"/>
      <c r="J181" s="59"/>
    </row>
    <row r="182" ht="12.75" customHeight="1">
      <c r="C182" s="59"/>
      <c r="D182" s="59"/>
      <c r="I182" s="59"/>
      <c r="J182" s="59"/>
    </row>
    <row r="183" ht="12.75" customHeight="1">
      <c r="C183" s="59"/>
      <c r="D183" s="59"/>
      <c r="I183" s="59"/>
      <c r="J183" s="59"/>
    </row>
    <row r="184" ht="12.75" customHeight="1">
      <c r="C184" s="59"/>
      <c r="D184" s="59"/>
      <c r="I184" s="59"/>
      <c r="J184" s="59"/>
    </row>
    <row r="185" ht="12.75" customHeight="1">
      <c r="C185" s="59"/>
      <c r="D185" s="59"/>
      <c r="I185" s="59"/>
      <c r="J185" s="59"/>
    </row>
    <row r="186" ht="12.75" customHeight="1">
      <c r="C186" s="59"/>
      <c r="D186" s="59"/>
      <c r="I186" s="59"/>
      <c r="J186" s="59"/>
    </row>
    <row r="187" ht="12.75" customHeight="1">
      <c r="C187" s="59"/>
      <c r="D187" s="59"/>
      <c r="I187" s="59"/>
      <c r="J187" s="59"/>
    </row>
    <row r="188" ht="12.75" customHeight="1">
      <c r="C188" s="59"/>
      <c r="D188" s="59"/>
      <c r="I188" s="59"/>
      <c r="J188" s="59"/>
    </row>
    <row r="189" ht="12.75" customHeight="1">
      <c r="C189" s="59"/>
      <c r="D189" s="59"/>
      <c r="I189" s="59"/>
      <c r="J189" s="59"/>
    </row>
    <row r="190" ht="12.75" customHeight="1">
      <c r="C190" s="59"/>
      <c r="D190" s="59"/>
      <c r="I190" s="59"/>
      <c r="J190" s="59"/>
    </row>
    <row r="191" ht="12.75" customHeight="1">
      <c r="C191" s="59"/>
      <c r="D191" s="59"/>
      <c r="I191" s="59"/>
      <c r="J191" s="59"/>
    </row>
    <row r="192" ht="12.75" customHeight="1">
      <c r="C192" s="59"/>
      <c r="D192" s="59"/>
      <c r="I192" s="59"/>
      <c r="J192" s="59"/>
    </row>
    <row r="193" ht="12.75" customHeight="1">
      <c r="C193" s="59"/>
      <c r="D193" s="59"/>
      <c r="I193" s="59"/>
      <c r="J193" s="59"/>
    </row>
    <row r="194" ht="12.75" customHeight="1">
      <c r="C194" s="59"/>
      <c r="D194" s="59"/>
      <c r="I194" s="59"/>
      <c r="J194" s="59"/>
    </row>
    <row r="195" ht="12.75" customHeight="1">
      <c r="C195" s="59"/>
      <c r="D195" s="59"/>
      <c r="I195" s="59"/>
      <c r="J195" s="59"/>
    </row>
    <row r="196" ht="12.75" customHeight="1">
      <c r="C196" s="59"/>
      <c r="D196" s="59"/>
      <c r="I196" s="59"/>
      <c r="J196" s="59"/>
    </row>
    <row r="197" ht="12.75" customHeight="1">
      <c r="C197" s="59"/>
      <c r="D197" s="59"/>
      <c r="I197" s="59"/>
      <c r="J197" s="59"/>
    </row>
    <row r="198" ht="12.75" customHeight="1">
      <c r="C198" s="59"/>
      <c r="D198" s="59"/>
      <c r="I198" s="59"/>
      <c r="J198" s="59"/>
    </row>
    <row r="199" ht="12.75" customHeight="1">
      <c r="C199" s="59"/>
      <c r="D199" s="59"/>
      <c r="I199" s="59"/>
      <c r="J199" s="59"/>
    </row>
    <row r="200" ht="12.75" customHeight="1">
      <c r="C200" s="59"/>
      <c r="D200" s="59"/>
      <c r="I200" s="59"/>
      <c r="J200" s="59"/>
    </row>
    <row r="201" ht="12.75" customHeight="1">
      <c r="C201" s="59"/>
      <c r="D201" s="59"/>
      <c r="I201" s="59"/>
      <c r="J201" s="59"/>
    </row>
    <row r="202" ht="12.75" customHeight="1">
      <c r="C202" s="59"/>
      <c r="D202" s="59"/>
      <c r="I202" s="59"/>
      <c r="J202" s="59"/>
    </row>
    <row r="203" ht="12.75" customHeight="1">
      <c r="C203" s="59"/>
      <c r="D203" s="59"/>
      <c r="I203" s="59"/>
      <c r="J203" s="59"/>
    </row>
    <row r="204" ht="12.75" customHeight="1">
      <c r="C204" s="59"/>
      <c r="D204" s="59"/>
      <c r="I204" s="59"/>
      <c r="J204" s="59"/>
    </row>
    <row r="205" ht="12.75" customHeight="1">
      <c r="C205" s="59"/>
      <c r="D205" s="59"/>
      <c r="I205" s="59"/>
      <c r="J205" s="59"/>
    </row>
    <row r="206" ht="12.75" customHeight="1">
      <c r="C206" s="59"/>
      <c r="D206" s="59"/>
      <c r="I206" s="59"/>
      <c r="J206" s="59"/>
    </row>
    <row r="207" ht="12.75" customHeight="1">
      <c r="C207" s="59"/>
      <c r="D207" s="59"/>
      <c r="I207" s="59"/>
      <c r="J207" s="59"/>
    </row>
    <row r="208" ht="12.75" customHeight="1">
      <c r="C208" s="59"/>
      <c r="D208" s="59"/>
      <c r="I208" s="59"/>
      <c r="J208" s="59"/>
    </row>
    <row r="209" ht="12.75" customHeight="1">
      <c r="C209" s="59"/>
      <c r="D209" s="59"/>
      <c r="I209" s="59"/>
      <c r="J209" s="59"/>
    </row>
    <row r="210" ht="12.75" customHeight="1">
      <c r="C210" s="59"/>
      <c r="D210" s="59"/>
      <c r="I210" s="59"/>
      <c r="J210" s="59"/>
    </row>
    <row r="211" ht="12.75" customHeight="1">
      <c r="C211" s="59"/>
      <c r="D211" s="59"/>
      <c r="I211" s="59"/>
      <c r="J211" s="59"/>
    </row>
    <row r="212" ht="12.75" customHeight="1">
      <c r="C212" s="59"/>
      <c r="D212" s="59"/>
      <c r="I212" s="59"/>
      <c r="J212" s="59"/>
    </row>
    <row r="213" ht="12.75" customHeight="1">
      <c r="C213" s="59"/>
      <c r="D213" s="59"/>
      <c r="I213" s="59"/>
      <c r="J213" s="59"/>
    </row>
    <row r="214" ht="12.75" customHeight="1">
      <c r="C214" s="59"/>
      <c r="D214" s="59"/>
      <c r="I214" s="59"/>
      <c r="J214" s="59"/>
    </row>
    <row r="215" ht="12.75" customHeight="1">
      <c r="C215" s="59"/>
      <c r="D215" s="59"/>
      <c r="I215" s="59"/>
      <c r="J215" s="59"/>
    </row>
    <row r="216" ht="12.75" customHeight="1">
      <c r="C216" s="59"/>
      <c r="D216" s="59"/>
      <c r="I216" s="59"/>
      <c r="J216" s="59"/>
    </row>
    <row r="217" ht="12.75" customHeight="1">
      <c r="C217" s="59"/>
      <c r="D217" s="59"/>
      <c r="I217" s="59"/>
      <c r="J217" s="59"/>
    </row>
    <row r="218" ht="12.75" customHeight="1">
      <c r="C218" s="59"/>
      <c r="D218" s="59"/>
      <c r="I218" s="59"/>
      <c r="J218" s="59"/>
    </row>
    <row r="219" ht="12.75" customHeight="1">
      <c r="C219" s="59"/>
      <c r="D219" s="59"/>
      <c r="I219" s="59"/>
      <c r="J219" s="59"/>
    </row>
    <row r="220" ht="12.75" customHeight="1">
      <c r="C220" s="59"/>
      <c r="D220" s="59"/>
      <c r="I220" s="59"/>
      <c r="J220" s="59"/>
    </row>
    <row r="221" ht="12.75" customHeight="1">
      <c r="C221" s="59"/>
      <c r="D221" s="59"/>
      <c r="I221" s="59"/>
      <c r="J221" s="59"/>
    </row>
    <row r="222" ht="12.75" customHeight="1">
      <c r="C222" s="59"/>
      <c r="D222" s="59"/>
      <c r="I222" s="59"/>
      <c r="J222" s="59"/>
    </row>
    <row r="223" ht="12.75" customHeight="1">
      <c r="C223" s="59"/>
      <c r="D223" s="59"/>
      <c r="I223" s="59"/>
      <c r="J223" s="59"/>
    </row>
    <row r="224" ht="12.75" customHeight="1">
      <c r="C224" s="59"/>
      <c r="D224" s="59"/>
      <c r="I224" s="59"/>
      <c r="J224" s="59"/>
    </row>
    <row r="225" ht="12.75" customHeight="1">
      <c r="C225" s="59"/>
      <c r="D225" s="59"/>
      <c r="I225" s="59"/>
      <c r="J225" s="59"/>
    </row>
    <row r="226" ht="12.75" customHeight="1">
      <c r="C226" s="59"/>
      <c r="D226" s="59"/>
      <c r="I226" s="59"/>
      <c r="J226" s="59"/>
    </row>
    <row r="227" ht="12.75" customHeight="1">
      <c r="C227" s="59"/>
      <c r="D227" s="59"/>
      <c r="I227" s="59"/>
      <c r="J227" s="59"/>
    </row>
    <row r="228" ht="12.75" customHeight="1">
      <c r="C228" s="59"/>
      <c r="D228" s="59"/>
      <c r="I228" s="59"/>
      <c r="J228" s="59"/>
    </row>
    <row r="229" ht="12.75" customHeight="1">
      <c r="C229" s="59"/>
      <c r="D229" s="59"/>
      <c r="I229" s="59"/>
      <c r="J229" s="59"/>
    </row>
    <row r="230" ht="12.75" customHeight="1">
      <c r="C230" s="59"/>
      <c r="D230" s="59"/>
      <c r="I230" s="59"/>
      <c r="J230" s="59"/>
    </row>
    <row r="231" ht="12.75" customHeight="1">
      <c r="C231" s="59"/>
      <c r="D231" s="59"/>
      <c r="I231" s="59"/>
      <c r="J231" s="59"/>
    </row>
    <row r="232" ht="12.75" customHeight="1">
      <c r="C232" s="59"/>
      <c r="D232" s="59"/>
      <c r="I232" s="59"/>
      <c r="J232" s="59"/>
    </row>
    <row r="233" ht="12.75" customHeight="1">
      <c r="C233" s="59"/>
      <c r="D233" s="59"/>
      <c r="I233" s="59"/>
      <c r="J233" s="59"/>
    </row>
    <row r="234" ht="12.75" customHeight="1">
      <c r="C234" s="59"/>
      <c r="D234" s="59"/>
      <c r="I234" s="59"/>
      <c r="J234" s="59"/>
    </row>
    <row r="235" ht="12.75" customHeight="1">
      <c r="C235" s="59"/>
      <c r="D235" s="59"/>
      <c r="I235" s="59"/>
      <c r="J235" s="59"/>
    </row>
    <row r="236" ht="12.75" customHeight="1">
      <c r="C236" s="59"/>
      <c r="D236" s="59"/>
      <c r="I236" s="59"/>
      <c r="J236" s="59"/>
    </row>
    <row r="237" ht="12.75" customHeight="1">
      <c r="C237" s="59"/>
      <c r="D237" s="59"/>
      <c r="I237" s="59"/>
      <c r="J237" s="59"/>
    </row>
    <row r="238" ht="12.75" customHeight="1">
      <c r="C238" s="59"/>
      <c r="D238" s="59"/>
      <c r="I238" s="59"/>
      <c r="J238" s="59"/>
    </row>
    <row r="239" ht="12.75" customHeight="1">
      <c r="C239" s="59"/>
      <c r="D239" s="59"/>
      <c r="I239" s="59"/>
      <c r="J239" s="59"/>
    </row>
    <row r="240" ht="12.75" customHeight="1">
      <c r="C240" s="59"/>
      <c r="D240" s="59"/>
      <c r="I240" s="59"/>
      <c r="J240" s="59"/>
    </row>
    <row r="241" ht="12.75" customHeight="1">
      <c r="C241" s="59"/>
      <c r="D241" s="59"/>
      <c r="I241" s="59"/>
      <c r="J241" s="59"/>
    </row>
    <row r="242" ht="12.75" customHeight="1">
      <c r="C242" s="59"/>
      <c r="D242" s="59"/>
      <c r="I242" s="59"/>
      <c r="J242" s="59"/>
    </row>
    <row r="243" ht="12.75" customHeight="1">
      <c r="C243" s="59"/>
      <c r="D243" s="59"/>
      <c r="I243" s="59"/>
      <c r="J243" s="59"/>
    </row>
    <row r="244" ht="12.75" customHeight="1">
      <c r="C244" s="59"/>
      <c r="D244" s="59"/>
      <c r="I244" s="59"/>
      <c r="J244" s="59"/>
    </row>
    <row r="245" ht="12.75" customHeight="1">
      <c r="C245" s="59"/>
      <c r="D245" s="59"/>
      <c r="I245" s="59"/>
      <c r="J245" s="59"/>
    </row>
    <row r="246" ht="12.75" customHeight="1">
      <c r="C246" s="59"/>
      <c r="D246" s="59"/>
      <c r="I246" s="59"/>
      <c r="J246" s="59"/>
    </row>
    <row r="247" ht="12.75" customHeight="1">
      <c r="C247" s="59"/>
      <c r="D247" s="59"/>
      <c r="I247" s="59"/>
      <c r="J247" s="59"/>
    </row>
    <row r="248" ht="12.75" customHeight="1">
      <c r="C248" s="59"/>
      <c r="D248" s="59"/>
      <c r="I248" s="59"/>
      <c r="J248" s="59"/>
    </row>
    <row r="249" ht="12.75" customHeight="1">
      <c r="C249" s="59"/>
      <c r="D249" s="59"/>
      <c r="I249" s="59"/>
      <c r="J249" s="59"/>
    </row>
    <row r="250" ht="12.75" customHeight="1">
      <c r="C250" s="59"/>
      <c r="D250" s="59"/>
      <c r="I250" s="59"/>
      <c r="J250" s="59"/>
    </row>
    <row r="251" ht="12.75" customHeight="1">
      <c r="C251" s="59"/>
      <c r="D251" s="59"/>
      <c r="I251" s="59"/>
      <c r="J251" s="59"/>
    </row>
    <row r="252" ht="12.75" customHeight="1">
      <c r="C252" s="59"/>
      <c r="D252" s="59"/>
      <c r="I252" s="59"/>
      <c r="J252" s="59"/>
    </row>
    <row r="253" ht="12.75" customHeight="1">
      <c r="C253" s="59"/>
      <c r="D253" s="59"/>
      <c r="I253" s="59"/>
      <c r="J253" s="59"/>
    </row>
    <row r="254" ht="12.75" customHeight="1">
      <c r="C254" s="59"/>
      <c r="D254" s="59"/>
      <c r="I254" s="59"/>
      <c r="J254" s="59"/>
    </row>
    <row r="255" ht="12.75" customHeight="1">
      <c r="C255" s="59"/>
      <c r="D255" s="59"/>
      <c r="I255" s="59"/>
      <c r="J255" s="59"/>
    </row>
    <row r="256" ht="12.75" customHeight="1">
      <c r="C256" s="59"/>
      <c r="D256" s="59"/>
      <c r="I256" s="59"/>
      <c r="J256" s="59"/>
    </row>
    <row r="257" ht="12.75" customHeight="1">
      <c r="C257" s="59"/>
      <c r="D257" s="59"/>
      <c r="I257" s="59"/>
      <c r="J257" s="59"/>
    </row>
    <row r="258" ht="12.75" customHeight="1">
      <c r="C258" s="59"/>
      <c r="D258" s="59"/>
      <c r="I258" s="59"/>
      <c r="J258" s="59"/>
    </row>
    <row r="259" ht="12.75" customHeight="1">
      <c r="C259" s="59"/>
      <c r="D259" s="59"/>
      <c r="I259" s="59"/>
      <c r="J259" s="59"/>
    </row>
    <row r="260" ht="12.75" customHeight="1">
      <c r="C260" s="59"/>
      <c r="D260" s="59"/>
      <c r="I260" s="59"/>
      <c r="J260" s="59"/>
    </row>
    <row r="261" ht="12.75" customHeight="1">
      <c r="C261" s="59"/>
      <c r="D261" s="59"/>
      <c r="I261" s="59"/>
      <c r="J261" s="59"/>
    </row>
    <row r="262" ht="12.75" customHeight="1">
      <c r="C262" s="59"/>
      <c r="D262" s="59"/>
      <c r="I262" s="59"/>
      <c r="J262" s="59"/>
    </row>
    <row r="263" ht="12.75" customHeight="1">
      <c r="C263" s="59"/>
      <c r="D263" s="59"/>
      <c r="I263" s="59"/>
      <c r="J263" s="59"/>
    </row>
    <row r="264" ht="12.75" customHeight="1">
      <c r="C264" s="59"/>
      <c r="D264" s="59"/>
      <c r="I264" s="59"/>
      <c r="J264" s="59"/>
    </row>
    <row r="265" ht="12.75" customHeight="1">
      <c r="C265" s="59"/>
      <c r="D265" s="59"/>
      <c r="I265" s="59"/>
      <c r="J265" s="59"/>
    </row>
    <row r="266" ht="12.75" customHeight="1">
      <c r="C266" s="59"/>
      <c r="D266" s="59"/>
      <c r="I266" s="59"/>
      <c r="J266" s="59"/>
    </row>
    <row r="267" ht="12.75" customHeight="1">
      <c r="C267" s="59"/>
      <c r="D267" s="59"/>
      <c r="I267" s="59"/>
      <c r="J267" s="59"/>
    </row>
    <row r="268" ht="12.75" customHeight="1">
      <c r="C268" s="59"/>
      <c r="D268" s="59"/>
      <c r="I268" s="59"/>
      <c r="J268" s="59"/>
    </row>
    <row r="269" ht="12.75" customHeight="1">
      <c r="C269" s="59"/>
      <c r="D269" s="59"/>
      <c r="I269" s="59"/>
      <c r="J269" s="59"/>
    </row>
    <row r="270" ht="12.75" customHeight="1">
      <c r="C270" s="59"/>
      <c r="D270" s="59"/>
      <c r="I270" s="59"/>
      <c r="J270" s="59"/>
    </row>
    <row r="271" ht="12.75" customHeight="1">
      <c r="C271" s="59"/>
      <c r="D271" s="59"/>
      <c r="I271" s="59"/>
      <c r="J271" s="59"/>
    </row>
    <row r="272" ht="12.75" customHeight="1">
      <c r="C272" s="59"/>
      <c r="D272" s="59"/>
      <c r="I272" s="59"/>
      <c r="J272" s="59"/>
    </row>
    <row r="273" ht="12.75" customHeight="1">
      <c r="C273" s="59"/>
      <c r="D273" s="59"/>
      <c r="I273" s="59"/>
      <c r="J273" s="59"/>
    </row>
    <row r="274" ht="12.75" customHeight="1">
      <c r="C274" s="59"/>
      <c r="D274" s="59"/>
      <c r="I274" s="59"/>
      <c r="J274" s="59"/>
    </row>
    <row r="275" ht="12.75" customHeight="1">
      <c r="C275" s="59"/>
      <c r="D275" s="59"/>
      <c r="I275" s="59"/>
      <c r="J275" s="59"/>
    </row>
    <row r="276" ht="12.75" customHeight="1">
      <c r="C276" s="59"/>
      <c r="D276" s="59"/>
      <c r="I276" s="59"/>
      <c r="J276" s="59"/>
    </row>
    <row r="277" ht="12.75" customHeight="1">
      <c r="C277" s="59"/>
      <c r="D277" s="59"/>
      <c r="I277" s="59"/>
      <c r="J277" s="59"/>
    </row>
    <row r="278" ht="12.75" customHeight="1">
      <c r="C278" s="59"/>
      <c r="D278" s="59"/>
      <c r="I278" s="59"/>
      <c r="J278" s="59"/>
    </row>
    <row r="279" ht="12.75" customHeight="1">
      <c r="C279" s="59"/>
      <c r="D279" s="59"/>
      <c r="I279" s="59"/>
      <c r="J279" s="59"/>
    </row>
    <row r="280" ht="12.75" customHeight="1">
      <c r="C280" s="59"/>
      <c r="D280" s="59"/>
      <c r="I280" s="59"/>
      <c r="J280" s="59"/>
    </row>
    <row r="281" ht="12.75" customHeight="1">
      <c r="C281" s="59"/>
      <c r="D281" s="59"/>
      <c r="I281" s="59"/>
      <c r="J281" s="59"/>
    </row>
    <row r="282" ht="12.75" customHeight="1">
      <c r="C282" s="59"/>
      <c r="D282" s="59"/>
      <c r="I282" s="59"/>
      <c r="J282" s="59"/>
    </row>
    <row r="283" ht="12.75" customHeight="1">
      <c r="C283" s="59"/>
      <c r="D283" s="59"/>
      <c r="I283" s="59"/>
      <c r="J283" s="59"/>
    </row>
    <row r="284" ht="12.75" customHeight="1">
      <c r="C284" s="59"/>
      <c r="D284" s="59"/>
      <c r="I284" s="59"/>
      <c r="J284" s="59"/>
    </row>
    <row r="285" ht="12.75" customHeight="1">
      <c r="C285" s="59"/>
      <c r="D285" s="59"/>
      <c r="I285" s="59"/>
      <c r="J285" s="59"/>
    </row>
    <row r="286" ht="12.75" customHeight="1">
      <c r="C286" s="59"/>
      <c r="D286" s="59"/>
      <c r="I286" s="59"/>
      <c r="J286" s="59"/>
    </row>
    <row r="287" ht="12.75" customHeight="1">
      <c r="C287" s="59"/>
      <c r="D287" s="59"/>
      <c r="I287" s="59"/>
      <c r="J287" s="59"/>
    </row>
    <row r="288" ht="12.75" customHeight="1">
      <c r="C288" s="59"/>
      <c r="D288" s="59"/>
      <c r="I288" s="59"/>
      <c r="J288" s="59"/>
    </row>
    <row r="289" ht="12.75" customHeight="1">
      <c r="C289" s="59"/>
      <c r="D289" s="59"/>
      <c r="I289" s="59"/>
      <c r="J289" s="59"/>
    </row>
    <row r="290" ht="12.75" customHeight="1">
      <c r="C290" s="59"/>
      <c r="D290" s="59"/>
      <c r="I290" s="59"/>
      <c r="J290" s="59"/>
    </row>
    <row r="291" ht="12.75" customHeight="1">
      <c r="C291" s="59"/>
      <c r="D291" s="59"/>
      <c r="I291" s="59"/>
      <c r="J291" s="59"/>
    </row>
    <row r="292" ht="12.75" customHeight="1">
      <c r="C292" s="59"/>
      <c r="D292" s="59"/>
      <c r="I292" s="59"/>
      <c r="J292" s="59"/>
    </row>
    <row r="293" ht="12.75" customHeight="1">
      <c r="C293" s="59"/>
      <c r="D293" s="59"/>
      <c r="I293" s="59"/>
      <c r="J293" s="59"/>
    </row>
    <row r="294" ht="12.75" customHeight="1">
      <c r="C294" s="59"/>
      <c r="D294" s="59"/>
      <c r="I294" s="59"/>
      <c r="J294" s="59"/>
    </row>
    <row r="295" ht="12.75" customHeight="1">
      <c r="C295" s="59"/>
      <c r="D295" s="59"/>
      <c r="I295" s="59"/>
      <c r="J295" s="59"/>
    </row>
    <row r="296" ht="12.75" customHeight="1">
      <c r="C296" s="59"/>
      <c r="D296" s="59"/>
      <c r="I296" s="59"/>
      <c r="J296" s="59"/>
    </row>
    <row r="297" ht="12.75" customHeight="1">
      <c r="C297" s="59"/>
      <c r="D297" s="59"/>
      <c r="I297" s="59"/>
      <c r="J297" s="59"/>
    </row>
    <row r="298" ht="12.75" customHeight="1">
      <c r="C298" s="59"/>
      <c r="D298" s="59"/>
      <c r="I298" s="59"/>
      <c r="J298" s="59"/>
    </row>
    <row r="299" ht="12.75" customHeight="1">
      <c r="C299" s="59"/>
      <c r="D299" s="59"/>
      <c r="I299" s="59"/>
      <c r="J299" s="59"/>
    </row>
    <row r="300" ht="12.75" customHeight="1">
      <c r="C300" s="59"/>
      <c r="D300" s="59"/>
      <c r="I300" s="59"/>
      <c r="J300" s="59"/>
    </row>
    <row r="301" ht="12.75" customHeight="1">
      <c r="C301" s="59"/>
      <c r="D301" s="59"/>
      <c r="I301" s="59"/>
      <c r="J301" s="59"/>
    </row>
    <row r="302" ht="12.75" customHeight="1">
      <c r="C302" s="59"/>
      <c r="D302" s="59"/>
      <c r="I302" s="59"/>
      <c r="J302" s="59"/>
    </row>
    <row r="303" ht="12.75" customHeight="1">
      <c r="C303" s="59"/>
      <c r="D303" s="59"/>
      <c r="I303" s="59"/>
      <c r="J303" s="59"/>
    </row>
    <row r="304" ht="12.75" customHeight="1">
      <c r="C304" s="59"/>
      <c r="D304" s="59"/>
      <c r="I304" s="59"/>
      <c r="J304" s="59"/>
    </row>
    <row r="305" ht="12.75" customHeight="1">
      <c r="C305" s="59"/>
      <c r="D305" s="59"/>
      <c r="I305" s="59"/>
      <c r="J305" s="59"/>
    </row>
    <row r="306" ht="12.75" customHeight="1">
      <c r="C306" s="59"/>
      <c r="D306" s="59"/>
      <c r="I306" s="59"/>
      <c r="J306" s="59"/>
    </row>
    <row r="307" ht="12.75" customHeight="1">
      <c r="C307" s="59"/>
      <c r="D307" s="59"/>
      <c r="I307" s="59"/>
      <c r="J307" s="59"/>
    </row>
    <row r="308" ht="12.75" customHeight="1">
      <c r="C308" s="59"/>
      <c r="D308" s="59"/>
      <c r="I308" s="59"/>
      <c r="J308" s="59"/>
    </row>
    <row r="309" ht="12.75" customHeight="1">
      <c r="C309" s="59"/>
      <c r="D309" s="59"/>
      <c r="I309" s="59"/>
      <c r="J309" s="59"/>
    </row>
    <row r="310" ht="12.75" customHeight="1">
      <c r="C310" s="59"/>
      <c r="D310" s="59"/>
      <c r="I310" s="59"/>
      <c r="J310" s="59"/>
    </row>
    <row r="311" ht="12.75" customHeight="1">
      <c r="C311" s="59"/>
      <c r="D311" s="59"/>
      <c r="I311" s="59"/>
      <c r="J311" s="59"/>
    </row>
    <row r="312" ht="12.75" customHeight="1">
      <c r="C312" s="59"/>
      <c r="D312" s="59"/>
      <c r="I312" s="59"/>
      <c r="J312" s="59"/>
    </row>
    <row r="313" ht="12.75" customHeight="1">
      <c r="C313" s="59"/>
      <c r="D313" s="59"/>
      <c r="I313" s="59"/>
      <c r="J313" s="59"/>
    </row>
    <row r="314" ht="12.75" customHeight="1">
      <c r="C314" s="59"/>
      <c r="D314" s="59"/>
      <c r="I314" s="59"/>
      <c r="J314" s="59"/>
    </row>
    <row r="315" ht="12.75" customHeight="1">
      <c r="C315" s="59"/>
      <c r="D315" s="59"/>
      <c r="I315" s="59"/>
      <c r="J315" s="59"/>
    </row>
    <row r="316" ht="12.75" customHeight="1">
      <c r="C316" s="59"/>
      <c r="D316" s="59"/>
      <c r="I316" s="59"/>
      <c r="J316" s="59"/>
    </row>
    <row r="317" ht="12.75" customHeight="1">
      <c r="C317" s="59"/>
      <c r="D317" s="59"/>
      <c r="I317" s="59"/>
      <c r="J317" s="59"/>
    </row>
    <row r="318" ht="12.75" customHeight="1">
      <c r="C318" s="59"/>
      <c r="D318" s="59"/>
      <c r="I318" s="59"/>
      <c r="J318" s="59"/>
    </row>
    <row r="319" ht="12.75" customHeight="1">
      <c r="C319" s="59"/>
      <c r="D319" s="59"/>
      <c r="I319" s="59"/>
      <c r="J319" s="59"/>
    </row>
    <row r="320" ht="12.75" customHeight="1">
      <c r="C320" s="59"/>
      <c r="D320" s="59"/>
      <c r="I320" s="59"/>
      <c r="J320" s="59"/>
    </row>
    <row r="321" ht="12.75" customHeight="1">
      <c r="C321" s="59"/>
      <c r="D321" s="59"/>
      <c r="I321" s="59"/>
      <c r="J321" s="59"/>
    </row>
    <row r="322" ht="12.75" customHeight="1">
      <c r="C322" s="59"/>
      <c r="D322" s="59"/>
      <c r="I322" s="59"/>
      <c r="J322" s="59"/>
    </row>
    <row r="323" ht="12.75" customHeight="1">
      <c r="C323" s="59"/>
      <c r="D323" s="59"/>
      <c r="I323" s="59"/>
      <c r="J323" s="59"/>
    </row>
    <row r="324" ht="12.75" customHeight="1">
      <c r="C324" s="59"/>
      <c r="D324" s="59"/>
      <c r="I324" s="59"/>
      <c r="J324" s="59"/>
    </row>
    <row r="325" ht="12.75" customHeight="1">
      <c r="C325" s="59"/>
      <c r="D325" s="59"/>
      <c r="I325" s="59"/>
      <c r="J325" s="59"/>
    </row>
    <row r="326" ht="12.75" customHeight="1">
      <c r="C326" s="59"/>
      <c r="D326" s="59"/>
      <c r="I326" s="59"/>
      <c r="J326" s="59"/>
    </row>
    <row r="327" ht="12.75" customHeight="1">
      <c r="C327" s="59"/>
      <c r="D327" s="59"/>
      <c r="I327" s="59"/>
      <c r="J327" s="59"/>
    </row>
    <row r="328" ht="12.75" customHeight="1">
      <c r="C328" s="59"/>
      <c r="D328" s="59"/>
      <c r="I328" s="59"/>
      <c r="J328" s="59"/>
    </row>
    <row r="329" ht="12.75" customHeight="1">
      <c r="C329" s="59"/>
      <c r="D329" s="59"/>
      <c r="I329" s="59"/>
      <c r="J329" s="59"/>
    </row>
    <row r="330" ht="12.75" customHeight="1">
      <c r="C330" s="59"/>
      <c r="D330" s="59"/>
      <c r="I330" s="59"/>
      <c r="J330" s="59"/>
    </row>
    <row r="331" ht="12.75" customHeight="1">
      <c r="C331" s="59"/>
      <c r="D331" s="59"/>
      <c r="I331" s="59"/>
      <c r="J331" s="59"/>
    </row>
    <row r="332" ht="12.75" customHeight="1">
      <c r="C332" s="59"/>
      <c r="D332" s="59"/>
      <c r="I332" s="59"/>
      <c r="J332" s="59"/>
    </row>
    <row r="333" ht="12.75" customHeight="1">
      <c r="C333" s="59"/>
      <c r="D333" s="59"/>
      <c r="I333" s="59"/>
      <c r="J333" s="59"/>
    </row>
    <row r="334" ht="12.75" customHeight="1">
      <c r="C334" s="59"/>
      <c r="D334" s="59"/>
      <c r="I334" s="59"/>
      <c r="J334" s="59"/>
    </row>
    <row r="335" ht="12.75" customHeight="1">
      <c r="C335" s="59"/>
      <c r="D335" s="59"/>
      <c r="I335" s="59"/>
      <c r="J335" s="59"/>
    </row>
    <row r="336" ht="12.75" customHeight="1">
      <c r="C336" s="59"/>
      <c r="D336" s="59"/>
      <c r="I336" s="59"/>
      <c r="J336" s="59"/>
    </row>
    <row r="337" ht="12.75" customHeight="1">
      <c r="C337" s="59"/>
      <c r="D337" s="59"/>
      <c r="I337" s="59"/>
      <c r="J337" s="59"/>
    </row>
    <row r="338" ht="12.75" customHeight="1">
      <c r="C338" s="59"/>
      <c r="D338" s="59"/>
      <c r="I338" s="59"/>
      <c r="J338" s="59"/>
    </row>
    <row r="339" ht="12.75" customHeight="1">
      <c r="C339" s="59"/>
      <c r="D339" s="59"/>
      <c r="I339" s="59"/>
      <c r="J339" s="59"/>
    </row>
    <row r="340" ht="12.75" customHeight="1">
      <c r="C340" s="59"/>
      <c r="D340" s="59"/>
      <c r="I340" s="59"/>
      <c r="J340" s="59"/>
    </row>
    <row r="341" ht="12.75" customHeight="1">
      <c r="C341" s="59"/>
      <c r="D341" s="59"/>
      <c r="I341" s="59"/>
      <c r="J341" s="59"/>
    </row>
    <row r="342" ht="12.75" customHeight="1">
      <c r="C342" s="59"/>
      <c r="D342" s="59"/>
      <c r="I342" s="59"/>
      <c r="J342" s="59"/>
    </row>
    <row r="343" ht="12.75" customHeight="1">
      <c r="C343" s="59"/>
      <c r="D343" s="59"/>
      <c r="I343" s="59"/>
      <c r="J343" s="59"/>
    </row>
    <row r="344" ht="12.75" customHeight="1">
      <c r="C344" s="59"/>
      <c r="D344" s="59"/>
      <c r="I344" s="59"/>
      <c r="J344" s="59"/>
    </row>
    <row r="345" ht="12.75" customHeight="1">
      <c r="C345" s="59"/>
      <c r="D345" s="59"/>
      <c r="I345" s="59"/>
      <c r="J345" s="59"/>
    </row>
    <row r="346" ht="12.75" customHeight="1">
      <c r="C346" s="59"/>
      <c r="D346" s="59"/>
      <c r="I346" s="59"/>
      <c r="J346" s="59"/>
    </row>
    <row r="347" ht="12.75" customHeight="1">
      <c r="C347" s="59"/>
      <c r="D347" s="59"/>
      <c r="I347" s="59"/>
      <c r="J347" s="59"/>
    </row>
    <row r="348" ht="12.75" customHeight="1">
      <c r="C348" s="59"/>
      <c r="D348" s="59"/>
      <c r="I348" s="59"/>
      <c r="J348" s="59"/>
    </row>
    <row r="349" ht="12.75" customHeight="1">
      <c r="C349" s="59"/>
      <c r="D349" s="59"/>
      <c r="I349" s="59"/>
      <c r="J349" s="59"/>
    </row>
    <row r="350" ht="12.75" customHeight="1">
      <c r="C350" s="59"/>
      <c r="D350" s="59"/>
      <c r="I350" s="59"/>
      <c r="J350" s="59"/>
    </row>
    <row r="351" ht="12.75" customHeight="1">
      <c r="C351" s="59"/>
      <c r="D351" s="59"/>
      <c r="I351" s="59"/>
      <c r="J351" s="59"/>
    </row>
    <row r="352" ht="12.75" customHeight="1">
      <c r="C352" s="59"/>
      <c r="D352" s="59"/>
      <c r="I352" s="59"/>
      <c r="J352" s="59"/>
    </row>
    <row r="353" ht="12.75" customHeight="1">
      <c r="C353" s="59"/>
      <c r="D353" s="59"/>
      <c r="I353" s="59"/>
      <c r="J353" s="59"/>
    </row>
    <row r="354" ht="12.75" customHeight="1">
      <c r="C354" s="59"/>
      <c r="D354" s="59"/>
      <c r="I354" s="59"/>
      <c r="J354" s="59"/>
    </row>
    <row r="355" ht="12.75" customHeight="1">
      <c r="C355" s="59"/>
      <c r="D355" s="59"/>
      <c r="I355" s="59"/>
      <c r="J355" s="59"/>
    </row>
    <row r="356" ht="12.75" customHeight="1">
      <c r="C356" s="59"/>
      <c r="D356" s="59"/>
      <c r="I356" s="59"/>
      <c r="J356" s="59"/>
    </row>
    <row r="357" ht="12.75" customHeight="1">
      <c r="C357" s="59"/>
      <c r="D357" s="59"/>
      <c r="I357" s="59"/>
      <c r="J357" s="59"/>
    </row>
    <row r="358" ht="12.75" customHeight="1">
      <c r="C358" s="59"/>
      <c r="D358" s="59"/>
      <c r="I358" s="59"/>
      <c r="J358" s="59"/>
    </row>
    <row r="359" ht="12.75" customHeight="1">
      <c r="C359" s="59"/>
      <c r="D359" s="59"/>
      <c r="I359" s="59"/>
      <c r="J359" s="59"/>
    </row>
    <row r="360" ht="12.75" customHeight="1">
      <c r="C360" s="59"/>
      <c r="D360" s="59"/>
      <c r="I360" s="59"/>
      <c r="J360" s="59"/>
    </row>
    <row r="361" ht="12.75" customHeight="1">
      <c r="C361" s="59"/>
      <c r="D361" s="59"/>
      <c r="I361" s="59"/>
      <c r="J361" s="59"/>
    </row>
    <row r="362" ht="12.75" customHeight="1">
      <c r="C362" s="59"/>
      <c r="D362" s="59"/>
      <c r="I362" s="59"/>
      <c r="J362" s="59"/>
    </row>
    <row r="363" ht="12.75" customHeight="1">
      <c r="C363" s="59"/>
      <c r="D363" s="59"/>
      <c r="I363" s="59"/>
      <c r="J363" s="59"/>
    </row>
    <row r="364" ht="12.75" customHeight="1">
      <c r="C364" s="59"/>
      <c r="D364" s="59"/>
      <c r="I364" s="59"/>
      <c r="J364" s="59"/>
    </row>
    <row r="365" ht="12.75" customHeight="1">
      <c r="C365" s="59"/>
      <c r="D365" s="59"/>
      <c r="I365" s="59"/>
      <c r="J365" s="59"/>
    </row>
    <row r="366" ht="12.75" customHeight="1">
      <c r="C366" s="59"/>
      <c r="D366" s="59"/>
      <c r="I366" s="59"/>
      <c r="J366" s="59"/>
    </row>
    <row r="367" ht="12.75" customHeight="1">
      <c r="C367" s="59"/>
      <c r="D367" s="59"/>
      <c r="I367" s="59"/>
      <c r="J367" s="59"/>
    </row>
    <row r="368" ht="12.75" customHeight="1">
      <c r="C368" s="59"/>
      <c r="D368" s="59"/>
      <c r="I368" s="59"/>
      <c r="J368" s="59"/>
    </row>
    <row r="369" ht="12.75" customHeight="1">
      <c r="C369" s="59"/>
      <c r="D369" s="59"/>
      <c r="I369" s="59"/>
      <c r="J369" s="59"/>
    </row>
    <row r="370" ht="12.75" customHeight="1">
      <c r="C370" s="59"/>
      <c r="D370" s="59"/>
      <c r="I370" s="59"/>
      <c r="J370" s="59"/>
    </row>
    <row r="371" ht="12.75" customHeight="1">
      <c r="C371" s="59"/>
      <c r="D371" s="59"/>
      <c r="I371" s="59"/>
      <c r="J371" s="59"/>
    </row>
    <row r="372" ht="12.75" customHeight="1">
      <c r="C372" s="59"/>
      <c r="D372" s="59"/>
      <c r="I372" s="59"/>
      <c r="J372" s="59"/>
    </row>
    <row r="373" ht="12.75" customHeight="1">
      <c r="C373" s="59"/>
      <c r="D373" s="59"/>
      <c r="I373" s="59"/>
      <c r="J373" s="59"/>
    </row>
    <row r="374" ht="12.75" customHeight="1">
      <c r="C374" s="59"/>
      <c r="D374" s="59"/>
      <c r="I374" s="59"/>
      <c r="J374" s="59"/>
    </row>
    <row r="375" ht="12.75" customHeight="1">
      <c r="C375" s="59"/>
      <c r="D375" s="59"/>
      <c r="I375" s="59"/>
      <c r="J375" s="59"/>
    </row>
    <row r="376" ht="12.75" customHeight="1">
      <c r="C376" s="59"/>
      <c r="D376" s="59"/>
      <c r="I376" s="59"/>
      <c r="J376" s="59"/>
    </row>
    <row r="377" ht="12.75" customHeight="1">
      <c r="C377" s="59"/>
      <c r="D377" s="59"/>
      <c r="I377" s="59"/>
      <c r="J377" s="59"/>
    </row>
    <row r="378" ht="12.75" customHeight="1">
      <c r="C378" s="59"/>
      <c r="D378" s="59"/>
      <c r="I378" s="59"/>
      <c r="J378" s="59"/>
    </row>
    <row r="379" ht="12.75" customHeight="1">
      <c r="C379" s="59"/>
      <c r="D379" s="59"/>
      <c r="I379" s="59"/>
      <c r="J379" s="59"/>
    </row>
    <row r="380" ht="12.75" customHeight="1">
      <c r="C380" s="59"/>
      <c r="D380" s="59"/>
      <c r="I380" s="59"/>
      <c r="J380" s="59"/>
    </row>
    <row r="381" ht="12.75" customHeight="1">
      <c r="C381" s="59"/>
      <c r="D381" s="59"/>
      <c r="I381" s="59"/>
      <c r="J381" s="59"/>
    </row>
    <row r="382" ht="12.75" customHeight="1">
      <c r="C382" s="59"/>
      <c r="D382" s="59"/>
      <c r="I382" s="59"/>
      <c r="J382" s="59"/>
    </row>
    <row r="383" ht="12.75" customHeight="1">
      <c r="C383" s="59"/>
      <c r="D383" s="59"/>
      <c r="I383" s="59"/>
      <c r="J383" s="59"/>
    </row>
    <row r="384" ht="12.75" customHeight="1">
      <c r="C384" s="59"/>
      <c r="D384" s="59"/>
      <c r="I384" s="59"/>
      <c r="J384" s="59"/>
    </row>
    <row r="385" ht="12.75" customHeight="1">
      <c r="C385" s="59"/>
      <c r="D385" s="59"/>
      <c r="I385" s="59"/>
      <c r="J385" s="59"/>
    </row>
    <row r="386" ht="12.75" customHeight="1">
      <c r="C386" s="59"/>
      <c r="D386" s="59"/>
      <c r="I386" s="59"/>
      <c r="J386" s="59"/>
    </row>
    <row r="387" ht="12.75" customHeight="1">
      <c r="C387" s="59"/>
      <c r="D387" s="59"/>
      <c r="I387" s="59"/>
      <c r="J387" s="59"/>
    </row>
    <row r="388" ht="12.75" customHeight="1">
      <c r="C388" s="59"/>
      <c r="D388" s="59"/>
      <c r="I388" s="59"/>
      <c r="J388" s="59"/>
    </row>
    <row r="389" ht="12.75" customHeight="1">
      <c r="C389" s="59"/>
      <c r="D389" s="59"/>
      <c r="I389" s="59"/>
      <c r="J389" s="59"/>
    </row>
    <row r="390" ht="12.75" customHeight="1">
      <c r="C390" s="59"/>
      <c r="D390" s="59"/>
      <c r="I390" s="59"/>
      <c r="J390" s="59"/>
    </row>
    <row r="391" ht="12.75" customHeight="1">
      <c r="C391" s="59"/>
      <c r="D391" s="59"/>
      <c r="I391" s="59"/>
      <c r="J391" s="59"/>
    </row>
    <row r="392" ht="12.75" customHeight="1">
      <c r="C392" s="59"/>
      <c r="D392" s="59"/>
      <c r="I392" s="59"/>
      <c r="J392" s="59"/>
    </row>
    <row r="393" ht="12.75" customHeight="1">
      <c r="C393" s="59"/>
      <c r="D393" s="59"/>
      <c r="I393" s="59"/>
      <c r="J393" s="59"/>
    </row>
    <row r="394" ht="12.75" customHeight="1">
      <c r="C394" s="59"/>
      <c r="D394" s="59"/>
      <c r="I394" s="59"/>
      <c r="J394" s="59"/>
    </row>
    <row r="395" ht="12.75" customHeight="1">
      <c r="C395" s="59"/>
      <c r="D395" s="59"/>
      <c r="I395" s="59"/>
      <c r="J395" s="59"/>
    </row>
    <row r="396" ht="12.75" customHeight="1">
      <c r="C396" s="59"/>
      <c r="D396" s="59"/>
      <c r="I396" s="59"/>
      <c r="J396" s="59"/>
    </row>
    <row r="397" ht="12.75" customHeight="1">
      <c r="C397" s="59"/>
      <c r="D397" s="59"/>
      <c r="I397" s="59"/>
      <c r="J397" s="59"/>
    </row>
    <row r="398" ht="12.75" customHeight="1">
      <c r="C398" s="59"/>
      <c r="D398" s="59"/>
      <c r="I398" s="59"/>
      <c r="J398" s="59"/>
    </row>
    <row r="399" ht="12.75" customHeight="1">
      <c r="C399" s="59"/>
      <c r="D399" s="59"/>
      <c r="I399" s="59"/>
      <c r="J399" s="59"/>
    </row>
    <row r="400" ht="12.75" customHeight="1">
      <c r="C400" s="59"/>
      <c r="D400" s="59"/>
      <c r="I400" s="59"/>
      <c r="J400" s="59"/>
    </row>
    <row r="401" ht="12.75" customHeight="1">
      <c r="C401" s="59"/>
      <c r="D401" s="59"/>
      <c r="I401" s="59"/>
      <c r="J401" s="59"/>
    </row>
    <row r="402" ht="12.75" customHeight="1">
      <c r="C402" s="59"/>
      <c r="D402" s="59"/>
      <c r="I402" s="59"/>
      <c r="J402" s="59"/>
    </row>
    <row r="403" ht="12.75" customHeight="1">
      <c r="C403" s="59"/>
      <c r="D403" s="59"/>
      <c r="I403" s="59"/>
      <c r="J403" s="59"/>
    </row>
    <row r="404" ht="12.75" customHeight="1">
      <c r="C404" s="59"/>
      <c r="D404" s="59"/>
      <c r="I404" s="59"/>
      <c r="J404" s="59"/>
    </row>
    <row r="405" ht="12.75" customHeight="1">
      <c r="C405" s="59"/>
      <c r="D405" s="59"/>
      <c r="I405" s="59"/>
      <c r="J405" s="59"/>
    </row>
    <row r="406" ht="12.75" customHeight="1">
      <c r="C406" s="59"/>
      <c r="D406" s="59"/>
      <c r="I406" s="59"/>
      <c r="J406" s="59"/>
    </row>
    <row r="407" ht="12.75" customHeight="1">
      <c r="C407" s="59"/>
      <c r="D407" s="59"/>
      <c r="I407" s="59"/>
      <c r="J407" s="59"/>
    </row>
    <row r="408" ht="12.75" customHeight="1">
      <c r="C408" s="59"/>
      <c r="D408" s="59"/>
      <c r="I408" s="59"/>
      <c r="J408" s="59"/>
    </row>
    <row r="409" ht="12.75" customHeight="1">
      <c r="C409" s="59"/>
      <c r="D409" s="59"/>
      <c r="I409" s="59"/>
      <c r="J409" s="59"/>
    </row>
    <row r="410" ht="12.75" customHeight="1">
      <c r="C410" s="59"/>
      <c r="D410" s="59"/>
      <c r="I410" s="59"/>
      <c r="J410" s="59"/>
    </row>
    <row r="411" ht="12.75" customHeight="1">
      <c r="C411" s="59"/>
      <c r="D411" s="59"/>
      <c r="I411" s="59"/>
      <c r="J411" s="59"/>
    </row>
    <row r="412" ht="12.75" customHeight="1">
      <c r="C412" s="59"/>
      <c r="D412" s="59"/>
      <c r="I412" s="59"/>
      <c r="J412" s="59"/>
    </row>
    <row r="413" ht="12.75" customHeight="1">
      <c r="C413" s="59"/>
      <c r="D413" s="59"/>
      <c r="I413" s="59"/>
      <c r="J413" s="59"/>
    </row>
    <row r="414" ht="12.75" customHeight="1">
      <c r="C414" s="59"/>
      <c r="D414" s="59"/>
      <c r="I414" s="59"/>
      <c r="J414" s="59"/>
    </row>
    <row r="415" ht="12.75" customHeight="1">
      <c r="C415" s="59"/>
      <c r="D415" s="59"/>
      <c r="I415" s="59"/>
      <c r="J415" s="59"/>
    </row>
    <row r="416" ht="12.75" customHeight="1">
      <c r="C416" s="59"/>
      <c r="D416" s="59"/>
      <c r="I416" s="59"/>
      <c r="J416" s="59"/>
    </row>
    <row r="417" ht="12.75" customHeight="1">
      <c r="C417" s="59"/>
      <c r="D417" s="59"/>
      <c r="I417" s="59"/>
      <c r="J417" s="59"/>
    </row>
    <row r="418" ht="12.75" customHeight="1">
      <c r="C418" s="59"/>
      <c r="D418" s="59"/>
      <c r="I418" s="59"/>
      <c r="J418" s="59"/>
    </row>
    <row r="419" ht="12.75" customHeight="1">
      <c r="C419" s="59"/>
      <c r="D419" s="59"/>
      <c r="I419" s="59"/>
      <c r="J419" s="59"/>
    </row>
    <row r="420" ht="12.75" customHeight="1">
      <c r="C420" s="59"/>
      <c r="D420" s="59"/>
      <c r="I420" s="59"/>
      <c r="J420" s="59"/>
    </row>
    <row r="421" ht="12.75" customHeight="1">
      <c r="C421" s="59"/>
      <c r="D421" s="59"/>
      <c r="I421" s="59"/>
      <c r="J421" s="59"/>
    </row>
    <row r="422" ht="12.75" customHeight="1">
      <c r="C422" s="59"/>
      <c r="D422" s="59"/>
      <c r="I422" s="59"/>
      <c r="J422" s="59"/>
    </row>
    <row r="423" ht="12.75" customHeight="1">
      <c r="C423" s="59"/>
      <c r="D423" s="59"/>
      <c r="I423" s="59"/>
      <c r="J423" s="59"/>
    </row>
    <row r="424" ht="12.75" customHeight="1">
      <c r="C424" s="59"/>
      <c r="D424" s="59"/>
      <c r="I424" s="59"/>
      <c r="J424" s="59"/>
    </row>
    <row r="425" ht="12.75" customHeight="1">
      <c r="C425" s="59"/>
      <c r="D425" s="59"/>
      <c r="I425" s="59"/>
      <c r="J425" s="59"/>
    </row>
    <row r="426" ht="12.75" customHeight="1">
      <c r="C426" s="59"/>
      <c r="D426" s="59"/>
      <c r="I426" s="59"/>
      <c r="J426" s="59"/>
    </row>
    <row r="427" ht="12.75" customHeight="1">
      <c r="C427" s="59"/>
      <c r="D427" s="59"/>
      <c r="I427" s="59"/>
      <c r="J427" s="59"/>
    </row>
    <row r="428" ht="12.75" customHeight="1">
      <c r="C428" s="59"/>
      <c r="D428" s="59"/>
      <c r="I428" s="59"/>
      <c r="J428" s="59"/>
    </row>
    <row r="429" ht="12.75" customHeight="1">
      <c r="C429" s="59"/>
      <c r="D429" s="59"/>
      <c r="I429" s="59"/>
      <c r="J429" s="59"/>
    </row>
    <row r="430" ht="12.75" customHeight="1">
      <c r="C430" s="59"/>
      <c r="D430" s="59"/>
      <c r="I430" s="59"/>
      <c r="J430" s="59"/>
    </row>
    <row r="431" ht="12.75" customHeight="1">
      <c r="C431" s="59"/>
      <c r="D431" s="59"/>
      <c r="I431" s="59"/>
      <c r="J431" s="59"/>
    </row>
    <row r="432" ht="12.75" customHeight="1">
      <c r="C432" s="59"/>
      <c r="D432" s="59"/>
      <c r="I432" s="59"/>
      <c r="J432" s="59"/>
    </row>
    <row r="433" ht="12.75" customHeight="1">
      <c r="C433" s="59"/>
      <c r="D433" s="59"/>
      <c r="I433" s="59"/>
      <c r="J433" s="59"/>
    </row>
    <row r="434" ht="12.75" customHeight="1">
      <c r="C434" s="59"/>
      <c r="D434" s="59"/>
      <c r="I434" s="59"/>
      <c r="J434" s="59"/>
    </row>
    <row r="435" ht="12.75" customHeight="1">
      <c r="C435" s="59"/>
      <c r="D435" s="59"/>
      <c r="I435" s="59"/>
      <c r="J435" s="59"/>
    </row>
    <row r="436" ht="12.75" customHeight="1">
      <c r="C436" s="59"/>
      <c r="D436" s="59"/>
      <c r="I436" s="59"/>
      <c r="J436" s="59"/>
    </row>
    <row r="437" ht="12.75" customHeight="1">
      <c r="C437" s="59"/>
      <c r="D437" s="59"/>
      <c r="I437" s="59"/>
      <c r="J437" s="59"/>
    </row>
    <row r="438" ht="12.75" customHeight="1">
      <c r="C438" s="59"/>
      <c r="D438" s="59"/>
      <c r="I438" s="59"/>
      <c r="J438" s="59"/>
    </row>
    <row r="439" ht="12.75" customHeight="1">
      <c r="C439" s="59"/>
      <c r="D439" s="59"/>
      <c r="I439" s="59"/>
      <c r="J439" s="59"/>
    </row>
    <row r="440" ht="12.75" customHeight="1">
      <c r="C440" s="59"/>
      <c r="D440" s="59"/>
      <c r="I440" s="59"/>
      <c r="J440" s="59"/>
    </row>
    <row r="441" ht="12.75" customHeight="1">
      <c r="C441" s="59"/>
      <c r="D441" s="59"/>
      <c r="I441" s="59"/>
      <c r="J441" s="59"/>
    </row>
    <row r="442" ht="12.75" customHeight="1">
      <c r="C442" s="59"/>
      <c r="D442" s="59"/>
      <c r="I442" s="59"/>
      <c r="J442" s="59"/>
    </row>
    <row r="443" ht="12.75" customHeight="1">
      <c r="C443" s="59"/>
      <c r="D443" s="59"/>
      <c r="I443" s="59"/>
      <c r="J443" s="59"/>
    </row>
    <row r="444" ht="12.75" customHeight="1">
      <c r="C444" s="59"/>
      <c r="D444" s="59"/>
      <c r="I444" s="59"/>
      <c r="J444" s="59"/>
    </row>
    <row r="445" ht="12.75" customHeight="1">
      <c r="C445" s="59"/>
      <c r="D445" s="59"/>
      <c r="I445" s="59"/>
      <c r="J445" s="59"/>
    </row>
    <row r="446" ht="12.75" customHeight="1">
      <c r="C446" s="59"/>
      <c r="D446" s="59"/>
      <c r="I446" s="59"/>
      <c r="J446" s="59"/>
    </row>
    <row r="447" ht="12.75" customHeight="1">
      <c r="C447" s="59"/>
      <c r="D447" s="59"/>
      <c r="I447" s="59"/>
      <c r="J447" s="59"/>
    </row>
    <row r="448" ht="12.75" customHeight="1">
      <c r="C448" s="59"/>
      <c r="D448" s="59"/>
      <c r="I448" s="59"/>
      <c r="J448" s="59"/>
    </row>
    <row r="449" ht="12.75" customHeight="1">
      <c r="C449" s="59"/>
      <c r="D449" s="59"/>
      <c r="I449" s="59"/>
      <c r="J449" s="59"/>
    </row>
    <row r="450" ht="12.75" customHeight="1">
      <c r="C450" s="59"/>
      <c r="D450" s="59"/>
      <c r="I450" s="59"/>
      <c r="J450" s="59"/>
    </row>
    <row r="451" ht="12.75" customHeight="1">
      <c r="C451" s="59"/>
      <c r="D451" s="59"/>
      <c r="I451" s="59"/>
      <c r="J451" s="59"/>
    </row>
    <row r="452" ht="12.75" customHeight="1">
      <c r="C452" s="59"/>
      <c r="D452" s="59"/>
      <c r="I452" s="59"/>
      <c r="J452" s="59"/>
    </row>
    <row r="453" ht="12.75" customHeight="1">
      <c r="C453" s="59"/>
      <c r="D453" s="59"/>
      <c r="I453" s="59"/>
      <c r="J453" s="59"/>
    </row>
    <row r="454" ht="12.75" customHeight="1">
      <c r="C454" s="59"/>
      <c r="D454" s="59"/>
      <c r="I454" s="59"/>
      <c r="J454" s="59"/>
    </row>
    <row r="455" ht="12.75" customHeight="1">
      <c r="C455" s="59"/>
      <c r="D455" s="59"/>
      <c r="I455" s="59"/>
      <c r="J455" s="59"/>
    </row>
    <row r="456" ht="12.75" customHeight="1">
      <c r="C456" s="59"/>
      <c r="D456" s="59"/>
      <c r="I456" s="59"/>
      <c r="J456" s="59"/>
    </row>
    <row r="457" ht="12.75" customHeight="1">
      <c r="C457" s="59"/>
      <c r="D457" s="59"/>
      <c r="I457" s="59"/>
      <c r="J457" s="59"/>
    </row>
    <row r="458" ht="12.75" customHeight="1">
      <c r="C458" s="59"/>
      <c r="D458" s="59"/>
      <c r="I458" s="59"/>
      <c r="J458" s="59"/>
    </row>
    <row r="459" ht="12.75" customHeight="1">
      <c r="C459" s="59"/>
      <c r="D459" s="59"/>
      <c r="I459" s="59"/>
      <c r="J459" s="59"/>
    </row>
    <row r="460" ht="12.75" customHeight="1">
      <c r="C460" s="59"/>
      <c r="D460" s="59"/>
      <c r="I460" s="59"/>
      <c r="J460" s="59"/>
    </row>
    <row r="461" ht="12.75" customHeight="1">
      <c r="C461" s="59"/>
      <c r="D461" s="59"/>
      <c r="I461" s="59"/>
      <c r="J461" s="59"/>
    </row>
    <row r="462" ht="12.75" customHeight="1">
      <c r="C462" s="59"/>
      <c r="D462" s="59"/>
      <c r="I462" s="59"/>
      <c r="J462" s="59"/>
    </row>
    <row r="463" ht="12.75" customHeight="1">
      <c r="C463" s="59"/>
      <c r="D463" s="59"/>
      <c r="I463" s="59"/>
      <c r="J463" s="59"/>
    </row>
    <row r="464" ht="12.75" customHeight="1">
      <c r="C464" s="59"/>
      <c r="D464" s="59"/>
      <c r="I464" s="59"/>
      <c r="J464" s="59"/>
    </row>
    <row r="465" ht="12.75" customHeight="1">
      <c r="C465" s="59"/>
      <c r="D465" s="59"/>
      <c r="I465" s="59"/>
      <c r="J465" s="59"/>
    </row>
    <row r="466" ht="12.75" customHeight="1">
      <c r="C466" s="59"/>
      <c r="D466" s="59"/>
      <c r="I466" s="59"/>
      <c r="J466" s="59"/>
    </row>
    <row r="467" ht="12.75" customHeight="1">
      <c r="C467" s="59"/>
      <c r="D467" s="59"/>
      <c r="I467" s="59"/>
      <c r="J467" s="59"/>
    </row>
    <row r="468" ht="12.75" customHeight="1">
      <c r="C468" s="59"/>
      <c r="D468" s="59"/>
      <c r="I468" s="59"/>
      <c r="J468" s="59"/>
    </row>
    <row r="469" ht="12.75" customHeight="1">
      <c r="C469" s="59"/>
      <c r="D469" s="59"/>
      <c r="I469" s="59"/>
      <c r="J469" s="59"/>
    </row>
    <row r="470" ht="12.75" customHeight="1">
      <c r="C470" s="59"/>
      <c r="D470" s="59"/>
      <c r="I470" s="59"/>
      <c r="J470" s="59"/>
    </row>
    <row r="471" ht="12.75" customHeight="1">
      <c r="C471" s="59"/>
      <c r="D471" s="59"/>
      <c r="I471" s="59"/>
      <c r="J471" s="59"/>
    </row>
    <row r="472" ht="12.75" customHeight="1">
      <c r="C472" s="59"/>
      <c r="D472" s="59"/>
      <c r="I472" s="59"/>
      <c r="J472" s="59"/>
    </row>
    <row r="473" ht="12.75" customHeight="1">
      <c r="C473" s="59"/>
      <c r="D473" s="59"/>
      <c r="I473" s="59"/>
      <c r="J473" s="59"/>
    </row>
    <row r="474" ht="12.75" customHeight="1">
      <c r="C474" s="59"/>
      <c r="D474" s="59"/>
      <c r="I474" s="59"/>
      <c r="J474" s="59"/>
    </row>
    <row r="475" ht="12.75" customHeight="1">
      <c r="C475" s="59"/>
      <c r="D475" s="59"/>
      <c r="I475" s="59"/>
      <c r="J475" s="59"/>
    </row>
    <row r="476" ht="12.75" customHeight="1">
      <c r="C476" s="59"/>
      <c r="D476" s="59"/>
      <c r="I476" s="59"/>
      <c r="J476" s="59"/>
    </row>
    <row r="477" ht="12.75" customHeight="1">
      <c r="C477" s="59"/>
      <c r="D477" s="59"/>
      <c r="I477" s="59"/>
      <c r="J477" s="59"/>
    </row>
    <row r="478" ht="12.75" customHeight="1">
      <c r="C478" s="59"/>
      <c r="D478" s="59"/>
      <c r="I478" s="59"/>
      <c r="J478" s="59"/>
    </row>
    <row r="479" ht="12.75" customHeight="1">
      <c r="C479" s="59"/>
      <c r="D479" s="59"/>
      <c r="I479" s="59"/>
      <c r="J479" s="59"/>
    </row>
    <row r="480" ht="12.75" customHeight="1">
      <c r="C480" s="59"/>
      <c r="D480" s="59"/>
      <c r="I480" s="59"/>
      <c r="J480" s="59"/>
    </row>
    <row r="481" ht="12.75" customHeight="1">
      <c r="C481" s="59"/>
      <c r="D481" s="59"/>
      <c r="I481" s="59"/>
      <c r="J481" s="59"/>
    </row>
    <row r="482" ht="12.75" customHeight="1">
      <c r="C482" s="59"/>
      <c r="D482" s="59"/>
      <c r="I482" s="59"/>
      <c r="J482" s="59"/>
    </row>
    <row r="483" ht="12.75" customHeight="1">
      <c r="C483" s="59"/>
      <c r="D483" s="59"/>
      <c r="I483" s="59"/>
      <c r="J483" s="59"/>
    </row>
    <row r="484" ht="12.75" customHeight="1">
      <c r="C484" s="59"/>
      <c r="D484" s="59"/>
      <c r="I484" s="59"/>
      <c r="J484" s="59"/>
    </row>
    <row r="485" ht="12.75" customHeight="1">
      <c r="C485" s="59"/>
      <c r="D485" s="59"/>
      <c r="I485" s="59"/>
      <c r="J485" s="59"/>
    </row>
    <row r="486" ht="12.75" customHeight="1">
      <c r="C486" s="59"/>
      <c r="D486" s="59"/>
      <c r="I486" s="59"/>
      <c r="J486" s="59"/>
    </row>
    <row r="487" ht="12.75" customHeight="1">
      <c r="C487" s="59"/>
      <c r="D487" s="59"/>
      <c r="I487" s="59"/>
      <c r="J487" s="59"/>
    </row>
    <row r="488" ht="12.75" customHeight="1">
      <c r="C488" s="59"/>
      <c r="D488" s="59"/>
      <c r="I488" s="59"/>
      <c r="J488" s="59"/>
    </row>
    <row r="489" ht="12.75" customHeight="1">
      <c r="C489" s="59"/>
      <c r="D489" s="59"/>
      <c r="I489" s="59"/>
      <c r="J489" s="59"/>
    </row>
    <row r="490" ht="12.75" customHeight="1">
      <c r="C490" s="59"/>
      <c r="D490" s="59"/>
      <c r="I490" s="59"/>
      <c r="J490" s="59"/>
    </row>
    <row r="491" ht="12.75" customHeight="1">
      <c r="C491" s="59"/>
      <c r="D491" s="59"/>
      <c r="I491" s="59"/>
      <c r="J491" s="59"/>
    </row>
    <row r="492" ht="12.75" customHeight="1">
      <c r="C492" s="59"/>
      <c r="D492" s="59"/>
      <c r="I492" s="59"/>
      <c r="J492" s="59"/>
    </row>
    <row r="493" ht="12.75" customHeight="1">
      <c r="C493" s="59"/>
      <c r="D493" s="59"/>
      <c r="I493" s="59"/>
      <c r="J493" s="59"/>
    </row>
    <row r="494" ht="12.75" customHeight="1">
      <c r="C494" s="59"/>
      <c r="D494" s="59"/>
      <c r="I494" s="59"/>
      <c r="J494" s="59"/>
    </row>
    <row r="495" ht="12.75" customHeight="1">
      <c r="C495" s="59"/>
      <c r="D495" s="59"/>
      <c r="I495" s="59"/>
      <c r="J495" s="59"/>
    </row>
    <row r="496" ht="12.75" customHeight="1">
      <c r="C496" s="59"/>
      <c r="D496" s="59"/>
      <c r="I496" s="59"/>
      <c r="J496" s="59"/>
    </row>
    <row r="497" ht="12.75" customHeight="1">
      <c r="C497" s="59"/>
      <c r="D497" s="59"/>
      <c r="I497" s="59"/>
      <c r="J497" s="59"/>
    </row>
    <row r="498" ht="12.75" customHeight="1">
      <c r="C498" s="59"/>
      <c r="D498" s="59"/>
      <c r="I498" s="59"/>
      <c r="J498" s="59"/>
    </row>
    <row r="499" ht="12.75" customHeight="1">
      <c r="C499" s="59"/>
      <c r="D499" s="59"/>
      <c r="I499" s="59"/>
      <c r="J499" s="59"/>
    </row>
    <row r="500" ht="12.75" customHeight="1">
      <c r="C500" s="59"/>
      <c r="D500" s="59"/>
      <c r="I500" s="59"/>
      <c r="J500" s="59"/>
    </row>
    <row r="501" ht="12.75" customHeight="1">
      <c r="C501" s="59"/>
      <c r="D501" s="59"/>
      <c r="I501" s="59"/>
      <c r="J501" s="59"/>
    </row>
    <row r="502" ht="12.75" customHeight="1">
      <c r="C502" s="59"/>
      <c r="D502" s="59"/>
      <c r="I502" s="59"/>
      <c r="J502" s="59"/>
    </row>
    <row r="503" ht="12.75" customHeight="1">
      <c r="C503" s="59"/>
      <c r="D503" s="59"/>
      <c r="I503" s="59"/>
      <c r="J503" s="59"/>
    </row>
    <row r="504" ht="12.75" customHeight="1">
      <c r="C504" s="59"/>
      <c r="D504" s="59"/>
      <c r="I504" s="59"/>
      <c r="J504" s="59"/>
    </row>
    <row r="505" ht="12.75" customHeight="1">
      <c r="C505" s="59"/>
      <c r="D505" s="59"/>
      <c r="I505" s="59"/>
      <c r="J505" s="59"/>
    </row>
    <row r="506" ht="12.75" customHeight="1">
      <c r="C506" s="59"/>
      <c r="D506" s="59"/>
      <c r="I506" s="59"/>
      <c r="J506" s="59"/>
    </row>
    <row r="507" ht="12.75" customHeight="1">
      <c r="C507" s="59"/>
      <c r="D507" s="59"/>
      <c r="I507" s="59"/>
      <c r="J507" s="59"/>
    </row>
    <row r="508" ht="12.75" customHeight="1">
      <c r="C508" s="59"/>
      <c r="D508" s="59"/>
      <c r="I508" s="59"/>
      <c r="J508" s="59"/>
    </row>
    <row r="509" ht="12.75" customHeight="1">
      <c r="C509" s="59"/>
      <c r="D509" s="59"/>
      <c r="I509" s="59"/>
      <c r="J509" s="59"/>
    </row>
    <row r="510" ht="12.75" customHeight="1">
      <c r="C510" s="59"/>
      <c r="D510" s="59"/>
      <c r="I510" s="59"/>
      <c r="J510" s="59"/>
    </row>
    <row r="511" ht="12.75" customHeight="1">
      <c r="C511" s="59"/>
      <c r="D511" s="59"/>
      <c r="I511" s="59"/>
      <c r="J511" s="59"/>
    </row>
    <row r="512" ht="12.75" customHeight="1">
      <c r="C512" s="59"/>
      <c r="D512" s="59"/>
      <c r="I512" s="59"/>
      <c r="J512" s="59"/>
    </row>
    <row r="513" ht="12.75" customHeight="1">
      <c r="C513" s="59"/>
      <c r="D513" s="59"/>
      <c r="I513" s="59"/>
      <c r="J513" s="59"/>
    </row>
    <row r="514" ht="12.75" customHeight="1">
      <c r="C514" s="59"/>
      <c r="D514" s="59"/>
      <c r="I514" s="59"/>
      <c r="J514" s="59"/>
    </row>
    <row r="515" ht="12.75" customHeight="1">
      <c r="C515" s="59"/>
      <c r="D515" s="59"/>
      <c r="I515" s="59"/>
      <c r="J515" s="59"/>
    </row>
    <row r="516" ht="12.75" customHeight="1">
      <c r="C516" s="59"/>
      <c r="D516" s="59"/>
      <c r="I516" s="59"/>
      <c r="J516" s="59"/>
    </row>
    <row r="517" ht="12.75" customHeight="1">
      <c r="C517" s="59"/>
      <c r="D517" s="59"/>
      <c r="I517" s="59"/>
      <c r="J517" s="59"/>
    </row>
    <row r="518" ht="12.75" customHeight="1">
      <c r="C518" s="59"/>
      <c r="D518" s="59"/>
      <c r="I518" s="59"/>
      <c r="J518" s="59"/>
    </row>
    <row r="519" ht="12.75" customHeight="1">
      <c r="C519" s="59"/>
      <c r="D519" s="59"/>
      <c r="I519" s="59"/>
      <c r="J519" s="59"/>
    </row>
    <row r="520" ht="12.75" customHeight="1">
      <c r="C520" s="59"/>
      <c r="D520" s="59"/>
      <c r="I520" s="59"/>
      <c r="J520" s="59"/>
    </row>
    <row r="521" ht="12.75" customHeight="1">
      <c r="C521" s="59"/>
      <c r="D521" s="59"/>
      <c r="I521" s="59"/>
      <c r="J521" s="59"/>
    </row>
    <row r="522" ht="12.75" customHeight="1">
      <c r="C522" s="59"/>
      <c r="D522" s="59"/>
      <c r="I522" s="59"/>
      <c r="J522" s="59"/>
    </row>
    <row r="523" ht="12.75" customHeight="1">
      <c r="C523" s="59"/>
      <c r="D523" s="59"/>
      <c r="I523" s="59"/>
      <c r="J523" s="59"/>
    </row>
    <row r="524" ht="12.75" customHeight="1">
      <c r="C524" s="59"/>
      <c r="D524" s="59"/>
      <c r="I524" s="59"/>
      <c r="J524" s="59"/>
    </row>
    <row r="525" ht="12.75" customHeight="1">
      <c r="C525" s="59"/>
      <c r="D525" s="59"/>
      <c r="I525" s="59"/>
      <c r="J525" s="59"/>
    </row>
    <row r="526" ht="12.75" customHeight="1">
      <c r="C526" s="59"/>
      <c r="D526" s="59"/>
      <c r="I526" s="59"/>
      <c r="J526" s="59"/>
    </row>
    <row r="527" ht="12.75" customHeight="1">
      <c r="C527" s="59"/>
      <c r="D527" s="59"/>
      <c r="I527" s="59"/>
      <c r="J527" s="59"/>
    </row>
    <row r="528" ht="12.75" customHeight="1">
      <c r="C528" s="59"/>
      <c r="D528" s="59"/>
      <c r="I528" s="59"/>
      <c r="J528" s="59"/>
    </row>
    <row r="529" ht="12.75" customHeight="1">
      <c r="C529" s="59"/>
      <c r="D529" s="59"/>
      <c r="I529" s="59"/>
      <c r="J529" s="59"/>
    </row>
    <row r="530" ht="12.75" customHeight="1">
      <c r="C530" s="59"/>
      <c r="D530" s="59"/>
      <c r="I530" s="59"/>
      <c r="J530" s="59"/>
    </row>
    <row r="531" ht="12.75" customHeight="1">
      <c r="C531" s="59"/>
      <c r="D531" s="59"/>
      <c r="I531" s="59"/>
      <c r="J531" s="59"/>
    </row>
    <row r="532" ht="12.75" customHeight="1">
      <c r="C532" s="59"/>
      <c r="D532" s="59"/>
      <c r="I532" s="59"/>
      <c r="J532" s="59"/>
    </row>
    <row r="533" ht="12.75" customHeight="1">
      <c r="C533" s="59"/>
      <c r="D533" s="59"/>
      <c r="I533" s="59"/>
      <c r="J533" s="59"/>
    </row>
    <row r="534" ht="12.75" customHeight="1">
      <c r="C534" s="59"/>
      <c r="D534" s="59"/>
      <c r="I534" s="59"/>
      <c r="J534" s="59"/>
    </row>
    <row r="535" ht="12.75" customHeight="1">
      <c r="C535" s="59"/>
      <c r="D535" s="59"/>
      <c r="I535" s="59"/>
      <c r="J535" s="59"/>
    </row>
    <row r="536" ht="12.75" customHeight="1">
      <c r="C536" s="59"/>
      <c r="D536" s="59"/>
      <c r="I536" s="59"/>
      <c r="J536" s="59"/>
    </row>
    <row r="537" ht="12.75" customHeight="1">
      <c r="C537" s="59"/>
      <c r="D537" s="59"/>
      <c r="I537" s="59"/>
      <c r="J537" s="59"/>
    </row>
    <row r="538" ht="12.75" customHeight="1">
      <c r="C538" s="59"/>
      <c r="D538" s="59"/>
      <c r="I538" s="59"/>
      <c r="J538" s="59"/>
    </row>
    <row r="539" ht="12.75" customHeight="1">
      <c r="C539" s="59"/>
      <c r="D539" s="59"/>
      <c r="I539" s="59"/>
      <c r="J539" s="59"/>
    </row>
    <row r="540" ht="12.75" customHeight="1">
      <c r="C540" s="59"/>
      <c r="D540" s="59"/>
      <c r="I540" s="59"/>
      <c r="J540" s="59"/>
    </row>
    <row r="541" ht="12.75" customHeight="1">
      <c r="C541" s="59"/>
      <c r="D541" s="59"/>
      <c r="I541" s="59"/>
      <c r="J541" s="59"/>
    </row>
    <row r="542" ht="12.75" customHeight="1">
      <c r="C542" s="59"/>
      <c r="D542" s="59"/>
      <c r="I542" s="59"/>
      <c r="J542" s="59"/>
    </row>
    <row r="543" ht="12.75" customHeight="1">
      <c r="C543" s="59"/>
      <c r="D543" s="59"/>
      <c r="I543" s="59"/>
      <c r="J543" s="59"/>
    </row>
    <row r="544" ht="12.75" customHeight="1">
      <c r="C544" s="59"/>
      <c r="D544" s="59"/>
      <c r="I544" s="59"/>
      <c r="J544" s="59"/>
    </row>
    <row r="545" ht="12.75" customHeight="1">
      <c r="C545" s="59"/>
      <c r="D545" s="59"/>
      <c r="I545" s="59"/>
      <c r="J545" s="59"/>
    </row>
    <row r="546" ht="12.75" customHeight="1">
      <c r="C546" s="59"/>
      <c r="D546" s="59"/>
      <c r="I546" s="59"/>
      <c r="J546" s="59"/>
    </row>
    <row r="547" ht="12.75" customHeight="1">
      <c r="C547" s="59"/>
      <c r="D547" s="59"/>
      <c r="I547" s="59"/>
      <c r="J547" s="59"/>
    </row>
    <row r="548" ht="12.75" customHeight="1">
      <c r="C548" s="59"/>
      <c r="D548" s="59"/>
      <c r="I548" s="59"/>
      <c r="J548" s="59"/>
    </row>
    <row r="549" ht="12.75" customHeight="1">
      <c r="C549" s="59"/>
      <c r="D549" s="59"/>
      <c r="I549" s="59"/>
      <c r="J549" s="59"/>
    </row>
    <row r="550" ht="12.75" customHeight="1">
      <c r="C550" s="59"/>
      <c r="D550" s="59"/>
      <c r="I550" s="59"/>
      <c r="J550" s="59"/>
    </row>
    <row r="551" ht="12.75" customHeight="1">
      <c r="C551" s="59"/>
      <c r="D551" s="59"/>
      <c r="I551" s="59"/>
      <c r="J551" s="59"/>
    </row>
    <row r="552" ht="12.75" customHeight="1">
      <c r="C552" s="59"/>
      <c r="D552" s="59"/>
      <c r="I552" s="59"/>
      <c r="J552" s="59"/>
    </row>
    <row r="553" ht="12.75" customHeight="1">
      <c r="C553" s="59"/>
      <c r="D553" s="59"/>
      <c r="I553" s="59"/>
      <c r="J553" s="59"/>
    </row>
    <row r="554" ht="12.75" customHeight="1">
      <c r="C554" s="59"/>
      <c r="D554" s="59"/>
      <c r="I554" s="59"/>
      <c r="J554" s="59"/>
    </row>
    <row r="555" ht="12.75" customHeight="1">
      <c r="C555" s="59"/>
      <c r="D555" s="59"/>
      <c r="I555" s="59"/>
      <c r="J555" s="59"/>
    </row>
    <row r="556" ht="12.75" customHeight="1">
      <c r="C556" s="59"/>
      <c r="D556" s="59"/>
      <c r="I556" s="59"/>
      <c r="J556" s="59"/>
    </row>
    <row r="557" ht="12.75" customHeight="1">
      <c r="C557" s="59"/>
      <c r="D557" s="59"/>
      <c r="I557" s="59"/>
      <c r="J557" s="59"/>
    </row>
    <row r="558" ht="12.75" customHeight="1">
      <c r="C558" s="59"/>
      <c r="D558" s="59"/>
      <c r="I558" s="59"/>
      <c r="J558" s="59"/>
    </row>
    <row r="559" ht="12.75" customHeight="1">
      <c r="C559" s="59"/>
      <c r="D559" s="59"/>
      <c r="I559" s="59"/>
      <c r="J559" s="59"/>
    </row>
    <row r="560" ht="12.75" customHeight="1">
      <c r="C560" s="59"/>
      <c r="D560" s="59"/>
      <c r="I560" s="59"/>
      <c r="J560" s="59"/>
    </row>
    <row r="561" ht="12.75" customHeight="1">
      <c r="C561" s="59"/>
      <c r="D561" s="59"/>
      <c r="I561" s="59"/>
      <c r="J561" s="59"/>
    </row>
    <row r="562" ht="12.75" customHeight="1">
      <c r="C562" s="59"/>
      <c r="D562" s="59"/>
      <c r="I562" s="59"/>
      <c r="J562" s="59"/>
    </row>
    <row r="563" ht="12.75" customHeight="1">
      <c r="C563" s="59"/>
      <c r="D563" s="59"/>
      <c r="I563" s="59"/>
      <c r="J563" s="59"/>
    </row>
    <row r="564" ht="12.75" customHeight="1">
      <c r="C564" s="59"/>
      <c r="D564" s="59"/>
      <c r="I564" s="59"/>
      <c r="J564" s="59"/>
    </row>
    <row r="565" ht="12.75" customHeight="1">
      <c r="C565" s="59"/>
      <c r="D565" s="59"/>
      <c r="I565" s="59"/>
      <c r="J565" s="59"/>
    </row>
    <row r="566" ht="12.75" customHeight="1">
      <c r="C566" s="59"/>
      <c r="D566" s="59"/>
      <c r="I566" s="59"/>
      <c r="J566" s="59"/>
    </row>
    <row r="567" ht="12.75" customHeight="1">
      <c r="C567" s="59"/>
      <c r="D567" s="59"/>
      <c r="I567" s="59"/>
      <c r="J567" s="59"/>
    </row>
    <row r="568" ht="12.75" customHeight="1">
      <c r="C568" s="59"/>
      <c r="D568" s="59"/>
      <c r="I568" s="59"/>
      <c r="J568" s="59"/>
    </row>
    <row r="569" ht="12.75" customHeight="1">
      <c r="C569" s="59"/>
      <c r="D569" s="59"/>
      <c r="I569" s="59"/>
      <c r="J569" s="59"/>
    </row>
    <row r="570" ht="12.75" customHeight="1">
      <c r="C570" s="59"/>
      <c r="D570" s="59"/>
      <c r="I570" s="59"/>
      <c r="J570" s="59"/>
    </row>
    <row r="571" ht="12.75" customHeight="1">
      <c r="C571" s="59"/>
      <c r="D571" s="59"/>
      <c r="I571" s="59"/>
      <c r="J571" s="59"/>
    </row>
    <row r="572" ht="12.75" customHeight="1">
      <c r="C572" s="59"/>
      <c r="D572" s="59"/>
      <c r="I572" s="59"/>
      <c r="J572" s="59"/>
    </row>
    <row r="573" ht="12.75" customHeight="1">
      <c r="C573" s="59"/>
      <c r="D573" s="59"/>
      <c r="I573" s="59"/>
      <c r="J573" s="59"/>
    </row>
    <row r="574" ht="12.75" customHeight="1">
      <c r="C574" s="59"/>
      <c r="D574" s="59"/>
      <c r="I574" s="59"/>
      <c r="J574" s="59"/>
    </row>
    <row r="575" ht="12.75" customHeight="1">
      <c r="C575" s="59"/>
      <c r="D575" s="59"/>
      <c r="I575" s="59"/>
      <c r="J575" s="59"/>
    </row>
    <row r="576" ht="12.75" customHeight="1">
      <c r="C576" s="59"/>
      <c r="D576" s="59"/>
      <c r="I576" s="59"/>
      <c r="J576" s="59"/>
    </row>
    <row r="577" ht="12.75" customHeight="1">
      <c r="C577" s="59"/>
      <c r="D577" s="59"/>
      <c r="I577" s="59"/>
      <c r="J577" s="59"/>
    </row>
    <row r="578" ht="12.75" customHeight="1">
      <c r="C578" s="59"/>
      <c r="D578" s="59"/>
      <c r="I578" s="59"/>
      <c r="J578" s="59"/>
    </row>
    <row r="579" ht="12.75" customHeight="1">
      <c r="C579" s="59"/>
      <c r="D579" s="59"/>
      <c r="I579" s="59"/>
      <c r="J579" s="59"/>
    </row>
    <row r="580" ht="12.75" customHeight="1">
      <c r="C580" s="59"/>
      <c r="D580" s="59"/>
      <c r="I580" s="59"/>
      <c r="J580" s="59"/>
    </row>
    <row r="581" ht="12.75" customHeight="1">
      <c r="C581" s="59"/>
      <c r="D581" s="59"/>
      <c r="I581" s="59"/>
      <c r="J581" s="59"/>
    </row>
    <row r="582" ht="12.75" customHeight="1">
      <c r="C582" s="59"/>
      <c r="D582" s="59"/>
      <c r="I582" s="59"/>
      <c r="J582" s="59"/>
    </row>
    <row r="583" ht="12.75" customHeight="1">
      <c r="C583" s="59"/>
      <c r="D583" s="59"/>
      <c r="I583" s="59"/>
      <c r="J583" s="59"/>
    </row>
    <row r="584" ht="12.75" customHeight="1">
      <c r="C584" s="59"/>
      <c r="D584" s="59"/>
      <c r="I584" s="59"/>
      <c r="J584" s="59"/>
    </row>
    <row r="585" ht="12.75" customHeight="1">
      <c r="C585" s="59"/>
      <c r="D585" s="59"/>
      <c r="I585" s="59"/>
      <c r="J585" s="59"/>
    </row>
    <row r="586" ht="12.75" customHeight="1">
      <c r="C586" s="59"/>
      <c r="D586" s="59"/>
      <c r="I586" s="59"/>
      <c r="J586" s="59"/>
    </row>
    <row r="587" ht="12.75" customHeight="1">
      <c r="C587" s="59"/>
      <c r="D587" s="59"/>
      <c r="I587" s="59"/>
      <c r="J587" s="59"/>
    </row>
    <row r="588" ht="12.75" customHeight="1">
      <c r="C588" s="59"/>
      <c r="D588" s="59"/>
      <c r="I588" s="59"/>
      <c r="J588" s="59"/>
    </row>
    <row r="589" ht="12.75" customHeight="1">
      <c r="C589" s="59"/>
      <c r="D589" s="59"/>
      <c r="I589" s="59"/>
      <c r="J589" s="59"/>
    </row>
    <row r="590" ht="12.75" customHeight="1">
      <c r="C590" s="59"/>
      <c r="D590" s="59"/>
      <c r="I590" s="59"/>
      <c r="J590" s="59"/>
    </row>
    <row r="591" ht="12.75" customHeight="1">
      <c r="C591" s="59"/>
      <c r="D591" s="59"/>
      <c r="I591" s="59"/>
      <c r="J591" s="59"/>
    </row>
    <row r="592" ht="12.75" customHeight="1">
      <c r="C592" s="59"/>
      <c r="D592" s="59"/>
      <c r="I592" s="59"/>
      <c r="J592" s="59"/>
    </row>
    <row r="593" ht="12.75" customHeight="1">
      <c r="C593" s="59"/>
      <c r="D593" s="59"/>
      <c r="I593" s="59"/>
      <c r="J593" s="59"/>
    </row>
    <row r="594" ht="12.75" customHeight="1">
      <c r="C594" s="59"/>
      <c r="D594" s="59"/>
      <c r="I594" s="59"/>
      <c r="J594" s="59"/>
    </row>
    <row r="595" ht="12.75" customHeight="1">
      <c r="C595" s="59"/>
      <c r="D595" s="59"/>
      <c r="I595" s="59"/>
      <c r="J595" s="59"/>
    </row>
    <row r="596" ht="12.75" customHeight="1">
      <c r="C596" s="59"/>
      <c r="D596" s="59"/>
      <c r="I596" s="59"/>
      <c r="J596" s="59"/>
    </row>
    <row r="597" ht="12.75" customHeight="1">
      <c r="C597" s="59"/>
      <c r="D597" s="59"/>
      <c r="I597" s="59"/>
      <c r="J597" s="59"/>
    </row>
    <row r="598" ht="12.75" customHeight="1">
      <c r="C598" s="59"/>
      <c r="D598" s="59"/>
      <c r="I598" s="59"/>
      <c r="J598" s="59"/>
    </row>
    <row r="599" ht="12.75" customHeight="1">
      <c r="C599" s="59"/>
      <c r="D599" s="59"/>
      <c r="I599" s="59"/>
      <c r="J599" s="59"/>
    </row>
    <row r="600" ht="12.75" customHeight="1">
      <c r="C600" s="59"/>
      <c r="D600" s="59"/>
      <c r="I600" s="59"/>
      <c r="J600" s="59"/>
    </row>
    <row r="601" ht="12.75" customHeight="1">
      <c r="C601" s="59"/>
      <c r="D601" s="59"/>
      <c r="I601" s="59"/>
      <c r="J601" s="59"/>
    </row>
    <row r="602" ht="12.75" customHeight="1">
      <c r="C602" s="59"/>
      <c r="D602" s="59"/>
      <c r="I602" s="59"/>
      <c r="J602" s="59"/>
    </row>
    <row r="603" ht="12.75" customHeight="1">
      <c r="C603" s="59"/>
      <c r="D603" s="59"/>
      <c r="I603" s="59"/>
      <c r="J603" s="59"/>
    </row>
    <row r="604" ht="12.75" customHeight="1">
      <c r="C604" s="59"/>
      <c r="D604" s="59"/>
      <c r="I604" s="59"/>
      <c r="J604" s="59"/>
    </row>
    <row r="605" ht="12.75" customHeight="1">
      <c r="C605" s="59"/>
      <c r="D605" s="59"/>
      <c r="I605" s="59"/>
      <c r="J605" s="59"/>
    </row>
    <row r="606" ht="12.75" customHeight="1">
      <c r="C606" s="59"/>
      <c r="D606" s="59"/>
      <c r="I606" s="59"/>
      <c r="J606" s="59"/>
    </row>
    <row r="607" ht="12.75" customHeight="1">
      <c r="C607" s="59"/>
      <c r="D607" s="59"/>
      <c r="I607" s="59"/>
      <c r="J607" s="59"/>
    </row>
    <row r="608" ht="12.75" customHeight="1">
      <c r="C608" s="59"/>
      <c r="D608" s="59"/>
      <c r="I608" s="59"/>
      <c r="J608" s="59"/>
    </row>
    <row r="609" ht="12.75" customHeight="1">
      <c r="C609" s="59"/>
      <c r="D609" s="59"/>
      <c r="I609" s="59"/>
      <c r="J609" s="59"/>
    </row>
    <row r="610" ht="12.75" customHeight="1">
      <c r="C610" s="59"/>
      <c r="D610" s="59"/>
      <c r="I610" s="59"/>
      <c r="J610" s="59"/>
    </row>
    <row r="611" ht="12.75" customHeight="1">
      <c r="C611" s="59"/>
      <c r="D611" s="59"/>
      <c r="I611" s="59"/>
      <c r="J611" s="59"/>
    </row>
    <row r="612" ht="12.75" customHeight="1">
      <c r="C612" s="59"/>
      <c r="D612" s="59"/>
      <c r="I612" s="59"/>
      <c r="J612" s="59"/>
    </row>
    <row r="613" ht="12.75" customHeight="1">
      <c r="C613" s="59"/>
      <c r="D613" s="59"/>
      <c r="I613" s="59"/>
      <c r="J613" s="59"/>
    </row>
    <row r="614" ht="12.75" customHeight="1">
      <c r="C614" s="59"/>
      <c r="D614" s="59"/>
      <c r="I614" s="59"/>
      <c r="J614" s="59"/>
    </row>
    <row r="615" ht="12.75" customHeight="1">
      <c r="C615" s="59"/>
      <c r="D615" s="59"/>
      <c r="I615" s="59"/>
      <c r="J615" s="59"/>
    </row>
    <row r="616" ht="12.75" customHeight="1">
      <c r="C616" s="59"/>
      <c r="D616" s="59"/>
      <c r="I616" s="59"/>
      <c r="J616" s="59"/>
    </row>
    <row r="617" ht="12.75" customHeight="1">
      <c r="C617" s="59"/>
      <c r="D617" s="59"/>
      <c r="I617" s="59"/>
      <c r="J617" s="59"/>
    </row>
    <row r="618" ht="12.75" customHeight="1">
      <c r="C618" s="59"/>
      <c r="D618" s="59"/>
      <c r="I618" s="59"/>
      <c r="J618" s="59"/>
    </row>
    <row r="619" ht="12.75" customHeight="1">
      <c r="C619" s="59"/>
      <c r="D619" s="59"/>
      <c r="I619" s="59"/>
      <c r="J619" s="59"/>
    </row>
    <row r="620" ht="12.75" customHeight="1">
      <c r="C620" s="59"/>
      <c r="D620" s="59"/>
      <c r="I620" s="59"/>
      <c r="J620" s="59"/>
    </row>
    <row r="621" ht="12.75" customHeight="1">
      <c r="C621" s="59"/>
      <c r="D621" s="59"/>
      <c r="I621" s="59"/>
      <c r="J621" s="59"/>
    </row>
    <row r="622" ht="12.75" customHeight="1">
      <c r="C622" s="59"/>
      <c r="D622" s="59"/>
      <c r="I622" s="59"/>
      <c r="J622" s="59"/>
    </row>
    <row r="623" ht="12.75" customHeight="1">
      <c r="C623" s="59"/>
      <c r="D623" s="59"/>
      <c r="I623" s="59"/>
      <c r="J623" s="59"/>
    </row>
    <row r="624" ht="12.75" customHeight="1">
      <c r="C624" s="59"/>
      <c r="D624" s="59"/>
      <c r="I624" s="59"/>
      <c r="J624" s="59"/>
    </row>
    <row r="625" ht="12.75" customHeight="1">
      <c r="C625" s="59"/>
      <c r="D625" s="59"/>
      <c r="I625" s="59"/>
      <c r="J625" s="59"/>
    </row>
    <row r="626" ht="12.75" customHeight="1">
      <c r="C626" s="59"/>
      <c r="D626" s="59"/>
      <c r="I626" s="59"/>
      <c r="J626" s="59"/>
    </row>
    <row r="627" ht="12.75" customHeight="1">
      <c r="C627" s="59"/>
      <c r="D627" s="59"/>
      <c r="I627" s="59"/>
      <c r="J627" s="59"/>
    </row>
    <row r="628" ht="12.75" customHeight="1">
      <c r="C628" s="59"/>
      <c r="D628" s="59"/>
      <c r="I628" s="59"/>
      <c r="J628" s="59"/>
    </row>
    <row r="629" ht="12.75" customHeight="1">
      <c r="C629" s="59"/>
      <c r="D629" s="59"/>
      <c r="I629" s="59"/>
      <c r="J629" s="59"/>
    </row>
    <row r="630" ht="12.75" customHeight="1">
      <c r="C630" s="59"/>
      <c r="D630" s="59"/>
      <c r="I630" s="59"/>
      <c r="J630" s="59"/>
    </row>
    <row r="631" ht="12.75" customHeight="1">
      <c r="C631" s="59"/>
      <c r="D631" s="59"/>
      <c r="I631" s="59"/>
      <c r="J631" s="59"/>
    </row>
    <row r="632" ht="12.75" customHeight="1">
      <c r="C632" s="59"/>
      <c r="D632" s="59"/>
      <c r="I632" s="59"/>
      <c r="J632" s="59"/>
    </row>
    <row r="633" ht="12.75" customHeight="1">
      <c r="C633" s="59"/>
      <c r="D633" s="59"/>
      <c r="I633" s="59"/>
      <c r="J633" s="59"/>
    </row>
    <row r="634" ht="12.75" customHeight="1">
      <c r="C634" s="59"/>
      <c r="D634" s="59"/>
      <c r="I634" s="59"/>
      <c r="J634" s="59"/>
    </row>
    <row r="635" ht="12.75" customHeight="1">
      <c r="C635" s="59"/>
      <c r="D635" s="59"/>
      <c r="I635" s="59"/>
      <c r="J635" s="59"/>
    </row>
    <row r="636" ht="12.75" customHeight="1">
      <c r="C636" s="59"/>
      <c r="D636" s="59"/>
      <c r="I636" s="59"/>
      <c r="J636" s="59"/>
    </row>
    <row r="637" ht="12.75" customHeight="1">
      <c r="C637" s="59"/>
      <c r="D637" s="59"/>
      <c r="I637" s="59"/>
      <c r="J637" s="59"/>
    </row>
    <row r="638" ht="12.75" customHeight="1">
      <c r="C638" s="59"/>
      <c r="D638" s="59"/>
      <c r="I638" s="59"/>
      <c r="J638" s="59"/>
    </row>
    <row r="639" ht="12.75" customHeight="1">
      <c r="C639" s="59"/>
      <c r="D639" s="59"/>
      <c r="I639" s="59"/>
      <c r="J639" s="59"/>
    </row>
    <row r="640" ht="12.75" customHeight="1">
      <c r="C640" s="59"/>
      <c r="D640" s="59"/>
      <c r="I640" s="59"/>
      <c r="J640" s="59"/>
    </row>
    <row r="641" ht="12.75" customHeight="1">
      <c r="C641" s="59"/>
      <c r="D641" s="59"/>
      <c r="I641" s="59"/>
      <c r="J641" s="59"/>
    </row>
    <row r="642" ht="12.75" customHeight="1">
      <c r="C642" s="59"/>
      <c r="D642" s="59"/>
      <c r="I642" s="59"/>
      <c r="J642" s="59"/>
    </row>
    <row r="643" ht="12.75" customHeight="1">
      <c r="C643" s="59"/>
      <c r="D643" s="59"/>
      <c r="I643" s="59"/>
      <c r="J643" s="59"/>
    </row>
    <row r="644" ht="12.75" customHeight="1">
      <c r="C644" s="59"/>
      <c r="D644" s="59"/>
      <c r="I644" s="59"/>
      <c r="J644" s="59"/>
    </row>
    <row r="645" ht="12.75" customHeight="1">
      <c r="C645" s="59"/>
      <c r="D645" s="59"/>
      <c r="I645" s="59"/>
      <c r="J645" s="59"/>
    </row>
    <row r="646" ht="12.75" customHeight="1">
      <c r="C646" s="59"/>
      <c r="D646" s="59"/>
      <c r="I646" s="59"/>
      <c r="J646" s="59"/>
    </row>
    <row r="647" ht="12.75" customHeight="1">
      <c r="C647" s="59"/>
      <c r="D647" s="59"/>
      <c r="I647" s="59"/>
      <c r="J647" s="59"/>
    </row>
    <row r="648" ht="12.75" customHeight="1">
      <c r="C648" s="59"/>
      <c r="D648" s="59"/>
      <c r="I648" s="59"/>
      <c r="J648" s="59"/>
    </row>
    <row r="649" ht="12.75" customHeight="1">
      <c r="C649" s="59"/>
      <c r="D649" s="59"/>
      <c r="I649" s="59"/>
      <c r="J649" s="59"/>
    </row>
    <row r="650" ht="12.75" customHeight="1">
      <c r="C650" s="59"/>
      <c r="D650" s="59"/>
      <c r="I650" s="59"/>
      <c r="J650" s="59"/>
    </row>
    <row r="651" ht="12.75" customHeight="1">
      <c r="C651" s="59"/>
      <c r="D651" s="59"/>
      <c r="I651" s="59"/>
      <c r="J651" s="59"/>
    </row>
    <row r="652" ht="12.75" customHeight="1">
      <c r="C652" s="59"/>
      <c r="D652" s="59"/>
      <c r="I652" s="59"/>
      <c r="J652" s="59"/>
    </row>
    <row r="653" ht="12.75" customHeight="1">
      <c r="C653" s="59"/>
      <c r="D653" s="59"/>
      <c r="I653" s="59"/>
      <c r="J653" s="59"/>
    </row>
    <row r="654" ht="12.75" customHeight="1">
      <c r="C654" s="59"/>
      <c r="D654" s="59"/>
      <c r="I654" s="59"/>
      <c r="J654" s="59"/>
    </row>
    <row r="655" ht="12.75" customHeight="1">
      <c r="C655" s="59"/>
      <c r="D655" s="59"/>
      <c r="I655" s="59"/>
      <c r="J655" s="59"/>
    </row>
    <row r="656" ht="12.75" customHeight="1">
      <c r="C656" s="59"/>
      <c r="D656" s="59"/>
      <c r="I656" s="59"/>
      <c r="J656" s="59"/>
    </row>
    <row r="657" ht="12.75" customHeight="1">
      <c r="C657" s="59"/>
      <c r="D657" s="59"/>
      <c r="I657" s="59"/>
      <c r="J657" s="59"/>
    </row>
    <row r="658" ht="12.75" customHeight="1">
      <c r="C658" s="59"/>
      <c r="D658" s="59"/>
      <c r="I658" s="59"/>
      <c r="J658" s="59"/>
    </row>
    <row r="659" ht="12.75" customHeight="1">
      <c r="C659" s="59"/>
      <c r="D659" s="59"/>
      <c r="I659" s="59"/>
      <c r="J659" s="59"/>
    </row>
    <row r="660" ht="12.75" customHeight="1">
      <c r="C660" s="59"/>
      <c r="D660" s="59"/>
      <c r="I660" s="59"/>
      <c r="J660" s="59"/>
    </row>
    <row r="661" ht="12.75" customHeight="1">
      <c r="C661" s="59"/>
      <c r="D661" s="59"/>
      <c r="I661" s="59"/>
      <c r="J661" s="59"/>
    </row>
    <row r="662" ht="12.75" customHeight="1">
      <c r="C662" s="59"/>
      <c r="D662" s="59"/>
      <c r="I662" s="59"/>
      <c r="J662" s="59"/>
    </row>
    <row r="663" ht="12.75" customHeight="1">
      <c r="C663" s="59"/>
      <c r="D663" s="59"/>
      <c r="I663" s="59"/>
      <c r="J663" s="59"/>
    </row>
    <row r="664" ht="12.75" customHeight="1">
      <c r="C664" s="59"/>
      <c r="D664" s="59"/>
      <c r="I664" s="59"/>
      <c r="J664" s="59"/>
    </row>
    <row r="665" ht="12.75" customHeight="1">
      <c r="C665" s="59"/>
      <c r="D665" s="59"/>
      <c r="I665" s="59"/>
      <c r="J665" s="59"/>
    </row>
    <row r="666" ht="12.75" customHeight="1">
      <c r="C666" s="59"/>
      <c r="D666" s="59"/>
      <c r="I666" s="59"/>
      <c r="J666" s="59"/>
    </row>
    <row r="667" ht="12.75" customHeight="1">
      <c r="C667" s="59"/>
      <c r="D667" s="59"/>
      <c r="I667" s="59"/>
      <c r="J667" s="59"/>
    </row>
    <row r="668" ht="12.75" customHeight="1">
      <c r="C668" s="59"/>
      <c r="D668" s="59"/>
      <c r="I668" s="59"/>
      <c r="J668" s="59"/>
    </row>
    <row r="669" ht="12.75" customHeight="1">
      <c r="C669" s="59"/>
      <c r="D669" s="59"/>
      <c r="I669" s="59"/>
      <c r="J669" s="59"/>
    </row>
    <row r="670" ht="12.75" customHeight="1">
      <c r="C670" s="59"/>
      <c r="D670" s="59"/>
      <c r="I670" s="59"/>
      <c r="J670" s="59"/>
    </row>
    <row r="671" ht="12.75" customHeight="1">
      <c r="C671" s="59"/>
      <c r="D671" s="59"/>
      <c r="I671" s="59"/>
      <c r="J671" s="59"/>
    </row>
    <row r="672" ht="12.75" customHeight="1">
      <c r="C672" s="59"/>
      <c r="D672" s="59"/>
      <c r="I672" s="59"/>
      <c r="J672" s="59"/>
    </row>
    <row r="673" ht="12.75" customHeight="1">
      <c r="C673" s="59"/>
      <c r="D673" s="59"/>
      <c r="I673" s="59"/>
      <c r="J673" s="59"/>
    </row>
    <row r="674" ht="12.75" customHeight="1">
      <c r="C674" s="59"/>
      <c r="D674" s="59"/>
      <c r="I674" s="59"/>
      <c r="J674" s="59"/>
    </row>
    <row r="675" ht="12.75" customHeight="1">
      <c r="C675" s="59"/>
      <c r="D675" s="59"/>
      <c r="I675" s="59"/>
      <c r="J675" s="59"/>
    </row>
    <row r="676" ht="12.75" customHeight="1">
      <c r="C676" s="59"/>
      <c r="D676" s="59"/>
      <c r="I676" s="59"/>
      <c r="J676" s="59"/>
    </row>
    <row r="677" ht="12.75" customHeight="1">
      <c r="C677" s="59"/>
      <c r="D677" s="59"/>
      <c r="I677" s="59"/>
      <c r="J677" s="59"/>
    </row>
    <row r="678" ht="12.75" customHeight="1">
      <c r="C678" s="59"/>
      <c r="D678" s="59"/>
      <c r="I678" s="59"/>
      <c r="J678" s="59"/>
    </row>
    <row r="679" ht="12.75" customHeight="1">
      <c r="C679" s="59"/>
      <c r="D679" s="59"/>
      <c r="I679" s="59"/>
      <c r="J679" s="59"/>
    </row>
    <row r="680" ht="12.75" customHeight="1">
      <c r="C680" s="59"/>
      <c r="D680" s="59"/>
      <c r="I680" s="59"/>
      <c r="J680" s="59"/>
    </row>
    <row r="681" ht="12.75" customHeight="1">
      <c r="C681" s="59"/>
      <c r="D681" s="59"/>
      <c r="I681" s="59"/>
      <c r="J681" s="59"/>
    </row>
    <row r="682" ht="12.75" customHeight="1">
      <c r="C682" s="59"/>
      <c r="D682" s="59"/>
      <c r="I682" s="59"/>
      <c r="J682" s="59"/>
    </row>
    <row r="683" ht="12.75" customHeight="1">
      <c r="C683" s="59"/>
      <c r="D683" s="59"/>
      <c r="I683" s="59"/>
      <c r="J683" s="59"/>
    </row>
    <row r="684" ht="12.75" customHeight="1">
      <c r="C684" s="59"/>
      <c r="D684" s="59"/>
      <c r="I684" s="59"/>
      <c r="J684" s="59"/>
    </row>
    <row r="685" ht="12.75" customHeight="1">
      <c r="C685" s="59"/>
      <c r="D685" s="59"/>
      <c r="I685" s="59"/>
      <c r="J685" s="59"/>
    </row>
    <row r="686" ht="12.75" customHeight="1">
      <c r="C686" s="59"/>
      <c r="D686" s="59"/>
      <c r="I686" s="59"/>
      <c r="J686" s="59"/>
    </row>
    <row r="687" ht="12.75" customHeight="1">
      <c r="C687" s="59"/>
      <c r="D687" s="59"/>
      <c r="I687" s="59"/>
      <c r="J687" s="59"/>
    </row>
    <row r="688" ht="12.75" customHeight="1">
      <c r="C688" s="59"/>
      <c r="D688" s="59"/>
      <c r="I688" s="59"/>
      <c r="J688" s="59"/>
    </row>
    <row r="689" ht="12.75" customHeight="1">
      <c r="C689" s="59"/>
      <c r="D689" s="59"/>
      <c r="I689" s="59"/>
      <c r="J689" s="59"/>
    </row>
    <row r="690" ht="12.75" customHeight="1">
      <c r="C690" s="59"/>
      <c r="D690" s="59"/>
      <c r="I690" s="59"/>
      <c r="J690" s="59"/>
    </row>
    <row r="691" ht="12.75" customHeight="1">
      <c r="C691" s="59"/>
      <c r="D691" s="59"/>
      <c r="I691" s="59"/>
      <c r="J691" s="59"/>
    </row>
    <row r="692" ht="12.75" customHeight="1">
      <c r="C692" s="59"/>
      <c r="D692" s="59"/>
      <c r="I692" s="59"/>
      <c r="J692" s="59"/>
    </row>
    <row r="693" ht="12.75" customHeight="1">
      <c r="C693" s="59"/>
      <c r="D693" s="59"/>
      <c r="I693" s="59"/>
      <c r="J693" s="59"/>
    </row>
    <row r="694" ht="12.75" customHeight="1">
      <c r="C694" s="59"/>
      <c r="D694" s="59"/>
      <c r="I694" s="59"/>
      <c r="J694" s="59"/>
    </row>
    <row r="695" ht="12.75" customHeight="1">
      <c r="C695" s="59"/>
      <c r="D695" s="59"/>
      <c r="I695" s="59"/>
      <c r="J695" s="59"/>
    </row>
    <row r="696" ht="12.75" customHeight="1">
      <c r="C696" s="59"/>
      <c r="D696" s="59"/>
      <c r="I696" s="59"/>
      <c r="J696" s="59"/>
    </row>
    <row r="697" ht="12.75" customHeight="1">
      <c r="C697" s="59"/>
      <c r="D697" s="59"/>
      <c r="I697" s="59"/>
      <c r="J697" s="59"/>
    </row>
    <row r="698" ht="12.75" customHeight="1">
      <c r="C698" s="59"/>
      <c r="D698" s="59"/>
      <c r="I698" s="59"/>
      <c r="J698" s="59"/>
    </row>
    <row r="699" ht="12.75" customHeight="1">
      <c r="C699" s="59"/>
      <c r="D699" s="59"/>
      <c r="I699" s="59"/>
      <c r="J699" s="59"/>
    </row>
    <row r="700" ht="12.75" customHeight="1">
      <c r="C700" s="59"/>
      <c r="D700" s="59"/>
      <c r="I700" s="59"/>
      <c r="J700" s="59"/>
    </row>
    <row r="701" ht="12.75" customHeight="1">
      <c r="C701" s="59"/>
      <c r="D701" s="59"/>
      <c r="I701" s="59"/>
      <c r="J701" s="59"/>
    </row>
    <row r="702" ht="12.75" customHeight="1">
      <c r="C702" s="59"/>
      <c r="D702" s="59"/>
      <c r="I702" s="59"/>
      <c r="J702" s="59"/>
    </row>
    <row r="703" ht="12.75" customHeight="1">
      <c r="C703" s="59"/>
      <c r="D703" s="59"/>
      <c r="I703" s="59"/>
      <c r="J703" s="59"/>
    </row>
    <row r="704" ht="12.75" customHeight="1">
      <c r="C704" s="59"/>
      <c r="D704" s="59"/>
      <c r="I704" s="59"/>
      <c r="J704" s="59"/>
    </row>
    <row r="705" ht="12.75" customHeight="1">
      <c r="C705" s="59"/>
      <c r="D705" s="59"/>
      <c r="I705" s="59"/>
      <c r="J705" s="59"/>
    </row>
    <row r="706" ht="12.75" customHeight="1">
      <c r="C706" s="59"/>
      <c r="D706" s="59"/>
      <c r="I706" s="59"/>
      <c r="J706" s="59"/>
    </row>
    <row r="707" ht="12.75" customHeight="1">
      <c r="C707" s="59"/>
      <c r="D707" s="59"/>
      <c r="I707" s="59"/>
      <c r="J707" s="59"/>
    </row>
    <row r="708" ht="12.75" customHeight="1">
      <c r="C708" s="59"/>
      <c r="D708" s="59"/>
      <c r="I708" s="59"/>
      <c r="J708" s="59"/>
    </row>
    <row r="709" ht="12.75" customHeight="1">
      <c r="C709" s="59"/>
      <c r="D709" s="59"/>
      <c r="I709" s="59"/>
      <c r="J709" s="59"/>
    </row>
    <row r="710" ht="12.75" customHeight="1">
      <c r="C710" s="59"/>
      <c r="D710" s="59"/>
      <c r="I710" s="59"/>
      <c r="J710" s="59"/>
    </row>
    <row r="711" ht="12.75" customHeight="1">
      <c r="C711" s="59"/>
      <c r="D711" s="59"/>
      <c r="I711" s="59"/>
      <c r="J711" s="59"/>
    </row>
    <row r="712" ht="12.75" customHeight="1">
      <c r="C712" s="59"/>
      <c r="D712" s="59"/>
      <c r="I712" s="59"/>
      <c r="J712" s="59"/>
    </row>
    <row r="713" ht="12.75" customHeight="1">
      <c r="C713" s="59"/>
      <c r="D713" s="59"/>
      <c r="I713" s="59"/>
      <c r="J713" s="59"/>
    </row>
    <row r="714" ht="12.75" customHeight="1">
      <c r="C714" s="59"/>
      <c r="D714" s="59"/>
      <c r="I714" s="59"/>
      <c r="J714" s="59"/>
    </row>
    <row r="715" ht="12.75" customHeight="1">
      <c r="C715" s="59"/>
      <c r="D715" s="59"/>
      <c r="I715" s="59"/>
      <c r="J715" s="59"/>
    </row>
    <row r="716" ht="12.75" customHeight="1">
      <c r="C716" s="59"/>
      <c r="D716" s="59"/>
      <c r="I716" s="59"/>
      <c r="J716" s="59"/>
    </row>
    <row r="717" ht="12.75" customHeight="1">
      <c r="C717" s="59"/>
      <c r="D717" s="59"/>
      <c r="I717" s="59"/>
      <c r="J717" s="59"/>
    </row>
    <row r="718" ht="12.75" customHeight="1">
      <c r="C718" s="59"/>
      <c r="D718" s="59"/>
      <c r="I718" s="59"/>
      <c r="J718" s="59"/>
    </row>
    <row r="719" ht="12.75" customHeight="1">
      <c r="C719" s="59"/>
      <c r="D719" s="59"/>
      <c r="I719" s="59"/>
      <c r="J719" s="59"/>
    </row>
    <row r="720" ht="12.75" customHeight="1">
      <c r="C720" s="59"/>
      <c r="D720" s="59"/>
      <c r="I720" s="59"/>
      <c r="J720" s="59"/>
    </row>
    <row r="721" ht="12.75" customHeight="1">
      <c r="C721" s="59"/>
      <c r="D721" s="59"/>
      <c r="I721" s="59"/>
      <c r="J721" s="59"/>
    </row>
    <row r="722" ht="12.75" customHeight="1">
      <c r="C722" s="59"/>
      <c r="D722" s="59"/>
      <c r="I722" s="59"/>
      <c r="J722" s="59"/>
    </row>
    <row r="723" ht="12.75" customHeight="1">
      <c r="C723" s="59"/>
      <c r="D723" s="59"/>
      <c r="I723" s="59"/>
      <c r="J723" s="59"/>
    </row>
    <row r="724" ht="12.75" customHeight="1">
      <c r="C724" s="59"/>
      <c r="D724" s="59"/>
      <c r="I724" s="59"/>
      <c r="J724" s="59"/>
    </row>
    <row r="725" ht="12.75" customHeight="1">
      <c r="C725" s="59"/>
      <c r="D725" s="59"/>
      <c r="I725" s="59"/>
      <c r="J725" s="59"/>
    </row>
    <row r="726" ht="12.75" customHeight="1">
      <c r="C726" s="59"/>
      <c r="D726" s="59"/>
      <c r="I726" s="59"/>
      <c r="J726" s="59"/>
    </row>
    <row r="727" ht="12.75" customHeight="1">
      <c r="C727" s="59"/>
      <c r="D727" s="59"/>
      <c r="I727" s="59"/>
      <c r="J727" s="59"/>
    </row>
    <row r="728" ht="12.75" customHeight="1">
      <c r="C728" s="59"/>
      <c r="D728" s="59"/>
      <c r="I728" s="59"/>
      <c r="J728" s="59"/>
    </row>
    <row r="729" ht="12.75" customHeight="1">
      <c r="C729" s="59"/>
      <c r="D729" s="59"/>
      <c r="I729" s="59"/>
      <c r="J729" s="59"/>
    </row>
    <row r="730" ht="12.75" customHeight="1">
      <c r="C730" s="59"/>
      <c r="D730" s="59"/>
      <c r="I730" s="59"/>
      <c r="J730" s="59"/>
    </row>
    <row r="731" ht="12.75" customHeight="1">
      <c r="C731" s="59"/>
      <c r="D731" s="59"/>
      <c r="I731" s="59"/>
      <c r="J731" s="59"/>
    </row>
    <row r="732" ht="12.75" customHeight="1">
      <c r="C732" s="59"/>
      <c r="D732" s="59"/>
      <c r="I732" s="59"/>
      <c r="J732" s="59"/>
    </row>
    <row r="733" ht="12.75" customHeight="1">
      <c r="C733" s="59"/>
      <c r="D733" s="59"/>
      <c r="I733" s="59"/>
      <c r="J733" s="59"/>
    </row>
    <row r="734" ht="12.75" customHeight="1">
      <c r="C734" s="59"/>
      <c r="D734" s="59"/>
      <c r="I734" s="59"/>
      <c r="J734" s="59"/>
    </row>
    <row r="735" ht="12.75" customHeight="1">
      <c r="C735" s="59"/>
      <c r="D735" s="59"/>
      <c r="I735" s="59"/>
      <c r="J735" s="59"/>
    </row>
    <row r="736" ht="12.75" customHeight="1">
      <c r="C736" s="59"/>
      <c r="D736" s="59"/>
      <c r="I736" s="59"/>
      <c r="J736" s="59"/>
    </row>
    <row r="737" ht="12.75" customHeight="1">
      <c r="C737" s="59"/>
      <c r="D737" s="59"/>
      <c r="I737" s="59"/>
      <c r="J737" s="59"/>
    </row>
    <row r="738" ht="12.75" customHeight="1">
      <c r="C738" s="59"/>
      <c r="D738" s="59"/>
      <c r="I738" s="59"/>
      <c r="J738" s="59"/>
    </row>
    <row r="739" ht="12.75" customHeight="1">
      <c r="C739" s="59"/>
      <c r="D739" s="59"/>
      <c r="I739" s="59"/>
      <c r="J739" s="59"/>
    </row>
    <row r="740" ht="12.75" customHeight="1">
      <c r="C740" s="59"/>
      <c r="D740" s="59"/>
      <c r="I740" s="59"/>
      <c r="J740" s="59"/>
    </row>
    <row r="741" ht="12.75" customHeight="1">
      <c r="C741" s="59"/>
      <c r="D741" s="59"/>
      <c r="I741" s="59"/>
      <c r="J741" s="59"/>
    </row>
    <row r="742" ht="12.75" customHeight="1">
      <c r="C742" s="59"/>
      <c r="D742" s="59"/>
      <c r="I742" s="59"/>
      <c r="J742" s="59"/>
    </row>
    <row r="743" ht="12.75" customHeight="1">
      <c r="C743" s="59"/>
      <c r="D743" s="59"/>
      <c r="I743" s="59"/>
      <c r="J743" s="59"/>
    </row>
    <row r="744" ht="12.75" customHeight="1">
      <c r="C744" s="59"/>
      <c r="D744" s="59"/>
      <c r="I744" s="59"/>
      <c r="J744" s="59"/>
    </row>
    <row r="745" ht="12.75" customHeight="1">
      <c r="C745" s="59"/>
      <c r="D745" s="59"/>
      <c r="I745" s="59"/>
      <c r="J745" s="59"/>
    </row>
    <row r="746" ht="12.75" customHeight="1">
      <c r="C746" s="59"/>
      <c r="D746" s="59"/>
      <c r="I746" s="59"/>
      <c r="J746" s="59"/>
    </row>
    <row r="747" ht="12.75" customHeight="1">
      <c r="C747" s="59"/>
      <c r="D747" s="59"/>
      <c r="I747" s="59"/>
      <c r="J747" s="59"/>
    </row>
    <row r="748" ht="12.75" customHeight="1">
      <c r="C748" s="59"/>
      <c r="D748" s="59"/>
      <c r="I748" s="59"/>
      <c r="J748" s="59"/>
    </row>
    <row r="749" ht="12.75" customHeight="1">
      <c r="C749" s="59"/>
      <c r="D749" s="59"/>
      <c r="I749" s="59"/>
      <c r="J749" s="59"/>
    </row>
    <row r="750" ht="12.75" customHeight="1">
      <c r="C750" s="59"/>
      <c r="D750" s="59"/>
      <c r="I750" s="59"/>
      <c r="J750" s="59"/>
    </row>
    <row r="751" ht="12.75" customHeight="1">
      <c r="C751" s="59"/>
      <c r="D751" s="59"/>
      <c r="I751" s="59"/>
      <c r="J751" s="59"/>
    </row>
    <row r="752" ht="12.75" customHeight="1">
      <c r="C752" s="59"/>
      <c r="D752" s="59"/>
      <c r="I752" s="59"/>
      <c r="J752" s="59"/>
    </row>
    <row r="753" ht="12.75" customHeight="1">
      <c r="C753" s="59"/>
      <c r="D753" s="59"/>
      <c r="I753" s="59"/>
      <c r="J753" s="59"/>
    </row>
    <row r="754" ht="12.75" customHeight="1">
      <c r="C754" s="59"/>
      <c r="D754" s="59"/>
      <c r="I754" s="59"/>
      <c r="J754" s="59"/>
    </row>
    <row r="755" ht="12.75" customHeight="1">
      <c r="C755" s="59"/>
      <c r="D755" s="59"/>
      <c r="I755" s="59"/>
      <c r="J755" s="59"/>
    </row>
    <row r="756" ht="12.75" customHeight="1">
      <c r="C756" s="59"/>
      <c r="D756" s="59"/>
      <c r="I756" s="59"/>
      <c r="J756" s="59"/>
    </row>
    <row r="757" ht="12.75" customHeight="1">
      <c r="C757" s="59"/>
      <c r="D757" s="59"/>
      <c r="I757" s="59"/>
      <c r="J757" s="59"/>
    </row>
    <row r="758" ht="12.75" customHeight="1">
      <c r="C758" s="59"/>
      <c r="D758" s="59"/>
      <c r="I758" s="59"/>
      <c r="J758" s="59"/>
    </row>
    <row r="759" ht="12.75" customHeight="1">
      <c r="C759" s="59"/>
      <c r="D759" s="59"/>
      <c r="I759" s="59"/>
      <c r="J759" s="59"/>
    </row>
    <row r="760" ht="12.75" customHeight="1">
      <c r="C760" s="59"/>
      <c r="D760" s="59"/>
      <c r="I760" s="59"/>
      <c r="J760" s="59"/>
    </row>
    <row r="761" ht="12.75" customHeight="1">
      <c r="C761" s="59"/>
      <c r="D761" s="59"/>
      <c r="I761" s="59"/>
      <c r="J761" s="59"/>
    </row>
    <row r="762" ht="12.75" customHeight="1">
      <c r="C762" s="59"/>
      <c r="D762" s="59"/>
      <c r="I762" s="59"/>
      <c r="J762" s="59"/>
    </row>
    <row r="763" ht="12.75" customHeight="1">
      <c r="C763" s="59"/>
      <c r="D763" s="59"/>
      <c r="I763" s="59"/>
      <c r="J763" s="59"/>
    </row>
    <row r="764" ht="12.75" customHeight="1">
      <c r="C764" s="59"/>
      <c r="D764" s="59"/>
      <c r="I764" s="59"/>
      <c r="J764" s="59"/>
    </row>
    <row r="765" ht="12.75" customHeight="1">
      <c r="C765" s="59"/>
      <c r="D765" s="59"/>
      <c r="I765" s="59"/>
      <c r="J765" s="59"/>
    </row>
    <row r="766" ht="12.75" customHeight="1">
      <c r="C766" s="59"/>
      <c r="D766" s="59"/>
      <c r="I766" s="59"/>
      <c r="J766" s="59"/>
    </row>
    <row r="767" ht="12.75" customHeight="1">
      <c r="C767" s="59"/>
      <c r="D767" s="59"/>
      <c r="I767" s="59"/>
      <c r="J767" s="59"/>
    </row>
    <row r="768" ht="12.75" customHeight="1">
      <c r="C768" s="59"/>
      <c r="D768" s="59"/>
      <c r="I768" s="59"/>
      <c r="J768" s="59"/>
    </row>
    <row r="769" ht="12.75" customHeight="1">
      <c r="C769" s="59"/>
      <c r="D769" s="59"/>
      <c r="I769" s="59"/>
      <c r="J769" s="59"/>
    </row>
    <row r="770" ht="12.75" customHeight="1">
      <c r="C770" s="59"/>
      <c r="D770" s="59"/>
      <c r="I770" s="59"/>
      <c r="J770" s="59"/>
    </row>
    <row r="771" ht="12.75" customHeight="1">
      <c r="C771" s="59"/>
      <c r="D771" s="59"/>
      <c r="I771" s="59"/>
      <c r="J771" s="59"/>
    </row>
    <row r="772" ht="12.75" customHeight="1">
      <c r="C772" s="59"/>
      <c r="D772" s="59"/>
      <c r="I772" s="59"/>
      <c r="J772" s="59"/>
    </row>
    <row r="773" ht="12.75" customHeight="1">
      <c r="C773" s="59"/>
      <c r="D773" s="59"/>
      <c r="I773" s="59"/>
      <c r="J773" s="59"/>
    </row>
    <row r="774" ht="12.75" customHeight="1">
      <c r="C774" s="59"/>
      <c r="D774" s="59"/>
      <c r="I774" s="59"/>
      <c r="J774" s="59"/>
    </row>
    <row r="775" ht="12.75" customHeight="1">
      <c r="C775" s="59"/>
      <c r="D775" s="59"/>
      <c r="I775" s="59"/>
      <c r="J775" s="59"/>
    </row>
    <row r="776" ht="12.75" customHeight="1">
      <c r="C776" s="59"/>
      <c r="D776" s="59"/>
      <c r="I776" s="59"/>
      <c r="J776" s="59"/>
    </row>
    <row r="777" ht="12.75" customHeight="1">
      <c r="C777" s="59"/>
      <c r="D777" s="59"/>
      <c r="I777" s="59"/>
      <c r="J777" s="59"/>
    </row>
    <row r="778" ht="12.75" customHeight="1">
      <c r="C778" s="59"/>
      <c r="D778" s="59"/>
      <c r="I778" s="59"/>
      <c r="J778" s="59"/>
    </row>
    <row r="779" ht="12.75" customHeight="1">
      <c r="C779" s="59"/>
      <c r="D779" s="59"/>
      <c r="I779" s="59"/>
      <c r="J779" s="59"/>
    </row>
    <row r="780" ht="12.75" customHeight="1">
      <c r="C780" s="59"/>
      <c r="D780" s="59"/>
      <c r="I780" s="59"/>
      <c r="J780" s="59"/>
    </row>
    <row r="781" ht="12.75" customHeight="1">
      <c r="C781" s="59"/>
      <c r="D781" s="59"/>
      <c r="I781" s="59"/>
      <c r="J781" s="59"/>
    </row>
    <row r="782" ht="12.75" customHeight="1">
      <c r="C782" s="59"/>
      <c r="D782" s="59"/>
      <c r="I782" s="59"/>
      <c r="J782" s="59"/>
    </row>
    <row r="783" ht="12.75" customHeight="1">
      <c r="C783" s="59"/>
      <c r="D783" s="59"/>
      <c r="I783" s="59"/>
      <c r="J783" s="59"/>
    </row>
    <row r="784" ht="12.75" customHeight="1">
      <c r="C784" s="59"/>
      <c r="D784" s="59"/>
      <c r="I784" s="59"/>
      <c r="J784" s="59"/>
    </row>
    <row r="785" ht="12.75" customHeight="1">
      <c r="C785" s="59"/>
      <c r="D785" s="59"/>
      <c r="I785" s="59"/>
      <c r="J785" s="59"/>
    </row>
    <row r="786" ht="12.75" customHeight="1">
      <c r="C786" s="59"/>
      <c r="D786" s="59"/>
      <c r="I786" s="59"/>
      <c r="J786" s="59"/>
    </row>
    <row r="787" ht="12.75" customHeight="1">
      <c r="C787" s="59"/>
      <c r="D787" s="59"/>
      <c r="I787" s="59"/>
      <c r="J787" s="59"/>
    </row>
    <row r="788" ht="12.75" customHeight="1">
      <c r="C788" s="59"/>
      <c r="D788" s="59"/>
      <c r="I788" s="59"/>
      <c r="J788" s="59"/>
    </row>
    <row r="789" ht="12.75" customHeight="1">
      <c r="C789" s="59"/>
      <c r="D789" s="59"/>
      <c r="I789" s="59"/>
      <c r="J789" s="59"/>
    </row>
    <row r="790" ht="12.75" customHeight="1">
      <c r="C790" s="59"/>
      <c r="D790" s="59"/>
      <c r="I790" s="59"/>
      <c r="J790" s="59"/>
    </row>
    <row r="791" ht="12.75" customHeight="1">
      <c r="C791" s="59"/>
      <c r="D791" s="59"/>
      <c r="I791" s="59"/>
      <c r="J791" s="59"/>
    </row>
    <row r="792" ht="12.75" customHeight="1">
      <c r="C792" s="59"/>
      <c r="D792" s="59"/>
      <c r="I792" s="59"/>
      <c r="J792" s="59"/>
    </row>
    <row r="793" ht="12.75" customHeight="1">
      <c r="C793" s="59"/>
      <c r="D793" s="59"/>
      <c r="I793" s="59"/>
      <c r="J793" s="59"/>
    </row>
    <row r="794" ht="12.75" customHeight="1">
      <c r="C794" s="59"/>
      <c r="D794" s="59"/>
      <c r="I794" s="59"/>
      <c r="J794" s="59"/>
    </row>
    <row r="795" ht="12.75" customHeight="1">
      <c r="C795" s="59"/>
      <c r="D795" s="59"/>
      <c r="I795" s="59"/>
      <c r="J795" s="59"/>
    </row>
    <row r="796" ht="12.75" customHeight="1">
      <c r="C796" s="59"/>
      <c r="D796" s="59"/>
      <c r="I796" s="59"/>
      <c r="J796" s="59"/>
    </row>
    <row r="797" ht="12.75" customHeight="1">
      <c r="C797" s="59"/>
      <c r="D797" s="59"/>
      <c r="I797" s="59"/>
      <c r="J797" s="59"/>
    </row>
    <row r="798" ht="12.75" customHeight="1">
      <c r="C798" s="59"/>
      <c r="D798" s="59"/>
      <c r="I798" s="59"/>
      <c r="J798" s="59"/>
    </row>
    <row r="799" ht="12.75" customHeight="1">
      <c r="C799" s="59"/>
      <c r="D799" s="59"/>
      <c r="I799" s="59"/>
      <c r="J799" s="59"/>
    </row>
    <row r="800" ht="12.75" customHeight="1">
      <c r="C800" s="59"/>
      <c r="D800" s="59"/>
      <c r="I800" s="59"/>
      <c r="J800" s="59"/>
    </row>
    <row r="801" ht="12.75" customHeight="1">
      <c r="C801" s="59"/>
      <c r="D801" s="59"/>
      <c r="I801" s="59"/>
      <c r="J801" s="59"/>
    </row>
    <row r="802" ht="12.75" customHeight="1">
      <c r="C802" s="59"/>
      <c r="D802" s="59"/>
      <c r="I802" s="59"/>
      <c r="J802" s="59"/>
    </row>
    <row r="803" ht="12.75" customHeight="1">
      <c r="C803" s="59"/>
      <c r="D803" s="59"/>
      <c r="I803" s="59"/>
      <c r="J803" s="59"/>
    </row>
    <row r="804" ht="12.75" customHeight="1">
      <c r="C804" s="59"/>
      <c r="D804" s="59"/>
      <c r="I804" s="59"/>
      <c r="J804" s="59"/>
    </row>
    <row r="805" ht="12.75" customHeight="1">
      <c r="C805" s="59"/>
      <c r="D805" s="59"/>
      <c r="I805" s="59"/>
      <c r="J805" s="59"/>
    </row>
    <row r="806" ht="12.75" customHeight="1">
      <c r="C806" s="59"/>
      <c r="D806" s="59"/>
      <c r="I806" s="59"/>
      <c r="J806" s="59"/>
    </row>
    <row r="807" ht="12.75" customHeight="1">
      <c r="C807" s="59"/>
      <c r="D807" s="59"/>
      <c r="I807" s="59"/>
      <c r="J807" s="59"/>
    </row>
    <row r="808" ht="12.75" customHeight="1">
      <c r="C808" s="59"/>
      <c r="D808" s="59"/>
      <c r="I808" s="59"/>
      <c r="J808" s="59"/>
    </row>
    <row r="809" ht="12.75" customHeight="1">
      <c r="C809" s="59"/>
      <c r="D809" s="59"/>
      <c r="I809" s="59"/>
      <c r="J809" s="59"/>
    </row>
    <row r="810" ht="12.75" customHeight="1">
      <c r="C810" s="59"/>
      <c r="D810" s="59"/>
      <c r="I810" s="59"/>
      <c r="J810" s="59"/>
    </row>
    <row r="811" ht="12.75" customHeight="1">
      <c r="C811" s="59"/>
      <c r="D811" s="59"/>
      <c r="I811" s="59"/>
      <c r="J811" s="59"/>
    </row>
    <row r="812" ht="12.75" customHeight="1">
      <c r="C812" s="59"/>
      <c r="D812" s="59"/>
      <c r="I812" s="59"/>
      <c r="J812" s="59"/>
    </row>
    <row r="813" ht="12.75" customHeight="1">
      <c r="C813" s="59"/>
      <c r="D813" s="59"/>
      <c r="I813" s="59"/>
      <c r="J813" s="59"/>
    </row>
    <row r="814" ht="12.75" customHeight="1">
      <c r="C814" s="59"/>
      <c r="D814" s="59"/>
      <c r="I814" s="59"/>
      <c r="J814" s="59"/>
    </row>
    <row r="815" ht="12.75" customHeight="1">
      <c r="C815" s="59"/>
      <c r="D815" s="59"/>
      <c r="I815" s="59"/>
      <c r="J815" s="59"/>
    </row>
    <row r="816" ht="12.75" customHeight="1">
      <c r="C816" s="59"/>
      <c r="D816" s="59"/>
      <c r="I816" s="59"/>
      <c r="J816" s="59"/>
    </row>
    <row r="817" ht="12.75" customHeight="1">
      <c r="C817" s="59"/>
      <c r="D817" s="59"/>
      <c r="I817" s="59"/>
      <c r="J817" s="59"/>
    </row>
    <row r="818" ht="12.75" customHeight="1">
      <c r="C818" s="59"/>
      <c r="D818" s="59"/>
      <c r="I818" s="59"/>
      <c r="J818" s="59"/>
    </row>
    <row r="819" ht="12.75" customHeight="1">
      <c r="C819" s="59"/>
      <c r="D819" s="59"/>
      <c r="I819" s="59"/>
      <c r="J819" s="59"/>
    </row>
    <row r="820" ht="12.75" customHeight="1">
      <c r="C820" s="59"/>
      <c r="D820" s="59"/>
      <c r="I820" s="59"/>
      <c r="J820" s="59"/>
    </row>
    <row r="821" ht="12.75" customHeight="1">
      <c r="C821" s="59"/>
      <c r="D821" s="59"/>
      <c r="I821" s="59"/>
      <c r="J821" s="59"/>
    </row>
    <row r="822" ht="12.75" customHeight="1">
      <c r="C822" s="59"/>
      <c r="D822" s="59"/>
      <c r="I822" s="59"/>
      <c r="J822" s="59"/>
    </row>
    <row r="823" ht="12.75" customHeight="1">
      <c r="C823" s="59"/>
      <c r="D823" s="59"/>
      <c r="I823" s="59"/>
      <c r="J823" s="59"/>
    </row>
    <row r="824" ht="12.75" customHeight="1">
      <c r="C824" s="59"/>
      <c r="D824" s="59"/>
      <c r="I824" s="59"/>
      <c r="J824" s="59"/>
    </row>
    <row r="825" ht="12.75" customHeight="1">
      <c r="C825" s="59"/>
      <c r="D825" s="59"/>
      <c r="I825" s="59"/>
      <c r="J825" s="59"/>
    </row>
    <row r="826" ht="12.75" customHeight="1">
      <c r="C826" s="59"/>
      <c r="D826" s="59"/>
      <c r="I826" s="59"/>
      <c r="J826" s="59"/>
    </row>
    <row r="827" ht="12.75" customHeight="1">
      <c r="C827" s="59"/>
      <c r="D827" s="59"/>
      <c r="I827" s="59"/>
      <c r="J827" s="59"/>
    </row>
    <row r="828" ht="12.75" customHeight="1">
      <c r="C828" s="59"/>
      <c r="D828" s="59"/>
      <c r="I828" s="59"/>
      <c r="J828" s="59"/>
    </row>
    <row r="829" ht="12.75" customHeight="1">
      <c r="C829" s="59"/>
      <c r="D829" s="59"/>
      <c r="I829" s="59"/>
      <c r="J829" s="59"/>
    </row>
    <row r="830" ht="12.75" customHeight="1">
      <c r="C830" s="59"/>
      <c r="D830" s="59"/>
      <c r="I830" s="59"/>
      <c r="J830" s="59"/>
    </row>
    <row r="831" ht="12.75" customHeight="1">
      <c r="C831" s="59"/>
      <c r="D831" s="59"/>
      <c r="I831" s="59"/>
      <c r="J831" s="59"/>
    </row>
    <row r="832" ht="12.75" customHeight="1">
      <c r="C832" s="59"/>
      <c r="D832" s="59"/>
      <c r="I832" s="59"/>
      <c r="J832" s="59"/>
    </row>
    <row r="833" ht="12.75" customHeight="1">
      <c r="C833" s="59"/>
      <c r="D833" s="59"/>
      <c r="I833" s="59"/>
      <c r="J833" s="59"/>
    </row>
    <row r="834" ht="12.75" customHeight="1">
      <c r="C834" s="59"/>
      <c r="D834" s="59"/>
      <c r="I834" s="59"/>
      <c r="J834" s="59"/>
    </row>
    <row r="835" ht="12.75" customHeight="1">
      <c r="C835" s="59"/>
      <c r="D835" s="59"/>
      <c r="I835" s="59"/>
      <c r="J835" s="59"/>
    </row>
    <row r="836" ht="12.75" customHeight="1">
      <c r="C836" s="59"/>
      <c r="D836" s="59"/>
      <c r="I836" s="59"/>
      <c r="J836" s="59"/>
    </row>
    <row r="837" ht="12.75" customHeight="1">
      <c r="C837" s="59"/>
      <c r="D837" s="59"/>
      <c r="I837" s="59"/>
      <c r="J837" s="59"/>
    </row>
    <row r="838" ht="12.75" customHeight="1">
      <c r="C838" s="59"/>
      <c r="D838" s="59"/>
      <c r="I838" s="59"/>
      <c r="J838" s="59"/>
    </row>
    <row r="839" ht="12.75" customHeight="1">
      <c r="C839" s="59"/>
      <c r="D839" s="59"/>
      <c r="I839" s="59"/>
      <c r="J839" s="59"/>
    </row>
    <row r="840" ht="12.75" customHeight="1">
      <c r="C840" s="59"/>
      <c r="D840" s="59"/>
      <c r="I840" s="59"/>
      <c r="J840" s="59"/>
    </row>
    <row r="841" ht="12.75" customHeight="1">
      <c r="C841" s="59"/>
      <c r="D841" s="59"/>
      <c r="I841" s="59"/>
      <c r="J841" s="59"/>
    </row>
    <row r="842" ht="12.75" customHeight="1">
      <c r="C842" s="59"/>
      <c r="D842" s="59"/>
      <c r="I842" s="59"/>
      <c r="J842" s="59"/>
    </row>
    <row r="843" ht="12.75" customHeight="1">
      <c r="C843" s="59"/>
      <c r="D843" s="59"/>
      <c r="I843" s="59"/>
      <c r="J843" s="59"/>
    </row>
    <row r="844" ht="12.75" customHeight="1">
      <c r="C844" s="59"/>
      <c r="D844" s="59"/>
      <c r="I844" s="59"/>
      <c r="J844" s="59"/>
    </row>
    <row r="845" ht="12.75" customHeight="1">
      <c r="C845" s="59"/>
      <c r="D845" s="59"/>
      <c r="I845" s="59"/>
      <c r="J845" s="59"/>
    </row>
    <row r="846" ht="12.75" customHeight="1">
      <c r="C846" s="59"/>
      <c r="D846" s="59"/>
      <c r="I846" s="59"/>
      <c r="J846" s="59"/>
    </row>
    <row r="847" ht="12.75" customHeight="1">
      <c r="C847" s="59"/>
      <c r="D847" s="59"/>
      <c r="I847" s="59"/>
      <c r="J847" s="59"/>
    </row>
    <row r="848" ht="12.75" customHeight="1">
      <c r="C848" s="59"/>
      <c r="D848" s="59"/>
      <c r="I848" s="59"/>
      <c r="J848" s="59"/>
    </row>
    <row r="849" ht="12.75" customHeight="1">
      <c r="C849" s="59"/>
      <c r="D849" s="59"/>
      <c r="I849" s="59"/>
      <c r="J849" s="59"/>
    </row>
    <row r="850" ht="12.75" customHeight="1">
      <c r="C850" s="59"/>
      <c r="D850" s="59"/>
      <c r="I850" s="59"/>
      <c r="J850" s="59"/>
    </row>
    <row r="851" ht="12.75" customHeight="1">
      <c r="C851" s="59"/>
      <c r="D851" s="59"/>
      <c r="I851" s="59"/>
      <c r="J851" s="59"/>
    </row>
    <row r="852" ht="12.75" customHeight="1">
      <c r="C852" s="59"/>
      <c r="D852" s="59"/>
      <c r="I852" s="59"/>
      <c r="J852" s="59"/>
    </row>
    <row r="853" ht="12.75" customHeight="1">
      <c r="C853" s="59"/>
      <c r="D853" s="59"/>
      <c r="I853" s="59"/>
      <c r="J853" s="59"/>
    </row>
    <row r="854" ht="12.75" customHeight="1">
      <c r="C854" s="59"/>
      <c r="D854" s="59"/>
      <c r="I854" s="59"/>
      <c r="J854" s="59"/>
    </row>
    <row r="855" ht="12.75" customHeight="1">
      <c r="C855" s="59"/>
      <c r="D855" s="59"/>
      <c r="I855" s="59"/>
      <c r="J855" s="59"/>
    </row>
    <row r="856" ht="12.75" customHeight="1">
      <c r="C856" s="59"/>
      <c r="D856" s="59"/>
      <c r="I856" s="59"/>
      <c r="J856" s="59"/>
    </row>
    <row r="857" ht="12.75" customHeight="1">
      <c r="C857" s="59"/>
      <c r="D857" s="59"/>
      <c r="I857" s="59"/>
      <c r="J857" s="59"/>
    </row>
    <row r="858" ht="12.75" customHeight="1">
      <c r="C858" s="59"/>
      <c r="D858" s="59"/>
      <c r="I858" s="59"/>
      <c r="J858" s="59"/>
    </row>
    <row r="859" ht="12.75" customHeight="1">
      <c r="C859" s="59"/>
      <c r="D859" s="59"/>
      <c r="I859" s="59"/>
      <c r="J859" s="59"/>
    </row>
    <row r="860" ht="12.75" customHeight="1">
      <c r="C860" s="59"/>
      <c r="D860" s="59"/>
      <c r="I860" s="59"/>
      <c r="J860" s="59"/>
    </row>
    <row r="861" ht="12.75" customHeight="1">
      <c r="C861" s="59"/>
      <c r="D861" s="59"/>
      <c r="I861" s="59"/>
      <c r="J861" s="59"/>
    </row>
    <row r="862" ht="12.75" customHeight="1">
      <c r="C862" s="59"/>
      <c r="D862" s="59"/>
      <c r="I862" s="59"/>
      <c r="J862" s="59"/>
    </row>
    <row r="863" ht="12.75" customHeight="1">
      <c r="C863" s="59"/>
      <c r="D863" s="59"/>
      <c r="I863" s="59"/>
      <c r="J863" s="59"/>
    </row>
    <row r="864" ht="12.75" customHeight="1">
      <c r="C864" s="59"/>
      <c r="D864" s="59"/>
      <c r="I864" s="59"/>
      <c r="J864" s="59"/>
    </row>
    <row r="865" ht="12.75" customHeight="1">
      <c r="C865" s="59"/>
      <c r="D865" s="59"/>
      <c r="I865" s="59"/>
      <c r="J865" s="59"/>
    </row>
    <row r="866" ht="12.75" customHeight="1">
      <c r="C866" s="59"/>
      <c r="D866" s="59"/>
      <c r="I866" s="59"/>
      <c r="J866" s="59"/>
    </row>
    <row r="867" ht="12.75" customHeight="1">
      <c r="C867" s="59"/>
      <c r="D867" s="59"/>
      <c r="I867" s="59"/>
      <c r="J867" s="59"/>
    </row>
    <row r="868" ht="12.75" customHeight="1">
      <c r="C868" s="59"/>
      <c r="D868" s="59"/>
      <c r="I868" s="59"/>
      <c r="J868" s="59"/>
    </row>
    <row r="869" ht="12.75" customHeight="1">
      <c r="C869" s="59"/>
      <c r="D869" s="59"/>
      <c r="I869" s="59"/>
      <c r="J869" s="59"/>
    </row>
    <row r="870" ht="12.75" customHeight="1">
      <c r="C870" s="59"/>
      <c r="D870" s="59"/>
      <c r="I870" s="59"/>
      <c r="J870" s="59"/>
    </row>
    <row r="871" ht="12.75" customHeight="1">
      <c r="C871" s="59"/>
      <c r="D871" s="59"/>
      <c r="I871" s="59"/>
      <c r="J871" s="59"/>
    </row>
    <row r="872" ht="12.75" customHeight="1">
      <c r="C872" s="59"/>
      <c r="D872" s="59"/>
      <c r="I872" s="59"/>
      <c r="J872" s="59"/>
    </row>
    <row r="873" ht="12.75" customHeight="1">
      <c r="C873" s="59"/>
      <c r="D873" s="59"/>
      <c r="I873" s="59"/>
      <c r="J873" s="59"/>
    </row>
    <row r="874" ht="12.75" customHeight="1">
      <c r="C874" s="59"/>
      <c r="D874" s="59"/>
      <c r="I874" s="59"/>
      <c r="J874" s="59"/>
    </row>
    <row r="875" ht="12.75" customHeight="1">
      <c r="C875" s="59"/>
      <c r="D875" s="59"/>
      <c r="I875" s="59"/>
      <c r="J875" s="59"/>
    </row>
    <row r="876" ht="12.75" customHeight="1">
      <c r="C876" s="59"/>
      <c r="D876" s="59"/>
      <c r="I876" s="59"/>
      <c r="J876" s="59"/>
    </row>
    <row r="877" ht="12.75" customHeight="1">
      <c r="C877" s="59"/>
      <c r="D877" s="59"/>
      <c r="I877" s="59"/>
      <c r="J877" s="59"/>
    </row>
    <row r="878" ht="12.75" customHeight="1">
      <c r="C878" s="59"/>
      <c r="D878" s="59"/>
      <c r="I878" s="59"/>
      <c r="J878" s="59"/>
    </row>
    <row r="879" ht="12.75" customHeight="1">
      <c r="C879" s="59"/>
      <c r="D879" s="59"/>
      <c r="I879" s="59"/>
      <c r="J879" s="59"/>
    </row>
    <row r="880" ht="12.75" customHeight="1">
      <c r="C880" s="59"/>
      <c r="D880" s="59"/>
      <c r="I880" s="59"/>
      <c r="J880" s="59"/>
    </row>
    <row r="881" ht="12.75" customHeight="1">
      <c r="C881" s="59"/>
      <c r="D881" s="59"/>
      <c r="I881" s="59"/>
      <c r="J881" s="59"/>
    </row>
    <row r="882" ht="12.75" customHeight="1">
      <c r="C882" s="59"/>
      <c r="D882" s="59"/>
      <c r="I882" s="59"/>
      <c r="J882" s="59"/>
    </row>
    <row r="883" ht="12.75" customHeight="1">
      <c r="C883" s="59"/>
      <c r="D883" s="59"/>
      <c r="I883" s="59"/>
      <c r="J883" s="59"/>
    </row>
    <row r="884" ht="12.75" customHeight="1">
      <c r="C884" s="59"/>
      <c r="D884" s="59"/>
      <c r="I884" s="59"/>
      <c r="J884" s="59"/>
    </row>
    <row r="885" ht="12.75" customHeight="1">
      <c r="C885" s="59"/>
      <c r="D885" s="59"/>
      <c r="I885" s="59"/>
      <c r="J885" s="59"/>
    </row>
    <row r="886" ht="12.75" customHeight="1">
      <c r="C886" s="59"/>
      <c r="D886" s="59"/>
      <c r="I886" s="59"/>
      <c r="J886" s="59"/>
    </row>
    <row r="887" ht="12.75" customHeight="1">
      <c r="C887" s="59"/>
      <c r="D887" s="59"/>
      <c r="I887" s="59"/>
      <c r="J887" s="59"/>
    </row>
    <row r="888" ht="12.75" customHeight="1">
      <c r="C888" s="59"/>
      <c r="D888" s="59"/>
      <c r="I888" s="59"/>
      <c r="J888" s="59"/>
    </row>
    <row r="889" ht="12.75" customHeight="1">
      <c r="C889" s="59"/>
      <c r="D889" s="59"/>
      <c r="I889" s="59"/>
      <c r="J889" s="59"/>
    </row>
    <row r="890" ht="12.75" customHeight="1">
      <c r="C890" s="59"/>
      <c r="D890" s="59"/>
      <c r="I890" s="59"/>
      <c r="J890" s="59"/>
    </row>
    <row r="891" ht="12.75" customHeight="1">
      <c r="C891" s="59"/>
      <c r="D891" s="59"/>
      <c r="I891" s="59"/>
      <c r="J891" s="59"/>
    </row>
    <row r="892" ht="12.75" customHeight="1">
      <c r="C892" s="59"/>
      <c r="D892" s="59"/>
      <c r="I892" s="59"/>
      <c r="J892" s="59"/>
    </row>
    <row r="893" ht="12.75" customHeight="1">
      <c r="C893" s="59"/>
      <c r="D893" s="59"/>
      <c r="I893" s="59"/>
      <c r="J893" s="59"/>
    </row>
    <row r="894" ht="12.75" customHeight="1">
      <c r="C894" s="59"/>
      <c r="D894" s="59"/>
      <c r="I894" s="59"/>
      <c r="J894" s="59"/>
    </row>
    <row r="895" ht="12.75" customHeight="1">
      <c r="C895" s="59"/>
      <c r="D895" s="59"/>
      <c r="I895" s="59"/>
      <c r="J895" s="59"/>
    </row>
    <row r="896" ht="12.75" customHeight="1">
      <c r="C896" s="59"/>
      <c r="D896" s="59"/>
      <c r="I896" s="59"/>
      <c r="J896" s="59"/>
    </row>
    <row r="897" ht="12.75" customHeight="1">
      <c r="C897" s="59"/>
      <c r="D897" s="59"/>
      <c r="I897" s="59"/>
      <c r="J897" s="59"/>
    </row>
    <row r="898" ht="12.75" customHeight="1">
      <c r="C898" s="59"/>
      <c r="D898" s="59"/>
      <c r="I898" s="59"/>
      <c r="J898" s="59"/>
    </row>
    <row r="899" ht="12.75" customHeight="1">
      <c r="C899" s="59"/>
      <c r="D899" s="59"/>
      <c r="I899" s="59"/>
      <c r="J899" s="59"/>
    </row>
    <row r="900" ht="12.75" customHeight="1">
      <c r="C900" s="59"/>
      <c r="D900" s="59"/>
      <c r="I900" s="59"/>
      <c r="J900" s="59"/>
    </row>
    <row r="901" ht="12.75" customHeight="1">
      <c r="C901" s="59"/>
      <c r="D901" s="59"/>
      <c r="I901" s="59"/>
      <c r="J901" s="59"/>
    </row>
    <row r="902" ht="12.75" customHeight="1">
      <c r="C902" s="59"/>
      <c r="D902" s="59"/>
      <c r="I902" s="59"/>
      <c r="J902" s="59"/>
    </row>
    <row r="903" ht="12.75" customHeight="1">
      <c r="C903" s="59"/>
      <c r="D903" s="59"/>
      <c r="I903" s="59"/>
      <c r="J903" s="59"/>
    </row>
    <row r="904" ht="12.75" customHeight="1">
      <c r="C904" s="59"/>
      <c r="D904" s="59"/>
      <c r="I904" s="59"/>
      <c r="J904" s="59"/>
    </row>
    <row r="905" ht="12.75" customHeight="1">
      <c r="C905" s="59"/>
      <c r="D905" s="59"/>
      <c r="I905" s="59"/>
      <c r="J905" s="59"/>
    </row>
    <row r="906" ht="12.75" customHeight="1">
      <c r="C906" s="59"/>
      <c r="D906" s="59"/>
      <c r="I906" s="59"/>
      <c r="J906" s="59"/>
    </row>
    <row r="907" ht="12.75" customHeight="1">
      <c r="C907" s="59"/>
      <c r="D907" s="59"/>
      <c r="I907" s="59"/>
      <c r="J907" s="59"/>
    </row>
    <row r="908" ht="12.75" customHeight="1">
      <c r="C908" s="59"/>
      <c r="D908" s="59"/>
      <c r="I908" s="59"/>
      <c r="J908" s="59"/>
    </row>
    <row r="909" ht="12.75" customHeight="1">
      <c r="C909" s="59"/>
      <c r="D909" s="59"/>
      <c r="I909" s="59"/>
      <c r="J909" s="59"/>
    </row>
    <row r="910" ht="12.75" customHeight="1">
      <c r="C910" s="59"/>
      <c r="D910" s="59"/>
      <c r="I910" s="59"/>
      <c r="J910" s="59"/>
    </row>
    <row r="911" ht="12.75" customHeight="1">
      <c r="C911" s="59"/>
      <c r="D911" s="59"/>
      <c r="I911" s="59"/>
      <c r="J911" s="59"/>
    </row>
    <row r="912" ht="12.75" customHeight="1">
      <c r="C912" s="59"/>
      <c r="D912" s="59"/>
      <c r="I912" s="59"/>
      <c r="J912" s="59"/>
    </row>
    <row r="913" ht="12.75" customHeight="1">
      <c r="C913" s="59"/>
      <c r="D913" s="59"/>
      <c r="I913" s="59"/>
      <c r="J913" s="59"/>
    </row>
    <row r="914" ht="12.75" customHeight="1">
      <c r="C914" s="59"/>
      <c r="D914" s="59"/>
      <c r="I914" s="59"/>
      <c r="J914" s="59"/>
    </row>
    <row r="915" ht="12.75" customHeight="1">
      <c r="C915" s="59"/>
      <c r="D915" s="59"/>
      <c r="I915" s="59"/>
      <c r="J915" s="59"/>
    </row>
    <row r="916" ht="12.75" customHeight="1">
      <c r="C916" s="59"/>
      <c r="D916" s="59"/>
      <c r="I916" s="59"/>
      <c r="J916" s="59"/>
    </row>
    <row r="917" ht="12.75" customHeight="1">
      <c r="C917" s="59"/>
      <c r="D917" s="59"/>
      <c r="I917" s="59"/>
      <c r="J917" s="59"/>
    </row>
    <row r="918" ht="12.75" customHeight="1">
      <c r="C918" s="59"/>
      <c r="D918" s="59"/>
      <c r="I918" s="59"/>
      <c r="J918" s="59"/>
    </row>
    <row r="919" ht="12.75" customHeight="1">
      <c r="C919" s="59"/>
      <c r="D919" s="59"/>
      <c r="I919" s="59"/>
      <c r="J919" s="59"/>
    </row>
    <row r="920" ht="12.75" customHeight="1">
      <c r="C920" s="59"/>
      <c r="D920" s="59"/>
      <c r="I920" s="59"/>
      <c r="J920" s="59"/>
    </row>
    <row r="921" ht="12.75" customHeight="1">
      <c r="C921" s="59"/>
      <c r="D921" s="59"/>
      <c r="I921" s="59"/>
      <c r="J921" s="59"/>
    </row>
    <row r="922" ht="12.75" customHeight="1">
      <c r="C922" s="59"/>
      <c r="D922" s="59"/>
      <c r="I922" s="59"/>
      <c r="J922" s="59"/>
    </row>
    <row r="923" ht="12.75" customHeight="1">
      <c r="C923" s="59"/>
      <c r="D923" s="59"/>
      <c r="I923" s="59"/>
      <c r="J923" s="59"/>
    </row>
    <row r="924" ht="12.75" customHeight="1">
      <c r="C924" s="59"/>
      <c r="D924" s="59"/>
      <c r="I924" s="59"/>
      <c r="J924" s="59"/>
    </row>
    <row r="925" ht="12.75" customHeight="1">
      <c r="C925" s="59"/>
      <c r="D925" s="59"/>
      <c r="I925" s="59"/>
      <c r="J925" s="59"/>
    </row>
    <row r="926" ht="12.75" customHeight="1">
      <c r="C926" s="59"/>
      <c r="D926" s="59"/>
      <c r="I926" s="59"/>
      <c r="J926" s="59"/>
    </row>
    <row r="927" ht="12.75" customHeight="1">
      <c r="C927" s="59"/>
      <c r="D927" s="59"/>
      <c r="I927" s="59"/>
      <c r="J927" s="59"/>
    </row>
    <row r="928" ht="12.75" customHeight="1">
      <c r="C928" s="59"/>
      <c r="D928" s="59"/>
      <c r="I928" s="59"/>
      <c r="J928" s="59"/>
    </row>
    <row r="929" ht="12.75" customHeight="1">
      <c r="C929" s="59"/>
      <c r="D929" s="59"/>
      <c r="I929" s="59"/>
      <c r="J929" s="59"/>
    </row>
    <row r="930" ht="12.75" customHeight="1">
      <c r="C930" s="59"/>
      <c r="D930" s="59"/>
      <c r="I930" s="59"/>
      <c r="J930" s="59"/>
    </row>
    <row r="931" ht="12.75" customHeight="1">
      <c r="C931" s="59"/>
      <c r="D931" s="59"/>
      <c r="I931" s="59"/>
      <c r="J931" s="59"/>
    </row>
    <row r="932" ht="12.75" customHeight="1">
      <c r="C932" s="59"/>
      <c r="D932" s="59"/>
      <c r="I932" s="59"/>
      <c r="J932" s="59"/>
    </row>
    <row r="933" ht="12.75" customHeight="1">
      <c r="C933" s="59"/>
      <c r="D933" s="59"/>
      <c r="I933" s="59"/>
      <c r="J933" s="59"/>
    </row>
    <row r="934" ht="12.75" customHeight="1">
      <c r="C934" s="59"/>
      <c r="D934" s="59"/>
      <c r="I934" s="59"/>
      <c r="J934" s="59"/>
    </row>
    <row r="935" ht="12.75" customHeight="1">
      <c r="C935" s="59"/>
      <c r="D935" s="59"/>
      <c r="I935" s="59"/>
      <c r="J935" s="59"/>
    </row>
    <row r="936" ht="12.75" customHeight="1">
      <c r="C936" s="59"/>
      <c r="D936" s="59"/>
      <c r="I936" s="59"/>
      <c r="J936" s="59"/>
    </row>
    <row r="937" ht="12.75" customHeight="1">
      <c r="C937" s="59"/>
      <c r="D937" s="59"/>
      <c r="I937" s="59"/>
      <c r="J937" s="59"/>
    </row>
    <row r="938" ht="12.75" customHeight="1">
      <c r="C938" s="59"/>
      <c r="D938" s="59"/>
      <c r="I938" s="59"/>
      <c r="J938" s="59"/>
    </row>
    <row r="939" ht="12.75" customHeight="1">
      <c r="C939" s="59"/>
      <c r="D939" s="59"/>
      <c r="I939" s="59"/>
      <c r="J939" s="59"/>
    </row>
    <row r="940" ht="12.75" customHeight="1">
      <c r="C940" s="59"/>
      <c r="D940" s="59"/>
      <c r="I940" s="59"/>
      <c r="J940" s="59"/>
    </row>
    <row r="941" ht="12.75" customHeight="1">
      <c r="C941" s="59"/>
      <c r="D941" s="59"/>
      <c r="I941" s="59"/>
      <c r="J941" s="59"/>
    </row>
    <row r="942" ht="12.75" customHeight="1">
      <c r="C942" s="59"/>
      <c r="D942" s="59"/>
      <c r="I942" s="59"/>
      <c r="J942" s="59"/>
    </row>
    <row r="943" ht="12.75" customHeight="1">
      <c r="C943" s="59"/>
      <c r="D943" s="59"/>
      <c r="I943" s="59"/>
      <c r="J943" s="59"/>
    </row>
    <row r="944" ht="12.75" customHeight="1">
      <c r="C944" s="59"/>
      <c r="D944" s="59"/>
      <c r="I944" s="59"/>
      <c r="J944" s="59"/>
    </row>
    <row r="945" ht="12.75" customHeight="1">
      <c r="C945" s="59"/>
      <c r="D945" s="59"/>
      <c r="I945" s="59"/>
      <c r="J945" s="59"/>
    </row>
    <row r="946" ht="12.75" customHeight="1">
      <c r="C946" s="59"/>
      <c r="D946" s="59"/>
      <c r="I946" s="59"/>
      <c r="J946" s="59"/>
    </row>
    <row r="947" ht="12.75" customHeight="1">
      <c r="C947" s="59"/>
      <c r="D947" s="59"/>
      <c r="I947" s="59"/>
      <c r="J947" s="59"/>
    </row>
    <row r="948" ht="12.75" customHeight="1">
      <c r="C948" s="59"/>
      <c r="D948" s="59"/>
      <c r="I948" s="59"/>
      <c r="J948" s="59"/>
    </row>
    <row r="949" ht="12.75" customHeight="1">
      <c r="C949" s="59"/>
      <c r="D949" s="59"/>
      <c r="I949" s="59"/>
      <c r="J949" s="59"/>
    </row>
    <row r="950" ht="12.75" customHeight="1">
      <c r="C950" s="59"/>
      <c r="D950" s="59"/>
      <c r="I950" s="59"/>
      <c r="J950" s="59"/>
    </row>
    <row r="951" ht="12.75" customHeight="1">
      <c r="C951" s="59"/>
      <c r="D951" s="59"/>
      <c r="I951" s="59"/>
      <c r="J951" s="59"/>
    </row>
    <row r="952" ht="12.75" customHeight="1">
      <c r="C952" s="59"/>
      <c r="D952" s="59"/>
      <c r="I952" s="59"/>
      <c r="J952" s="59"/>
    </row>
    <row r="953" ht="12.75" customHeight="1">
      <c r="C953" s="59"/>
      <c r="D953" s="59"/>
      <c r="I953" s="59"/>
      <c r="J953" s="59"/>
    </row>
    <row r="954" ht="12.75" customHeight="1">
      <c r="C954" s="59"/>
      <c r="D954" s="59"/>
      <c r="I954" s="59"/>
      <c r="J954" s="59"/>
    </row>
    <row r="955" ht="12.75" customHeight="1">
      <c r="C955" s="59"/>
      <c r="D955" s="59"/>
      <c r="I955" s="59"/>
      <c r="J955" s="59"/>
    </row>
    <row r="956" ht="12.75" customHeight="1">
      <c r="C956" s="59"/>
      <c r="D956" s="59"/>
      <c r="I956" s="59"/>
      <c r="J956" s="59"/>
    </row>
    <row r="957" ht="12.75" customHeight="1">
      <c r="C957" s="59"/>
      <c r="D957" s="59"/>
      <c r="I957" s="59"/>
      <c r="J957" s="59"/>
    </row>
    <row r="958" ht="12.75" customHeight="1">
      <c r="C958" s="59"/>
      <c r="D958" s="59"/>
      <c r="I958" s="59"/>
      <c r="J958" s="59"/>
    </row>
    <row r="959" ht="12.75" customHeight="1">
      <c r="C959" s="59"/>
      <c r="D959" s="59"/>
      <c r="I959" s="59"/>
      <c r="J959" s="59"/>
    </row>
    <row r="960" ht="12.75" customHeight="1">
      <c r="C960" s="59"/>
      <c r="D960" s="59"/>
      <c r="I960" s="59"/>
      <c r="J960" s="59"/>
    </row>
    <row r="961" ht="12.75" customHeight="1">
      <c r="C961" s="59"/>
      <c r="D961" s="59"/>
      <c r="I961" s="59"/>
      <c r="J961" s="59"/>
    </row>
    <row r="962" ht="12.75" customHeight="1">
      <c r="C962" s="59"/>
      <c r="D962" s="59"/>
      <c r="I962" s="59"/>
      <c r="J962" s="59"/>
    </row>
    <row r="963" ht="12.75" customHeight="1">
      <c r="C963" s="59"/>
      <c r="D963" s="59"/>
      <c r="I963" s="59"/>
      <c r="J963" s="59"/>
    </row>
    <row r="964" ht="12.75" customHeight="1">
      <c r="C964" s="59"/>
      <c r="D964" s="59"/>
      <c r="I964" s="59"/>
      <c r="J964" s="59"/>
    </row>
    <row r="965" ht="12.75" customHeight="1">
      <c r="C965" s="59"/>
      <c r="D965" s="59"/>
      <c r="I965" s="59"/>
      <c r="J965" s="59"/>
    </row>
    <row r="966" ht="12.75" customHeight="1">
      <c r="C966" s="59"/>
      <c r="D966" s="59"/>
      <c r="I966" s="59"/>
      <c r="J966" s="59"/>
    </row>
    <row r="967" ht="12.75" customHeight="1">
      <c r="C967" s="59"/>
      <c r="D967" s="59"/>
      <c r="I967" s="59"/>
      <c r="J967" s="59"/>
    </row>
    <row r="968" ht="12.75" customHeight="1">
      <c r="C968" s="59"/>
      <c r="D968" s="59"/>
      <c r="I968" s="59"/>
      <c r="J968" s="59"/>
    </row>
    <row r="969" ht="12.75" customHeight="1">
      <c r="C969" s="59"/>
      <c r="D969" s="59"/>
      <c r="I969" s="59"/>
      <c r="J969" s="59"/>
    </row>
    <row r="970" ht="12.75" customHeight="1">
      <c r="C970" s="59"/>
      <c r="D970" s="59"/>
      <c r="I970" s="59"/>
      <c r="J970" s="59"/>
    </row>
    <row r="971" ht="12.75" customHeight="1">
      <c r="C971" s="59"/>
      <c r="D971" s="59"/>
      <c r="I971" s="59"/>
      <c r="J971" s="59"/>
    </row>
    <row r="972" ht="12.75" customHeight="1">
      <c r="C972" s="59"/>
      <c r="D972" s="59"/>
      <c r="I972" s="59"/>
      <c r="J972" s="59"/>
    </row>
    <row r="973" ht="12.75" customHeight="1">
      <c r="C973" s="59"/>
      <c r="D973" s="59"/>
      <c r="I973" s="59"/>
      <c r="J973" s="59"/>
    </row>
    <row r="974" ht="12.75" customHeight="1">
      <c r="C974" s="59"/>
      <c r="D974" s="59"/>
      <c r="I974" s="59"/>
      <c r="J974" s="59"/>
    </row>
    <row r="975" ht="12.75" customHeight="1">
      <c r="C975" s="59"/>
      <c r="D975" s="59"/>
      <c r="I975" s="59"/>
      <c r="J975" s="59"/>
    </row>
    <row r="976" ht="12.75" customHeight="1">
      <c r="C976" s="59"/>
      <c r="D976" s="59"/>
      <c r="I976" s="59"/>
      <c r="J976" s="59"/>
    </row>
    <row r="977" ht="12.75" customHeight="1">
      <c r="C977" s="59"/>
      <c r="D977" s="59"/>
      <c r="I977" s="59"/>
      <c r="J977" s="59"/>
    </row>
    <row r="978" ht="12.75" customHeight="1">
      <c r="C978" s="59"/>
      <c r="D978" s="59"/>
      <c r="I978" s="59"/>
      <c r="J978" s="59"/>
    </row>
    <row r="979" ht="12.75" customHeight="1">
      <c r="C979" s="59"/>
      <c r="D979" s="59"/>
      <c r="I979" s="59"/>
      <c r="J979" s="59"/>
    </row>
    <row r="980" ht="12.75" customHeight="1">
      <c r="C980" s="59"/>
      <c r="D980" s="59"/>
      <c r="I980" s="59"/>
      <c r="J980" s="59"/>
    </row>
    <row r="981" ht="12.75" customHeight="1">
      <c r="C981" s="59"/>
      <c r="D981" s="59"/>
      <c r="I981" s="59"/>
      <c r="J981" s="59"/>
    </row>
    <row r="982" ht="12.75" customHeight="1">
      <c r="C982" s="59"/>
      <c r="D982" s="59"/>
      <c r="I982" s="59"/>
      <c r="J982" s="59"/>
    </row>
    <row r="983" ht="12.75" customHeight="1">
      <c r="C983" s="59"/>
      <c r="D983" s="59"/>
      <c r="I983" s="59"/>
      <c r="J983" s="59"/>
    </row>
    <row r="984" ht="12.75" customHeight="1">
      <c r="C984" s="59"/>
      <c r="D984" s="59"/>
      <c r="I984" s="59"/>
      <c r="J984" s="59"/>
    </row>
    <row r="985" ht="12.75" customHeight="1">
      <c r="C985" s="59"/>
      <c r="D985" s="59"/>
      <c r="I985" s="59"/>
      <c r="J985" s="59"/>
    </row>
    <row r="986" ht="12.75" customHeight="1">
      <c r="C986" s="59"/>
      <c r="D986" s="59"/>
      <c r="I986" s="59"/>
      <c r="J986" s="59"/>
    </row>
    <row r="987" ht="12.75" customHeight="1">
      <c r="C987" s="59"/>
      <c r="D987" s="59"/>
      <c r="I987" s="59"/>
      <c r="J987" s="59"/>
    </row>
    <row r="988" ht="12.75" customHeight="1">
      <c r="C988" s="59"/>
      <c r="D988" s="59"/>
      <c r="I988" s="59"/>
      <c r="J988" s="59"/>
    </row>
    <row r="989" ht="12.75" customHeight="1">
      <c r="C989" s="59"/>
      <c r="D989" s="59"/>
      <c r="I989" s="59"/>
      <c r="J989" s="59"/>
    </row>
    <row r="990" ht="12.75" customHeight="1">
      <c r="C990" s="59"/>
      <c r="D990" s="59"/>
      <c r="I990" s="59"/>
      <c r="J990" s="59"/>
    </row>
    <row r="991" ht="12.75" customHeight="1">
      <c r="C991" s="59"/>
      <c r="D991" s="59"/>
      <c r="I991" s="59"/>
      <c r="J991" s="59"/>
    </row>
    <row r="992" ht="12.75" customHeight="1">
      <c r="C992" s="59"/>
      <c r="D992" s="59"/>
      <c r="I992" s="59"/>
      <c r="J992" s="59"/>
    </row>
    <row r="993" ht="12.75" customHeight="1">
      <c r="C993" s="59"/>
      <c r="D993" s="59"/>
      <c r="I993" s="59"/>
      <c r="J993" s="59"/>
    </row>
    <row r="994" ht="12.75" customHeight="1">
      <c r="C994" s="59"/>
      <c r="D994" s="59"/>
      <c r="I994" s="59"/>
      <c r="J994" s="59"/>
    </row>
    <row r="995" ht="12.75" customHeight="1">
      <c r="C995" s="59"/>
      <c r="D995" s="59"/>
      <c r="I995" s="59"/>
      <c r="J995" s="59"/>
    </row>
    <row r="996" ht="12.75" customHeight="1">
      <c r="C996" s="59"/>
      <c r="D996" s="59"/>
      <c r="I996" s="59"/>
      <c r="J996" s="59"/>
    </row>
    <row r="997" ht="12.75" customHeight="1">
      <c r="C997" s="59"/>
      <c r="D997" s="59"/>
      <c r="I997" s="59"/>
      <c r="J997" s="59"/>
    </row>
    <row r="998" ht="12.75" customHeight="1">
      <c r="C998" s="59"/>
      <c r="D998" s="59"/>
      <c r="I998" s="59"/>
      <c r="J998" s="59"/>
    </row>
    <row r="999" ht="12.75" customHeight="1">
      <c r="C999" s="59"/>
      <c r="D999" s="59"/>
      <c r="I999" s="59"/>
      <c r="J999" s="59"/>
    </row>
    <row r="1000" ht="12.75" customHeight="1">
      <c r="C1000" s="59"/>
      <c r="D1000" s="59"/>
      <c r="I1000" s="59"/>
      <c r="J1000" s="59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63"/>
    <col customWidth="1" min="3" max="3" width="13.75"/>
    <col customWidth="1" min="4" max="4" width="11.38"/>
    <col customWidth="1" min="5" max="7" width="10.63"/>
    <col customWidth="1" min="8" max="10" width="11.38"/>
    <col customWidth="1" min="11" max="26" width="10.63"/>
  </cols>
  <sheetData>
    <row r="1" ht="12.75" customHeight="1">
      <c r="A1" s="41">
        <v>0.0</v>
      </c>
      <c r="B1" s="59">
        <f t="shared" ref="B1:B31" si="1">D1-C1</f>
        <v>0</v>
      </c>
      <c r="C1" s="59">
        <v>0.0</v>
      </c>
      <c r="D1" s="59">
        <v>0.0</v>
      </c>
      <c r="E1" s="59">
        <f t="shared" ref="E1:E31" si="2">D1*2.3681%</f>
        <v>0</v>
      </c>
      <c r="F1" s="59">
        <f t="shared" ref="F1:F31" si="3">D1-E1</f>
        <v>0</v>
      </c>
      <c r="H1" s="59"/>
      <c r="I1" s="59"/>
      <c r="J1" s="59"/>
      <c r="L1" s="41">
        <v>0.0</v>
      </c>
      <c r="M1" s="59">
        <v>0.0</v>
      </c>
    </row>
    <row r="2" ht="12.75" customHeight="1">
      <c r="A2" s="41">
        <v>1.0</v>
      </c>
      <c r="B2" s="59">
        <f t="shared" si="1"/>
        <v>9328</v>
      </c>
      <c r="C2" s="59">
        <v>1772.0</v>
      </c>
      <c r="D2" s="59">
        <v>11100.0</v>
      </c>
      <c r="E2" s="59">
        <f t="shared" si="2"/>
        <v>262.8591</v>
      </c>
      <c r="F2" s="59">
        <f t="shared" si="3"/>
        <v>10837.1409</v>
      </c>
      <c r="H2" s="59"/>
      <c r="I2" s="59"/>
      <c r="J2" s="59"/>
      <c r="L2" s="41">
        <v>1.0</v>
      </c>
      <c r="M2" s="59">
        <v>11100.0</v>
      </c>
    </row>
    <row r="3" ht="12.75" customHeight="1">
      <c r="A3" s="41">
        <v>2.0</v>
      </c>
      <c r="B3" s="59">
        <f t="shared" si="1"/>
        <v>18277</v>
      </c>
      <c r="C3" s="59">
        <f>2435+1038</f>
        <v>3473</v>
      </c>
      <c r="D3" s="59">
        <f>15250+6500</f>
        <v>21750</v>
      </c>
      <c r="E3" s="59">
        <f t="shared" si="2"/>
        <v>515.06175</v>
      </c>
      <c r="F3" s="59">
        <f t="shared" si="3"/>
        <v>21234.93825</v>
      </c>
      <c r="H3" s="59"/>
      <c r="I3" s="59"/>
      <c r="J3" s="59"/>
      <c r="L3" s="41">
        <v>2.0</v>
      </c>
      <c r="M3" s="59">
        <f>15250+6500</f>
        <v>21750</v>
      </c>
    </row>
    <row r="4" ht="12.75" customHeight="1">
      <c r="A4" s="41">
        <v>8.0</v>
      </c>
      <c r="B4" s="59">
        <f t="shared" si="1"/>
        <v>53697</v>
      </c>
      <c r="C4" s="59">
        <f>431+559+639+3193+1629+958+2443+351</f>
        <v>10203</v>
      </c>
      <c r="D4" s="59">
        <f>2700+3500+4000+20000+10200+6000+15300+2200</f>
        <v>63900</v>
      </c>
      <c r="E4" s="59">
        <f t="shared" si="2"/>
        <v>1513.2159</v>
      </c>
      <c r="F4" s="59">
        <f t="shared" si="3"/>
        <v>62386.7841</v>
      </c>
      <c r="G4" s="37"/>
      <c r="H4" s="59"/>
      <c r="I4" s="59"/>
      <c r="J4" s="59"/>
      <c r="L4" s="41">
        <v>8.0</v>
      </c>
      <c r="M4" s="59">
        <f>2700+3500+4000+20000+10200+6000+15300+2200</f>
        <v>63900</v>
      </c>
    </row>
    <row r="5" ht="12.75" customHeight="1">
      <c r="A5" s="41">
        <v>2.0</v>
      </c>
      <c r="B5" s="59">
        <f t="shared" si="1"/>
        <v>5379</v>
      </c>
      <c r="C5" s="59">
        <f>766+255</f>
        <v>1021</v>
      </c>
      <c r="D5" s="59">
        <f>4800+1600</f>
        <v>6400</v>
      </c>
      <c r="E5" s="59">
        <f t="shared" si="2"/>
        <v>151.5584</v>
      </c>
      <c r="F5" s="59">
        <f t="shared" si="3"/>
        <v>6248.4416</v>
      </c>
      <c r="G5" s="37" t="s">
        <v>3219</v>
      </c>
      <c r="H5" s="59">
        <v>100707.0</v>
      </c>
      <c r="I5" s="59">
        <v>89869.0</v>
      </c>
      <c r="J5" s="59">
        <f>H5-I5</f>
        <v>10838</v>
      </c>
      <c r="L5" s="41">
        <v>2.0</v>
      </c>
      <c r="M5" s="59">
        <f>4800+1600</f>
        <v>6400</v>
      </c>
    </row>
    <row r="6" ht="12.75" customHeight="1">
      <c r="A6" s="41">
        <v>0.0</v>
      </c>
      <c r="B6" s="59">
        <f t="shared" si="1"/>
        <v>0</v>
      </c>
      <c r="C6" s="59">
        <v>0.0</v>
      </c>
      <c r="D6" s="59">
        <v>0.0</v>
      </c>
      <c r="E6" s="59">
        <f t="shared" si="2"/>
        <v>0</v>
      </c>
      <c r="F6" s="59">
        <f t="shared" si="3"/>
        <v>0</v>
      </c>
      <c r="H6" s="59"/>
      <c r="I6" s="59"/>
      <c r="J6" s="59"/>
      <c r="L6" s="41">
        <v>0.0</v>
      </c>
      <c r="M6" s="59">
        <v>0.0</v>
      </c>
    </row>
    <row r="7" ht="12.75" customHeight="1">
      <c r="A7" s="41">
        <v>3.0</v>
      </c>
      <c r="B7" s="59">
        <f t="shared" si="1"/>
        <v>18361</v>
      </c>
      <c r="C7" s="59">
        <f>511+1517+1461</f>
        <v>3489</v>
      </c>
      <c r="D7" s="59">
        <f>3200+9500+9150</f>
        <v>21850</v>
      </c>
      <c r="E7" s="59">
        <f t="shared" si="2"/>
        <v>517.42985</v>
      </c>
      <c r="F7" s="59">
        <f t="shared" si="3"/>
        <v>21332.57015</v>
      </c>
      <c r="G7" s="37" t="s">
        <v>3220</v>
      </c>
      <c r="H7" s="59"/>
      <c r="I7" s="59"/>
      <c r="J7" s="59"/>
      <c r="L7" s="41">
        <v>3.0</v>
      </c>
      <c r="M7" s="59">
        <f>3200+9500+9150</f>
        <v>21850</v>
      </c>
    </row>
    <row r="8" ht="12.75" customHeight="1">
      <c r="A8" s="41">
        <v>2.0</v>
      </c>
      <c r="B8" s="59">
        <f t="shared" si="1"/>
        <v>16050</v>
      </c>
      <c r="C8" s="59">
        <f>1182+1868</f>
        <v>3050</v>
      </c>
      <c r="D8" s="59">
        <f>7400+11700</f>
        <v>19100</v>
      </c>
      <c r="E8" s="59">
        <f t="shared" si="2"/>
        <v>452.3071</v>
      </c>
      <c r="F8" s="59">
        <f t="shared" si="3"/>
        <v>18647.6929</v>
      </c>
      <c r="G8" s="37" t="s">
        <v>3221</v>
      </c>
      <c r="H8" s="59"/>
      <c r="I8" s="59"/>
      <c r="J8" s="59"/>
      <c r="L8" s="41">
        <v>2.0</v>
      </c>
      <c r="M8" s="59">
        <f>7400+11700</f>
        <v>19100</v>
      </c>
    </row>
    <row r="9" ht="12.75" customHeight="1">
      <c r="A9" s="41">
        <v>2.0</v>
      </c>
      <c r="B9" s="59">
        <f t="shared" si="1"/>
        <v>13908</v>
      </c>
      <c r="C9" s="59">
        <f>1277+1365</f>
        <v>2642</v>
      </c>
      <c r="D9" s="59">
        <f>8550+8000</f>
        <v>16550</v>
      </c>
      <c r="E9" s="59">
        <f t="shared" si="2"/>
        <v>391.92055</v>
      </c>
      <c r="F9" s="59">
        <f t="shared" si="3"/>
        <v>16158.07945</v>
      </c>
      <c r="G9" s="37" t="s">
        <v>3222</v>
      </c>
      <c r="H9" s="59"/>
      <c r="I9" s="59"/>
      <c r="J9" s="59"/>
      <c r="L9" s="41">
        <v>2.0</v>
      </c>
      <c r="M9" s="59">
        <f>8550+8000</f>
        <v>16550</v>
      </c>
    </row>
    <row r="10" ht="12.75" customHeight="1">
      <c r="A10" s="41">
        <v>7.0</v>
      </c>
      <c r="B10" s="59">
        <f t="shared" si="1"/>
        <v>42060</v>
      </c>
      <c r="C10" s="59">
        <f>1397+854+2491+774+878+798+798</f>
        <v>7990</v>
      </c>
      <c r="D10" s="59">
        <f>8750+5350+15600+4850+5500+5000+5000</f>
        <v>50050</v>
      </c>
      <c r="E10" s="59">
        <f t="shared" si="2"/>
        <v>1185.23405</v>
      </c>
      <c r="F10" s="59">
        <f t="shared" si="3"/>
        <v>48864.76595</v>
      </c>
      <c r="H10" s="59"/>
      <c r="I10" s="59"/>
      <c r="J10" s="59"/>
      <c r="L10" s="41">
        <v>7.0</v>
      </c>
      <c r="M10" s="59">
        <f>8750+5350+15600+4850+5500+5000+5000</f>
        <v>50050</v>
      </c>
    </row>
    <row r="11" ht="12.75" customHeight="1">
      <c r="A11" s="41">
        <v>4.0</v>
      </c>
      <c r="B11" s="59">
        <f t="shared" si="1"/>
        <v>17354</v>
      </c>
      <c r="C11" s="59">
        <f>367+439+750+1740</f>
        <v>3296</v>
      </c>
      <c r="D11" s="59">
        <f>2300+2750+4700+10900</f>
        <v>20650</v>
      </c>
      <c r="E11" s="59">
        <f t="shared" si="2"/>
        <v>489.01265</v>
      </c>
      <c r="F11" s="59">
        <f t="shared" si="3"/>
        <v>20160.98735</v>
      </c>
      <c r="H11" s="59"/>
      <c r="I11" s="59"/>
      <c r="J11" s="59"/>
      <c r="L11" s="41">
        <v>4.0</v>
      </c>
      <c r="M11" s="59">
        <f>2300+2750+4700+10900</f>
        <v>20650</v>
      </c>
    </row>
    <row r="12" ht="12.75" customHeight="1">
      <c r="A12" s="41">
        <v>1.0</v>
      </c>
      <c r="B12" s="59">
        <f t="shared" si="1"/>
        <v>1849</v>
      </c>
      <c r="C12" s="59">
        <v>351.0</v>
      </c>
      <c r="D12" s="59">
        <v>2200.0</v>
      </c>
      <c r="E12" s="59">
        <f t="shared" si="2"/>
        <v>52.0982</v>
      </c>
      <c r="F12" s="59">
        <f t="shared" si="3"/>
        <v>2147.9018</v>
      </c>
      <c r="G12" s="37" t="s">
        <v>3223</v>
      </c>
      <c r="H12" s="59"/>
      <c r="I12" s="59"/>
      <c r="J12" s="59"/>
      <c r="L12" s="41">
        <v>1.0</v>
      </c>
      <c r="M12" s="59">
        <v>2200.0</v>
      </c>
    </row>
    <row r="13" ht="12.75" customHeight="1">
      <c r="A13" s="41">
        <v>2.0</v>
      </c>
      <c r="B13" s="59">
        <f t="shared" si="1"/>
        <v>19328</v>
      </c>
      <c r="C13" s="59">
        <f>2395+1277</f>
        <v>3672</v>
      </c>
      <c r="D13" s="59">
        <f>15000+8000</f>
        <v>23000</v>
      </c>
      <c r="E13" s="59">
        <f t="shared" si="2"/>
        <v>544.663</v>
      </c>
      <c r="F13" s="59">
        <f t="shared" si="3"/>
        <v>22455.337</v>
      </c>
      <c r="G13" s="37" t="s">
        <v>3224</v>
      </c>
      <c r="H13" s="59"/>
      <c r="I13" s="59"/>
      <c r="J13" s="59"/>
      <c r="L13" s="41">
        <v>2.0</v>
      </c>
      <c r="M13" s="59">
        <f>15000+8000</f>
        <v>23000</v>
      </c>
    </row>
    <row r="14" ht="12.75" customHeight="1">
      <c r="A14" s="41">
        <v>1.0</v>
      </c>
      <c r="B14" s="59">
        <f t="shared" si="1"/>
        <v>2017</v>
      </c>
      <c r="C14" s="59">
        <v>383.0</v>
      </c>
      <c r="D14" s="59">
        <v>2400.0</v>
      </c>
      <c r="E14" s="59">
        <f t="shared" si="2"/>
        <v>56.8344</v>
      </c>
      <c r="F14" s="59">
        <f t="shared" si="3"/>
        <v>2343.1656</v>
      </c>
      <c r="G14" s="37" t="s">
        <v>3225</v>
      </c>
      <c r="H14" s="59"/>
      <c r="I14" s="59"/>
      <c r="J14" s="59"/>
      <c r="L14" s="41">
        <v>1.0</v>
      </c>
      <c r="M14" s="59">
        <v>2400.0</v>
      </c>
    </row>
    <row r="15" ht="12.75" customHeight="1">
      <c r="A15" s="41">
        <v>2.0</v>
      </c>
      <c r="B15" s="59">
        <f t="shared" si="1"/>
        <v>31555</v>
      </c>
      <c r="C15" s="59">
        <f>407+5588</f>
        <v>5995</v>
      </c>
      <c r="D15" s="59">
        <f>2550+35000</f>
        <v>37550</v>
      </c>
      <c r="E15" s="59">
        <f t="shared" si="2"/>
        <v>889.22155</v>
      </c>
      <c r="F15" s="59">
        <f t="shared" si="3"/>
        <v>36660.77845</v>
      </c>
      <c r="G15" s="37" t="s">
        <v>3226</v>
      </c>
      <c r="H15" s="59"/>
      <c r="I15" s="59"/>
      <c r="J15" s="59"/>
      <c r="L15" s="41">
        <v>2.0</v>
      </c>
      <c r="M15" s="59">
        <f>2550+35000</f>
        <v>37550</v>
      </c>
    </row>
    <row r="16" ht="12.75" customHeight="1">
      <c r="A16" s="41">
        <v>2.0</v>
      </c>
      <c r="B16" s="59">
        <f t="shared" si="1"/>
        <v>6638</v>
      </c>
      <c r="C16" s="59">
        <f>623+639</f>
        <v>1262</v>
      </c>
      <c r="D16" s="59">
        <f>3900+4000</f>
        <v>7900</v>
      </c>
      <c r="E16" s="59">
        <f t="shared" si="2"/>
        <v>187.0799</v>
      </c>
      <c r="F16" s="59">
        <f t="shared" si="3"/>
        <v>7712.9201</v>
      </c>
      <c r="G16" s="37" t="s">
        <v>3227</v>
      </c>
      <c r="H16" s="59"/>
      <c r="I16" s="59"/>
      <c r="J16" s="59"/>
      <c r="L16" s="41">
        <v>2.0</v>
      </c>
      <c r="M16" s="59">
        <f>3900+4000</f>
        <v>7900</v>
      </c>
    </row>
    <row r="17" ht="12.75" customHeight="1">
      <c r="A17" s="41">
        <v>2.0</v>
      </c>
      <c r="B17" s="59">
        <f t="shared" si="1"/>
        <v>26764</v>
      </c>
      <c r="C17" s="59">
        <f>3010+2076</f>
        <v>5086</v>
      </c>
      <c r="D17" s="59">
        <f>18850+13000</f>
        <v>31850</v>
      </c>
      <c r="E17" s="59">
        <f t="shared" si="2"/>
        <v>754.23985</v>
      </c>
      <c r="F17" s="59">
        <f t="shared" si="3"/>
        <v>31095.76015</v>
      </c>
      <c r="H17" s="59"/>
      <c r="I17" s="59"/>
      <c r="J17" s="59"/>
      <c r="L17" s="41">
        <v>2.0</v>
      </c>
      <c r="M17" s="59">
        <f>18850+13000</f>
        <v>31850</v>
      </c>
    </row>
    <row r="18" ht="12.75" customHeight="1">
      <c r="A18" s="41">
        <v>4.0</v>
      </c>
      <c r="B18" s="59">
        <f t="shared" si="1"/>
        <v>31681</v>
      </c>
      <c r="C18" s="59">
        <f>2427+639+1676+1277</f>
        <v>6019</v>
      </c>
      <c r="D18" s="59">
        <f>15200+4000+10500+8000</f>
        <v>37700</v>
      </c>
      <c r="E18" s="59">
        <f t="shared" si="2"/>
        <v>892.7737</v>
      </c>
      <c r="F18" s="59">
        <f t="shared" si="3"/>
        <v>36807.2263</v>
      </c>
      <c r="G18" s="37" t="s">
        <v>3228</v>
      </c>
      <c r="H18" s="59"/>
      <c r="I18" s="59"/>
      <c r="J18" s="59"/>
      <c r="L18" s="41">
        <v>4.0</v>
      </c>
      <c r="M18" s="59">
        <f>15200+4000+10500+8000</f>
        <v>37700</v>
      </c>
    </row>
    <row r="19" ht="12.75" customHeight="1">
      <c r="A19" s="41">
        <v>0.0</v>
      </c>
      <c r="B19" s="59">
        <f t="shared" si="1"/>
        <v>0</v>
      </c>
      <c r="C19" s="59">
        <v>0.0</v>
      </c>
      <c r="D19" s="59">
        <v>0.0</v>
      </c>
      <c r="E19" s="59">
        <f t="shared" si="2"/>
        <v>0</v>
      </c>
      <c r="F19" s="59">
        <f t="shared" si="3"/>
        <v>0</v>
      </c>
      <c r="H19" s="59"/>
      <c r="I19" s="59"/>
      <c r="J19" s="59"/>
      <c r="L19" s="41">
        <v>0.0</v>
      </c>
      <c r="M19" s="59">
        <v>0.0</v>
      </c>
    </row>
    <row r="20" ht="12.75" customHeight="1">
      <c r="A20" s="41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H20" s="59"/>
      <c r="I20" s="59"/>
      <c r="J20" s="59"/>
      <c r="L20" s="41">
        <v>0.0</v>
      </c>
      <c r="M20" s="59">
        <v>0.0</v>
      </c>
    </row>
    <row r="21" ht="12.75" customHeight="1">
      <c r="A21" s="41">
        <v>0.0</v>
      </c>
      <c r="B21" s="59">
        <f t="shared" si="1"/>
        <v>0</v>
      </c>
      <c r="C21" s="59">
        <v>0.0</v>
      </c>
      <c r="D21" s="59">
        <v>0.0</v>
      </c>
      <c r="E21" s="59">
        <f t="shared" si="2"/>
        <v>0</v>
      </c>
      <c r="F21" s="59">
        <f t="shared" si="3"/>
        <v>0</v>
      </c>
      <c r="H21" s="59"/>
      <c r="I21" s="59"/>
      <c r="J21" s="59"/>
      <c r="L21" s="41">
        <v>0.0</v>
      </c>
      <c r="M21" s="59">
        <v>0.0</v>
      </c>
    </row>
    <row r="22" ht="12.75" customHeight="1">
      <c r="A22" s="41">
        <v>0.0</v>
      </c>
      <c r="B22" s="59">
        <f t="shared" si="1"/>
        <v>0</v>
      </c>
      <c r="C22" s="59">
        <v>0.0</v>
      </c>
      <c r="D22" s="59">
        <v>0.0</v>
      </c>
      <c r="E22" s="59">
        <f t="shared" si="2"/>
        <v>0</v>
      </c>
      <c r="F22" s="59">
        <f t="shared" si="3"/>
        <v>0</v>
      </c>
      <c r="H22" s="59"/>
      <c r="I22" s="59"/>
      <c r="J22" s="59"/>
      <c r="L22" s="41">
        <v>0.0</v>
      </c>
      <c r="M22" s="59">
        <v>0.0</v>
      </c>
    </row>
    <row r="23" ht="12.75" customHeight="1">
      <c r="A23" s="41">
        <v>0.0</v>
      </c>
      <c r="B23" s="59">
        <f t="shared" si="1"/>
        <v>0</v>
      </c>
      <c r="C23" s="59">
        <v>0.0</v>
      </c>
      <c r="D23" s="59">
        <v>0.0</v>
      </c>
      <c r="E23" s="59">
        <f t="shared" si="2"/>
        <v>0</v>
      </c>
      <c r="F23" s="59">
        <f t="shared" si="3"/>
        <v>0</v>
      </c>
      <c r="H23" s="59"/>
      <c r="I23" s="59"/>
      <c r="J23" s="59"/>
      <c r="L23" s="41">
        <v>0.0</v>
      </c>
      <c r="M23" s="59">
        <v>0.0</v>
      </c>
    </row>
    <row r="24" ht="12.75" customHeight="1">
      <c r="A24" s="41">
        <v>0.0</v>
      </c>
      <c r="B24" s="59">
        <f t="shared" si="1"/>
        <v>0</v>
      </c>
      <c r="C24" s="59">
        <v>0.0</v>
      </c>
      <c r="D24" s="59">
        <v>0.0</v>
      </c>
      <c r="E24" s="59">
        <f t="shared" si="2"/>
        <v>0</v>
      </c>
      <c r="F24" s="59">
        <f t="shared" si="3"/>
        <v>0</v>
      </c>
      <c r="H24" s="59"/>
      <c r="I24" s="59"/>
      <c r="J24" s="59"/>
      <c r="L24" s="41">
        <v>0.0</v>
      </c>
      <c r="M24" s="59">
        <v>0.0</v>
      </c>
    </row>
    <row r="25" ht="12.75" customHeight="1">
      <c r="A25" s="41">
        <v>4.0</v>
      </c>
      <c r="B25" s="59">
        <f t="shared" si="1"/>
        <v>18991</v>
      </c>
      <c r="C25" s="59">
        <f>1118+1916+208+367</f>
        <v>3609</v>
      </c>
      <c r="D25" s="59">
        <f>7000+12000+1300+2300</f>
        <v>22600</v>
      </c>
      <c r="E25" s="59">
        <f t="shared" si="2"/>
        <v>535.1906</v>
      </c>
      <c r="F25" s="59">
        <f t="shared" si="3"/>
        <v>22064.8094</v>
      </c>
      <c r="H25" s="59"/>
      <c r="I25" s="59"/>
      <c r="J25" s="59"/>
      <c r="L25" s="41">
        <v>4.0</v>
      </c>
      <c r="M25" s="59">
        <f>7000+12000+1300+2300</f>
        <v>22600</v>
      </c>
    </row>
    <row r="26" ht="12.75" customHeight="1">
      <c r="A26" s="41">
        <v>6.0</v>
      </c>
      <c r="B26" s="59">
        <f t="shared" si="1"/>
        <v>61008</v>
      </c>
      <c r="C26" s="59">
        <f>591+1357+750+4790+3034+1070</f>
        <v>11592</v>
      </c>
      <c r="D26" s="59">
        <f>3700+8500+4700+30000+19000+6700</f>
        <v>72600</v>
      </c>
      <c r="E26" s="59">
        <f t="shared" si="2"/>
        <v>1719.2406</v>
      </c>
      <c r="F26" s="59">
        <f t="shared" si="3"/>
        <v>70880.7594</v>
      </c>
      <c r="G26" s="37" t="s">
        <v>3229</v>
      </c>
      <c r="H26" s="59"/>
      <c r="I26" s="59"/>
      <c r="J26" s="59"/>
      <c r="L26" s="41">
        <v>6.0</v>
      </c>
      <c r="M26" s="59">
        <f>3700+8500+4700+30000+19000+6700</f>
        <v>72600</v>
      </c>
    </row>
    <row r="27" ht="12.75" customHeight="1">
      <c r="A27" s="41">
        <v>4.0</v>
      </c>
      <c r="B27" s="59">
        <f t="shared" si="1"/>
        <v>4454</v>
      </c>
      <c r="C27" s="59">
        <f>543+3289+575+239</f>
        <v>4646</v>
      </c>
      <c r="D27" s="59">
        <f>3400+600+3600+1500</f>
        <v>9100</v>
      </c>
      <c r="E27" s="59">
        <f t="shared" si="2"/>
        <v>215.4971</v>
      </c>
      <c r="F27" s="59">
        <f t="shared" si="3"/>
        <v>8884.5029</v>
      </c>
      <c r="G27" s="37" t="s">
        <v>3230</v>
      </c>
      <c r="H27" s="59">
        <v>34952.0</v>
      </c>
      <c r="I27" s="59">
        <v>28995.0</v>
      </c>
      <c r="J27" s="59">
        <f>H27-I27</f>
        <v>5957</v>
      </c>
      <c r="L27" s="41">
        <v>4.0</v>
      </c>
      <c r="M27" s="59">
        <f>3400+600+3600+1500</f>
        <v>9100</v>
      </c>
    </row>
    <row r="28" ht="12.75" customHeight="1">
      <c r="A28" s="41">
        <v>1.0</v>
      </c>
      <c r="B28" s="59">
        <f t="shared" si="1"/>
        <v>4202</v>
      </c>
      <c r="C28" s="59">
        <v>798.0</v>
      </c>
      <c r="D28" s="59">
        <v>5000.0</v>
      </c>
      <c r="E28" s="59">
        <f t="shared" si="2"/>
        <v>118.405</v>
      </c>
      <c r="F28" s="59">
        <f t="shared" si="3"/>
        <v>4881.595</v>
      </c>
      <c r="G28" s="37" t="s">
        <v>3231</v>
      </c>
      <c r="H28" s="59"/>
      <c r="I28" s="59"/>
      <c r="J28" s="59"/>
      <c r="L28" s="41">
        <v>1.0</v>
      </c>
      <c r="M28" s="59">
        <v>5000.0</v>
      </c>
    </row>
    <row r="29" ht="12.75" customHeight="1">
      <c r="A29" s="41">
        <v>5.0</v>
      </c>
      <c r="B29" s="59">
        <f t="shared" si="1"/>
        <v>18236</v>
      </c>
      <c r="C29" s="59">
        <f>655+1277+878+415+239</f>
        <v>3464</v>
      </c>
      <c r="D29" s="59">
        <f>4100+8000+5500+2600+1500</f>
        <v>21700</v>
      </c>
      <c r="E29" s="59">
        <f t="shared" si="2"/>
        <v>513.8777</v>
      </c>
      <c r="F29" s="59">
        <f t="shared" si="3"/>
        <v>21186.1223</v>
      </c>
      <c r="G29" s="37" t="s">
        <v>3232</v>
      </c>
      <c r="H29" s="59"/>
      <c r="I29" s="59"/>
      <c r="J29" s="59"/>
      <c r="L29" s="41">
        <v>5.0</v>
      </c>
      <c r="M29" s="59">
        <f>4100+8000+5500+2600+1500</f>
        <v>21700</v>
      </c>
    </row>
    <row r="30" ht="12.75" customHeight="1">
      <c r="A30" s="41">
        <v>5.0</v>
      </c>
      <c r="B30" s="59">
        <f t="shared" si="1"/>
        <v>26219</v>
      </c>
      <c r="C30" s="59">
        <f>319+1357+1549+1277+479</f>
        <v>4981</v>
      </c>
      <c r="D30" s="59">
        <f>2000+8500+9700+8000+3000</f>
        <v>31200</v>
      </c>
      <c r="E30" s="59">
        <f t="shared" si="2"/>
        <v>738.8472</v>
      </c>
      <c r="F30" s="59">
        <f t="shared" si="3"/>
        <v>30461.1528</v>
      </c>
      <c r="G30" s="37" t="s">
        <v>3233</v>
      </c>
      <c r="H30" s="59"/>
      <c r="I30" s="59"/>
      <c r="J30" s="59"/>
      <c r="L30" s="41">
        <v>5.0</v>
      </c>
      <c r="M30" s="59">
        <f>2000+8500+9700+8000+3000</f>
        <v>31200</v>
      </c>
    </row>
    <row r="31" ht="12.75" customHeight="1">
      <c r="A31" s="41">
        <v>4.0</v>
      </c>
      <c r="B31" s="59">
        <f t="shared" si="1"/>
        <v>36042</v>
      </c>
      <c r="C31" s="59">
        <f>1597+1437+239+3575</f>
        <v>6848</v>
      </c>
      <c r="D31" s="59">
        <f>10000+9000+1500+22390</f>
        <v>42890</v>
      </c>
      <c r="E31" s="59">
        <f t="shared" si="2"/>
        <v>1015.67809</v>
      </c>
      <c r="F31" s="59">
        <f t="shared" si="3"/>
        <v>41874.32191</v>
      </c>
      <c r="G31" s="37" t="s">
        <v>3200</v>
      </c>
      <c r="H31" s="59"/>
      <c r="I31" s="59"/>
      <c r="J31" s="59"/>
      <c r="L31" s="41">
        <v>4.0</v>
      </c>
      <c r="M31" s="59">
        <f>10000+9000+1500+22390</f>
        <v>42890</v>
      </c>
    </row>
    <row r="32" ht="12.75" customHeight="1">
      <c r="A32" s="65">
        <f t="shared" ref="A32:F32" si="4">SUM(A1:A31)</f>
        <v>74</v>
      </c>
      <c r="B32" s="66">
        <f t="shared" si="4"/>
        <v>483398</v>
      </c>
      <c r="C32" s="66">
        <f t="shared" si="4"/>
        <v>95642</v>
      </c>
      <c r="D32" s="66">
        <f t="shared" si="4"/>
        <v>579040</v>
      </c>
      <c r="E32" s="67">
        <f t="shared" si="4"/>
        <v>13712.24624</v>
      </c>
      <c r="F32" s="67">
        <f t="shared" si="4"/>
        <v>565327.7538</v>
      </c>
      <c r="H32" s="59"/>
      <c r="I32" s="59"/>
      <c r="J32" s="59">
        <f>SUM(J1:J31)</f>
        <v>16795</v>
      </c>
    </row>
    <row r="33" ht="12.75" customHeight="1">
      <c r="B33" s="59">
        <v>486589.0</v>
      </c>
      <c r="C33" s="59">
        <v>92451.0</v>
      </c>
      <c r="D33" s="59">
        <v>579040.0</v>
      </c>
      <c r="H33" s="59"/>
      <c r="I33" s="59"/>
      <c r="J33" s="59"/>
    </row>
    <row r="34" ht="12.75" customHeight="1">
      <c r="B34" s="59">
        <f t="shared" ref="B34:D34" si="5">B32-B33</f>
        <v>-3191</v>
      </c>
      <c r="C34" s="59">
        <f t="shared" si="5"/>
        <v>3191</v>
      </c>
      <c r="D34" s="59">
        <f t="shared" si="5"/>
        <v>0</v>
      </c>
      <c r="H34" s="59"/>
      <c r="I34" s="59"/>
      <c r="J34" s="59"/>
    </row>
    <row r="35" ht="12.75" customHeight="1">
      <c r="C35" s="59"/>
      <c r="D35" s="59"/>
      <c r="H35" s="59"/>
      <c r="I35" s="59"/>
      <c r="J35" s="59"/>
    </row>
    <row r="36" ht="12.75" customHeight="1">
      <c r="C36" s="74" t="s">
        <v>3218</v>
      </c>
      <c r="D36" s="74">
        <f>D32*2.3681%</f>
        <v>13712.24624</v>
      </c>
      <c r="H36" s="59"/>
      <c r="I36" s="59"/>
      <c r="J36" s="59"/>
    </row>
    <row r="37" ht="12.75" customHeight="1">
      <c r="C37" s="59"/>
      <c r="D37" s="59"/>
      <c r="H37" s="59"/>
      <c r="I37" s="59"/>
      <c r="J37" s="59"/>
    </row>
    <row r="38" ht="12.75" customHeight="1">
      <c r="C38" s="59"/>
      <c r="D38" s="59"/>
      <c r="H38" s="59"/>
      <c r="I38" s="59"/>
      <c r="J38" s="59"/>
    </row>
    <row r="39" ht="12.75" customHeight="1">
      <c r="C39" s="59"/>
      <c r="D39" s="59"/>
      <c r="H39" s="59"/>
      <c r="I39" s="59"/>
      <c r="J39" s="59"/>
    </row>
    <row r="40" ht="12.75" customHeight="1">
      <c r="C40" s="59"/>
      <c r="D40" s="59"/>
      <c r="H40" s="59"/>
      <c r="I40" s="59"/>
      <c r="J40" s="59"/>
    </row>
    <row r="41" ht="12.75" customHeight="1">
      <c r="C41" s="59"/>
      <c r="D41" s="59"/>
      <c r="H41" s="59"/>
      <c r="I41" s="59"/>
      <c r="J41" s="59"/>
    </row>
    <row r="42" ht="12.75" customHeight="1">
      <c r="C42" s="59"/>
      <c r="D42" s="59"/>
      <c r="H42" s="59"/>
      <c r="I42" s="59"/>
      <c r="J42" s="59"/>
    </row>
    <row r="43" ht="12.75" customHeight="1">
      <c r="C43" s="59"/>
      <c r="D43" s="59"/>
      <c r="H43" s="59"/>
      <c r="I43" s="59"/>
      <c r="J43" s="59"/>
    </row>
    <row r="44" ht="12.75" customHeight="1">
      <c r="C44" s="59"/>
      <c r="D44" s="59"/>
      <c r="H44" s="59"/>
      <c r="I44" s="59"/>
      <c r="J44" s="59"/>
    </row>
    <row r="45" ht="12.75" customHeight="1">
      <c r="C45" s="59"/>
      <c r="D45" s="59"/>
      <c r="H45" s="59"/>
      <c r="I45" s="59"/>
      <c r="J45" s="59"/>
    </row>
    <row r="46" ht="12.75" customHeight="1">
      <c r="C46" s="59"/>
      <c r="D46" s="59"/>
      <c r="H46" s="59"/>
      <c r="I46" s="59"/>
      <c r="J46" s="59"/>
    </row>
    <row r="47" ht="12.75" customHeight="1">
      <c r="C47" s="59"/>
      <c r="D47" s="59"/>
      <c r="H47" s="59"/>
      <c r="I47" s="59"/>
      <c r="J47" s="59"/>
    </row>
    <row r="48" ht="12.75" customHeight="1">
      <c r="C48" s="59"/>
      <c r="D48" s="59"/>
      <c r="H48" s="59"/>
      <c r="I48" s="59"/>
      <c r="J48" s="59"/>
    </row>
    <row r="49" ht="12.75" customHeight="1">
      <c r="C49" s="59"/>
      <c r="D49" s="59"/>
      <c r="H49" s="59"/>
      <c r="I49" s="59"/>
      <c r="J49" s="59"/>
    </row>
    <row r="50" ht="12.75" customHeight="1">
      <c r="C50" s="59"/>
      <c r="D50" s="59"/>
      <c r="H50" s="59"/>
      <c r="I50" s="59"/>
      <c r="J50" s="59"/>
    </row>
    <row r="51" ht="12.75" customHeight="1">
      <c r="C51" s="59"/>
      <c r="D51" s="59"/>
      <c r="H51" s="59"/>
      <c r="I51" s="59"/>
      <c r="J51" s="59"/>
    </row>
    <row r="52" ht="12.75" customHeight="1">
      <c r="C52" s="59"/>
      <c r="D52" s="59"/>
      <c r="H52" s="59"/>
      <c r="I52" s="59"/>
      <c r="J52" s="59"/>
    </row>
    <row r="53" ht="12.75" customHeight="1">
      <c r="C53" s="59"/>
      <c r="D53" s="59"/>
      <c r="H53" s="59"/>
      <c r="I53" s="59"/>
      <c r="J53" s="59"/>
    </row>
    <row r="54" ht="12.75" customHeight="1">
      <c r="C54" s="59"/>
      <c r="D54" s="59"/>
      <c r="H54" s="59"/>
      <c r="I54" s="59"/>
      <c r="J54" s="59"/>
    </row>
    <row r="55" ht="12.75" customHeight="1">
      <c r="C55" s="59"/>
      <c r="D55" s="59"/>
      <c r="H55" s="59"/>
      <c r="I55" s="59"/>
      <c r="J55" s="59"/>
    </row>
    <row r="56" ht="12.75" customHeight="1">
      <c r="C56" s="59"/>
      <c r="D56" s="59"/>
      <c r="H56" s="59"/>
      <c r="I56" s="59"/>
      <c r="J56" s="59"/>
    </row>
    <row r="57" ht="12.75" customHeight="1">
      <c r="C57" s="59"/>
      <c r="D57" s="59"/>
      <c r="H57" s="59"/>
      <c r="I57" s="59"/>
      <c r="J57" s="59"/>
    </row>
    <row r="58" ht="12.75" customHeight="1">
      <c r="C58" s="59"/>
      <c r="D58" s="59"/>
      <c r="H58" s="59"/>
      <c r="I58" s="59"/>
      <c r="J58" s="59"/>
    </row>
    <row r="59" ht="12.75" customHeight="1">
      <c r="C59" s="59"/>
      <c r="D59" s="59"/>
      <c r="H59" s="59"/>
      <c r="I59" s="59"/>
      <c r="J59" s="59"/>
    </row>
    <row r="60" ht="12.75" customHeight="1">
      <c r="C60" s="59"/>
      <c r="D60" s="59"/>
      <c r="H60" s="59"/>
      <c r="I60" s="59"/>
      <c r="J60" s="59"/>
    </row>
    <row r="61" ht="12.75" customHeight="1">
      <c r="C61" s="59"/>
      <c r="D61" s="59"/>
      <c r="H61" s="59"/>
      <c r="I61" s="59"/>
      <c r="J61" s="59"/>
    </row>
    <row r="62" ht="12.75" customHeight="1">
      <c r="C62" s="59"/>
      <c r="D62" s="59"/>
      <c r="H62" s="59"/>
      <c r="I62" s="59"/>
      <c r="J62" s="59"/>
    </row>
    <row r="63" ht="12.75" customHeight="1">
      <c r="C63" s="59"/>
      <c r="D63" s="59"/>
      <c r="H63" s="59"/>
      <c r="I63" s="59"/>
      <c r="J63" s="59"/>
    </row>
    <row r="64" ht="12.75" customHeight="1">
      <c r="C64" s="59"/>
      <c r="D64" s="59"/>
      <c r="H64" s="59"/>
      <c r="I64" s="59"/>
      <c r="J64" s="59"/>
    </row>
    <row r="65" ht="12.75" customHeight="1">
      <c r="C65" s="59"/>
      <c r="D65" s="59"/>
      <c r="H65" s="59"/>
      <c r="I65" s="59"/>
      <c r="J65" s="59"/>
    </row>
    <row r="66" ht="12.75" customHeight="1">
      <c r="C66" s="59"/>
      <c r="D66" s="59"/>
      <c r="H66" s="59"/>
      <c r="I66" s="59"/>
      <c r="J66" s="59"/>
    </row>
    <row r="67" ht="12.75" customHeight="1">
      <c r="C67" s="59"/>
      <c r="D67" s="59"/>
      <c r="H67" s="59"/>
      <c r="I67" s="59"/>
      <c r="J67" s="59"/>
    </row>
    <row r="68" ht="12.75" customHeight="1">
      <c r="C68" s="59"/>
      <c r="D68" s="59"/>
      <c r="H68" s="59"/>
      <c r="I68" s="59"/>
      <c r="J68" s="59"/>
    </row>
    <row r="69" ht="12.75" customHeight="1">
      <c r="C69" s="59"/>
      <c r="D69" s="59"/>
      <c r="H69" s="59"/>
      <c r="I69" s="59"/>
      <c r="J69" s="59"/>
    </row>
    <row r="70" ht="12.75" customHeight="1">
      <c r="C70" s="59"/>
      <c r="D70" s="59"/>
      <c r="H70" s="59"/>
      <c r="I70" s="59"/>
      <c r="J70" s="59"/>
    </row>
    <row r="71" ht="12.75" customHeight="1">
      <c r="C71" s="59"/>
      <c r="D71" s="59"/>
      <c r="H71" s="59"/>
      <c r="I71" s="59"/>
      <c r="J71" s="59"/>
    </row>
    <row r="72" ht="12.75" customHeight="1">
      <c r="C72" s="59"/>
      <c r="D72" s="59"/>
      <c r="H72" s="59"/>
      <c r="I72" s="59"/>
      <c r="J72" s="59"/>
    </row>
    <row r="73" ht="12.75" customHeight="1">
      <c r="C73" s="59"/>
      <c r="D73" s="59"/>
      <c r="H73" s="59"/>
      <c r="I73" s="59"/>
      <c r="J73" s="59"/>
    </row>
    <row r="74" ht="12.75" customHeight="1">
      <c r="C74" s="59"/>
      <c r="D74" s="59"/>
      <c r="H74" s="59"/>
      <c r="I74" s="59"/>
      <c r="J74" s="59"/>
    </row>
    <row r="75" ht="12.75" customHeight="1">
      <c r="C75" s="59"/>
      <c r="D75" s="59"/>
      <c r="H75" s="59"/>
      <c r="I75" s="59"/>
      <c r="J75" s="59"/>
    </row>
    <row r="76" ht="12.75" customHeight="1">
      <c r="C76" s="59"/>
      <c r="D76" s="59"/>
      <c r="H76" s="59"/>
      <c r="I76" s="59"/>
      <c r="J76" s="59"/>
    </row>
    <row r="77" ht="12.75" customHeight="1">
      <c r="C77" s="59"/>
      <c r="D77" s="59"/>
      <c r="H77" s="59"/>
      <c r="I77" s="59"/>
      <c r="J77" s="59"/>
    </row>
    <row r="78" ht="12.75" customHeight="1">
      <c r="C78" s="59"/>
      <c r="D78" s="59"/>
      <c r="H78" s="59"/>
      <c r="I78" s="59"/>
      <c r="J78" s="59"/>
    </row>
    <row r="79" ht="12.75" customHeight="1">
      <c r="C79" s="59"/>
      <c r="D79" s="59"/>
      <c r="H79" s="59"/>
      <c r="I79" s="59"/>
      <c r="J79" s="59"/>
    </row>
    <row r="80" ht="12.75" customHeight="1">
      <c r="C80" s="59"/>
      <c r="D80" s="59"/>
      <c r="H80" s="59"/>
      <c r="I80" s="59"/>
      <c r="J80" s="59"/>
    </row>
    <row r="81" ht="12.75" customHeight="1">
      <c r="C81" s="59"/>
      <c r="D81" s="59"/>
      <c r="H81" s="59"/>
      <c r="I81" s="59"/>
      <c r="J81" s="59"/>
    </row>
    <row r="82" ht="12.75" customHeight="1">
      <c r="C82" s="59"/>
      <c r="D82" s="59"/>
      <c r="H82" s="59"/>
      <c r="I82" s="59"/>
      <c r="J82" s="59"/>
    </row>
    <row r="83" ht="12.75" customHeight="1">
      <c r="C83" s="59"/>
      <c r="D83" s="59"/>
      <c r="H83" s="59"/>
      <c r="I83" s="59"/>
      <c r="J83" s="59"/>
    </row>
    <row r="84" ht="12.75" customHeight="1">
      <c r="C84" s="59"/>
      <c r="D84" s="59"/>
      <c r="H84" s="59"/>
      <c r="I84" s="59"/>
      <c r="J84" s="59"/>
    </row>
    <row r="85" ht="12.75" customHeight="1">
      <c r="C85" s="59"/>
      <c r="D85" s="59"/>
      <c r="H85" s="59"/>
      <c r="I85" s="59"/>
      <c r="J85" s="59"/>
    </row>
    <row r="86" ht="12.75" customHeight="1">
      <c r="C86" s="59"/>
      <c r="D86" s="59"/>
      <c r="H86" s="59"/>
      <c r="I86" s="59"/>
      <c r="J86" s="59"/>
    </row>
    <row r="87" ht="12.75" customHeight="1">
      <c r="C87" s="59"/>
      <c r="D87" s="59"/>
      <c r="H87" s="59"/>
      <c r="I87" s="59"/>
      <c r="J87" s="59"/>
    </row>
    <row r="88" ht="12.75" customHeight="1">
      <c r="C88" s="59"/>
      <c r="D88" s="59"/>
      <c r="H88" s="59"/>
      <c r="I88" s="59"/>
      <c r="J88" s="59"/>
    </row>
    <row r="89" ht="12.75" customHeight="1">
      <c r="C89" s="59"/>
      <c r="D89" s="59"/>
      <c r="H89" s="59"/>
      <c r="I89" s="59"/>
      <c r="J89" s="59"/>
    </row>
    <row r="90" ht="12.75" customHeight="1">
      <c r="C90" s="59"/>
      <c r="D90" s="59"/>
      <c r="H90" s="59"/>
      <c r="I90" s="59"/>
      <c r="J90" s="59"/>
    </row>
    <row r="91" ht="12.75" customHeight="1">
      <c r="C91" s="59"/>
      <c r="D91" s="59"/>
      <c r="H91" s="59"/>
      <c r="I91" s="59"/>
      <c r="J91" s="59"/>
    </row>
    <row r="92" ht="12.75" customHeight="1">
      <c r="C92" s="59"/>
      <c r="D92" s="59"/>
      <c r="H92" s="59"/>
      <c r="I92" s="59"/>
      <c r="J92" s="59"/>
    </row>
    <row r="93" ht="12.75" customHeight="1">
      <c r="C93" s="59"/>
      <c r="D93" s="59"/>
      <c r="H93" s="59"/>
      <c r="I93" s="59"/>
      <c r="J93" s="59"/>
    </row>
    <row r="94" ht="12.75" customHeight="1">
      <c r="C94" s="59"/>
      <c r="D94" s="59"/>
      <c r="H94" s="59"/>
      <c r="I94" s="59"/>
      <c r="J94" s="59"/>
    </row>
    <row r="95" ht="12.75" customHeight="1">
      <c r="C95" s="59"/>
      <c r="D95" s="59"/>
      <c r="H95" s="59"/>
      <c r="I95" s="59"/>
      <c r="J95" s="59"/>
    </row>
    <row r="96" ht="12.75" customHeight="1">
      <c r="C96" s="59"/>
      <c r="D96" s="59"/>
      <c r="H96" s="59"/>
      <c r="I96" s="59"/>
      <c r="J96" s="59"/>
    </row>
    <row r="97" ht="12.75" customHeight="1">
      <c r="C97" s="59"/>
      <c r="D97" s="59"/>
      <c r="H97" s="59"/>
      <c r="I97" s="59"/>
      <c r="J97" s="59"/>
    </row>
    <row r="98" ht="12.75" customHeight="1">
      <c r="C98" s="59"/>
      <c r="D98" s="59"/>
      <c r="H98" s="59"/>
      <c r="I98" s="59"/>
      <c r="J98" s="59"/>
    </row>
    <row r="99" ht="12.75" customHeight="1">
      <c r="C99" s="59"/>
      <c r="D99" s="59"/>
      <c r="H99" s="59"/>
      <c r="I99" s="59"/>
      <c r="J99" s="59"/>
    </row>
    <row r="100" ht="12.75" customHeight="1">
      <c r="C100" s="59"/>
      <c r="D100" s="59"/>
      <c r="H100" s="59"/>
      <c r="I100" s="59"/>
      <c r="J100" s="59"/>
    </row>
    <row r="101" ht="12.75" customHeight="1">
      <c r="C101" s="59"/>
      <c r="D101" s="59"/>
      <c r="H101" s="59"/>
      <c r="I101" s="59"/>
      <c r="J101" s="59"/>
    </row>
    <row r="102" ht="12.75" customHeight="1">
      <c r="C102" s="59"/>
      <c r="D102" s="59"/>
      <c r="H102" s="59"/>
      <c r="I102" s="59"/>
      <c r="J102" s="59"/>
    </row>
    <row r="103" ht="12.75" customHeight="1">
      <c r="C103" s="59"/>
      <c r="D103" s="59"/>
      <c r="H103" s="59"/>
      <c r="I103" s="59"/>
      <c r="J103" s="59"/>
    </row>
    <row r="104" ht="12.75" customHeight="1">
      <c r="C104" s="59"/>
      <c r="D104" s="59"/>
      <c r="H104" s="59"/>
      <c r="I104" s="59"/>
      <c r="J104" s="59"/>
    </row>
    <row r="105" ht="12.75" customHeight="1">
      <c r="C105" s="59"/>
      <c r="D105" s="59"/>
      <c r="H105" s="59"/>
      <c r="I105" s="59"/>
      <c r="J105" s="59"/>
    </row>
    <row r="106" ht="12.75" customHeight="1">
      <c r="C106" s="59"/>
      <c r="D106" s="59"/>
      <c r="H106" s="59"/>
      <c r="I106" s="59"/>
      <c r="J106" s="59"/>
    </row>
    <row r="107" ht="12.75" customHeight="1">
      <c r="C107" s="59"/>
      <c r="D107" s="59"/>
      <c r="H107" s="59"/>
      <c r="I107" s="59"/>
      <c r="J107" s="59"/>
    </row>
    <row r="108" ht="12.75" customHeight="1">
      <c r="C108" s="59"/>
      <c r="D108" s="59"/>
      <c r="H108" s="59"/>
      <c r="I108" s="59"/>
      <c r="J108" s="59"/>
    </row>
    <row r="109" ht="12.75" customHeight="1">
      <c r="C109" s="59"/>
      <c r="D109" s="59"/>
      <c r="H109" s="59"/>
      <c r="I109" s="59"/>
      <c r="J109" s="59"/>
    </row>
    <row r="110" ht="12.75" customHeight="1">
      <c r="C110" s="59"/>
      <c r="D110" s="59"/>
      <c r="H110" s="59"/>
      <c r="I110" s="59"/>
      <c r="J110" s="59"/>
    </row>
    <row r="111" ht="12.75" customHeight="1">
      <c r="C111" s="59"/>
      <c r="D111" s="59"/>
      <c r="H111" s="59"/>
      <c r="I111" s="59"/>
      <c r="J111" s="59"/>
    </row>
    <row r="112" ht="12.75" customHeight="1">
      <c r="C112" s="59"/>
      <c r="D112" s="59"/>
      <c r="H112" s="59"/>
      <c r="I112" s="59"/>
      <c r="J112" s="59"/>
    </row>
    <row r="113" ht="12.75" customHeight="1">
      <c r="C113" s="59"/>
      <c r="D113" s="59"/>
      <c r="H113" s="59"/>
      <c r="I113" s="59"/>
      <c r="J113" s="59"/>
    </row>
    <row r="114" ht="12.75" customHeight="1">
      <c r="C114" s="59"/>
      <c r="D114" s="59"/>
      <c r="H114" s="59"/>
      <c r="I114" s="59"/>
      <c r="J114" s="59"/>
    </row>
    <row r="115" ht="12.75" customHeight="1">
      <c r="C115" s="59"/>
      <c r="D115" s="59"/>
      <c r="H115" s="59"/>
      <c r="I115" s="59"/>
      <c r="J115" s="59"/>
    </row>
    <row r="116" ht="12.75" customHeight="1">
      <c r="C116" s="59"/>
      <c r="D116" s="59"/>
      <c r="H116" s="59"/>
      <c r="I116" s="59"/>
      <c r="J116" s="59"/>
    </row>
    <row r="117" ht="12.75" customHeight="1">
      <c r="C117" s="59"/>
      <c r="D117" s="59"/>
      <c r="H117" s="59"/>
      <c r="I117" s="59"/>
      <c r="J117" s="59"/>
    </row>
    <row r="118" ht="12.75" customHeight="1">
      <c r="C118" s="59"/>
      <c r="D118" s="59"/>
      <c r="H118" s="59"/>
      <c r="I118" s="59"/>
      <c r="J118" s="59"/>
    </row>
    <row r="119" ht="12.75" customHeight="1">
      <c r="C119" s="59"/>
      <c r="D119" s="59"/>
      <c r="H119" s="59"/>
      <c r="I119" s="59"/>
      <c r="J119" s="59"/>
    </row>
    <row r="120" ht="12.75" customHeight="1">
      <c r="C120" s="59"/>
      <c r="D120" s="59"/>
      <c r="H120" s="59"/>
      <c r="I120" s="59"/>
      <c r="J120" s="59"/>
    </row>
    <row r="121" ht="12.75" customHeight="1">
      <c r="C121" s="59"/>
      <c r="D121" s="59"/>
      <c r="H121" s="59"/>
      <c r="I121" s="59"/>
      <c r="J121" s="59"/>
    </row>
    <row r="122" ht="12.75" customHeight="1">
      <c r="C122" s="59"/>
      <c r="D122" s="59"/>
      <c r="H122" s="59"/>
      <c r="I122" s="59"/>
      <c r="J122" s="59"/>
    </row>
    <row r="123" ht="12.75" customHeight="1">
      <c r="C123" s="59"/>
      <c r="D123" s="59"/>
      <c r="H123" s="59"/>
      <c r="I123" s="59"/>
      <c r="J123" s="59"/>
    </row>
    <row r="124" ht="12.75" customHeight="1">
      <c r="C124" s="59"/>
      <c r="D124" s="59"/>
      <c r="H124" s="59"/>
      <c r="I124" s="59"/>
      <c r="J124" s="59"/>
    </row>
    <row r="125" ht="12.75" customHeight="1">
      <c r="C125" s="59"/>
      <c r="D125" s="59"/>
      <c r="H125" s="59"/>
      <c r="I125" s="59"/>
      <c r="J125" s="59"/>
    </row>
    <row r="126" ht="12.75" customHeight="1">
      <c r="C126" s="59"/>
      <c r="D126" s="59"/>
      <c r="H126" s="59"/>
      <c r="I126" s="59"/>
      <c r="J126" s="59"/>
    </row>
    <row r="127" ht="12.75" customHeight="1">
      <c r="C127" s="59"/>
      <c r="D127" s="59"/>
      <c r="H127" s="59"/>
      <c r="I127" s="59"/>
      <c r="J127" s="59"/>
    </row>
    <row r="128" ht="12.75" customHeight="1">
      <c r="C128" s="59"/>
      <c r="D128" s="59"/>
      <c r="H128" s="59"/>
      <c r="I128" s="59"/>
      <c r="J128" s="59"/>
    </row>
    <row r="129" ht="12.75" customHeight="1">
      <c r="C129" s="59"/>
      <c r="D129" s="59"/>
      <c r="H129" s="59"/>
      <c r="I129" s="59"/>
      <c r="J129" s="59"/>
    </row>
    <row r="130" ht="12.75" customHeight="1">
      <c r="C130" s="59"/>
      <c r="D130" s="59"/>
      <c r="H130" s="59"/>
      <c r="I130" s="59"/>
      <c r="J130" s="59"/>
    </row>
    <row r="131" ht="12.75" customHeight="1">
      <c r="C131" s="59"/>
      <c r="D131" s="59"/>
      <c r="H131" s="59"/>
      <c r="I131" s="59"/>
      <c r="J131" s="59"/>
    </row>
    <row r="132" ht="12.75" customHeight="1">
      <c r="C132" s="59"/>
      <c r="D132" s="59"/>
      <c r="H132" s="59"/>
      <c r="I132" s="59"/>
      <c r="J132" s="59"/>
    </row>
    <row r="133" ht="12.75" customHeight="1">
      <c r="C133" s="59"/>
      <c r="D133" s="59"/>
      <c r="H133" s="59"/>
      <c r="I133" s="59"/>
      <c r="J133" s="59"/>
    </row>
    <row r="134" ht="12.75" customHeight="1">
      <c r="C134" s="59"/>
      <c r="D134" s="59"/>
      <c r="H134" s="59"/>
      <c r="I134" s="59"/>
      <c r="J134" s="59"/>
    </row>
    <row r="135" ht="12.75" customHeight="1">
      <c r="C135" s="59"/>
      <c r="D135" s="59"/>
      <c r="H135" s="59"/>
      <c r="I135" s="59"/>
      <c r="J135" s="59"/>
    </row>
    <row r="136" ht="12.75" customHeight="1">
      <c r="C136" s="59"/>
      <c r="D136" s="59"/>
      <c r="H136" s="59"/>
      <c r="I136" s="59"/>
      <c r="J136" s="59"/>
    </row>
    <row r="137" ht="12.75" customHeight="1">
      <c r="C137" s="59"/>
      <c r="D137" s="59"/>
      <c r="H137" s="59"/>
      <c r="I137" s="59"/>
      <c r="J137" s="59"/>
    </row>
    <row r="138" ht="12.75" customHeight="1">
      <c r="C138" s="59"/>
      <c r="D138" s="59"/>
      <c r="H138" s="59"/>
      <c r="I138" s="59"/>
      <c r="J138" s="59"/>
    </row>
    <row r="139" ht="12.75" customHeight="1">
      <c r="C139" s="59"/>
      <c r="D139" s="59"/>
      <c r="H139" s="59"/>
      <c r="I139" s="59"/>
      <c r="J139" s="59"/>
    </row>
    <row r="140" ht="12.75" customHeight="1">
      <c r="C140" s="59"/>
      <c r="D140" s="59"/>
      <c r="H140" s="59"/>
      <c r="I140" s="59"/>
      <c r="J140" s="59"/>
    </row>
    <row r="141" ht="12.75" customHeight="1">
      <c r="C141" s="59"/>
      <c r="D141" s="59"/>
      <c r="H141" s="59"/>
      <c r="I141" s="59"/>
      <c r="J141" s="59"/>
    </row>
    <row r="142" ht="12.75" customHeight="1">
      <c r="C142" s="59"/>
      <c r="D142" s="59"/>
      <c r="H142" s="59"/>
      <c r="I142" s="59"/>
      <c r="J142" s="59"/>
    </row>
    <row r="143" ht="12.75" customHeight="1">
      <c r="C143" s="59"/>
      <c r="D143" s="59"/>
      <c r="H143" s="59"/>
      <c r="I143" s="59"/>
      <c r="J143" s="59"/>
    </row>
    <row r="144" ht="12.75" customHeight="1">
      <c r="C144" s="59"/>
      <c r="D144" s="59"/>
      <c r="H144" s="59"/>
      <c r="I144" s="59"/>
      <c r="J144" s="59"/>
    </row>
    <row r="145" ht="12.75" customHeight="1">
      <c r="C145" s="59"/>
      <c r="D145" s="59"/>
      <c r="H145" s="59"/>
      <c r="I145" s="59"/>
      <c r="J145" s="59"/>
    </row>
    <row r="146" ht="12.75" customHeight="1">
      <c r="C146" s="59"/>
      <c r="D146" s="59"/>
      <c r="H146" s="59"/>
      <c r="I146" s="59"/>
      <c r="J146" s="59"/>
    </row>
    <row r="147" ht="12.75" customHeight="1">
      <c r="C147" s="59"/>
      <c r="D147" s="59"/>
      <c r="H147" s="59"/>
      <c r="I147" s="59"/>
      <c r="J147" s="59"/>
    </row>
    <row r="148" ht="12.75" customHeight="1">
      <c r="C148" s="59"/>
      <c r="D148" s="59"/>
      <c r="H148" s="59"/>
      <c r="I148" s="59"/>
      <c r="J148" s="59"/>
    </row>
    <row r="149" ht="12.75" customHeight="1">
      <c r="C149" s="59"/>
      <c r="D149" s="59"/>
      <c r="H149" s="59"/>
      <c r="I149" s="59"/>
      <c r="J149" s="59"/>
    </row>
    <row r="150" ht="12.75" customHeight="1">
      <c r="C150" s="59"/>
      <c r="D150" s="59"/>
      <c r="H150" s="59"/>
      <c r="I150" s="59"/>
      <c r="J150" s="59"/>
    </row>
    <row r="151" ht="12.75" customHeight="1">
      <c r="C151" s="59"/>
      <c r="D151" s="59"/>
      <c r="H151" s="59"/>
      <c r="I151" s="59"/>
      <c r="J151" s="59"/>
    </row>
    <row r="152" ht="12.75" customHeight="1">
      <c r="C152" s="59"/>
      <c r="D152" s="59"/>
      <c r="H152" s="59"/>
      <c r="I152" s="59"/>
      <c r="J152" s="59"/>
    </row>
    <row r="153" ht="12.75" customHeight="1">
      <c r="C153" s="59"/>
      <c r="D153" s="59"/>
      <c r="H153" s="59"/>
      <c r="I153" s="59"/>
      <c r="J153" s="59"/>
    </row>
    <row r="154" ht="12.75" customHeight="1">
      <c r="C154" s="59"/>
      <c r="D154" s="59"/>
      <c r="H154" s="59"/>
      <c r="I154" s="59"/>
      <c r="J154" s="59"/>
    </row>
    <row r="155" ht="12.75" customHeight="1">
      <c r="C155" s="59"/>
      <c r="D155" s="59"/>
      <c r="H155" s="59"/>
      <c r="I155" s="59"/>
      <c r="J155" s="59"/>
    </row>
    <row r="156" ht="12.75" customHeight="1">
      <c r="C156" s="59"/>
      <c r="D156" s="59"/>
      <c r="H156" s="59"/>
      <c r="I156" s="59"/>
      <c r="J156" s="59"/>
    </row>
    <row r="157" ht="12.75" customHeight="1">
      <c r="C157" s="59"/>
      <c r="D157" s="59"/>
      <c r="H157" s="59"/>
      <c r="I157" s="59"/>
      <c r="J157" s="59"/>
    </row>
    <row r="158" ht="12.75" customHeight="1">
      <c r="C158" s="59"/>
      <c r="D158" s="59"/>
      <c r="H158" s="59"/>
      <c r="I158" s="59"/>
      <c r="J158" s="59"/>
    </row>
    <row r="159" ht="12.75" customHeight="1">
      <c r="C159" s="59"/>
      <c r="D159" s="59"/>
      <c r="H159" s="59"/>
      <c r="I159" s="59"/>
      <c r="J159" s="59"/>
    </row>
    <row r="160" ht="12.75" customHeight="1">
      <c r="C160" s="59"/>
      <c r="D160" s="59"/>
      <c r="H160" s="59"/>
      <c r="I160" s="59"/>
      <c r="J160" s="59"/>
    </row>
    <row r="161" ht="12.75" customHeight="1">
      <c r="C161" s="59"/>
      <c r="D161" s="59"/>
      <c r="H161" s="59"/>
      <c r="I161" s="59"/>
      <c r="J161" s="59"/>
    </row>
    <row r="162" ht="12.75" customHeight="1">
      <c r="C162" s="59"/>
      <c r="D162" s="59"/>
      <c r="H162" s="59"/>
      <c r="I162" s="59"/>
      <c r="J162" s="59"/>
    </row>
    <row r="163" ht="12.75" customHeight="1">
      <c r="C163" s="59"/>
      <c r="D163" s="59"/>
      <c r="H163" s="59"/>
      <c r="I163" s="59"/>
      <c r="J163" s="59"/>
    </row>
    <row r="164" ht="12.75" customHeight="1">
      <c r="C164" s="59"/>
      <c r="D164" s="59"/>
      <c r="H164" s="59"/>
      <c r="I164" s="59"/>
      <c r="J164" s="59"/>
    </row>
    <row r="165" ht="12.75" customHeight="1">
      <c r="C165" s="59"/>
      <c r="D165" s="59"/>
      <c r="H165" s="59"/>
      <c r="I165" s="59"/>
      <c r="J165" s="59"/>
    </row>
    <row r="166" ht="12.75" customHeight="1">
      <c r="C166" s="59"/>
      <c r="D166" s="59"/>
      <c r="H166" s="59"/>
      <c r="I166" s="59"/>
      <c r="J166" s="59"/>
    </row>
    <row r="167" ht="12.75" customHeight="1">
      <c r="C167" s="59"/>
      <c r="D167" s="59"/>
      <c r="H167" s="59"/>
      <c r="I167" s="59"/>
      <c r="J167" s="59"/>
    </row>
    <row r="168" ht="12.75" customHeight="1">
      <c r="C168" s="59"/>
      <c r="D168" s="59"/>
      <c r="H168" s="59"/>
      <c r="I168" s="59"/>
      <c r="J168" s="59"/>
    </row>
    <row r="169" ht="12.75" customHeight="1">
      <c r="C169" s="59"/>
      <c r="D169" s="59"/>
      <c r="H169" s="59"/>
      <c r="I169" s="59"/>
      <c r="J169" s="59"/>
    </row>
    <row r="170" ht="12.75" customHeight="1">
      <c r="C170" s="59"/>
      <c r="D170" s="59"/>
      <c r="H170" s="59"/>
      <c r="I170" s="59"/>
      <c r="J170" s="59"/>
    </row>
    <row r="171" ht="12.75" customHeight="1">
      <c r="C171" s="59"/>
      <c r="D171" s="59"/>
      <c r="H171" s="59"/>
      <c r="I171" s="59"/>
      <c r="J171" s="59"/>
    </row>
    <row r="172" ht="12.75" customHeight="1">
      <c r="C172" s="59"/>
      <c r="D172" s="59"/>
      <c r="H172" s="59"/>
      <c r="I172" s="59"/>
      <c r="J172" s="59"/>
    </row>
    <row r="173" ht="12.75" customHeight="1">
      <c r="C173" s="59"/>
      <c r="D173" s="59"/>
      <c r="H173" s="59"/>
      <c r="I173" s="59"/>
      <c r="J173" s="59"/>
    </row>
    <row r="174" ht="12.75" customHeight="1">
      <c r="C174" s="59"/>
      <c r="D174" s="59"/>
      <c r="H174" s="59"/>
      <c r="I174" s="59"/>
      <c r="J174" s="59"/>
    </row>
    <row r="175" ht="12.75" customHeight="1">
      <c r="C175" s="59"/>
      <c r="D175" s="59"/>
      <c r="H175" s="59"/>
      <c r="I175" s="59"/>
      <c r="J175" s="59"/>
    </row>
    <row r="176" ht="12.75" customHeight="1">
      <c r="C176" s="59"/>
      <c r="D176" s="59"/>
      <c r="H176" s="59"/>
      <c r="I176" s="59"/>
      <c r="J176" s="59"/>
    </row>
    <row r="177" ht="12.75" customHeight="1">
      <c r="C177" s="59"/>
      <c r="D177" s="59"/>
      <c r="H177" s="59"/>
      <c r="I177" s="59"/>
      <c r="J177" s="59"/>
    </row>
    <row r="178" ht="12.75" customHeight="1">
      <c r="C178" s="59"/>
      <c r="D178" s="59"/>
      <c r="H178" s="59"/>
      <c r="I178" s="59"/>
      <c r="J178" s="59"/>
    </row>
    <row r="179" ht="12.75" customHeight="1">
      <c r="C179" s="59"/>
      <c r="D179" s="59"/>
      <c r="H179" s="59"/>
      <c r="I179" s="59"/>
      <c r="J179" s="59"/>
    </row>
    <row r="180" ht="12.75" customHeight="1">
      <c r="C180" s="59"/>
      <c r="D180" s="59"/>
      <c r="H180" s="59"/>
      <c r="I180" s="59"/>
      <c r="J180" s="59"/>
    </row>
    <row r="181" ht="12.75" customHeight="1">
      <c r="C181" s="59"/>
      <c r="D181" s="59"/>
      <c r="H181" s="59"/>
      <c r="I181" s="59"/>
      <c r="J181" s="59"/>
    </row>
    <row r="182" ht="12.75" customHeight="1">
      <c r="C182" s="59"/>
      <c r="D182" s="59"/>
      <c r="H182" s="59"/>
      <c r="I182" s="59"/>
      <c r="J182" s="59"/>
    </row>
    <row r="183" ht="12.75" customHeight="1">
      <c r="C183" s="59"/>
      <c r="D183" s="59"/>
      <c r="H183" s="59"/>
      <c r="I183" s="59"/>
      <c r="J183" s="59"/>
    </row>
    <row r="184" ht="12.75" customHeight="1">
      <c r="C184" s="59"/>
      <c r="D184" s="59"/>
      <c r="H184" s="59"/>
      <c r="I184" s="59"/>
      <c r="J184" s="59"/>
    </row>
    <row r="185" ht="12.75" customHeight="1">
      <c r="C185" s="59"/>
      <c r="D185" s="59"/>
      <c r="H185" s="59"/>
      <c r="I185" s="59"/>
      <c r="J185" s="59"/>
    </row>
    <row r="186" ht="12.75" customHeight="1">
      <c r="C186" s="59"/>
      <c r="D186" s="59"/>
      <c r="H186" s="59"/>
      <c r="I186" s="59"/>
      <c r="J186" s="59"/>
    </row>
    <row r="187" ht="12.75" customHeight="1">
      <c r="C187" s="59"/>
      <c r="D187" s="59"/>
      <c r="H187" s="59"/>
      <c r="I187" s="59"/>
      <c r="J187" s="59"/>
    </row>
    <row r="188" ht="12.75" customHeight="1">
      <c r="C188" s="59"/>
      <c r="D188" s="59"/>
      <c r="H188" s="59"/>
      <c r="I188" s="59"/>
      <c r="J188" s="59"/>
    </row>
    <row r="189" ht="12.75" customHeight="1">
      <c r="C189" s="59"/>
      <c r="D189" s="59"/>
      <c r="H189" s="59"/>
      <c r="I189" s="59"/>
      <c r="J189" s="59"/>
    </row>
    <row r="190" ht="12.75" customHeight="1">
      <c r="C190" s="59"/>
      <c r="D190" s="59"/>
      <c r="H190" s="59"/>
      <c r="I190" s="59"/>
      <c r="J190" s="59"/>
    </row>
    <row r="191" ht="12.75" customHeight="1">
      <c r="C191" s="59"/>
      <c r="D191" s="59"/>
      <c r="H191" s="59"/>
      <c r="I191" s="59"/>
      <c r="J191" s="59"/>
    </row>
    <row r="192" ht="12.75" customHeight="1">
      <c r="C192" s="59"/>
      <c r="D192" s="59"/>
      <c r="H192" s="59"/>
      <c r="I192" s="59"/>
      <c r="J192" s="59"/>
    </row>
    <row r="193" ht="12.75" customHeight="1">
      <c r="C193" s="59"/>
      <c r="D193" s="59"/>
      <c r="H193" s="59"/>
      <c r="I193" s="59"/>
      <c r="J193" s="59"/>
    </row>
    <row r="194" ht="12.75" customHeight="1">
      <c r="C194" s="59"/>
      <c r="D194" s="59"/>
      <c r="H194" s="59"/>
      <c r="I194" s="59"/>
      <c r="J194" s="59"/>
    </row>
    <row r="195" ht="12.75" customHeight="1">
      <c r="C195" s="59"/>
      <c r="D195" s="59"/>
      <c r="H195" s="59"/>
      <c r="I195" s="59"/>
      <c r="J195" s="59"/>
    </row>
    <row r="196" ht="12.75" customHeight="1">
      <c r="C196" s="59"/>
      <c r="D196" s="59"/>
      <c r="H196" s="59"/>
      <c r="I196" s="59"/>
      <c r="J196" s="59"/>
    </row>
    <row r="197" ht="12.75" customHeight="1">
      <c r="C197" s="59"/>
      <c r="D197" s="59"/>
      <c r="H197" s="59"/>
      <c r="I197" s="59"/>
      <c r="J197" s="59"/>
    </row>
    <row r="198" ht="12.75" customHeight="1">
      <c r="C198" s="59"/>
      <c r="D198" s="59"/>
      <c r="H198" s="59"/>
      <c r="I198" s="59"/>
      <c r="J198" s="59"/>
    </row>
    <row r="199" ht="12.75" customHeight="1">
      <c r="C199" s="59"/>
      <c r="D199" s="59"/>
      <c r="H199" s="59"/>
      <c r="I199" s="59"/>
      <c r="J199" s="59"/>
    </row>
    <row r="200" ht="12.75" customHeight="1">
      <c r="C200" s="59"/>
      <c r="D200" s="59"/>
      <c r="H200" s="59"/>
      <c r="I200" s="59"/>
      <c r="J200" s="59"/>
    </row>
    <row r="201" ht="12.75" customHeight="1">
      <c r="C201" s="59"/>
      <c r="D201" s="59"/>
      <c r="H201" s="59"/>
      <c r="I201" s="59"/>
      <c r="J201" s="59"/>
    </row>
    <row r="202" ht="12.75" customHeight="1">
      <c r="C202" s="59"/>
      <c r="D202" s="59"/>
      <c r="H202" s="59"/>
      <c r="I202" s="59"/>
      <c r="J202" s="59"/>
    </row>
    <row r="203" ht="12.75" customHeight="1">
      <c r="C203" s="59"/>
      <c r="D203" s="59"/>
      <c r="H203" s="59"/>
      <c r="I203" s="59"/>
      <c r="J203" s="59"/>
    </row>
    <row r="204" ht="12.75" customHeight="1">
      <c r="C204" s="59"/>
      <c r="D204" s="59"/>
      <c r="H204" s="59"/>
      <c r="I204" s="59"/>
      <c r="J204" s="59"/>
    </row>
    <row r="205" ht="12.75" customHeight="1">
      <c r="C205" s="59"/>
      <c r="D205" s="59"/>
      <c r="H205" s="59"/>
      <c r="I205" s="59"/>
      <c r="J205" s="59"/>
    </row>
    <row r="206" ht="12.75" customHeight="1">
      <c r="C206" s="59"/>
      <c r="D206" s="59"/>
      <c r="H206" s="59"/>
      <c r="I206" s="59"/>
      <c r="J206" s="59"/>
    </row>
    <row r="207" ht="12.75" customHeight="1">
      <c r="C207" s="59"/>
      <c r="D207" s="59"/>
      <c r="H207" s="59"/>
      <c r="I207" s="59"/>
      <c r="J207" s="59"/>
    </row>
    <row r="208" ht="12.75" customHeight="1">
      <c r="C208" s="59"/>
      <c r="D208" s="59"/>
      <c r="H208" s="59"/>
      <c r="I208" s="59"/>
      <c r="J208" s="59"/>
    </row>
    <row r="209" ht="12.75" customHeight="1">
      <c r="C209" s="59"/>
      <c r="D209" s="59"/>
      <c r="H209" s="59"/>
      <c r="I209" s="59"/>
      <c r="J209" s="59"/>
    </row>
    <row r="210" ht="12.75" customHeight="1">
      <c r="C210" s="59"/>
      <c r="D210" s="59"/>
      <c r="H210" s="59"/>
      <c r="I210" s="59"/>
      <c r="J210" s="59"/>
    </row>
    <row r="211" ht="12.75" customHeight="1">
      <c r="C211" s="59"/>
      <c r="D211" s="59"/>
      <c r="H211" s="59"/>
      <c r="I211" s="59"/>
      <c r="J211" s="59"/>
    </row>
    <row r="212" ht="12.75" customHeight="1">
      <c r="C212" s="59"/>
      <c r="D212" s="59"/>
      <c r="H212" s="59"/>
      <c r="I212" s="59"/>
      <c r="J212" s="59"/>
    </row>
    <row r="213" ht="12.75" customHeight="1">
      <c r="C213" s="59"/>
      <c r="D213" s="59"/>
      <c r="H213" s="59"/>
      <c r="I213" s="59"/>
      <c r="J213" s="59"/>
    </row>
    <row r="214" ht="12.75" customHeight="1">
      <c r="C214" s="59"/>
      <c r="D214" s="59"/>
      <c r="H214" s="59"/>
      <c r="I214" s="59"/>
      <c r="J214" s="59"/>
    </row>
    <row r="215" ht="12.75" customHeight="1">
      <c r="C215" s="59"/>
      <c r="D215" s="59"/>
      <c r="H215" s="59"/>
      <c r="I215" s="59"/>
      <c r="J215" s="59"/>
    </row>
    <row r="216" ht="12.75" customHeight="1">
      <c r="C216" s="59"/>
      <c r="D216" s="59"/>
      <c r="H216" s="59"/>
      <c r="I216" s="59"/>
      <c r="J216" s="59"/>
    </row>
    <row r="217" ht="12.75" customHeight="1">
      <c r="C217" s="59"/>
      <c r="D217" s="59"/>
      <c r="H217" s="59"/>
      <c r="I217" s="59"/>
      <c r="J217" s="59"/>
    </row>
    <row r="218" ht="12.75" customHeight="1">
      <c r="C218" s="59"/>
      <c r="D218" s="59"/>
      <c r="H218" s="59"/>
      <c r="I218" s="59"/>
      <c r="J218" s="59"/>
    </row>
    <row r="219" ht="12.75" customHeight="1">
      <c r="C219" s="59"/>
      <c r="D219" s="59"/>
      <c r="H219" s="59"/>
      <c r="I219" s="59"/>
      <c r="J219" s="59"/>
    </row>
    <row r="220" ht="12.75" customHeight="1">
      <c r="C220" s="59"/>
      <c r="D220" s="59"/>
      <c r="H220" s="59"/>
      <c r="I220" s="59"/>
      <c r="J220" s="59"/>
    </row>
    <row r="221" ht="12.75" customHeight="1">
      <c r="C221" s="59"/>
      <c r="D221" s="59"/>
      <c r="H221" s="59"/>
      <c r="I221" s="59"/>
      <c r="J221" s="59"/>
    </row>
    <row r="222" ht="12.75" customHeight="1">
      <c r="C222" s="59"/>
      <c r="D222" s="59"/>
      <c r="H222" s="59"/>
      <c r="I222" s="59"/>
      <c r="J222" s="59"/>
    </row>
    <row r="223" ht="12.75" customHeight="1">
      <c r="C223" s="59"/>
      <c r="D223" s="59"/>
      <c r="H223" s="59"/>
      <c r="I223" s="59"/>
      <c r="J223" s="59"/>
    </row>
    <row r="224" ht="12.75" customHeight="1">
      <c r="C224" s="59"/>
      <c r="D224" s="59"/>
      <c r="H224" s="59"/>
      <c r="I224" s="59"/>
      <c r="J224" s="59"/>
    </row>
    <row r="225" ht="12.75" customHeight="1">
      <c r="C225" s="59"/>
      <c r="D225" s="59"/>
      <c r="H225" s="59"/>
      <c r="I225" s="59"/>
      <c r="J225" s="59"/>
    </row>
    <row r="226" ht="12.75" customHeight="1">
      <c r="C226" s="59"/>
      <c r="D226" s="59"/>
      <c r="H226" s="59"/>
      <c r="I226" s="59"/>
      <c r="J226" s="59"/>
    </row>
    <row r="227" ht="12.75" customHeight="1">
      <c r="C227" s="59"/>
      <c r="D227" s="59"/>
      <c r="H227" s="59"/>
      <c r="I227" s="59"/>
      <c r="J227" s="59"/>
    </row>
    <row r="228" ht="12.75" customHeight="1">
      <c r="C228" s="59"/>
      <c r="D228" s="59"/>
      <c r="H228" s="59"/>
      <c r="I228" s="59"/>
      <c r="J228" s="59"/>
    </row>
    <row r="229" ht="12.75" customHeight="1">
      <c r="C229" s="59"/>
      <c r="D229" s="59"/>
      <c r="H229" s="59"/>
      <c r="I229" s="59"/>
      <c r="J229" s="59"/>
    </row>
    <row r="230" ht="12.75" customHeight="1">
      <c r="C230" s="59"/>
      <c r="D230" s="59"/>
      <c r="H230" s="59"/>
      <c r="I230" s="59"/>
      <c r="J230" s="59"/>
    </row>
    <row r="231" ht="12.75" customHeight="1">
      <c r="C231" s="59"/>
      <c r="D231" s="59"/>
      <c r="H231" s="59"/>
      <c r="I231" s="59"/>
      <c r="J231" s="59"/>
    </row>
    <row r="232" ht="12.75" customHeight="1">
      <c r="C232" s="59"/>
      <c r="D232" s="59"/>
      <c r="H232" s="59"/>
      <c r="I232" s="59"/>
      <c r="J232" s="59"/>
    </row>
    <row r="233" ht="12.75" customHeight="1">
      <c r="C233" s="59"/>
      <c r="D233" s="59"/>
      <c r="H233" s="59"/>
      <c r="I233" s="59"/>
      <c r="J233" s="59"/>
    </row>
    <row r="234" ht="12.75" customHeight="1">
      <c r="C234" s="59"/>
      <c r="D234" s="59"/>
      <c r="H234" s="59"/>
      <c r="I234" s="59"/>
      <c r="J234" s="59"/>
    </row>
    <row r="235" ht="12.75" customHeight="1">
      <c r="C235" s="59"/>
      <c r="D235" s="59"/>
      <c r="H235" s="59"/>
      <c r="I235" s="59"/>
      <c r="J235" s="59"/>
    </row>
    <row r="236" ht="12.75" customHeight="1">
      <c r="C236" s="59"/>
      <c r="D236" s="59"/>
      <c r="H236" s="59"/>
      <c r="I236" s="59"/>
      <c r="J236" s="59"/>
    </row>
    <row r="237" ht="12.75" customHeight="1">
      <c r="C237" s="59"/>
      <c r="D237" s="59"/>
      <c r="H237" s="59"/>
      <c r="I237" s="59"/>
      <c r="J237" s="59"/>
    </row>
    <row r="238" ht="12.75" customHeight="1">
      <c r="C238" s="59"/>
      <c r="D238" s="59"/>
      <c r="H238" s="59"/>
      <c r="I238" s="59"/>
      <c r="J238" s="59"/>
    </row>
    <row r="239" ht="12.75" customHeight="1">
      <c r="C239" s="59"/>
      <c r="D239" s="59"/>
      <c r="H239" s="59"/>
      <c r="I239" s="59"/>
      <c r="J239" s="59"/>
    </row>
    <row r="240" ht="12.75" customHeight="1">
      <c r="C240" s="59"/>
      <c r="D240" s="59"/>
      <c r="H240" s="59"/>
      <c r="I240" s="59"/>
      <c r="J240" s="59"/>
    </row>
    <row r="241" ht="12.75" customHeight="1">
      <c r="C241" s="59"/>
      <c r="D241" s="59"/>
      <c r="H241" s="59"/>
      <c r="I241" s="59"/>
      <c r="J241" s="59"/>
    </row>
    <row r="242" ht="12.75" customHeight="1">
      <c r="C242" s="59"/>
      <c r="D242" s="59"/>
      <c r="H242" s="59"/>
      <c r="I242" s="59"/>
      <c r="J242" s="59"/>
    </row>
    <row r="243" ht="12.75" customHeight="1">
      <c r="C243" s="59"/>
      <c r="D243" s="59"/>
      <c r="H243" s="59"/>
      <c r="I243" s="59"/>
      <c r="J243" s="59"/>
    </row>
    <row r="244" ht="12.75" customHeight="1">
      <c r="C244" s="59"/>
      <c r="D244" s="59"/>
      <c r="H244" s="59"/>
      <c r="I244" s="59"/>
      <c r="J244" s="59"/>
    </row>
    <row r="245" ht="12.75" customHeight="1">
      <c r="C245" s="59"/>
      <c r="D245" s="59"/>
      <c r="H245" s="59"/>
      <c r="I245" s="59"/>
      <c r="J245" s="59"/>
    </row>
    <row r="246" ht="12.75" customHeight="1">
      <c r="C246" s="59"/>
      <c r="D246" s="59"/>
      <c r="H246" s="59"/>
      <c r="I246" s="59"/>
      <c r="J246" s="59"/>
    </row>
    <row r="247" ht="12.75" customHeight="1">
      <c r="C247" s="59"/>
      <c r="D247" s="59"/>
      <c r="H247" s="59"/>
      <c r="I247" s="59"/>
      <c r="J247" s="59"/>
    </row>
    <row r="248" ht="12.75" customHeight="1">
      <c r="C248" s="59"/>
      <c r="D248" s="59"/>
      <c r="H248" s="59"/>
      <c r="I248" s="59"/>
      <c r="J248" s="59"/>
    </row>
    <row r="249" ht="12.75" customHeight="1">
      <c r="C249" s="59"/>
      <c r="D249" s="59"/>
      <c r="H249" s="59"/>
      <c r="I249" s="59"/>
      <c r="J249" s="59"/>
    </row>
    <row r="250" ht="12.75" customHeight="1">
      <c r="C250" s="59"/>
      <c r="D250" s="59"/>
      <c r="H250" s="59"/>
      <c r="I250" s="59"/>
      <c r="J250" s="59"/>
    </row>
    <row r="251" ht="12.75" customHeight="1">
      <c r="C251" s="59"/>
      <c r="D251" s="59"/>
      <c r="H251" s="59"/>
      <c r="I251" s="59"/>
      <c r="J251" s="59"/>
    </row>
    <row r="252" ht="12.75" customHeight="1">
      <c r="C252" s="59"/>
      <c r="D252" s="59"/>
      <c r="H252" s="59"/>
      <c r="I252" s="59"/>
      <c r="J252" s="59"/>
    </row>
    <row r="253" ht="12.75" customHeight="1">
      <c r="C253" s="59"/>
      <c r="D253" s="59"/>
      <c r="H253" s="59"/>
      <c r="I253" s="59"/>
      <c r="J253" s="59"/>
    </row>
    <row r="254" ht="12.75" customHeight="1">
      <c r="C254" s="59"/>
      <c r="D254" s="59"/>
      <c r="H254" s="59"/>
      <c r="I254" s="59"/>
      <c r="J254" s="59"/>
    </row>
    <row r="255" ht="12.75" customHeight="1">
      <c r="C255" s="59"/>
      <c r="D255" s="59"/>
      <c r="H255" s="59"/>
      <c r="I255" s="59"/>
      <c r="J255" s="59"/>
    </row>
    <row r="256" ht="12.75" customHeight="1">
      <c r="C256" s="59"/>
      <c r="D256" s="59"/>
      <c r="H256" s="59"/>
      <c r="I256" s="59"/>
      <c r="J256" s="59"/>
    </row>
    <row r="257" ht="12.75" customHeight="1">
      <c r="C257" s="59"/>
      <c r="D257" s="59"/>
      <c r="H257" s="59"/>
      <c r="I257" s="59"/>
      <c r="J257" s="59"/>
    </row>
    <row r="258" ht="12.75" customHeight="1">
      <c r="C258" s="59"/>
      <c r="D258" s="59"/>
      <c r="H258" s="59"/>
      <c r="I258" s="59"/>
      <c r="J258" s="59"/>
    </row>
    <row r="259" ht="12.75" customHeight="1">
      <c r="C259" s="59"/>
      <c r="D259" s="59"/>
      <c r="H259" s="59"/>
      <c r="I259" s="59"/>
      <c r="J259" s="59"/>
    </row>
    <row r="260" ht="12.75" customHeight="1">
      <c r="C260" s="59"/>
      <c r="D260" s="59"/>
      <c r="H260" s="59"/>
      <c r="I260" s="59"/>
      <c r="J260" s="59"/>
    </row>
    <row r="261" ht="12.75" customHeight="1">
      <c r="C261" s="59"/>
      <c r="D261" s="59"/>
      <c r="H261" s="59"/>
      <c r="I261" s="59"/>
      <c r="J261" s="59"/>
    </row>
    <row r="262" ht="12.75" customHeight="1">
      <c r="C262" s="59"/>
      <c r="D262" s="59"/>
      <c r="H262" s="59"/>
      <c r="I262" s="59"/>
      <c r="J262" s="59"/>
    </row>
    <row r="263" ht="12.75" customHeight="1">
      <c r="C263" s="59"/>
      <c r="D263" s="59"/>
      <c r="H263" s="59"/>
      <c r="I263" s="59"/>
      <c r="J263" s="59"/>
    </row>
    <row r="264" ht="12.75" customHeight="1">
      <c r="C264" s="59"/>
      <c r="D264" s="59"/>
      <c r="H264" s="59"/>
      <c r="I264" s="59"/>
      <c r="J264" s="59"/>
    </row>
    <row r="265" ht="12.75" customHeight="1">
      <c r="C265" s="59"/>
      <c r="D265" s="59"/>
      <c r="H265" s="59"/>
      <c r="I265" s="59"/>
      <c r="J265" s="59"/>
    </row>
    <row r="266" ht="12.75" customHeight="1">
      <c r="C266" s="59"/>
      <c r="D266" s="59"/>
      <c r="H266" s="59"/>
      <c r="I266" s="59"/>
      <c r="J266" s="59"/>
    </row>
    <row r="267" ht="12.75" customHeight="1">
      <c r="C267" s="59"/>
      <c r="D267" s="59"/>
      <c r="H267" s="59"/>
      <c r="I267" s="59"/>
      <c r="J267" s="59"/>
    </row>
    <row r="268" ht="12.75" customHeight="1">
      <c r="C268" s="59"/>
      <c r="D268" s="59"/>
      <c r="H268" s="59"/>
      <c r="I268" s="59"/>
      <c r="J268" s="59"/>
    </row>
    <row r="269" ht="12.75" customHeight="1">
      <c r="C269" s="59"/>
      <c r="D269" s="59"/>
      <c r="H269" s="59"/>
      <c r="I269" s="59"/>
      <c r="J269" s="59"/>
    </row>
    <row r="270" ht="12.75" customHeight="1">
      <c r="C270" s="59"/>
      <c r="D270" s="59"/>
      <c r="H270" s="59"/>
      <c r="I270" s="59"/>
      <c r="J270" s="59"/>
    </row>
    <row r="271" ht="12.75" customHeight="1">
      <c r="C271" s="59"/>
      <c r="D271" s="59"/>
      <c r="H271" s="59"/>
      <c r="I271" s="59"/>
      <c r="J271" s="59"/>
    </row>
    <row r="272" ht="12.75" customHeight="1">
      <c r="C272" s="59"/>
      <c r="D272" s="59"/>
      <c r="H272" s="59"/>
      <c r="I272" s="59"/>
      <c r="J272" s="59"/>
    </row>
    <row r="273" ht="12.75" customHeight="1">
      <c r="C273" s="59"/>
      <c r="D273" s="59"/>
      <c r="H273" s="59"/>
      <c r="I273" s="59"/>
      <c r="J273" s="59"/>
    </row>
    <row r="274" ht="12.75" customHeight="1">
      <c r="C274" s="59"/>
      <c r="D274" s="59"/>
      <c r="H274" s="59"/>
      <c r="I274" s="59"/>
      <c r="J274" s="59"/>
    </row>
    <row r="275" ht="12.75" customHeight="1">
      <c r="C275" s="59"/>
      <c r="D275" s="59"/>
      <c r="H275" s="59"/>
      <c r="I275" s="59"/>
      <c r="J275" s="59"/>
    </row>
    <row r="276" ht="12.75" customHeight="1">
      <c r="C276" s="59"/>
      <c r="D276" s="59"/>
      <c r="H276" s="59"/>
      <c r="I276" s="59"/>
      <c r="J276" s="59"/>
    </row>
    <row r="277" ht="12.75" customHeight="1">
      <c r="C277" s="59"/>
      <c r="D277" s="59"/>
      <c r="H277" s="59"/>
      <c r="I277" s="59"/>
      <c r="J277" s="59"/>
    </row>
    <row r="278" ht="12.75" customHeight="1">
      <c r="C278" s="59"/>
      <c r="D278" s="59"/>
      <c r="H278" s="59"/>
      <c r="I278" s="59"/>
      <c r="J278" s="59"/>
    </row>
    <row r="279" ht="12.75" customHeight="1">
      <c r="C279" s="59"/>
      <c r="D279" s="59"/>
      <c r="H279" s="59"/>
      <c r="I279" s="59"/>
      <c r="J279" s="59"/>
    </row>
    <row r="280" ht="12.75" customHeight="1">
      <c r="C280" s="59"/>
      <c r="D280" s="59"/>
      <c r="H280" s="59"/>
      <c r="I280" s="59"/>
      <c r="J280" s="59"/>
    </row>
    <row r="281" ht="12.75" customHeight="1">
      <c r="C281" s="59"/>
      <c r="D281" s="59"/>
      <c r="H281" s="59"/>
      <c r="I281" s="59"/>
      <c r="J281" s="59"/>
    </row>
    <row r="282" ht="12.75" customHeight="1">
      <c r="C282" s="59"/>
      <c r="D282" s="59"/>
      <c r="H282" s="59"/>
      <c r="I282" s="59"/>
      <c r="J282" s="59"/>
    </row>
    <row r="283" ht="12.75" customHeight="1">
      <c r="C283" s="59"/>
      <c r="D283" s="59"/>
      <c r="H283" s="59"/>
      <c r="I283" s="59"/>
      <c r="J283" s="59"/>
    </row>
    <row r="284" ht="12.75" customHeight="1">
      <c r="C284" s="59"/>
      <c r="D284" s="59"/>
      <c r="H284" s="59"/>
      <c r="I284" s="59"/>
      <c r="J284" s="59"/>
    </row>
    <row r="285" ht="12.75" customHeight="1">
      <c r="C285" s="59"/>
      <c r="D285" s="59"/>
      <c r="H285" s="59"/>
      <c r="I285" s="59"/>
      <c r="J285" s="59"/>
    </row>
    <row r="286" ht="12.75" customHeight="1">
      <c r="C286" s="59"/>
      <c r="D286" s="59"/>
      <c r="H286" s="59"/>
      <c r="I286" s="59"/>
      <c r="J286" s="59"/>
    </row>
    <row r="287" ht="12.75" customHeight="1">
      <c r="C287" s="59"/>
      <c r="D287" s="59"/>
      <c r="H287" s="59"/>
      <c r="I287" s="59"/>
      <c r="J287" s="59"/>
    </row>
    <row r="288" ht="12.75" customHeight="1">
      <c r="C288" s="59"/>
      <c r="D288" s="59"/>
      <c r="H288" s="59"/>
      <c r="I288" s="59"/>
      <c r="J288" s="59"/>
    </row>
    <row r="289" ht="12.75" customHeight="1">
      <c r="C289" s="59"/>
      <c r="D289" s="59"/>
      <c r="H289" s="59"/>
      <c r="I289" s="59"/>
      <c r="J289" s="59"/>
    </row>
    <row r="290" ht="12.75" customHeight="1">
      <c r="C290" s="59"/>
      <c r="D290" s="59"/>
      <c r="H290" s="59"/>
      <c r="I290" s="59"/>
      <c r="J290" s="59"/>
    </row>
    <row r="291" ht="12.75" customHeight="1">
      <c r="C291" s="59"/>
      <c r="D291" s="59"/>
      <c r="H291" s="59"/>
      <c r="I291" s="59"/>
      <c r="J291" s="59"/>
    </row>
    <row r="292" ht="12.75" customHeight="1">
      <c r="C292" s="59"/>
      <c r="D292" s="59"/>
      <c r="H292" s="59"/>
      <c r="I292" s="59"/>
      <c r="J292" s="59"/>
    </row>
    <row r="293" ht="12.75" customHeight="1">
      <c r="C293" s="59"/>
      <c r="D293" s="59"/>
      <c r="H293" s="59"/>
      <c r="I293" s="59"/>
      <c r="J293" s="59"/>
    </row>
    <row r="294" ht="12.75" customHeight="1">
      <c r="C294" s="59"/>
      <c r="D294" s="59"/>
      <c r="H294" s="59"/>
      <c r="I294" s="59"/>
      <c r="J294" s="59"/>
    </row>
    <row r="295" ht="12.75" customHeight="1">
      <c r="C295" s="59"/>
      <c r="D295" s="59"/>
      <c r="H295" s="59"/>
      <c r="I295" s="59"/>
      <c r="J295" s="59"/>
    </row>
    <row r="296" ht="12.75" customHeight="1">
      <c r="C296" s="59"/>
      <c r="D296" s="59"/>
      <c r="H296" s="59"/>
      <c r="I296" s="59"/>
      <c r="J296" s="59"/>
    </row>
    <row r="297" ht="12.75" customHeight="1">
      <c r="C297" s="59"/>
      <c r="D297" s="59"/>
      <c r="H297" s="59"/>
      <c r="I297" s="59"/>
      <c r="J297" s="59"/>
    </row>
    <row r="298" ht="12.75" customHeight="1">
      <c r="C298" s="59"/>
      <c r="D298" s="59"/>
      <c r="H298" s="59"/>
      <c r="I298" s="59"/>
      <c r="J298" s="59"/>
    </row>
    <row r="299" ht="12.75" customHeight="1">
      <c r="C299" s="59"/>
      <c r="D299" s="59"/>
      <c r="H299" s="59"/>
      <c r="I299" s="59"/>
      <c r="J299" s="59"/>
    </row>
    <row r="300" ht="12.75" customHeight="1">
      <c r="C300" s="59"/>
      <c r="D300" s="59"/>
      <c r="H300" s="59"/>
      <c r="I300" s="59"/>
      <c r="J300" s="59"/>
    </row>
    <row r="301" ht="12.75" customHeight="1">
      <c r="C301" s="59"/>
      <c r="D301" s="59"/>
      <c r="H301" s="59"/>
      <c r="I301" s="59"/>
      <c r="J301" s="59"/>
    </row>
    <row r="302" ht="12.75" customHeight="1">
      <c r="C302" s="59"/>
      <c r="D302" s="59"/>
      <c r="H302" s="59"/>
      <c r="I302" s="59"/>
      <c r="J302" s="59"/>
    </row>
    <row r="303" ht="12.75" customHeight="1">
      <c r="C303" s="59"/>
      <c r="D303" s="59"/>
      <c r="H303" s="59"/>
      <c r="I303" s="59"/>
      <c r="J303" s="59"/>
    </row>
    <row r="304" ht="12.75" customHeight="1">
      <c r="C304" s="59"/>
      <c r="D304" s="59"/>
      <c r="H304" s="59"/>
      <c r="I304" s="59"/>
      <c r="J304" s="59"/>
    </row>
    <row r="305" ht="12.75" customHeight="1">
      <c r="C305" s="59"/>
      <c r="D305" s="59"/>
      <c r="H305" s="59"/>
      <c r="I305" s="59"/>
      <c r="J305" s="59"/>
    </row>
    <row r="306" ht="12.75" customHeight="1">
      <c r="C306" s="59"/>
      <c r="D306" s="59"/>
      <c r="H306" s="59"/>
      <c r="I306" s="59"/>
      <c r="J306" s="59"/>
    </row>
    <row r="307" ht="12.75" customHeight="1">
      <c r="C307" s="59"/>
      <c r="D307" s="59"/>
      <c r="H307" s="59"/>
      <c r="I307" s="59"/>
      <c r="J307" s="59"/>
    </row>
    <row r="308" ht="12.75" customHeight="1">
      <c r="C308" s="59"/>
      <c r="D308" s="59"/>
      <c r="H308" s="59"/>
      <c r="I308" s="59"/>
      <c r="J308" s="59"/>
    </row>
    <row r="309" ht="12.75" customHeight="1">
      <c r="C309" s="59"/>
      <c r="D309" s="59"/>
      <c r="H309" s="59"/>
      <c r="I309" s="59"/>
      <c r="J309" s="59"/>
    </row>
    <row r="310" ht="12.75" customHeight="1">
      <c r="C310" s="59"/>
      <c r="D310" s="59"/>
      <c r="H310" s="59"/>
      <c r="I310" s="59"/>
      <c r="J310" s="59"/>
    </row>
    <row r="311" ht="12.75" customHeight="1">
      <c r="C311" s="59"/>
      <c r="D311" s="59"/>
      <c r="H311" s="59"/>
      <c r="I311" s="59"/>
      <c r="J311" s="59"/>
    </row>
    <row r="312" ht="12.75" customHeight="1">
      <c r="C312" s="59"/>
      <c r="D312" s="59"/>
      <c r="H312" s="59"/>
      <c r="I312" s="59"/>
      <c r="J312" s="59"/>
    </row>
    <row r="313" ht="12.75" customHeight="1">
      <c r="C313" s="59"/>
      <c r="D313" s="59"/>
      <c r="H313" s="59"/>
      <c r="I313" s="59"/>
      <c r="J313" s="59"/>
    </row>
    <row r="314" ht="12.75" customHeight="1">
      <c r="C314" s="59"/>
      <c r="D314" s="59"/>
      <c r="H314" s="59"/>
      <c r="I314" s="59"/>
      <c r="J314" s="59"/>
    </row>
    <row r="315" ht="12.75" customHeight="1">
      <c r="C315" s="59"/>
      <c r="D315" s="59"/>
      <c r="H315" s="59"/>
      <c r="I315" s="59"/>
      <c r="J315" s="59"/>
    </row>
    <row r="316" ht="12.75" customHeight="1">
      <c r="C316" s="59"/>
      <c r="D316" s="59"/>
      <c r="H316" s="59"/>
      <c r="I316" s="59"/>
      <c r="J316" s="59"/>
    </row>
    <row r="317" ht="12.75" customHeight="1">
      <c r="C317" s="59"/>
      <c r="D317" s="59"/>
      <c r="H317" s="59"/>
      <c r="I317" s="59"/>
      <c r="J317" s="59"/>
    </row>
    <row r="318" ht="12.75" customHeight="1">
      <c r="C318" s="59"/>
      <c r="D318" s="59"/>
      <c r="H318" s="59"/>
      <c r="I318" s="59"/>
      <c r="J318" s="59"/>
    </row>
    <row r="319" ht="12.75" customHeight="1">
      <c r="C319" s="59"/>
      <c r="D319" s="59"/>
      <c r="H319" s="59"/>
      <c r="I319" s="59"/>
      <c r="J319" s="59"/>
    </row>
    <row r="320" ht="12.75" customHeight="1">
      <c r="C320" s="59"/>
      <c r="D320" s="59"/>
      <c r="H320" s="59"/>
      <c r="I320" s="59"/>
      <c r="J320" s="59"/>
    </row>
    <row r="321" ht="12.75" customHeight="1">
      <c r="C321" s="59"/>
      <c r="D321" s="59"/>
      <c r="H321" s="59"/>
      <c r="I321" s="59"/>
      <c r="J321" s="59"/>
    </row>
    <row r="322" ht="12.75" customHeight="1">
      <c r="C322" s="59"/>
      <c r="D322" s="59"/>
      <c r="H322" s="59"/>
      <c r="I322" s="59"/>
      <c r="J322" s="59"/>
    </row>
    <row r="323" ht="12.75" customHeight="1">
      <c r="C323" s="59"/>
      <c r="D323" s="59"/>
      <c r="H323" s="59"/>
      <c r="I323" s="59"/>
      <c r="J323" s="59"/>
    </row>
    <row r="324" ht="12.75" customHeight="1">
      <c r="C324" s="59"/>
      <c r="D324" s="59"/>
      <c r="H324" s="59"/>
      <c r="I324" s="59"/>
      <c r="J324" s="59"/>
    </row>
    <row r="325" ht="12.75" customHeight="1">
      <c r="C325" s="59"/>
      <c r="D325" s="59"/>
      <c r="H325" s="59"/>
      <c r="I325" s="59"/>
      <c r="J325" s="59"/>
    </row>
    <row r="326" ht="12.75" customHeight="1">
      <c r="C326" s="59"/>
      <c r="D326" s="59"/>
      <c r="H326" s="59"/>
      <c r="I326" s="59"/>
      <c r="J326" s="59"/>
    </row>
    <row r="327" ht="12.75" customHeight="1">
      <c r="C327" s="59"/>
      <c r="D327" s="59"/>
      <c r="H327" s="59"/>
      <c r="I327" s="59"/>
      <c r="J327" s="59"/>
    </row>
    <row r="328" ht="12.75" customHeight="1">
      <c r="C328" s="59"/>
      <c r="D328" s="59"/>
      <c r="H328" s="59"/>
      <c r="I328" s="59"/>
      <c r="J328" s="59"/>
    </row>
    <row r="329" ht="12.75" customHeight="1">
      <c r="C329" s="59"/>
      <c r="D329" s="59"/>
      <c r="H329" s="59"/>
      <c r="I329" s="59"/>
      <c r="J329" s="59"/>
    </row>
    <row r="330" ht="12.75" customHeight="1">
      <c r="C330" s="59"/>
      <c r="D330" s="59"/>
      <c r="H330" s="59"/>
      <c r="I330" s="59"/>
      <c r="J330" s="59"/>
    </row>
    <row r="331" ht="12.75" customHeight="1">
      <c r="C331" s="59"/>
      <c r="D331" s="59"/>
      <c r="H331" s="59"/>
      <c r="I331" s="59"/>
      <c r="J331" s="59"/>
    </row>
    <row r="332" ht="12.75" customHeight="1">
      <c r="C332" s="59"/>
      <c r="D332" s="59"/>
      <c r="H332" s="59"/>
      <c r="I332" s="59"/>
      <c r="J332" s="59"/>
    </row>
    <row r="333" ht="12.75" customHeight="1">
      <c r="C333" s="59"/>
      <c r="D333" s="59"/>
      <c r="H333" s="59"/>
      <c r="I333" s="59"/>
      <c r="J333" s="59"/>
    </row>
    <row r="334" ht="12.75" customHeight="1">
      <c r="C334" s="59"/>
      <c r="D334" s="59"/>
      <c r="H334" s="59"/>
      <c r="I334" s="59"/>
      <c r="J334" s="59"/>
    </row>
    <row r="335" ht="12.75" customHeight="1">
      <c r="C335" s="59"/>
      <c r="D335" s="59"/>
      <c r="H335" s="59"/>
      <c r="I335" s="59"/>
      <c r="J335" s="59"/>
    </row>
    <row r="336" ht="12.75" customHeight="1">
      <c r="C336" s="59"/>
      <c r="D336" s="59"/>
      <c r="H336" s="59"/>
      <c r="I336" s="59"/>
      <c r="J336" s="59"/>
    </row>
    <row r="337" ht="12.75" customHeight="1">
      <c r="C337" s="59"/>
      <c r="D337" s="59"/>
      <c r="H337" s="59"/>
      <c r="I337" s="59"/>
      <c r="J337" s="59"/>
    </row>
    <row r="338" ht="12.75" customHeight="1">
      <c r="C338" s="59"/>
      <c r="D338" s="59"/>
      <c r="H338" s="59"/>
      <c r="I338" s="59"/>
      <c r="J338" s="59"/>
    </row>
    <row r="339" ht="12.75" customHeight="1">
      <c r="C339" s="59"/>
      <c r="D339" s="59"/>
      <c r="H339" s="59"/>
      <c r="I339" s="59"/>
      <c r="J339" s="59"/>
    </row>
    <row r="340" ht="12.75" customHeight="1">
      <c r="C340" s="59"/>
      <c r="D340" s="59"/>
      <c r="H340" s="59"/>
      <c r="I340" s="59"/>
      <c r="J340" s="59"/>
    </row>
    <row r="341" ht="12.75" customHeight="1">
      <c r="C341" s="59"/>
      <c r="D341" s="59"/>
      <c r="H341" s="59"/>
      <c r="I341" s="59"/>
      <c r="J341" s="59"/>
    </row>
    <row r="342" ht="12.75" customHeight="1">
      <c r="C342" s="59"/>
      <c r="D342" s="59"/>
      <c r="H342" s="59"/>
      <c r="I342" s="59"/>
      <c r="J342" s="59"/>
    </row>
    <row r="343" ht="12.75" customHeight="1">
      <c r="C343" s="59"/>
      <c r="D343" s="59"/>
      <c r="H343" s="59"/>
      <c r="I343" s="59"/>
      <c r="J343" s="59"/>
    </row>
    <row r="344" ht="12.75" customHeight="1">
      <c r="C344" s="59"/>
      <c r="D344" s="59"/>
      <c r="H344" s="59"/>
      <c r="I344" s="59"/>
      <c r="J344" s="59"/>
    </row>
    <row r="345" ht="12.75" customHeight="1">
      <c r="C345" s="59"/>
      <c r="D345" s="59"/>
      <c r="H345" s="59"/>
      <c r="I345" s="59"/>
      <c r="J345" s="59"/>
    </row>
    <row r="346" ht="12.75" customHeight="1">
      <c r="C346" s="59"/>
      <c r="D346" s="59"/>
      <c r="H346" s="59"/>
      <c r="I346" s="59"/>
      <c r="J346" s="59"/>
    </row>
    <row r="347" ht="12.75" customHeight="1">
      <c r="C347" s="59"/>
      <c r="D347" s="59"/>
      <c r="H347" s="59"/>
      <c r="I347" s="59"/>
      <c r="J347" s="59"/>
    </row>
    <row r="348" ht="12.75" customHeight="1">
      <c r="C348" s="59"/>
      <c r="D348" s="59"/>
      <c r="H348" s="59"/>
      <c r="I348" s="59"/>
      <c r="J348" s="59"/>
    </row>
    <row r="349" ht="12.75" customHeight="1">
      <c r="C349" s="59"/>
      <c r="D349" s="59"/>
      <c r="H349" s="59"/>
      <c r="I349" s="59"/>
      <c r="J349" s="59"/>
    </row>
    <row r="350" ht="12.75" customHeight="1">
      <c r="C350" s="59"/>
      <c r="D350" s="59"/>
      <c r="H350" s="59"/>
      <c r="I350" s="59"/>
      <c r="J350" s="59"/>
    </row>
    <row r="351" ht="12.75" customHeight="1">
      <c r="C351" s="59"/>
      <c r="D351" s="59"/>
      <c r="H351" s="59"/>
      <c r="I351" s="59"/>
      <c r="J351" s="59"/>
    </row>
    <row r="352" ht="12.75" customHeight="1">
      <c r="C352" s="59"/>
      <c r="D352" s="59"/>
      <c r="H352" s="59"/>
      <c r="I352" s="59"/>
      <c r="J352" s="59"/>
    </row>
    <row r="353" ht="12.75" customHeight="1">
      <c r="C353" s="59"/>
      <c r="D353" s="59"/>
      <c r="H353" s="59"/>
      <c r="I353" s="59"/>
      <c r="J353" s="59"/>
    </row>
    <row r="354" ht="12.75" customHeight="1">
      <c r="C354" s="59"/>
      <c r="D354" s="59"/>
      <c r="H354" s="59"/>
      <c r="I354" s="59"/>
      <c r="J354" s="59"/>
    </row>
    <row r="355" ht="12.75" customHeight="1">
      <c r="C355" s="59"/>
      <c r="D355" s="59"/>
      <c r="H355" s="59"/>
      <c r="I355" s="59"/>
      <c r="J355" s="59"/>
    </row>
    <row r="356" ht="12.75" customHeight="1">
      <c r="C356" s="59"/>
      <c r="D356" s="59"/>
      <c r="H356" s="59"/>
      <c r="I356" s="59"/>
      <c r="J356" s="59"/>
    </row>
    <row r="357" ht="12.75" customHeight="1">
      <c r="C357" s="59"/>
      <c r="D357" s="59"/>
      <c r="H357" s="59"/>
      <c r="I357" s="59"/>
      <c r="J357" s="59"/>
    </row>
    <row r="358" ht="12.75" customHeight="1">
      <c r="C358" s="59"/>
      <c r="D358" s="59"/>
      <c r="H358" s="59"/>
      <c r="I358" s="59"/>
      <c r="J358" s="59"/>
    </row>
    <row r="359" ht="12.75" customHeight="1">
      <c r="C359" s="59"/>
      <c r="D359" s="59"/>
      <c r="H359" s="59"/>
      <c r="I359" s="59"/>
      <c r="J359" s="59"/>
    </row>
    <row r="360" ht="12.75" customHeight="1">
      <c r="C360" s="59"/>
      <c r="D360" s="59"/>
      <c r="H360" s="59"/>
      <c r="I360" s="59"/>
      <c r="J360" s="59"/>
    </row>
    <row r="361" ht="12.75" customHeight="1">
      <c r="C361" s="59"/>
      <c r="D361" s="59"/>
      <c r="H361" s="59"/>
      <c r="I361" s="59"/>
      <c r="J361" s="59"/>
    </row>
    <row r="362" ht="12.75" customHeight="1">
      <c r="C362" s="59"/>
      <c r="D362" s="59"/>
      <c r="H362" s="59"/>
      <c r="I362" s="59"/>
      <c r="J362" s="59"/>
    </row>
    <row r="363" ht="12.75" customHeight="1">
      <c r="C363" s="59"/>
      <c r="D363" s="59"/>
      <c r="H363" s="59"/>
      <c r="I363" s="59"/>
      <c r="J363" s="59"/>
    </row>
    <row r="364" ht="12.75" customHeight="1">
      <c r="C364" s="59"/>
      <c r="D364" s="59"/>
      <c r="H364" s="59"/>
      <c r="I364" s="59"/>
      <c r="J364" s="59"/>
    </row>
    <row r="365" ht="12.75" customHeight="1">
      <c r="C365" s="59"/>
      <c r="D365" s="59"/>
      <c r="H365" s="59"/>
      <c r="I365" s="59"/>
      <c r="J365" s="59"/>
    </row>
    <row r="366" ht="12.75" customHeight="1">
      <c r="C366" s="59"/>
      <c r="D366" s="59"/>
      <c r="H366" s="59"/>
      <c r="I366" s="59"/>
      <c r="J366" s="59"/>
    </row>
    <row r="367" ht="12.75" customHeight="1">
      <c r="C367" s="59"/>
      <c r="D367" s="59"/>
      <c r="H367" s="59"/>
      <c r="I367" s="59"/>
      <c r="J367" s="59"/>
    </row>
    <row r="368" ht="12.75" customHeight="1">
      <c r="C368" s="59"/>
      <c r="D368" s="59"/>
      <c r="H368" s="59"/>
      <c r="I368" s="59"/>
      <c r="J368" s="59"/>
    </row>
    <row r="369" ht="12.75" customHeight="1">
      <c r="C369" s="59"/>
      <c r="D369" s="59"/>
      <c r="H369" s="59"/>
      <c r="I369" s="59"/>
      <c r="J369" s="59"/>
    </row>
    <row r="370" ht="12.75" customHeight="1">
      <c r="C370" s="59"/>
      <c r="D370" s="59"/>
      <c r="H370" s="59"/>
      <c r="I370" s="59"/>
      <c r="J370" s="59"/>
    </row>
    <row r="371" ht="12.75" customHeight="1">
      <c r="C371" s="59"/>
      <c r="D371" s="59"/>
      <c r="H371" s="59"/>
      <c r="I371" s="59"/>
      <c r="J371" s="59"/>
    </row>
    <row r="372" ht="12.75" customHeight="1">
      <c r="C372" s="59"/>
      <c r="D372" s="59"/>
      <c r="H372" s="59"/>
      <c r="I372" s="59"/>
      <c r="J372" s="59"/>
    </row>
    <row r="373" ht="12.75" customHeight="1">
      <c r="C373" s="59"/>
      <c r="D373" s="59"/>
      <c r="H373" s="59"/>
      <c r="I373" s="59"/>
      <c r="J373" s="59"/>
    </row>
    <row r="374" ht="12.75" customHeight="1">
      <c r="C374" s="59"/>
      <c r="D374" s="59"/>
      <c r="H374" s="59"/>
      <c r="I374" s="59"/>
      <c r="J374" s="59"/>
    </row>
    <row r="375" ht="12.75" customHeight="1">
      <c r="C375" s="59"/>
      <c r="D375" s="59"/>
      <c r="H375" s="59"/>
      <c r="I375" s="59"/>
      <c r="J375" s="59"/>
    </row>
    <row r="376" ht="12.75" customHeight="1">
      <c r="C376" s="59"/>
      <c r="D376" s="59"/>
      <c r="H376" s="59"/>
      <c r="I376" s="59"/>
      <c r="J376" s="59"/>
    </row>
    <row r="377" ht="12.75" customHeight="1">
      <c r="C377" s="59"/>
      <c r="D377" s="59"/>
      <c r="H377" s="59"/>
      <c r="I377" s="59"/>
      <c r="J377" s="59"/>
    </row>
    <row r="378" ht="12.75" customHeight="1">
      <c r="C378" s="59"/>
      <c r="D378" s="59"/>
      <c r="H378" s="59"/>
      <c r="I378" s="59"/>
      <c r="J378" s="59"/>
    </row>
    <row r="379" ht="12.75" customHeight="1">
      <c r="C379" s="59"/>
      <c r="D379" s="59"/>
      <c r="H379" s="59"/>
      <c r="I379" s="59"/>
      <c r="J379" s="59"/>
    </row>
    <row r="380" ht="12.75" customHeight="1">
      <c r="C380" s="59"/>
      <c r="D380" s="59"/>
      <c r="H380" s="59"/>
      <c r="I380" s="59"/>
      <c r="J380" s="59"/>
    </row>
    <row r="381" ht="12.75" customHeight="1">
      <c r="C381" s="59"/>
      <c r="D381" s="59"/>
      <c r="H381" s="59"/>
      <c r="I381" s="59"/>
      <c r="J381" s="59"/>
    </row>
    <row r="382" ht="12.75" customHeight="1">
      <c r="C382" s="59"/>
      <c r="D382" s="59"/>
      <c r="H382" s="59"/>
      <c r="I382" s="59"/>
      <c r="J382" s="59"/>
    </row>
    <row r="383" ht="12.75" customHeight="1">
      <c r="C383" s="59"/>
      <c r="D383" s="59"/>
      <c r="H383" s="59"/>
      <c r="I383" s="59"/>
      <c r="J383" s="59"/>
    </row>
    <row r="384" ht="12.75" customHeight="1">
      <c r="C384" s="59"/>
      <c r="D384" s="59"/>
      <c r="H384" s="59"/>
      <c r="I384" s="59"/>
      <c r="J384" s="59"/>
    </row>
    <row r="385" ht="12.75" customHeight="1">
      <c r="C385" s="59"/>
      <c r="D385" s="59"/>
      <c r="H385" s="59"/>
      <c r="I385" s="59"/>
      <c r="J385" s="59"/>
    </row>
    <row r="386" ht="12.75" customHeight="1">
      <c r="C386" s="59"/>
      <c r="D386" s="59"/>
      <c r="H386" s="59"/>
      <c r="I386" s="59"/>
      <c r="J386" s="59"/>
    </row>
    <row r="387" ht="12.75" customHeight="1">
      <c r="C387" s="59"/>
      <c r="D387" s="59"/>
      <c r="H387" s="59"/>
      <c r="I387" s="59"/>
      <c r="J387" s="59"/>
    </row>
    <row r="388" ht="12.75" customHeight="1">
      <c r="C388" s="59"/>
      <c r="D388" s="59"/>
      <c r="H388" s="59"/>
      <c r="I388" s="59"/>
      <c r="J388" s="59"/>
    </row>
    <row r="389" ht="12.75" customHeight="1">
      <c r="C389" s="59"/>
      <c r="D389" s="59"/>
      <c r="H389" s="59"/>
      <c r="I389" s="59"/>
      <c r="J389" s="59"/>
    </row>
    <row r="390" ht="12.75" customHeight="1">
      <c r="C390" s="59"/>
      <c r="D390" s="59"/>
      <c r="H390" s="59"/>
      <c r="I390" s="59"/>
      <c r="J390" s="59"/>
    </row>
    <row r="391" ht="12.75" customHeight="1">
      <c r="C391" s="59"/>
      <c r="D391" s="59"/>
      <c r="H391" s="59"/>
      <c r="I391" s="59"/>
      <c r="J391" s="59"/>
    </row>
    <row r="392" ht="12.75" customHeight="1">
      <c r="C392" s="59"/>
      <c r="D392" s="59"/>
      <c r="H392" s="59"/>
      <c r="I392" s="59"/>
      <c r="J392" s="59"/>
    </row>
    <row r="393" ht="12.75" customHeight="1">
      <c r="C393" s="59"/>
      <c r="D393" s="59"/>
      <c r="H393" s="59"/>
      <c r="I393" s="59"/>
      <c r="J393" s="59"/>
    </row>
    <row r="394" ht="12.75" customHeight="1">
      <c r="C394" s="59"/>
      <c r="D394" s="59"/>
      <c r="H394" s="59"/>
      <c r="I394" s="59"/>
      <c r="J394" s="59"/>
    </row>
    <row r="395" ht="12.75" customHeight="1">
      <c r="C395" s="59"/>
      <c r="D395" s="59"/>
      <c r="H395" s="59"/>
      <c r="I395" s="59"/>
      <c r="J395" s="59"/>
    </row>
    <row r="396" ht="12.75" customHeight="1">
      <c r="C396" s="59"/>
      <c r="D396" s="59"/>
      <c r="H396" s="59"/>
      <c r="I396" s="59"/>
      <c r="J396" s="59"/>
    </row>
    <row r="397" ht="12.75" customHeight="1">
      <c r="C397" s="59"/>
      <c r="D397" s="59"/>
      <c r="H397" s="59"/>
      <c r="I397" s="59"/>
      <c r="J397" s="59"/>
    </row>
    <row r="398" ht="12.75" customHeight="1">
      <c r="C398" s="59"/>
      <c r="D398" s="59"/>
      <c r="H398" s="59"/>
      <c r="I398" s="59"/>
      <c r="J398" s="59"/>
    </row>
    <row r="399" ht="12.75" customHeight="1">
      <c r="C399" s="59"/>
      <c r="D399" s="59"/>
      <c r="H399" s="59"/>
      <c r="I399" s="59"/>
      <c r="J399" s="59"/>
    </row>
    <row r="400" ht="12.75" customHeight="1">
      <c r="C400" s="59"/>
      <c r="D400" s="59"/>
      <c r="H400" s="59"/>
      <c r="I400" s="59"/>
      <c r="J400" s="59"/>
    </row>
    <row r="401" ht="12.75" customHeight="1">
      <c r="C401" s="59"/>
      <c r="D401" s="59"/>
      <c r="H401" s="59"/>
      <c r="I401" s="59"/>
      <c r="J401" s="59"/>
    </row>
    <row r="402" ht="12.75" customHeight="1">
      <c r="C402" s="59"/>
      <c r="D402" s="59"/>
      <c r="H402" s="59"/>
      <c r="I402" s="59"/>
      <c r="J402" s="59"/>
    </row>
    <row r="403" ht="12.75" customHeight="1">
      <c r="C403" s="59"/>
      <c r="D403" s="59"/>
      <c r="H403" s="59"/>
      <c r="I403" s="59"/>
      <c r="J403" s="59"/>
    </row>
    <row r="404" ht="12.75" customHeight="1">
      <c r="C404" s="59"/>
      <c r="D404" s="59"/>
      <c r="H404" s="59"/>
      <c r="I404" s="59"/>
      <c r="J404" s="59"/>
    </row>
    <row r="405" ht="12.75" customHeight="1">
      <c r="C405" s="59"/>
      <c r="D405" s="59"/>
      <c r="H405" s="59"/>
      <c r="I405" s="59"/>
      <c r="J405" s="59"/>
    </row>
    <row r="406" ht="12.75" customHeight="1">
      <c r="C406" s="59"/>
      <c r="D406" s="59"/>
      <c r="H406" s="59"/>
      <c r="I406" s="59"/>
      <c r="J406" s="59"/>
    </row>
    <row r="407" ht="12.75" customHeight="1">
      <c r="C407" s="59"/>
      <c r="D407" s="59"/>
      <c r="H407" s="59"/>
      <c r="I407" s="59"/>
      <c r="J407" s="59"/>
    </row>
    <row r="408" ht="12.75" customHeight="1">
      <c r="C408" s="59"/>
      <c r="D408" s="59"/>
      <c r="H408" s="59"/>
      <c r="I408" s="59"/>
      <c r="J408" s="59"/>
    </row>
    <row r="409" ht="12.75" customHeight="1">
      <c r="C409" s="59"/>
      <c r="D409" s="59"/>
      <c r="H409" s="59"/>
      <c r="I409" s="59"/>
      <c r="J409" s="59"/>
    </row>
    <row r="410" ht="12.75" customHeight="1">
      <c r="C410" s="59"/>
      <c r="D410" s="59"/>
      <c r="H410" s="59"/>
      <c r="I410" s="59"/>
      <c r="J410" s="59"/>
    </row>
    <row r="411" ht="12.75" customHeight="1">
      <c r="C411" s="59"/>
      <c r="D411" s="59"/>
      <c r="H411" s="59"/>
      <c r="I411" s="59"/>
      <c r="J411" s="59"/>
    </row>
    <row r="412" ht="12.75" customHeight="1">
      <c r="C412" s="59"/>
      <c r="D412" s="59"/>
      <c r="H412" s="59"/>
      <c r="I412" s="59"/>
      <c r="J412" s="59"/>
    </row>
    <row r="413" ht="12.75" customHeight="1">
      <c r="C413" s="59"/>
      <c r="D413" s="59"/>
      <c r="H413" s="59"/>
      <c r="I413" s="59"/>
      <c r="J413" s="59"/>
    </row>
    <row r="414" ht="12.75" customHeight="1">
      <c r="C414" s="59"/>
      <c r="D414" s="59"/>
      <c r="H414" s="59"/>
      <c r="I414" s="59"/>
      <c r="J414" s="59"/>
    </row>
    <row r="415" ht="12.75" customHeight="1">
      <c r="C415" s="59"/>
      <c r="D415" s="59"/>
      <c r="H415" s="59"/>
      <c r="I415" s="59"/>
      <c r="J415" s="59"/>
    </row>
    <row r="416" ht="12.75" customHeight="1">
      <c r="C416" s="59"/>
      <c r="D416" s="59"/>
      <c r="H416" s="59"/>
      <c r="I416" s="59"/>
      <c r="J416" s="59"/>
    </row>
    <row r="417" ht="12.75" customHeight="1">
      <c r="C417" s="59"/>
      <c r="D417" s="59"/>
      <c r="H417" s="59"/>
      <c r="I417" s="59"/>
      <c r="J417" s="59"/>
    </row>
    <row r="418" ht="12.75" customHeight="1">
      <c r="C418" s="59"/>
      <c r="D418" s="59"/>
      <c r="H418" s="59"/>
      <c r="I418" s="59"/>
      <c r="J418" s="59"/>
    </row>
    <row r="419" ht="12.75" customHeight="1">
      <c r="C419" s="59"/>
      <c r="D419" s="59"/>
      <c r="H419" s="59"/>
      <c r="I419" s="59"/>
      <c r="J419" s="59"/>
    </row>
    <row r="420" ht="12.75" customHeight="1">
      <c r="C420" s="59"/>
      <c r="D420" s="59"/>
      <c r="H420" s="59"/>
      <c r="I420" s="59"/>
      <c r="J420" s="59"/>
    </row>
    <row r="421" ht="12.75" customHeight="1">
      <c r="C421" s="59"/>
      <c r="D421" s="59"/>
      <c r="H421" s="59"/>
      <c r="I421" s="59"/>
      <c r="J421" s="59"/>
    </row>
    <row r="422" ht="12.75" customHeight="1">
      <c r="C422" s="59"/>
      <c r="D422" s="59"/>
      <c r="H422" s="59"/>
      <c r="I422" s="59"/>
      <c r="J422" s="59"/>
    </row>
    <row r="423" ht="12.75" customHeight="1">
      <c r="C423" s="59"/>
      <c r="D423" s="59"/>
      <c r="H423" s="59"/>
      <c r="I423" s="59"/>
      <c r="J423" s="59"/>
    </row>
    <row r="424" ht="12.75" customHeight="1">
      <c r="C424" s="59"/>
      <c r="D424" s="59"/>
      <c r="H424" s="59"/>
      <c r="I424" s="59"/>
      <c r="J424" s="59"/>
    </row>
    <row r="425" ht="12.75" customHeight="1">
      <c r="C425" s="59"/>
      <c r="D425" s="59"/>
      <c r="H425" s="59"/>
      <c r="I425" s="59"/>
      <c r="J425" s="59"/>
    </row>
    <row r="426" ht="12.75" customHeight="1">
      <c r="C426" s="59"/>
      <c r="D426" s="59"/>
      <c r="H426" s="59"/>
      <c r="I426" s="59"/>
      <c r="J426" s="59"/>
    </row>
    <row r="427" ht="12.75" customHeight="1">
      <c r="C427" s="59"/>
      <c r="D427" s="59"/>
      <c r="H427" s="59"/>
      <c r="I427" s="59"/>
      <c r="J427" s="59"/>
    </row>
    <row r="428" ht="12.75" customHeight="1">
      <c r="C428" s="59"/>
      <c r="D428" s="59"/>
      <c r="H428" s="59"/>
      <c r="I428" s="59"/>
      <c r="J428" s="59"/>
    </row>
    <row r="429" ht="12.75" customHeight="1">
      <c r="C429" s="59"/>
      <c r="D429" s="59"/>
      <c r="H429" s="59"/>
      <c r="I429" s="59"/>
      <c r="J429" s="59"/>
    </row>
    <row r="430" ht="12.75" customHeight="1">
      <c r="C430" s="59"/>
      <c r="D430" s="59"/>
      <c r="H430" s="59"/>
      <c r="I430" s="59"/>
      <c r="J430" s="59"/>
    </row>
    <row r="431" ht="12.75" customHeight="1">
      <c r="C431" s="59"/>
      <c r="D431" s="59"/>
      <c r="H431" s="59"/>
      <c r="I431" s="59"/>
      <c r="J431" s="59"/>
    </row>
    <row r="432" ht="12.75" customHeight="1">
      <c r="C432" s="59"/>
      <c r="D432" s="59"/>
      <c r="H432" s="59"/>
      <c r="I432" s="59"/>
      <c r="J432" s="59"/>
    </row>
    <row r="433" ht="12.75" customHeight="1">
      <c r="C433" s="59"/>
      <c r="D433" s="59"/>
      <c r="H433" s="59"/>
      <c r="I433" s="59"/>
      <c r="J433" s="59"/>
    </row>
    <row r="434" ht="12.75" customHeight="1">
      <c r="C434" s="59"/>
      <c r="D434" s="59"/>
      <c r="H434" s="59"/>
      <c r="I434" s="59"/>
      <c r="J434" s="59"/>
    </row>
    <row r="435" ht="12.75" customHeight="1">
      <c r="C435" s="59"/>
      <c r="D435" s="59"/>
      <c r="H435" s="59"/>
      <c r="I435" s="59"/>
      <c r="J435" s="59"/>
    </row>
    <row r="436" ht="12.75" customHeight="1">
      <c r="C436" s="59"/>
      <c r="D436" s="59"/>
      <c r="H436" s="59"/>
      <c r="I436" s="59"/>
      <c r="J436" s="59"/>
    </row>
    <row r="437" ht="12.75" customHeight="1">
      <c r="C437" s="59"/>
      <c r="D437" s="59"/>
      <c r="H437" s="59"/>
      <c r="I437" s="59"/>
      <c r="J437" s="59"/>
    </row>
    <row r="438" ht="12.75" customHeight="1">
      <c r="C438" s="59"/>
      <c r="D438" s="59"/>
      <c r="H438" s="59"/>
      <c r="I438" s="59"/>
      <c r="J438" s="59"/>
    </row>
    <row r="439" ht="12.75" customHeight="1">
      <c r="C439" s="59"/>
      <c r="D439" s="59"/>
      <c r="H439" s="59"/>
      <c r="I439" s="59"/>
      <c r="J439" s="59"/>
    </row>
    <row r="440" ht="12.75" customHeight="1">
      <c r="C440" s="59"/>
      <c r="D440" s="59"/>
      <c r="H440" s="59"/>
      <c r="I440" s="59"/>
      <c r="J440" s="59"/>
    </row>
    <row r="441" ht="12.75" customHeight="1">
      <c r="C441" s="59"/>
      <c r="D441" s="59"/>
      <c r="H441" s="59"/>
      <c r="I441" s="59"/>
      <c r="J441" s="59"/>
    </row>
    <row r="442" ht="12.75" customHeight="1">
      <c r="C442" s="59"/>
      <c r="D442" s="59"/>
      <c r="H442" s="59"/>
      <c r="I442" s="59"/>
      <c r="J442" s="59"/>
    </row>
    <row r="443" ht="12.75" customHeight="1">
      <c r="C443" s="59"/>
      <c r="D443" s="59"/>
      <c r="H443" s="59"/>
      <c r="I443" s="59"/>
      <c r="J443" s="59"/>
    </row>
    <row r="444" ht="12.75" customHeight="1">
      <c r="C444" s="59"/>
      <c r="D444" s="59"/>
      <c r="H444" s="59"/>
      <c r="I444" s="59"/>
      <c r="J444" s="59"/>
    </row>
    <row r="445" ht="12.75" customHeight="1">
      <c r="C445" s="59"/>
      <c r="D445" s="59"/>
      <c r="H445" s="59"/>
      <c r="I445" s="59"/>
      <c r="J445" s="59"/>
    </row>
    <row r="446" ht="12.75" customHeight="1">
      <c r="C446" s="59"/>
      <c r="D446" s="59"/>
      <c r="H446" s="59"/>
      <c r="I446" s="59"/>
      <c r="J446" s="59"/>
    </row>
    <row r="447" ht="12.75" customHeight="1">
      <c r="C447" s="59"/>
      <c r="D447" s="59"/>
      <c r="H447" s="59"/>
      <c r="I447" s="59"/>
      <c r="J447" s="59"/>
    </row>
    <row r="448" ht="12.75" customHeight="1">
      <c r="C448" s="59"/>
      <c r="D448" s="59"/>
      <c r="H448" s="59"/>
      <c r="I448" s="59"/>
      <c r="J448" s="59"/>
    </row>
    <row r="449" ht="12.75" customHeight="1">
      <c r="C449" s="59"/>
      <c r="D449" s="59"/>
      <c r="H449" s="59"/>
      <c r="I449" s="59"/>
      <c r="J449" s="59"/>
    </row>
    <row r="450" ht="12.75" customHeight="1">
      <c r="C450" s="59"/>
      <c r="D450" s="59"/>
      <c r="H450" s="59"/>
      <c r="I450" s="59"/>
      <c r="J450" s="59"/>
    </row>
    <row r="451" ht="12.75" customHeight="1">
      <c r="C451" s="59"/>
      <c r="D451" s="59"/>
      <c r="H451" s="59"/>
      <c r="I451" s="59"/>
      <c r="J451" s="59"/>
    </row>
    <row r="452" ht="12.75" customHeight="1">
      <c r="C452" s="59"/>
      <c r="D452" s="59"/>
      <c r="H452" s="59"/>
      <c r="I452" s="59"/>
      <c r="J452" s="59"/>
    </row>
    <row r="453" ht="12.75" customHeight="1">
      <c r="C453" s="59"/>
      <c r="D453" s="59"/>
      <c r="H453" s="59"/>
      <c r="I453" s="59"/>
      <c r="J453" s="59"/>
    </row>
    <row r="454" ht="12.75" customHeight="1">
      <c r="C454" s="59"/>
      <c r="D454" s="59"/>
      <c r="H454" s="59"/>
      <c r="I454" s="59"/>
      <c r="J454" s="59"/>
    </row>
    <row r="455" ht="12.75" customHeight="1">
      <c r="C455" s="59"/>
      <c r="D455" s="59"/>
      <c r="H455" s="59"/>
      <c r="I455" s="59"/>
      <c r="J455" s="59"/>
    </row>
    <row r="456" ht="12.75" customHeight="1">
      <c r="C456" s="59"/>
      <c r="D456" s="59"/>
      <c r="H456" s="59"/>
      <c r="I456" s="59"/>
      <c r="J456" s="59"/>
    </row>
    <row r="457" ht="12.75" customHeight="1">
      <c r="C457" s="59"/>
      <c r="D457" s="59"/>
      <c r="H457" s="59"/>
      <c r="I457" s="59"/>
      <c r="J457" s="59"/>
    </row>
    <row r="458" ht="12.75" customHeight="1">
      <c r="C458" s="59"/>
      <c r="D458" s="59"/>
      <c r="H458" s="59"/>
      <c r="I458" s="59"/>
      <c r="J458" s="59"/>
    </row>
    <row r="459" ht="12.75" customHeight="1">
      <c r="C459" s="59"/>
      <c r="D459" s="59"/>
      <c r="H459" s="59"/>
      <c r="I459" s="59"/>
      <c r="J459" s="59"/>
    </row>
    <row r="460" ht="12.75" customHeight="1">
      <c r="C460" s="59"/>
      <c r="D460" s="59"/>
      <c r="H460" s="59"/>
      <c r="I460" s="59"/>
      <c r="J460" s="59"/>
    </row>
    <row r="461" ht="12.75" customHeight="1">
      <c r="C461" s="59"/>
      <c r="D461" s="59"/>
      <c r="H461" s="59"/>
      <c r="I461" s="59"/>
      <c r="J461" s="59"/>
    </row>
    <row r="462" ht="12.75" customHeight="1">
      <c r="C462" s="59"/>
      <c r="D462" s="59"/>
      <c r="H462" s="59"/>
      <c r="I462" s="59"/>
      <c r="J462" s="59"/>
    </row>
    <row r="463" ht="12.75" customHeight="1">
      <c r="C463" s="59"/>
      <c r="D463" s="59"/>
      <c r="H463" s="59"/>
      <c r="I463" s="59"/>
      <c r="J463" s="59"/>
    </row>
    <row r="464" ht="12.75" customHeight="1">
      <c r="C464" s="59"/>
      <c r="D464" s="59"/>
      <c r="H464" s="59"/>
      <c r="I464" s="59"/>
      <c r="J464" s="59"/>
    </row>
    <row r="465" ht="12.75" customHeight="1">
      <c r="C465" s="59"/>
      <c r="D465" s="59"/>
      <c r="H465" s="59"/>
      <c r="I465" s="59"/>
      <c r="J465" s="59"/>
    </row>
    <row r="466" ht="12.75" customHeight="1">
      <c r="C466" s="59"/>
      <c r="D466" s="59"/>
      <c r="H466" s="59"/>
      <c r="I466" s="59"/>
      <c r="J466" s="59"/>
    </row>
    <row r="467" ht="12.75" customHeight="1">
      <c r="C467" s="59"/>
      <c r="D467" s="59"/>
      <c r="H467" s="59"/>
      <c r="I467" s="59"/>
      <c r="J467" s="59"/>
    </row>
    <row r="468" ht="12.75" customHeight="1">
      <c r="C468" s="59"/>
      <c r="D468" s="59"/>
      <c r="H468" s="59"/>
      <c r="I468" s="59"/>
      <c r="J468" s="59"/>
    </row>
    <row r="469" ht="12.75" customHeight="1">
      <c r="C469" s="59"/>
      <c r="D469" s="59"/>
      <c r="H469" s="59"/>
      <c r="I469" s="59"/>
      <c r="J469" s="59"/>
    </row>
    <row r="470" ht="12.75" customHeight="1">
      <c r="C470" s="59"/>
      <c r="D470" s="59"/>
      <c r="H470" s="59"/>
      <c r="I470" s="59"/>
      <c r="J470" s="59"/>
    </row>
    <row r="471" ht="12.75" customHeight="1">
      <c r="C471" s="59"/>
      <c r="D471" s="59"/>
      <c r="H471" s="59"/>
      <c r="I471" s="59"/>
      <c r="J471" s="59"/>
    </row>
    <row r="472" ht="12.75" customHeight="1">
      <c r="C472" s="59"/>
      <c r="D472" s="59"/>
      <c r="H472" s="59"/>
      <c r="I472" s="59"/>
      <c r="J472" s="59"/>
    </row>
    <row r="473" ht="12.75" customHeight="1">
      <c r="C473" s="59"/>
      <c r="D473" s="59"/>
      <c r="H473" s="59"/>
      <c r="I473" s="59"/>
      <c r="J473" s="59"/>
    </row>
    <row r="474" ht="12.75" customHeight="1">
      <c r="C474" s="59"/>
      <c r="D474" s="59"/>
      <c r="H474" s="59"/>
      <c r="I474" s="59"/>
      <c r="J474" s="59"/>
    </row>
    <row r="475" ht="12.75" customHeight="1">
      <c r="C475" s="59"/>
      <c r="D475" s="59"/>
      <c r="H475" s="59"/>
      <c r="I475" s="59"/>
      <c r="J475" s="59"/>
    </row>
    <row r="476" ht="12.75" customHeight="1">
      <c r="C476" s="59"/>
      <c r="D476" s="59"/>
      <c r="H476" s="59"/>
      <c r="I476" s="59"/>
      <c r="J476" s="59"/>
    </row>
    <row r="477" ht="12.75" customHeight="1">
      <c r="C477" s="59"/>
      <c r="D477" s="59"/>
      <c r="H477" s="59"/>
      <c r="I477" s="59"/>
      <c r="J477" s="59"/>
    </row>
    <row r="478" ht="12.75" customHeight="1">
      <c r="C478" s="59"/>
      <c r="D478" s="59"/>
      <c r="H478" s="59"/>
      <c r="I478" s="59"/>
      <c r="J478" s="59"/>
    </row>
    <row r="479" ht="12.75" customHeight="1">
      <c r="C479" s="59"/>
      <c r="D479" s="59"/>
      <c r="H479" s="59"/>
      <c r="I479" s="59"/>
      <c r="J479" s="59"/>
    </row>
    <row r="480" ht="12.75" customHeight="1">
      <c r="C480" s="59"/>
      <c r="D480" s="59"/>
      <c r="H480" s="59"/>
      <c r="I480" s="59"/>
      <c r="J480" s="59"/>
    </row>
    <row r="481" ht="12.75" customHeight="1">
      <c r="C481" s="59"/>
      <c r="D481" s="59"/>
      <c r="H481" s="59"/>
      <c r="I481" s="59"/>
      <c r="J481" s="59"/>
    </row>
    <row r="482" ht="12.75" customHeight="1">
      <c r="C482" s="59"/>
      <c r="D482" s="59"/>
      <c r="H482" s="59"/>
      <c r="I482" s="59"/>
      <c r="J482" s="59"/>
    </row>
    <row r="483" ht="12.75" customHeight="1">
      <c r="C483" s="59"/>
      <c r="D483" s="59"/>
      <c r="H483" s="59"/>
      <c r="I483" s="59"/>
      <c r="J483" s="59"/>
    </row>
    <row r="484" ht="12.75" customHeight="1">
      <c r="C484" s="59"/>
      <c r="D484" s="59"/>
      <c r="H484" s="59"/>
      <c r="I484" s="59"/>
      <c r="J484" s="59"/>
    </row>
    <row r="485" ht="12.75" customHeight="1">
      <c r="C485" s="59"/>
      <c r="D485" s="59"/>
      <c r="H485" s="59"/>
      <c r="I485" s="59"/>
      <c r="J485" s="59"/>
    </row>
    <row r="486" ht="12.75" customHeight="1">
      <c r="C486" s="59"/>
      <c r="D486" s="59"/>
      <c r="H486" s="59"/>
      <c r="I486" s="59"/>
      <c r="J486" s="59"/>
    </row>
    <row r="487" ht="12.75" customHeight="1">
      <c r="C487" s="59"/>
      <c r="D487" s="59"/>
      <c r="H487" s="59"/>
      <c r="I487" s="59"/>
      <c r="J487" s="59"/>
    </row>
    <row r="488" ht="12.75" customHeight="1">
      <c r="C488" s="59"/>
      <c r="D488" s="59"/>
      <c r="H488" s="59"/>
      <c r="I488" s="59"/>
      <c r="J488" s="59"/>
    </row>
    <row r="489" ht="12.75" customHeight="1">
      <c r="C489" s="59"/>
      <c r="D489" s="59"/>
      <c r="H489" s="59"/>
      <c r="I489" s="59"/>
      <c r="J489" s="59"/>
    </row>
    <row r="490" ht="12.75" customHeight="1">
      <c r="C490" s="59"/>
      <c r="D490" s="59"/>
      <c r="H490" s="59"/>
      <c r="I490" s="59"/>
      <c r="J490" s="59"/>
    </row>
    <row r="491" ht="12.75" customHeight="1">
      <c r="C491" s="59"/>
      <c r="D491" s="59"/>
      <c r="H491" s="59"/>
      <c r="I491" s="59"/>
      <c r="J491" s="59"/>
    </row>
    <row r="492" ht="12.75" customHeight="1">
      <c r="C492" s="59"/>
      <c r="D492" s="59"/>
      <c r="H492" s="59"/>
      <c r="I492" s="59"/>
      <c r="J492" s="59"/>
    </row>
    <row r="493" ht="12.75" customHeight="1">
      <c r="C493" s="59"/>
      <c r="D493" s="59"/>
      <c r="H493" s="59"/>
      <c r="I493" s="59"/>
      <c r="J493" s="59"/>
    </row>
    <row r="494" ht="12.75" customHeight="1">
      <c r="C494" s="59"/>
      <c r="D494" s="59"/>
      <c r="H494" s="59"/>
      <c r="I494" s="59"/>
      <c r="J494" s="59"/>
    </row>
    <row r="495" ht="12.75" customHeight="1">
      <c r="C495" s="59"/>
      <c r="D495" s="59"/>
      <c r="H495" s="59"/>
      <c r="I495" s="59"/>
      <c r="J495" s="59"/>
    </row>
    <row r="496" ht="12.75" customHeight="1">
      <c r="C496" s="59"/>
      <c r="D496" s="59"/>
      <c r="H496" s="59"/>
      <c r="I496" s="59"/>
      <c r="J496" s="59"/>
    </row>
    <row r="497" ht="12.75" customHeight="1">
      <c r="C497" s="59"/>
      <c r="D497" s="59"/>
      <c r="H497" s="59"/>
      <c r="I497" s="59"/>
      <c r="J497" s="59"/>
    </row>
    <row r="498" ht="12.75" customHeight="1">
      <c r="C498" s="59"/>
      <c r="D498" s="59"/>
      <c r="H498" s="59"/>
      <c r="I498" s="59"/>
      <c r="J498" s="59"/>
    </row>
    <row r="499" ht="12.75" customHeight="1">
      <c r="C499" s="59"/>
      <c r="D499" s="59"/>
      <c r="H499" s="59"/>
      <c r="I499" s="59"/>
      <c r="J499" s="59"/>
    </row>
    <row r="500" ht="12.75" customHeight="1">
      <c r="C500" s="59"/>
      <c r="D500" s="59"/>
      <c r="H500" s="59"/>
      <c r="I500" s="59"/>
      <c r="J500" s="59"/>
    </row>
    <row r="501" ht="12.75" customHeight="1">
      <c r="C501" s="59"/>
      <c r="D501" s="59"/>
      <c r="H501" s="59"/>
      <c r="I501" s="59"/>
      <c r="J501" s="59"/>
    </row>
    <row r="502" ht="12.75" customHeight="1">
      <c r="C502" s="59"/>
      <c r="D502" s="59"/>
      <c r="H502" s="59"/>
      <c r="I502" s="59"/>
      <c r="J502" s="59"/>
    </row>
    <row r="503" ht="12.75" customHeight="1">
      <c r="C503" s="59"/>
      <c r="D503" s="59"/>
      <c r="H503" s="59"/>
      <c r="I503" s="59"/>
      <c r="J503" s="59"/>
    </row>
    <row r="504" ht="12.75" customHeight="1">
      <c r="C504" s="59"/>
      <c r="D504" s="59"/>
      <c r="H504" s="59"/>
      <c r="I504" s="59"/>
      <c r="J504" s="59"/>
    </row>
    <row r="505" ht="12.75" customHeight="1">
      <c r="C505" s="59"/>
      <c r="D505" s="59"/>
      <c r="H505" s="59"/>
      <c r="I505" s="59"/>
      <c r="J505" s="59"/>
    </row>
    <row r="506" ht="12.75" customHeight="1">
      <c r="C506" s="59"/>
      <c r="D506" s="59"/>
      <c r="H506" s="59"/>
      <c r="I506" s="59"/>
      <c r="J506" s="59"/>
    </row>
    <row r="507" ht="12.75" customHeight="1">
      <c r="C507" s="59"/>
      <c r="D507" s="59"/>
      <c r="H507" s="59"/>
      <c r="I507" s="59"/>
      <c r="J507" s="59"/>
    </row>
    <row r="508" ht="12.75" customHeight="1">
      <c r="C508" s="59"/>
      <c r="D508" s="59"/>
      <c r="H508" s="59"/>
      <c r="I508" s="59"/>
      <c r="J508" s="59"/>
    </row>
    <row r="509" ht="12.75" customHeight="1">
      <c r="C509" s="59"/>
      <c r="D509" s="59"/>
      <c r="H509" s="59"/>
      <c r="I509" s="59"/>
      <c r="J509" s="59"/>
    </row>
    <row r="510" ht="12.75" customHeight="1">
      <c r="C510" s="59"/>
      <c r="D510" s="59"/>
      <c r="H510" s="59"/>
      <c r="I510" s="59"/>
      <c r="J510" s="59"/>
    </row>
    <row r="511" ht="12.75" customHeight="1">
      <c r="C511" s="59"/>
      <c r="D511" s="59"/>
      <c r="H511" s="59"/>
      <c r="I511" s="59"/>
      <c r="J511" s="59"/>
    </row>
    <row r="512" ht="12.75" customHeight="1">
      <c r="C512" s="59"/>
      <c r="D512" s="59"/>
      <c r="H512" s="59"/>
      <c r="I512" s="59"/>
      <c r="J512" s="59"/>
    </row>
    <row r="513" ht="12.75" customHeight="1">
      <c r="C513" s="59"/>
      <c r="D513" s="59"/>
      <c r="H513" s="59"/>
      <c r="I513" s="59"/>
      <c r="J513" s="59"/>
    </row>
    <row r="514" ht="12.75" customHeight="1">
      <c r="C514" s="59"/>
      <c r="D514" s="59"/>
      <c r="H514" s="59"/>
      <c r="I514" s="59"/>
      <c r="J514" s="59"/>
    </row>
    <row r="515" ht="12.75" customHeight="1">
      <c r="C515" s="59"/>
      <c r="D515" s="59"/>
      <c r="H515" s="59"/>
      <c r="I515" s="59"/>
      <c r="J515" s="59"/>
    </row>
    <row r="516" ht="12.75" customHeight="1">
      <c r="C516" s="59"/>
      <c r="D516" s="59"/>
      <c r="H516" s="59"/>
      <c r="I516" s="59"/>
      <c r="J516" s="59"/>
    </row>
    <row r="517" ht="12.75" customHeight="1">
      <c r="C517" s="59"/>
      <c r="D517" s="59"/>
      <c r="H517" s="59"/>
      <c r="I517" s="59"/>
      <c r="J517" s="59"/>
    </row>
    <row r="518" ht="12.75" customHeight="1">
      <c r="C518" s="59"/>
      <c r="D518" s="59"/>
      <c r="H518" s="59"/>
      <c r="I518" s="59"/>
      <c r="J518" s="59"/>
    </row>
    <row r="519" ht="12.75" customHeight="1">
      <c r="C519" s="59"/>
      <c r="D519" s="59"/>
      <c r="H519" s="59"/>
      <c r="I519" s="59"/>
      <c r="J519" s="59"/>
    </row>
    <row r="520" ht="12.75" customHeight="1">
      <c r="C520" s="59"/>
      <c r="D520" s="59"/>
      <c r="H520" s="59"/>
      <c r="I520" s="59"/>
      <c r="J520" s="59"/>
    </row>
    <row r="521" ht="12.75" customHeight="1">
      <c r="C521" s="59"/>
      <c r="D521" s="59"/>
      <c r="H521" s="59"/>
      <c r="I521" s="59"/>
      <c r="J521" s="59"/>
    </row>
    <row r="522" ht="12.75" customHeight="1">
      <c r="C522" s="59"/>
      <c r="D522" s="59"/>
      <c r="H522" s="59"/>
      <c r="I522" s="59"/>
      <c r="J522" s="59"/>
    </row>
    <row r="523" ht="12.75" customHeight="1">
      <c r="C523" s="59"/>
      <c r="D523" s="59"/>
      <c r="H523" s="59"/>
      <c r="I523" s="59"/>
      <c r="J523" s="59"/>
    </row>
    <row r="524" ht="12.75" customHeight="1">
      <c r="C524" s="59"/>
      <c r="D524" s="59"/>
      <c r="H524" s="59"/>
      <c r="I524" s="59"/>
      <c r="J524" s="59"/>
    </row>
    <row r="525" ht="12.75" customHeight="1">
      <c r="C525" s="59"/>
      <c r="D525" s="59"/>
      <c r="H525" s="59"/>
      <c r="I525" s="59"/>
      <c r="J525" s="59"/>
    </row>
    <row r="526" ht="12.75" customHeight="1">
      <c r="C526" s="59"/>
      <c r="D526" s="59"/>
      <c r="H526" s="59"/>
      <c r="I526" s="59"/>
      <c r="J526" s="59"/>
    </row>
    <row r="527" ht="12.75" customHeight="1">
      <c r="C527" s="59"/>
      <c r="D527" s="59"/>
      <c r="H527" s="59"/>
      <c r="I527" s="59"/>
      <c r="J527" s="59"/>
    </row>
    <row r="528" ht="12.75" customHeight="1">
      <c r="C528" s="59"/>
      <c r="D528" s="59"/>
      <c r="H528" s="59"/>
      <c r="I528" s="59"/>
      <c r="J528" s="59"/>
    </row>
    <row r="529" ht="12.75" customHeight="1">
      <c r="C529" s="59"/>
      <c r="D529" s="59"/>
      <c r="H529" s="59"/>
      <c r="I529" s="59"/>
      <c r="J529" s="59"/>
    </row>
    <row r="530" ht="12.75" customHeight="1">
      <c r="C530" s="59"/>
      <c r="D530" s="59"/>
      <c r="H530" s="59"/>
      <c r="I530" s="59"/>
      <c r="J530" s="59"/>
    </row>
    <row r="531" ht="12.75" customHeight="1">
      <c r="C531" s="59"/>
      <c r="D531" s="59"/>
      <c r="H531" s="59"/>
      <c r="I531" s="59"/>
      <c r="J531" s="59"/>
    </row>
    <row r="532" ht="12.75" customHeight="1">
      <c r="C532" s="59"/>
      <c r="D532" s="59"/>
      <c r="H532" s="59"/>
      <c r="I532" s="59"/>
      <c r="J532" s="59"/>
    </row>
    <row r="533" ht="12.75" customHeight="1">
      <c r="C533" s="59"/>
      <c r="D533" s="59"/>
      <c r="H533" s="59"/>
      <c r="I533" s="59"/>
      <c r="J533" s="59"/>
    </row>
    <row r="534" ht="12.75" customHeight="1">
      <c r="C534" s="59"/>
      <c r="D534" s="59"/>
      <c r="H534" s="59"/>
      <c r="I534" s="59"/>
      <c r="J534" s="59"/>
    </row>
    <row r="535" ht="12.75" customHeight="1">
      <c r="C535" s="59"/>
      <c r="D535" s="59"/>
      <c r="H535" s="59"/>
      <c r="I535" s="59"/>
      <c r="J535" s="59"/>
    </row>
    <row r="536" ht="12.75" customHeight="1">
      <c r="C536" s="59"/>
      <c r="D536" s="59"/>
      <c r="H536" s="59"/>
      <c r="I536" s="59"/>
      <c r="J536" s="59"/>
    </row>
    <row r="537" ht="12.75" customHeight="1">
      <c r="C537" s="59"/>
      <c r="D537" s="59"/>
      <c r="H537" s="59"/>
      <c r="I537" s="59"/>
      <c r="J537" s="59"/>
    </row>
    <row r="538" ht="12.75" customHeight="1">
      <c r="C538" s="59"/>
      <c r="D538" s="59"/>
      <c r="H538" s="59"/>
      <c r="I538" s="59"/>
      <c r="J538" s="59"/>
    </row>
    <row r="539" ht="12.75" customHeight="1">
      <c r="C539" s="59"/>
      <c r="D539" s="59"/>
      <c r="H539" s="59"/>
      <c r="I539" s="59"/>
      <c r="J539" s="59"/>
    </row>
    <row r="540" ht="12.75" customHeight="1">
      <c r="C540" s="59"/>
      <c r="D540" s="59"/>
      <c r="H540" s="59"/>
      <c r="I540" s="59"/>
      <c r="J540" s="59"/>
    </row>
    <row r="541" ht="12.75" customHeight="1">
      <c r="C541" s="59"/>
      <c r="D541" s="59"/>
      <c r="H541" s="59"/>
      <c r="I541" s="59"/>
      <c r="J541" s="59"/>
    </row>
    <row r="542" ht="12.75" customHeight="1">
      <c r="C542" s="59"/>
      <c r="D542" s="59"/>
      <c r="H542" s="59"/>
      <c r="I542" s="59"/>
      <c r="J542" s="59"/>
    </row>
    <row r="543" ht="12.75" customHeight="1">
      <c r="C543" s="59"/>
      <c r="D543" s="59"/>
      <c r="H543" s="59"/>
      <c r="I543" s="59"/>
      <c r="J543" s="59"/>
    </row>
    <row r="544" ht="12.75" customHeight="1">
      <c r="C544" s="59"/>
      <c r="D544" s="59"/>
      <c r="H544" s="59"/>
      <c r="I544" s="59"/>
      <c r="J544" s="59"/>
    </row>
    <row r="545" ht="12.75" customHeight="1">
      <c r="C545" s="59"/>
      <c r="D545" s="59"/>
      <c r="H545" s="59"/>
      <c r="I545" s="59"/>
      <c r="J545" s="59"/>
    </row>
    <row r="546" ht="12.75" customHeight="1">
      <c r="C546" s="59"/>
      <c r="D546" s="59"/>
      <c r="H546" s="59"/>
      <c r="I546" s="59"/>
      <c r="J546" s="59"/>
    </row>
    <row r="547" ht="12.75" customHeight="1">
      <c r="C547" s="59"/>
      <c r="D547" s="59"/>
      <c r="H547" s="59"/>
      <c r="I547" s="59"/>
      <c r="J547" s="59"/>
    </row>
    <row r="548" ht="12.75" customHeight="1">
      <c r="C548" s="59"/>
      <c r="D548" s="59"/>
      <c r="H548" s="59"/>
      <c r="I548" s="59"/>
      <c r="J548" s="59"/>
    </row>
    <row r="549" ht="12.75" customHeight="1">
      <c r="C549" s="59"/>
      <c r="D549" s="59"/>
      <c r="H549" s="59"/>
      <c r="I549" s="59"/>
      <c r="J549" s="59"/>
    </row>
    <row r="550" ht="12.75" customHeight="1">
      <c r="C550" s="59"/>
      <c r="D550" s="59"/>
      <c r="H550" s="59"/>
      <c r="I550" s="59"/>
      <c r="J550" s="59"/>
    </row>
    <row r="551" ht="12.75" customHeight="1">
      <c r="C551" s="59"/>
      <c r="D551" s="59"/>
      <c r="H551" s="59"/>
      <c r="I551" s="59"/>
      <c r="J551" s="59"/>
    </row>
    <row r="552" ht="12.75" customHeight="1">
      <c r="C552" s="59"/>
      <c r="D552" s="59"/>
      <c r="H552" s="59"/>
      <c r="I552" s="59"/>
      <c r="J552" s="59"/>
    </row>
    <row r="553" ht="12.75" customHeight="1">
      <c r="C553" s="59"/>
      <c r="D553" s="59"/>
      <c r="H553" s="59"/>
      <c r="I553" s="59"/>
      <c r="J553" s="59"/>
    </row>
    <row r="554" ht="12.75" customHeight="1">
      <c r="C554" s="59"/>
      <c r="D554" s="59"/>
      <c r="H554" s="59"/>
      <c r="I554" s="59"/>
      <c r="J554" s="59"/>
    </row>
    <row r="555" ht="12.75" customHeight="1">
      <c r="C555" s="59"/>
      <c r="D555" s="59"/>
      <c r="H555" s="59"/>
      <c r="I555" s="59"/>
      <c r="J555" s="59"/>
    </row>
    <row r="556" ht="12.75" customHeight="1">
      <c r="C556" s="59"/>
      <c r="D556" s="59"/>
      <c r="H556" s="59"/>
      <c r="I556" s="59"/>
      <c r="J556" s="59"/>
    </row>
    <row r="557" ht="12.75" customHeight="1">
      <c r="C557" s="59"/>
      <c r="D557" s="59"/>
      <c r="H557" s="59"/>
      <c r="I557" s="59"/>
      <c r="J557" s="59"/>
    </row>
    <row r="558" ht="12.75" customHeight="1">
      <c r="C558" s="59"/>
      <c r="D558" s="59"/>
      <c r="H558" s="59"/>
      <c r="I558" s="59"/>
      <c r="J558" s="59"/>
    </row>
    <row r="559" ht="12.75" customHeight="1">
      <c r="C559" s="59"/>
      <c r="D559" s="59"/>
      <c r="H559" s="59"/>
      <c r="I559" s="59"/>
      <c r="J559" s="59"/>
    </row>
    <row r="560" ht="12.75" customHeight="1">
      <c r="C560" s="59"/>
      <c r="D560" s="59"/>
      <c r="H560" s="59"/>
      <c r="I560" s="59"/>
      <c r="J560" s="59"/>
    </row>
    <row r="561" ht="12.75" customHeight="1">
      <c r="C561" s="59"/>
      <c r="D561" s="59"/>
      <c r="H561" s="59"/>
      <c r="I561" s="59"/>
      <c r="J561" s="59"/>
    </row>
    <row r="562" ht="12.75" customHeight="1">
      <c r="C562" s="59"/>
      <c r="D562" s="59"/>
      <c r="H562" s="59"/>
      <c r="I562" s="59"/>
      <c r="J562" s="59"/>
    </row>
    <row r="563" ht="12.75" customHeight="1">
      <c r="C563" s="59"/>
      <c r="D563" s="59"/>
      <c r="H563" s="59"/>
      <c r="I563" s="59"/>
      <c r="J563" s="59"/>
    </row>
    <row r="564" ht="12.75" customHeight="1">
      <c r="C564" s="59"/>
      <c r="D564" s="59"/>
      <c r="H564" s="59"/>
      <c r="I564" s="59"/>
      <c r="J564" s="59"/>
    </row>
    <row r="565" ht="12.75" customHeight="1">
      <c r="C565" s="59"/>
      <c r="D565" s="59"/>
      <c r="H565" s="59"/>
      <c r="I565" s="59"/>
      <c r="J565" s="59"/>
    </row>
    <row r="566" ht="12.75" customHeight="1">
      <c r="C566" s="59"/>
      <c r="D566" s="59"/>
      <c r="H566" s="59"/>
      <c r="I566" s="59"/>
      <c r="J566" s="59"/>
    </row>
    <row r="567" ht="12.75" customHeight="1">
      <c r="C567" s="59"/>
      <c r="D567" s="59"/>
      <c r="H567" s="59"/>
      <c r="I567" s="59"/>
      <c r="J567" s="59"/>
    </row>
    <row r="568" ht="12.75" customHeight="1">
      <c r="C568" s="59"/>
      <c r="D568" s="59"/>
      <c r="H568" s="59"/>
      <c r="I568" s="59"/>
      <c r="J568" s="59"/>
    </row>
    <row r="569" ht="12.75" customHeight="1">
      <c r="C569" s="59"/>
      <c r="D569" s="59"/>
      <c r="H569" s="59"/>
      <c r="I569" s="59"/>
      <c r="J569" s="59"/>
    </row>
    <row r="570" ht="12.75" customHeight="1">
      <c r="C570" s="59"/>
      <c r="D570" s="59"/>
      <c r="H570" s="59"/>
      <c r="I570" s="59"/>
      <c r="J570" s="59"/>
    </row>
    <row r="571" ht="12.75" customHeight="1">
      <c r="C571" s="59"/>
      <c r="D571" s="59"/>
      <c r="H571" s="59"/>
      <c r="I571" s="59"/>
      <c r="J571" s="59"/>
    </row>
    <row r="572" ht="12.75" customHeight="1">
      <c r="C572" s="59"/>
      <c r="D572" s="59"/>
      <c r="H572" s="59"/>
      <c r="I572" s="59"/>
      <c r="J572" s="59"/>
    </row>
    <row r="573" ht="12.75" customHeight="1">
      <c r="C573" s="59"/>
      <c r="D573" s="59"/>
      <c r="H573" s="59"/>
      <c r="I573" s="59"/>
      <c r="J573" s="59"/>
    </row>
    <row r="574" ht="12.75" customHeight="1">
      <c r="C574" s="59"/>
      <c r="D574" s="59"/>
      <c r="H574" s="59"/>
      <c r="I574" s="59"/>
      <c r="J574" s="59"/>
    </row>
    <row r="575" ht="12.75" customHeight="1">
      <c r="C575" s="59"/>
      <c r="D575" s="59"/>
      <c r="H575" s="59"/>
      <c r="I575" s="59"/>
      <c r="J575" s="59"/>
    </row>
    <row r="576" ht="12.75" customHeight="1">
      <c r="C576" s="59"/>
      <c r="D576" s="59"/>
      <c r="H576" s="59"/>
      <c r="I576" s="59"/>
      <c r="J576" s="59"/>
    </row>
    <row r="577" ht="12.75" customHeight="1">
      <c r="C577" s="59"/>
      <c r="D577" s="59"/>
      <c r="H577" s="59"/>
      <c r="I577" s="59"/>
      <c r="J577" s="59"/>
    </row>
    <row r="578" ht="12.75" customHeight="1">
      <c r="C578" s="59"/>
      <c r="D578" s="59"/>
      <c r="H578" s="59"/>
      <c r="I578" s="59"/>
      <c r="J578" s="59"/>
    </row>
    <row r="579" ht="12.75" customHeight="1">
      <c r="C579" s="59"/>
      <c r="D579" s="59"/>
      <c r="H579" s="59"/>
      <c r="I579" s="59"/>
      <c r="J579" s="59"/>
    </row>
    <row r="580" ht="12.75" customHeight="1">
      <c r="C580" s="59"/>
      <c r="D580" s="59"/>
      <c r="H580" s="59"/>
      <c r="I580" s="59"/>
      <c r="J580" s="59"/>
    </row>
    <row r="581" ht="12.75" customHeight="1">
      <c r="C581" s="59"/>
      <c r="D581" s="59"/>
      <c r="H581" s="59"/>
      <c r="I581" s="59"/>
      <c r="J581" s="59"/>
    </row>
    <row r="582" ht="12.75" customHeight="1">
      <c r="C582" s="59"/>
      <c r="D582" s="59"/>
      <c r="H582" s="59"/>
      <c r="I582" s="59"/>
      <c r="J582" s="59"/>
    </row>
    <row r="583" ht="12.75" customHeight="1">
      <c r="C583" s="59"/>
      <c r="D583" s="59"/>
      <c r="H583" s="59"/>
      <c r="I583" s="59"/>
      <c r="J583" s="59"/>
    </row>
    <row r="584" ht="12.75" customHeight="1">
      <c r="C584" s="59"/>
      <c r="D584" s="59"/>
      <c r="H584" s="59"/>
      <c r="I584" s="59"/>
      <c r="J584" s="59"/>
    </row>
    <row r="585" ht="12.75" customHeight="1">
      <c r="C585" s="59"/>
      <c r="D585" s="59"/>
      <c r="H585" s="59"/>
      <c r="I585" s="59"/>
      <c r="J585" s="59"/>
    </row>
    <row r="586" ht="12.75" customHeight="1">
      <c r="C586" s="59"/>
      <c r="D586" s="59"/>
      <c r="H586" s="59"/>
      <c r="I586" s="59"/>
      <c r="J586" s="59"/>
    </row>
    <row r="587" ht="12.75" customHeight="1">
      <c r="C587" s="59"/>
      <c r="D587" s="59"/>
      <c r="H587" s="59"/>
      <c r="I587" s="59"/>
      <c r="J587" s="59"/>
    </row>
    <row r="588" ht="12.75" customHeight="1">
      <c r="C588" s="59"/>
      <c r="D588" s="59"/>
      <c r="H588" s="59"/>
      <c r="I588" s="59"/>
      <c r="J588" s="59"/>
    </row>
    <row r="589" ht="12.75" customHeight="1">
      <c r="C589" s="59"/>
      <c r="D589" s="59"/>
      <c r="H589" s="59"/>
      <c r="I589" s="59"/>
      <c r="J589" s="59"/>
    </row>
    <row r="590" ht="12.75" customHeight="1">
      <c r="C590" s="59"/>
      <c r="D590" s="59"/>
      <c r="H590" s="59"/>
      <c r="I590" s="59"/>
      <c r="J590" s="59"/>
    </row>
    <row r="591" ht="12.75" customHeight="1">
      <c r="C591" s="59"/>
      <c r="D591" s="59"/>
      <c r="H591" s="59"/>
      <c r="I591" s="59"/>
      <c r="J591" s="59"/>
    </row>
    <row r="592" ht="12.75" customHeight="1">
      <c r="C592" s="59"/>
      <c r="D592" s="59"/>
      <c r="H592" s="59"/>
      <c r="I592" s="59"/>
      <c r="J592" s="59"/>
    </row>
    <row r="593" ht="12.75" customHeight="1">
      <c r="C593" s="59"/>
      <c r="D593" s="59"/>
      <c r="H593" s="59"/>
      <c r="I593" s="59"/>
      <c r="J593" s="59"/>
    </row>
    <row r="594" ht="12.75" customHeight="1">
      <c r="C594" s="59"/>
      <c r="D594" s="59"/>
      <c r="H594" s="59"/>
      <c r="I594" s="59"/>
      <c r="J594" s="59"/>
    </row>
    <row r="595" ht="12.75" customHeight="1">
      <c r="C595" s="59"/>
      <c r="D595" s="59"/>
      <c r="H595" s="59"/>
      <c r="I595" s="59"/>
      <c r="J595" s="59"/>
    </row>
    <row r="596" ht="12.75" customHeight="1">
      <c r="C596" s="59"/>
      <c r="D596" s="59"/>
      <c r="H596" s="59"/>
      <c r="I596" s="59"/>
      <c r="J596" s="59"/>
    </row>
    <row r="597" ht="12.75" customHeight="1">
      <c r="C597" s="59"/>
      <c r="D597" s="59"/>
      <c r="H597" s="59"/>
      <c r="I597" s="59"/>
      <c r="J597" s="59"/>
    </row>
    <row r="598" ht="12.75" customHeight="1">
      <c r="C598" s="59"/>
      <c r="D598" s="59"/>
      <c r="H598" s="59"/>
      <c r="I598" s="59"/>
      <c r="J598" s="59"/>
    </row>
    <row r="599" ht="12.75" customHeight="1">
      <c r="C599" s="59"/>
      <c r="D599" s="59"/>
      <c r="H599" s="59"/>
      <c r="I599" s="59"/>
      <c r="J599" s="59"/>
    </row>
    <row r="600" ht="12.75" customHeight="1">
      <c r="C600" s="59"/>
      <c r="D600" s="59"/>
      <c r="H600" s="59"/>
      <c r="I600" s="59"/>
      <c r="J600" s="59"/>
    </row>
    <row r="601" ht="12.75" customHeight="1">
      <c r="C601" s="59"/>
      <c r="D601" s="59"/>
      <c r="H601" s="59"/>
      <c r="I601" s="59"/>
      <c r="J601" s="59"/>
    </row>
    <row r="602" ht="12.75" customHeight="1">
      <c r="C602" s="59"/>
      <c r="D602" s="59"/>
      <c r="H602" s="59"/>
      <c r="I602" s="59"/>
      <c r="J602" s="59"/>
    </row>
    <row r="603" ht="12.75" customHeight="1">
      <c r="C603" s="59"/>
      <c r="D603" s="59"/>
      <c r="H603" s="59"/>
      <c r="I603" s="59"/>
      <c r="J603" s="59"/>
    </row>
    <row r="604" ht="12.75" customHeight="1">
      <c r="C604" s="59"/>
      <c r="D604" s="59"/>
      <c r="H604" s="59"/>
      <c r="I604" s="59"/>
      <c r="J604" s="59"/>
    </row>
    <row r="605" ht="12.75" customHeight="1">
      <c r="C605" s="59"/>
      <c r="D605" s="59"/>
      <c r="H605" s="59"/>
      <c r="I605" s="59"/>
      <c r="J605" s="59"/>
    </row>
    <row r="606" ht="12.75" customHeight="1">
      <c r="C606" s="59"/>
      <c r="D606" s="59"/>
      <c r="H606" s="59"/>
      <c r="I606" s="59"/>
      <c r="J606" s="59"/>
    </row>
    <row r="607" ht="12.75" customHeight="1">
      <c r="C607" s="59"/>
      <c r="D607" s="59"/>
      <c r="H607" s="59"/>
      <c r="I607" s="59"/>
      <c r="J607" s="59"/>
    </row>
    <row r="608" ht="12.75" customHeight="1">
      <c r="C608" s="59"/>
      <c r="D608" s="59"/>
      <c r="H608" s="59"/>
      <c r="I608" s="59"/>
      <c r="J608" s="59"/>
    </row>
    <row r="609" ht="12.75" customHeight="1">
      <c r="C609" s="59"/>
      <c r="D609" s="59"/>
      <c r="H609" s="59"/>
      <c r="I609" s="59"/>
      <c r="J609" s="59"/>
    </row>
    <row r="610" ht="12.75" customHeight="1">
      <c r="C610" s="59"/>
      <c r="D610" s="59"/>
      <c r="H610" s="59"/>
      <c r="I610" s="59"/>
      <c r="J610" s="59"/>
    </row>
    <row r="611" ht="12.75" customHeight="1">
      <c r="C611" s="59"/>
      <c r="D611" s="59"/>
      <c r="H611" s="59"/>
      <c r="I611" s="59"/>
      <c r="J611" s="59"/>
    </row>
    <row r="612" ht="12.75" customHeight="1">
      <c r="C612" s="59"/>
      <c r="D612" s="59"/>
      <c r="H612" s="59"/>
      <c r="I612" s="59"/>
      <c r="J612" s="59"/>
    </row>
    <row r="613" ht="12.75" customHeight="1">
      <c r="C613" s="59"/>
      <c r="D613" s="59"/>
      <c r="H613" s="59"/>
      <c r="I613" s="59"/>
      <c r="J613" s="59"/>
    </row>
    <row r="614" ht="12.75" customHeight="1">
      <c r="C614" s="59"/>
      <c r="D614" s="59"/>
      <c r="H614" s="59"/>
      <c r="I614" s="59"/>
      <c r="J614" s="59"/>
    </row>
    <row r="615" ht="12.75" customHeight="1">
      <c r="C615" s="59"/>
      <c r="D615" s="59"/>
      <c r="H615" s="59"/>
      <c r="I615" s="59"/>
      <c r="J615" s="59"/>
    </row>
    <row r="616" ht="12.75" customHeight="1">
      <c r="C616" s="59"/>
      <c r="D616" s="59"/>
      <c r="H616" s="59"/>
      <c r="I616" s="59"/>
      <c r="J616" s="59"/>
    </row>
    <row r="617" ht="12.75" customHeight="1">
      <c r="C617" s="59"/>
      <c r="D617" s="59"/>
      <c r="H617" s="59"/>
      <c r="I617" s="59"/>
      <c r="J617" s="59"/>
    </row>
    <row r="618" ht="12.75" customHeight="1">
      <c r="C618" s="59"/>
      <c r="D618" s="59"/>
      <c r="H618" s="59"/>
      <c r="I618" s="59"/>
      <c r="J618" s="59"/>
    </row>
    <row r="619" ht="12.75" customHeight="1">
      <c r="C619" s="59"/>
      <c r="D619" s="59"/>
      <c r="H619" s="59"/>
      <c r="I619" s="59"/>
      <c r="J619" s="59"/>
    </row>
    <row r="620" ht="12.75" customHeight="1">
      <c r="C620" s="59"/>
      <c r="D620" s="59"/>
      <c r="H620" s="59"/>
      <c r="I620" s="59"/>
      <c r="J620" s="59"/>
    </row>
    <row r="621" ht="12.75" customHeight="1">
      <c r="C621" s="59"/>
      <c r="D621" s="59"/>
      <c r="H621" s="59"/>
      <c r="I621" s="59"/>
      <c r="J621" s="59"/>
    </row>
    <row r="622" ht="12.75" customHeight="1">
      <c r="C622" s="59"/>
      <c r="D622" s="59"/>
      <c r="H622" s="59"/>
      <c r="I622" s="59"/>
      <c r="J622" s="59"/>
    </row>
    <row r="623" ht="12.75" customHeight="1">
      <c r="C623" s="59"/>
      <c r="D623" s="59"/>
      <c r="H623" s="59"/>
      <c r="I623" s="59"/>
      <c r="J623" s="59"/>
    </row>
    <row r="624" ht="12.75" customHeight="1">
      <c r="C624" s="59"/>
      <c r="D624" s="59"/>
      <c r="H624" s="59"/>
      <c r="I624" s="59"/>
      <c r="J624" s="59"/>
    </row>
    <row r="625" ht="12.75" customHeight="1">
      <c r="C625" s="59"/>
      <c r="D625" s="59"/>
      <c r="H625" s="59"/>
      <c r="I625" s="59"/>
      <c r="J625" s="59"/>
    </row>
    <row r="626" ht="12.75" customHeight="1">
      <c r="C626" s="59"/>
      <c r="D626" s="59"/>
      <c r="H626" s="59"/>
      <c r="I626" s="59"/>
      <c r="J626" s="59"/>
    </row>
    <row r="627" ht="12.75" customHeight="1">
      <c r="C627" s="59"/>
      <c r="D627" s="59"/>
      <c r="H627" s="59"/>
      <c r="I627" s="59"/>
      <c r="J627" s="59"/>
    </row>
    <row r="628" ht="12.75" customHeight="1">
      <c r="C628" s="59"/>
      <c r="D628" s="59"/>
      <c r="H628" s="59"/>
      <c r="I628" s="59"/>
      <c r="J628" s="59"/>
    </row>
    <row r="629" ht="12.75" customHeight="1">
      <c r="C629" s="59"/>
      <c r="D629" s="59"/>
      <c r="H629" s="59"/>
      <c r="I629" s="59"/>
      <c r="J629" s="59"/>
    </row>
    <row r="630" ht="12.75" customHeight="1">
      <c r="C630" s="59"/>
      <c r="D630" s="59"/>
      <c r="H630" s="59"/>
      <c r="I630" s="59"/>
      <c r="J630" s="59"/>
    </row>
    <row r="631" ht="12.75" customHeight="1">
      <c r="C631" s="59"/>
      <c r="D631" s="59"/>
      <c r="H631" s="59"/>
      <c r="I631" s="59"/>
      <c r="J631" s="59"/>
    </row>
    <row r="632" ht="12.75" customHeight="1">
      <c r="C632" s="59"/>
      <c r="D632" s="59"/>
      <c r="H632" s="59"/>
      <c r="I632" s="59"/>
      <c r="J632" s="59"/>
    </row>
    <row r="633" ht="12.75" customHeight="1">
      <c r="C633" s="59"/>
      <c r="D633" s="59"/>
      <c r="H633" s="59"/>
      <c r="I633" s="59"/>
      <c r="J633" s="59"/>
    </row>
    <row r="634" ht="12.75" customHeight="1">
      <c r="C634" s="59"/>
      <c r="D634" s="59"/>
      <c r="H634" s="59"/>
      <c r="I634" s="59"/>
      <c r="J634" s="59"/>
    </row>
    <row r="635" ht="12.75" customHeight="1">
      <c r="C635" s="59"/>
      <c r="D635" s="59"/>
      <c r="H635" s="59"/>
      <c r="I635" s="59"/>
      <c r="J635" s="59"/>
    </row>
    <row r="636" ht="12.75" customHeight="1">
      <c r="C636" s="59"/>
      <c r="D636" s="59"/>
      <c r="H636" s="59"/>
      <c r="I636" s="59"/>
      <c r="J636" s="59"/>
    </row>
    <row r="637" ht="12.75" customHeight="1">
      <c r="C637" s="59"/>
      <c r="D637" s="59"/>
      <c r="H637" s="59"/>
      <c r="I637" s="59"/>
      <c r="J637" s="59"/>
    </row>
    <row r="638" ht="12.75" customHeight="1">
      <c r="C638" s="59"/>
      <c r="D638" s="59"/>
      <c r="H638" s="59"/>
      <c r="I638" s="59"/>
      <c r="J638" s="59"/>
    </row>
    <row r="639" ht="12.75" customHeight="1">
      <c r="C639" s="59"/>
      <c r="D639" s="59"/>
      <c r="H639" s="59"/>
      <c r="I639" s="59"/>
      <c r="J639" s="59"/>
    </row>
    <row r="640" ht="12.75" customHeight="1">
      <c r="C640" s="59"/>
      <c r="D640" s="59"/>
      <c r="H640" s="59"/>
      <c r="I640" s="59"/>
      <c r="J640" s="59"/>
    </row>
    <row r="641" ht="12.75" customHeight="1">
      <c r="C641" s="59"/>
      <c r="D641" s="59"/>
      <c r="H641" s="59"/>
      <c r="I641" s="59"/>
      <c r="J641" s="59"/>
    </row>
    <row r="642" ht="12.75" customHeight="1">
      <c r="C642" s="59"/>
      <c r="D642" s="59"/>
      <c r="H642" s="59"/>
      <c r="I642" s="59"/>
      <c r="J642" s="59"/>
    </row>
    <row r="643" ht="12.75" customHeight="1">
      <c r="C643" s="59"/>
      <c r="D643" s="59"/>
      <c r="H643" s="59"/>
      <c r="I643" s="59"/>
      <c r="J643" s="59"/>
    </row>
    <row r="644" ht="12.75" customHeight="1">
      <c r="C644" s="59"/>
      <c r="D644" s="59"/>
      <c r="H644" s="59"/>
      <c r="I644" s="59"/>
      <c r="J644" s="59"/>
    </row>
    <row r="645" ht="12.75" customHeight="1">
      <c r="C645" s="59"/>
      <c r="D645" s="59"/>
      <c r="H645" s="59"/>
      <c r="I645" s="59"/>
      <c r="J645" s="59"/>
    </row>
    <row r="646" ht="12.75" customHeight="1">
      <c r="C646" s="59"/>
      <c r="D646" s="59"/>
      <c r="H646" s="59"/>
      <c r="I646" s="59"/>
      <c r="J646" s="59"/>
    </row>
    <row r="647" ht="12.75" customHeight="1">
      <c r="C647" s="59"/>
      <c r="D647" s="59"/>
      <c r="H647" s="59"/>
      <c r="I647" s="59"/>
      <c r="J647" s="59"/>
    </row>
    <row r="648" ht="12.75" customHeight="1">
      <c r="C648" s="59"/>
      <c r="D648" s="59"/>
      <c r="H648" s="59"/>
      <c r="I648" s="59"/>
      <c r="J648" s="59"/>
    </row>
    <row r="649" ht="12.75" customHeight="1">
      <c r="C649" s="59"/>
      <c r="D649" s="59"/>
      <c r="H649" s="59"/>
      <c r="I649" s="59"/>
      <c r="J649" s="59"/>
    </row>
    <row r="650" ht="12.75" customHeight="1">
      <c r="C650" s="59"/>
      <c r="D650" s="59"/>
      <c r="H650" s="59"/>
      <c r="I650" s="59"/>
      <c r="J650" s="59"/>
    </row>
    <row r="651" ht="12.75" customHeight="1">
      <c r="C651" s="59"/>
      <c r="D651" s="59"/>
      <c r="H651" s="59"/>
      <c r="I651" s="59"/>
      <c r="J651" s="59"/>
    </row>
    <row r="652" ht="12.75" customHeight="1">
      <c r="C652" s="59"/>
      <c r="D652" s="59"/>
      <c r="H652" s="59"/>
      <c r="I652" s="59"/>
      <c r="J652" s="59"/>
    </row>
    <row r="653" ht="12.75" customHeight="1">
      <c r="C653" s="59"/>
      <c r="D653" s="59"/>
      <c r="H653" s="59"/>
      <c r="I653" s="59"/>
      <c r="J653" s="59"/>
    </row>
    <row r="654" ht="12.75" customHeight="1">
      <c r="C654" s="59"/>
      <c r="D654" s="59"/>
      <c r="H654" s="59"/>
      <c r="I654" s="59"/>
      <c r="J654" s="59"/>
    </row>
    <row r="655" ht="12.75" customHeight="1">
      <c r="C655" s="59"/>
      <c r="D655" s="59"/>
      <c r="H655" s="59"/>
      <c r="I655" s="59"/>
      <c r="J655" s="59"/>
    </row>
    <row r="656" ht="12.75" customHeight="1">
      <c r="C656" s="59"/>
      <c r="D656" s="59"/>
      <c r="H656" s="59"/>
      <c r="I656" s="59"/>
      <c r="J656" s="59"/>
    </row>
    <row r="657" ht="12.75" customHeight="1">
      <c r="C657" s="59"/>
      <c r="D657" s="59"/>
      <c r="H657" s="59"/>
      <c r="I657" s="59"/>
      <c r="J657" s="59"/>
    </row>
    <row r="658" ht="12.75" customHeight="1">
      <c r="C658" s="59"/>
      <c r="D658" s="59"/>
      <c r="H658" s="59"/>
      <c r="I658" s="59"/>
      <c r="J658" s="59"/>
    </row>
    <row r="659" ht="12.75" customHeight="1">
      <c r="C659" s="59"/>
      <c r="D659" s="59"/>
      <c r="H659" s="59"/>
      <c r="I659" s="59"/>
      <c r="J659" s="59"/>
    </row>
    <row r="660" ht="12.75" customHeight="1">
      <c r="C660" s="59"/>
      <c r="D660" s="59"/>
      <c r="H660" s="59"/>
      <c r="I660" s="59"/>
      <c r="J660" s="59"/>
    </row>
    <row r="661" ht="12.75" customHeight="1">
      <c r="C661" s="59"/>
      <c r="D661" s="59"/>
      <c r="H661" s="59"/>
      <c r="I661" s="59"/>
      <c r="J661" s="59"/>
    </row>
    <row r="662" ht="12.75" customHeight="1">
      <c r="C662" s="59"/>
      <c r="D662" s="59"/>
      <c r="H662" s="59"/>
      <c r="I662" s="59"/>
      <c r="J662" s="59"/>
    </row>
    <row r="663" ht="12.75" customHeight="1">
      <c r="C663" s="59"/>
      <c r="D663" s="59"/>
      <c r="H663" s="59"/>
      <c r="I663" s="59"/>
      <c r="J663" s="59"/>
    </row>
    <row r="664" ht="12.75" customHeight="1">
      <c r="C664" s="59"/>
      <c r="D664" s="59"/>
      <c r="H664" s="59"/>
      <c r="I664" s="59"/>
      <c r="J664" s="59"/>
    </row>
    <row r="665" ht="12.75" customHeight="1">
      <c r="C665" s="59"/>
      <c r="D665" s="59"/>
      <c r="H665" s="59"/>
      <c r="I665" s="59"/>
      <c r="J665" s="59"/>
    </row>
    <row r="666" ht="12.75" customHeight="1">
      <c r="C666" s="59"/>
      <c r="D666" s="59"/>
      <c r="H666" s="59"/>
      <c r="I666" s="59"/>
      <c r="J666" s="59"/>
    </row>
    <row r="667" ht="12.75" customHeight="1">
      <c r="C667" s="59"/>
      <c r="D667" s="59"/>
      <c r="H667" s="59"/>
      <c r="I667" s="59"/>
      <c r="J667" s="59"/>
    </row>
    <row r="668" ht="12.75" customHeight="1">
      <c r="C668" s="59"/>
      <c r="D668" s="59"/>
      <c r="H668" s="59"/>
      <c r="I668" s="59"/>
      <c r="J668" s="59"/>
    </row>
    <row r="669" ht="12.75" customHeight="1">
      <c r="C669" s="59"/>
      <c r="D669" s="59"/>
      <c r="H669" s="59"/>
      <c r="I669" s="59"/>
      <c r="J669" s="59"/>
    </row>
    <row r="670" ht="12.75" customHeight="1">
      <c r="C670" s="59"/>
      <c r="D670" s="59"/>
      <c r="H670" s="59"/>
      <c r="I670" s="59"/>
      <c r="J670" s="59"/>
    </row>
    <row r="671" ht="12.75" customHeight="1">
      <c r="C671" s="59"/>
      <c r="D671" s="59"/>
      <c r="H671" s="59"/>
      <c r="I671" s="59"/>
      <c r="J671" s="59"/>
    </row>
    <row r="672" ht="12.75" customHeight="1">
      <c r="C672" s="59"/>
      <c r="D672" s="59"/>
      <c r="H672" s="59"/>
      <c r="I672" s="59"/>
      <c r="J672" s="59"/>
    </row>
    <row r="673" ht="12.75" customHeight="1">
      <c r="C673" s="59"/>
      <c r="D673" s="59"/>
      <c r="H673" s="59"/>
      <c r="I673" s="59"/>
      <c r="J673" s="59"/>
    </row>
    <row r="674" ht="12.75" customHeight="1">
      <c r="C674" s="59"/>
      <c r="D674" s="59"/>
      <c r="H674" s="59"/>
      <c r="I674" s="59"/>
      <c r="J674" s="59"/>
    </row>
    <row r="675" ht="12.75" customHeight="1">
      <c r="C675" s="59"/>
      <c r="D675" s="59"/>
      <c r="H675" s="59"/>
      <c r="I675" s="59"/>
      <c r="J675" s="59"/>
    </row>
    <row r="676" ht="12.75" customHeight="1">
      <c r="C676" s="59"/>
      <c r="D676" s="59"/>
      <c r="H676" s="59"/>
      <c r="I676" s="59"/>
      <c r="J676" s="59"/>
    </row>
    <row r="677" ht="12.75" customHeight="1">
      <c r="C677" s="59"/>
      <c r="D677" s="59"/>
      <c r="H677" s="59"/>
      <c r="I677" s="59"/>
      <c r="J677" s="59"/>
    </row>
    <row r="678" ht="12.75" customHeight="1">
      <c r="C678" s="59"/>
      <c r="D678" s="59"/>
      <c r="H678" s="59"/>
      <c r="I678" s="59"/>
      <c r="J678" s="59"/>
    </row>
    <row r="679" ht="12.75" customHeight="1">
      <c r="C679" s="59"/>
      <c r="D679" s="59"/>
      <c r="H679" s="59"/>
      <c r="I679" s="59"/>
      <c r="J679" s="59"/>
    </row>
    <row r="680" ht="12.75" customHeight="1">
      <c r="C680" s="59"/>
      <c r="D680" s="59"/>
      <c r="H680" s="59"/>
      <c r="I680" s="59"/>
      <c r="J680" s="59"/>
    </row>
    <row r="681" ht="12.75" customHeight="1">
      <c r="C681" s="59"/>
      <c r="D681" s="59"/>
      <c r="H681" s="59"/>
      <c r="I681" s="59"/>
      <c r="J681" s="59"/>
    </row>
    <row r="682" ht="12.75" customHeight="1">
      <c r="C682" s="59"/>
      <c r="D682" s="59"/>
      <c r="H682" s="59"/>
      <c r="I682" s="59"/>
      <c r="J682" s="59"/>
    </row>
    <row r="683" ht="12.75" customHeight="1">
      <c r="C683" s="59"/>
      <c r="D683" s="59"/>
      <c r="H683" s="59"/>
      <c r="I683" s="59"/>
      <c r="J683" s="59"/>
    </row>
    <row r="684" ht="12.75" customHeight="1">
      <c r="C684" s="59"/>
      <c r="D684" s="59"/>
      <c r="H684" s="59"/>
      <c r="I684" s="59"/>
      <c r="J684" s="59"/>
    </row>
    <row r="685" ht="12.75" customHeight="1">
      <c r="C685" s="59"/>
      <c r="D685" s="59"/>
      <c r="H685" s="59"/>
      <c r="I685" s="59"/>
      <c r="J685" s="59"/>
    </row>
    <row r="686" ht="12.75" customHeight="1">
      <c r="C686" s="59"/>
      <c r="D686" s="59"/>
      <c r="H686" s="59"/>
      <c r="I686" s="59"/>
      <c r="J686" s="59"/>
    </row>
    <row r="687" ht="12.75" customHeight="1">
      <c r="C687" s="59"/>
      <c r="D687" s="59"/>
      <c r="H687" s="59"/>
      <c r="I687" s="59"/>
      <c r="J687" s="59"/>
    </row>
    <row r="688" ht="12.75" customHeight="1">
      <c r="C688" s="59"/>
      <c r="D688" s="59"/>
      <c r="H688" s="59"/>
      <c r="I688" s="59"/>
      <c r="J688" s="59"/>
    </row>
    <row r="689" ht="12.75" customHeight="1">
      <c r="C689" s="59"/>
      <c r="D689" s="59"/>
      <c r="H689" s="59"/>
      <c r="I689" s="59"/>
      <c r="J689" s="59"/>
    </row>
    <row r="690" ht="12.75" customHeight="1">
      <c r="C690" s="59"/>
      <c r="D690" s="59"/>
      <c r="H690" s="59"/>
      <c r="I690" s="59"/>
      <c r="J690" s="59"/>
    </row>
    <row r="691" ht="12.75" customHeight="1">
      <c r="C691" s="59"/>
      <c r="D691" s="59"/>
      <c r="H691" s="59"/>
      <c r="I691" s="59"/>
      <c r="J691" s="59"/>
    </row>
    <row r="692" ht="12.75" customHeight="1">
      <c r="C692" s="59"/>
      <c r="D692" s="59"/>
      <c r="H692" s="59"/>
      <c r="I692" s="59"/>
      <c r="J692" s="59"/>
    </row>
    <row r="693" ht="12.75" customHeight="1">
      <c r="C693" s="59"/>
      <c r="D693" s="59"/>
      <c r="H693" s="59"/>
      <c r="I693" s="59"/>
      <c r="J693" s="59"/>
    </row>
    <row r="694" ht="12.75" customHeight="1">
      <c r="C694" s="59"/>
      <c r="D694" s="59"/>
      <c r="H694" s="59"/>
      <c r="I694" s="59"/>
      <c r="J694" s="59"/>
    </row>
    <row r="695" ht="12.75" customHeight="1">
      <c r="C695" s="59"/>
      <c r="D695" s="59"/>
      <c r="H695" s="59"/>
      <c r="I695" s="59"/>
      <c r="J695" s="59"/>
    </row>
    <row r="696" ht="12.75" customHeight="1">
      <c r="C696" s="59"/>
      <c r="D696" s="59"/>
      <c r="H696" s="59"/>
      <c r="I696" s="59"/>
      <c r="J696" s="59"/>
    </row>
    <row r="697" ht="12.75" customHeight="1">
      <c r="C697" s="59"/>
      <c r="D697" s="59"/>
      <c r="H697" s="59"/>
      <c r="I697" s="59"/>
      <c r="J697" s="59"/>
    </row>
    <row r="698" ht="12.75" customHeight="1">
      <c r="C698" s="59"/>
      <c r="D698" s="59"/>
      <c r="H698" s="59"/>
      <c r="I698" s="59"/>
      <c r="J698" s="59"/>
    </row>
    <row r="699" ht="12.75" customHeight="1">
      <c r="C699" s="59"/>
      <c r="D699" s="59"/>
      <c r="H699" s="59"/>
      <c r="I699" s="59"/>
      <c r="J699" s="59"/>
    </row>
    <row r="700" ht="12.75" customHeight="1">
      <c r="C700" s="59"/>
      <c r="D700" s="59"/>
      <c r="H700" s="59"/>
      <c r="I700" s="59"/>
      <c r="J700" s="59"/>
    </row>
    <row r="701" ht="12.75" customHeight="1">
      <c r="C701" s="59"/>
      <c r="D701" s="59"/>
      <c r="H701" s="59"/>
      <c r="I701" s="59"/>
      <c r="J701" s="59"/>
    </row>
    <row r="702" ht="12.75" customHeight="1">
      <c r="C702" s="59"/>
      <c r="D702" s="59"/>
      <c r="H702" s="59"/>
      <c r="I702" s="59"/>
      <c r="J702" s="59"/>
    </row>
    <row r="703" ht="12.75" customHeight="1">
      <c r="C703" s="59"/>
      <c r="D703" s="59"/>
      <c r="H703" s="59"/>
      <c r="I703" s="59"/>
      <c r="J703" s="59"/>
    </row>
    <row r="704" ht="12.75" customHeight="1">
      <c r="C704" s="59"/>
      <c r="D704" s="59"/>
      <c r="H704" s="59"/>
      <c r="I704" s="59"/>
      <c r="J704" s="59"/>
    </row>
    <row r="705" ht="12.75" customHeight="1">
      <c r="C705" s="59"/>
      <c r="D705" s="59"/>
      <c r="H705" s="59"/>
      <c r="I705" s="59"/>
      <c r="J705" s="59"/>
    </row>
    <row r="706" ht="12.75" customHeight="1">
      <c r="C706" s="59"/>
      <c r="D706" s="59"/>
      <c r="H706" s="59"/>
      <c r="I706" s="59"/>
      <c r="J706" s="59"/>
    </row>
    <row r="707" ht="12.75" customHeight="1">
      <c r="C707" s="59"/>
      <c r="D707" s="59"/>
      <c r="H707" s="59"/>
      <c r="I707" s="59"/>
      <c r="J707" s="59"/>
    </row>
    <row r="708" ht="12.75" customHeight="1">
      <c r="C708" s="59"/>
      <c r="D708" s="59"/>
      <c r="H708" s="59"/>
      <c r="I708" s="59"/>
      <c r="J708" s="59"/>
    </row>
    <row r="709" ht="12.75" customHeight="1">
      <c r="C709" s="59"/>
      <c r="D709" s="59"/>
      <c r="H709" s="59"/>
      <c r="I709" s="59"/>
      <c r="J709" s="59"/>
    </row>
    <row r="710" ht="12.75" customHeight="1">
      <c r="C710" s="59"/>
      <c r="D710" s="59"/>
      <c r="H710" s="59"/>
      <c r="I710" s="59"/>
      <c r="J710" s="59"/>
    </row>
    <row r="711" ht="12.75" customHeight="1">
      <c r="C711" s="59"/>
      <c r="D711" s="59"/>
      <c r="H711" s="59"/>
      <c r="I711" s="59"/>
      <c r="J711" s="59"/>
    </row>
    <row r="712" ht="12.75" customHeight="1">
      <c r="C712" s="59"/>
      <c r="D712" s="59"/>
      <c r="H712" s="59"/>
      <c r="I712" s="59"/>
      <c r="J712" s="59"/>
    </row>
    <row r="713" ht="12.75" customHeight="1">
      <c r="C713" s="59"/>
      <c r="D713" s="59"/>
      <c r="H713" s="59"/>
      <c r="I713" s="59"/>
      <c r="J713" s="59"/>
    </row>
    <row r="714" ht="12.75" customHeight="1">
      <c r="C714" s="59"/>
      <c r="D714" s="59"/>
      <c r="H714" s="59"/>
      <c r="I714" s="59"/>
      <c r="J714" s="59"/>
    </row>
    <row r="715" ht="12.75" customHeight="1">
      <c r="C715" s="59"/>
      <c r="D715" s="59"/>
      <c r="H715" s="59"/>
      <c r="I715" s="59"/>
      <c r="J715" s="59"/>
    </row>
    <row r="716" ht="12.75" customHeight="1">
      <c r="C716" s="59"/>
      <c r="D716" s="59"/>
      <c r="H716" s="59"/>
      <c r="I716" s="59"/>
      <c r="J716" s="59"/>
    </row>
    <row r="717" ht="12.75" customHeight="1">
      <c r="C717" s="59"/>
      <c r="D717" s="59"/>
      <c r="H717" s="59"/>
      <c r="I717" s="59"/>
      <c r="J717" s="59"/>
    </row>
    <row r="718" ht="12.75" customHeight="1">
      <c r="C718" s="59"/>
      <c r="D718" s="59"/>
      <c r="H718" s="59"/>
      <c r="I718" s="59"/>
      <c r="J718" s="59"/>
    </row>
    <row r="719" ht="12.75" customHeight="1">
      <c r="C719" s="59"/>
      <c r="D719" s="59"/>
      <c r="H719" s="59"/>
      <c r="I719" s="59"/>
      <c r="J719" s="59"/>
    </row>
    <row r="720" ht="12.75" customHeight="1">
      <c r="C720" s="59"/>
      <c r="D720" s="59"/>
      <c r="H720" s="59"/>
      <c r="I720" s="59"/>
      <c r="J720" s="59"/>
    </row>
    <row r="721" ht="12.75" customHeight="1">
      <c r="C721" s="59"/>
      <c r="D721" s="59"/>
      <c r="H721" s="59"/>
      <c r="I721" s="59"/>
      <c r="J721" s="59"/>
    </row>
    <row r="722" ht="12.75" customHeight="1">
      <c r="C722" s="59"/>
      <c r="D722" s="59"/>
      <c r="H722" s="59"/>
      <c r="I722" s="59"/>
      <c r="J722" s="59"/>
    </row>
    <row r="723" ht="12.75" customHeight="1">
      <c r="C723" s="59"/>
      <c r="D723" s="59"/>
      <c r="H723" s="59"/>
      <c r="I723" s="59"/>
      <c r="J723" s="59"/>
    </row>
    <row r="724" ht="12.75" customHeight="1">
      <c r="C724" s="59"/>
      <c r="D724" s="59"/>
      <c r="H724" s="59"/>
      <c r="I724" s="59"/>
      <c r="J724" s="59"/>
    </row>
    <row r="725" ht="12.75" customHeight="1">
      <c r="C725" s="59"/>
      <c r="D725" s="59"/>
      <c r="H725" s="59"/>
      <c r="I725" s="59"/>
      <c r="J725" s="59"/>
    </row>
    <row r="726" ht="12.75" customHeight="1">
      <c r="C726" s="59"/>
      <c r="D726" s="59"/>
      <c r="H726" s="59"/>
      <c r="I726" s="59"/>
      <c r="J726" s="59"/>
    </row>
    <row r="727" ht="12.75" customHeight="1">
      <c r="C727" s="59"/>
      <c r="D727" s="59"/>
      <c r="H727" s="59"/>
      <c r="I727" s="59"/>
      <c r="J727" s="59"/>
    </row>
    <row r="728" ht="12.75" customHeight="1">
      <c r="C728" s="59"/>
      <c r="D728" s="59"/>
      <c r="H728" s="59"/>
      <c r="I728" s="59"/>
      <c r="J728" s="59"/>
    </row>
    <row r="729" ht="12.75" customHeight="1">
      <c r="C729" s="59"/>
      <c r="D729" s="59"/>
      <c r="H729" s="59"/>
      <c r="I729" s="59"/>
      <c r="J729" s="59"/>
    </row>
    <row r="730" ht="12.75" customHeight="1">
      <c r="C730" s="59"/>
      <c r="D730" s="59"/>
      <c r="H730" s="59"/>
      <c r="I730" s="59"/>
      <c r="J730" s="59"/>
    </row>
    <row r="731" ht="12.75" customHeight="1">
      <c r="C731" s="59"/>
      <c r="D731" s="59"/>
      <c r="H731" s="59"/>
      <c r="I731" s="59"/>
      <c r="J731" s="59"/>
    </row>
    <row r="732" ht="12.75" customHeight="1">
      <c r="C732" s="59"/>
      <c r="D732" s="59"/>
      <c r="H732" s="59"/>
      <c r="I732" s="59"/>
      <c r="J732" s="59"/>
    </row>
    <row r="733" ht="12.75" customHeight="1">
      <c r="C733" s="59"/>
      <c r="D733" s="59"/>
      <c r="H733" s="59"/>
      <c r="I733" s="59"/>
      <c r="J733" s="59"/>
    </row>
    <row r="734" ht="12.75" customHeight="1">
      <c r="C734" s="59"/>
      <c r="D734" s="59"/>
      <c r="H734" s="59"/>
      <c r="I734" s="59"/>
      <c r="J734" s="59"/>
    </row>
    <row r="735" ht="12.75" customHeight="1">
      <c r="C735" s="59"/>
      <c r="D735" s="59"/>
      <c r="H735" s="59"/>
      <c r="I735" s="59"/>
      <c r="J735" s="59"/>
    </row>
    <row r="736" ht="12.75" customHeight="1">
      <c r="C736" s="59"/>
      <c r="D736" s="59"/>
      <c r="H736" s="59"/>
      <c r="I736" s="59"/>
      <c r="J736" s="59"/>
    </row>
    <row r="737" ht="12.75" customHeight="1">
      <c r="C737" s="59"/>
      <c r="D737" s="59"/>
      <c r="H737" s="59"/>
      <c r="I737" s="59"/>
      <c r="J737" s="59"/>
    </row>
    <row r="738" ht="12.75" customHeight="1">
      <c r="C738" s="59"/>
      <c r="D738" s="59"/>
      <c r="H738" s="59"/>
      <c r="I738" s="59"/>
      <c r="J738" s="59"/>
    </row>
    <row r="739" ht="12.75" customHeight="1">
      <c r="C739" s="59"/>
      <c r="D739" s="59"/>
      <c r="H739" s="59"/>
      <c r="I739" s="59"/>
      <c r="J739" s="59"/>
    </row>
    <row r="740" ht="12.75" customHeight="1">
      <c r="C740" s="59"/>
      <c r="D740" s="59"/>
      <c r="H740" s="59"/>
      <c r="I740" s="59"/>
      <c r="J740" s="59"/>
    </row>
    <row r="741" ht="12.75" customHeight="1">
      <c r="C741" s="59"/>
      <c r="D741" s="59"/>
      <c r="H741" s="59"/>
      <c r="I741" s="59"/>
      <c r="J741" s="59"/>
    </row>
    <row r="742" ht="12.75" customHeight="1">
      <c r="C742" s="59"/>
      <c r="D742" s="59"/>
      <c r="H742" s="59"/>
      <c r="I742" s="59"/>
      <c r="J742" s="59"/>
    </row>
    <row r="743" ht="12.75" customHeight="1">
      <c r="C743" s="59"/>
      <c r="D743" s="59"/>
      <c r="H743" s="59"/>
      <c r="I743" s="59"/>
      <c r="J743" s="59"/>
    </row>
    <row r="744" ht="12.75" customHeight="1">
      <c r="C744" s="59"/>
      <c r="D744" s="59"/>
      <c r="H744" s="59"/>
      <c r="I744" s="59"/>
      <c r="J744" s="59"/>
    </row>
    <row r="745" ht="12.75" customHeight="1">
      <c r="C745" s="59"/>
      <c r="D745" s="59"/>
      <c r="H745" s="59"/>
      <c r="I745" s="59"/>
      <c r="J745" s="59"/>
    </row>
    <row r="746" ht="12.75" customHeight="1">
      <c r="C746" s="59"/>
      <c r="D746" s="59"/>
      <c r="H746" s="59"/>
      <c r="I746" s="59"/>
      <c r="J746" s="59"/>
    </row>
    <row r="747" ht="12.75" customHeight="1">
      <c r="C747" s="59"/>
      <c r="D747" s="59"/>
      <c r="H747" s="59"/>
      <c r="I747" s="59"/>
      <c r="J747" s="59"/>
    </row>
    <row r="748" ht="12.75" customHeight="1">
      <c r="C748" s="59"/>
      <c r="D748" s="59"/>
      <c r="H748" s="59"/>
      <c r="I748" s="59"/>
      <c r="J748" s="59"/>
    </row>
    <row r="749" ht="12.75" customHeight="1">
      <c r="C749" s="59"/>
      <c r="D749" s="59"/>
      <c r="H749" s="59"/>
      <c r="I749" s="59"/>
      <c r="J749" s="59"/>
    </row>
    <row r="750" ht="12.75" customHeight="1">
      <c r="C750" s="59"/>
      <c r="D750" s="59"/>
      <c r="H750" s="59"/>
      <c r="I750" s="59"/>
      <c r="J750" s="59"/>
    </row>
    <row r="751" ht="12.75" customHeight="1">
      <c r="C751" s="59"/>
      <c r="D751" s="59"/>
      <c r="H751" s="59"/>
      <c r="I751" s="59"/>
      <c r="J751" s="59"/>
    </row>
    <row r="752" ht="12.75" customHeight="1">
      <c r="C752" s="59"/>
      <c r="D752" s="59"/>
      <c r="H752" s="59"/>
      <c r="I752" s="59"/>
      <c r="J752" s="59"/>
    </row>
    <row r="753" ht="12.75" customHeight="1">
      <c r="C753" s="59"/>
      <c r="D753" s="59"/>
      <c r="H753" s="59"/>
      <c r="I753" s="59"/>
      <c r="J753" s="59"/>
    </row>
    <row r="754" ht="12.75" customHeight="1">
      <c r="C754" s="59"/>
      <c r="D754" s="59"/>
      <c r="H754" s="59"/>
      <c r="I754" s="59"/>
      <c r="J754" s="59"/>
    </row>
    <row r="755" ht="12.75" customHeight="1">
      <c r="C755" s="59"/>
      <c r="D755" s="59"/>
      <c r="H755" s="59"/>
      <c r="I755" s="59"/>
      <c r="J755" s="59"/>
    </row>
    <row r="756" ht="12.75" customHeight="1">
      <c r="C756" s="59"/>
      <c r="D756" s="59"/>
      <c r="H756" s="59"/>
      <c r="I756" s="59"/>
      <c r="J756" s="59"/>
    </row>
    <row r="757" ht="12.75" customHeight="1">
      <c r="C757" s="59"/>
      <c r="D757" s="59"/>
      <c r="H757" s="59"/>
      <c r="I757" s="59"/>
      <c r="J757" s="59"/>
    </row>
    <row r="758" ht="12.75" customHeight="1">
      <c r="C758" s="59"/>
      <c r="D758" s="59"/>
      <c r="H758" s="59"/>
      <c r="I758" s="59"/>
      <c r="J758" s="59"/>
    </row>
    <row r="759" ht="12.75" customHeight="1">
      <c r="C759" s="59"/>
      <c r="D759" s="59"/>
      <c r="H759" s="59"/>
      <c r="I759" s="59"/>
      <c r="J759" s="59"/>
    </row>
    <row r="760" ht="12.75" customHeight="1">
      <c r="C760" s="59"/>
      <c r="D760" s="59"/>
      <c r="H760" s="59"/>
      <c r="I760" s="59"/>
      <c r="J760" s="59"/>
    </row>
    <row r="761" ht="12.75" customHeight="1">
      <c r="C761" s="59"/>
      <c r="D761" s="59"/>
      <c r="H761" s="59"/>
      <c r="I761" s="59"/>
      <c r="J761" s="59"/>
    </row>
    <row r="762" ht="12.75" customHeight="1">
      <c r="C762" s="59"/>
      <c r="D762" s="59"/>
      <c r="H762" s="59"/>
      <c r="I762" s="59"/>
      <c r="J762" s="59"/>
    </row>
    <row r="763" ht="12.75" customHeight="1">
      <c r="C763" s="59"/>
      <c r="D763" s="59"/>
      <c r="H763" s="59"/>
      <c r="I763" s="59"/>
      <c r="J763" s="59"/>
    </row>
    <row r="764" ht="12.75" customHeight="1">
      <c r="C764" s="59"/>
      <c r="D764" s="59"/>
      <c r="H764" s="59"/>
      <c r="I764" s="59"/>
      <c r="J764" s="59"/>
    </row>
    <row r="765" ht="12.75" customHeight="1">
      <c r="C765" s="59"/>
      <c r="D765" s="59"/>
      <c r="H765" s="59"/>
      <c r="I765" s="59"/>
      <c r="J765" s="59"/>
    </row>
    <row r="766" ht="12.75" customHeight="1">
      <c r="C766" s="59"/>
      <c r="D766" s="59"/>
      <c r="H766" s="59"/>
      <c r="I766" s="59"/>
      <c r="J766" s="59"/>
    </row>
    <row r="767" ht="12.75" customHeight="1">
      <c r="C767" s="59"/>
      <c r="D767" s="59"/>
      <c r="H767" s="59"/>
      <c r="I767" s="59"/>
      <c r="J767" s="59"/>
    </row>
    <row r="768" ht="12.75" customHeight="1">
      <c r="C768" s="59"/>
      <c r="D768" s="59"/>
      <c r="H768" s="59"/>
      <c r="I768" s="59"/>
      <c r="J768" s="59"/>
    </row>
    <row r="769" ht="12.75" customHeight="1">
      <c r="C769" s="59"/>
      <c r="D769" s="59"/>
      <c r="H769" s="59"/>
      <c r="I769" s="59"/>
      <c r="J769" s="59"/>
    </row>
    <row r="770" ht="12.75" customHeight="1">
      <c r="C770" s="59"/>
      <c r="D770" s="59"/>
      <c r="H770" s="59"/>
      <c r="I770" s="59"/>
      <c r="J770" s="59"/>
    </row>
    <row r="771" ht="12.75" customHeight="1">
      <c r="C771" s="59"/>
      <c r="D771" s="59"/>
      <c r="H771" s="59"/>
      <c r="I771" s="59"/>
      <c r="J771" s="59"/>
    </row>
    <row r="772" ht="12.75" customHeight="1">
      <c r="C772" s="59"/>
      <c r="D772" s="59"/>
      <c r="H772" s="59"/>
      <c r="I772" s="59"/>
      <c r="J772" s="59"/>
    </row>
    <row r="773" ht="12.75" customHeight="1">
      <c r="C773" s="59"/>
      <c r="D773" s="59"/>
      <c r="H773" s="59"/>
      <c r="I773" s="59"/>
      <c r="J773" s="59"/>
    </row>
    <row r="774" ht="12.75" customHeight="1">
      <c r="C774" s="59"/>
      <c r="D774" s="59"/>
      <c r="H774" s="59"/>
      <c r="I774" s="59"/>
      <c r="J774" s="59"/>
    </row>
    <row r="775" ht="12.75" customHeight="1">
      <c r="C775" s="59"/>
      <c r="D775" s="59"/>
      <c r="H775" s="59"/>
      <c r="I775" s="59"/>
      <c r="J775" s="59"/>
    </row>
    <row r="776" ht="12.75" customHeight="1">
      <c r="C776" s="59"/>
      <c r="D776" s="59"/>
      <c r="H776" s="59"/>
      <c r="I776" s="59"/>
      <c r="J776" s="59"/>
    </row>
    <row r="777" ht="12.75" customHeight="1">
      <c r="C777" s="59"/>
      <c r="D777" s="59"/>
      <c r="H777" s="59"/>
      <c r="I777" s="59"/>
      <c r="J777" s="59"/>
    </row>
    <row r="778" ht="12.75" customHeight="1">
      <c r="C778" s="59"/>
      <c r="D778" s="59"/>
      <c r="H778" s="59"/>
      <c r="I778" s="59"/>
      <c r="J778" s="59"/>
    </row>
    <row r="779" ht="12.75" customHeight="1">
      <c r="C779" s="59"/>
      <c r="D779" s="59"/>
      <c r="H779" s="59"/>
      <c r="I779" s="59"/>
      <c r="J779" s="59"/>
    </row>
    <row r="780" ht="12.75" customHeight="1">
      <c r="C780" s="59"/>
      <c r="D780" s="59"/>
      <c r="H780" s="59"/>
      <c r="I780" s="59"/>
      <c r="J780" s="59"/>
    </row>
    <row r="781" ht="12.75" customHeight="1">
      <c r="C781" s="59"/>
      <c r="D781" s="59"/>
      <c r="H781" s="59"/>
      <c r="I781" s="59"/>
      <c r="J781" s="59"/>
    </row>
    <row r="782" ht="12.75" customHeight="1">
      <c r="C782" s="59"/>
      <c r="D782" s="59"/>
      <c r="H782" s="59"/>
      <c r="I782" s="59"/>
      <c r="J782" s="59"/>
    </row>
    <row r="783" ht="12.75" customHeight="1">
      <c r="C783" s="59"/>
      <c r="D783" s="59"/>
      <c r="H783" s="59"/>
      <c r="I783" s="59"/>
      <c r="J783" s="59"/>
    </row>
    <row r="784" ht="12.75" customHeight="1">
      <c r="C784" s="59"/>
      <c r="D784" s="59"/>
      <c r="H784" s="59"/>
      <c r="I784" s="59"/>
      <c r="J784" s="59"/>
    </row>
    <row r="785" ht="12.75" customHeight="1">
      <c r="C785" s="59"/>
      <c r="D785" s="59"/>
      <c r="H785" s="59"/>
      <c r="I785" s="59"/>
      <c r="J785" s="59"/>
    </row>
    <row r="786" ht="12.75" customHeight="1">
      <c r="C786" s="59"/>
      <c r="D786" s="59"/>
      <c r="H786" s="59"/>
      <c r="I786" s="59"/>
      <c r="J786" s="59"/>
    </row>
    <row r="787" ht="12.75" customHeight="1">
      <c r="C787" s="59"/>
      <c r="D787" s="59"/>
      <c r="H787" s="59"/>
      <c r="I787" s="59"/>
      <c r="J787" s="59"/>
    </row>
    <row r="788" ht="12.75" customHeight="1">
      <c r="C788" s="59"/>
      <c r="D788" s="59"/>
      <c r="H788" s="59"/>
      <c r="I788" s="59"/>
      <c r="J788" s="59"/>
    </row>
    <row r="789" ht="12.75" customHeight="1">
      <c r="C789" s="59"/>
      <c r="D789" s="59"/>
      <c r="H789" s="59"/>
      <c r="I789" s="59"/>
      <c r="J789" s="59"/>
    </row>
    <row r="790" ht="12.75" customHeight="1">
      <c r="C790" s="59"/>
      <c r="D790" s="59"/>
      <c r="H790" s="59"/>
      <c r="I790" s="59"/>
      <c r="J790" s="59"/>
    </row>
    <row r="791" ht="12.75" customHeight="1">
      <c r="C791" s="59"/>
      <c r="D791" s="59"/>
      <c r="H791" s="59"/>
      <c r="I791" s="59"/>
      <c r="J791" s="59"/>
    </row>
    <row r="792" ht="12.75" customHeight="1">
      <c r="C792" s="59"/>
      <c r="D792" s="59"/>
      <c r="H792" s="59"/>
      <c r="I792" s="59"/>
      <c r="J792" s="59"/>
    </row>
    <row r="793" ht="12.75" customHeight="1">
      <c r="C793" s="59"/>
      <c r="D793" s="59"/>
      <c r="H793" s="59"/>
      <c r="I793" s="59"/>
      <c r="J793" s="59"/>
    </row>
    <row r="794" ht="12.75" customHeight="1">
      <c r="C794" s="59"/>
      <c r="D794" s="59"/>
      <c r="H794" s="59"/>
      <c r="I794" s="59"/>
      <c r="J794" s="59"/>
    </row>
    <row r="795" ht="12.75" customHeight="1">
      <c r="C795" s="59"/>
      <c r="D795" s="59"/>
      <c r="H795" s="59"/>
      <c r="I795" s="59"/>
      <c r="J795" s="59"/>
    </row>
    <row r="796" ht="12.75" customHeight="1">
      <c r="C796" s="59"/>
      <c r="D796" s="59"/>
      <c r="H796" s="59"/>
      <c r="I796" s="59"/>
      <c r="J796" s="59"/>
    </row>
    <row r="797" ht="12.75" customHeight="1">
      <c r="C797" s="59"/>
      <c r="D797" s="59"/>
      <c r="H797" s="59"/>
      <c r="I797" s="59"/>
      <c r="J797" s="59"/>
    </row>
    <row r="798" ht="12.75" customHeight="1">
      <c r="C798" s="59"/>
      <c r="D798" s="59"/>
      <c r="H798" s="59"/>
      <c r="I798" s="59"/>
      <c r="J798" s="59"/>
    </row>
    <row r="799" ht="12.75" customHeight="1">
      <c r="C799" s="59"/>
      <c r="D799" s="59"/>
      <c r="H799" s="59"/>
      <c r="I799" s="59"/>
      <c r="J799" s="59"/>
    </row>
    <row r="800" ht="12.75" customHeight="1">
      <c r="C800" s="59"/>
      <c r="D800" s="59"/>
      <c r="H800" s="59"/>
      <c r="I800" s="59"/>
      <c r="J800" s="59"/>
    </row>
    <row r="801" ht="12.75" customHeight="1">
      <c r="C801" s="59"/>
      <c r="D801" s="59"/>
      <c r="H801" s="59"/>
      <c r="I801" s="59"/>
      <c r="J801" s="59"/>
    </row>
    <row r="802" ht="12.75" customHeight="1">
      <c r="C802" s="59"/>
      <c r="D802" s="59"/>
      <c r="H802" s="59"/>
      <c r="I802" s="59"/>
      <c r="J802" s="59"/>
    </row>
    <row r="803" ht="12.75" customHeight="1">
      <c r="C803" s="59"/>
      <c r="D803" s="59"/>
      <c r="H803" s="59"/>
      <c r="I803" s="59"/>
      <c r="J803" s="59"/>
    </row>
    <row r="804" ht="12.75" customHeight="1">
      <c r="C804" s="59"/>
      <c r="D804" s="59"/>
      <c r="H804" s="59"/>
      <c r="I804" s="59"/>
      <c r="J804" s="59"/>
    </row>
    <row r="805" ht="12.75" customHeight="1">
      <c r="C805" s="59"/>
      <c r="D805" s="59"/>
      <c r="H805" s="59"/>
      <c r="I805" s="59"/>
      <c r="J805" s="59"/>
    </row>
    <row r="806" ht="12.75" customHeight="1">
      <c r="C806" s="59"/>
      <c r="D806" s="59"/>
      <c r="H806" s="59"/>
      <c r="I806" s="59"/>
      <c r="J806" s="59"/>
    </row>
    <row r="807" ht="12.75" customHeight="1">
      <c r="C807" s="59"/>
      <c r="D807" s="59"/>
      <c r="H807" s="59"/>
      <c r="I807" s="59"/>
      <c r="J807" s="59"/>
    </row>
    <row r="808" ht="12.75" customHeight="1">
      <c r="C808" s="59"/>
      <c r="D808" s="59"/>
      <c r="H808" s="59"/>
      <c r="I808" s="59"/>
      <c r="J808" s="59"/>
    </row>
    <row r="809" ht="12.75" customHeight="1">
      <c r="C809" s="59"/>
      <c r="D809" s="59"/>
      <c r="H809" s="59"/>
      <c r="I809" s="59"/>
      <c r="J809" s="59"/>
    </row>
    <row r="810" ht="12.75" customHeight="1">
      <c r="C810" s="59"/>
      <c r="D810" s="59"/>
      <c r="H810" s="59"/>
      <c r="I810" s="59"/>
      <c r="J810" s="59"/>
    </row>
    <row r="811" ht="12.75" customHeight="1">
      <c r="C811" s="59"/>
      <c r="D811" s="59"/>
      <c r="H811" s="59"/>
      <c r="I811" s="59"/>
      <c r="J811" s="59"/>
    </row>
    <row r="812" ht="12.75" customHeight="1">
      <c r="C812" s="59"/>
      <c r="D812" s="59"/>
      <c r="H812" s="59"/>
      <c r="I812" s="59"/>
      <c r="J812" s="59"/>
    </row>
    <row r="813" ht="12.75" customHeight="1">
      <c r="C813" s="59"/>
      <c r="D813" s="59"/>
      <c r="H813" s="59"/>
      <c r="I813" s="59"/>
      <c r="J813" s="59"/>
    </row>
    <row r="814" ht="12.75" customHeight="1">
      <c r="C814" s="59"/>
      <c r="D814" s="59"/>
      <c r="H814" s="59"/>
      <c r="I814" s="59"/>
      <c r="J814" s="59"/>
    </row>
    <row r="815" ht="12.75" customHeight="1">
      <c r="C815" s="59"/>
      <c r="D815" s="59"/>
      <c r="H815" s="59"/>
      <c r="I815" s="59"/>
      <c r="J815" s="59"/>
    </row>
    <row r="816" ht="12.75" customHeight="1">
      <c r="C816" s="59"/>
      <c r="D816" s="59"/>
      <c r="H816" s="59"/>
      <c r="I816" s="59"/>
      <c r="J816" s="59"/>
    </row>
    <row r="817" ht="12.75" customHeight="1">
      <c r="C817" s="59"/>
      <c r="D817" s="59"/>
      <c r="H817" s="59"/>
      <c r="I817" s="59"/>
      <c r="J817" s="59"/>
    </row>
    <row r="818" ht="12.75" customHeight="1">
      <c r="C818" s="59"/>
      <c r="D818" s="59"/>
      <c r="H818" s="59"/>
      <c r="I818" s="59"/>
      <c r="J818" s="59"/>
    </row>
    <row r="819" ht="12.75" customHeight="1">
      <c r="C819" s="59"/>
      <c r="D819" s="59"/>
      <c r="H819" s="59"/>
      <c r="I819" s="59"/>
      <c r="J819" s="59"/>
    </row>
    <row r="820" ht="12.75" customHeight="1">
      <c r="C820" s="59"/>
      <c r="D820" s="59"/>
      <c r="H820" s="59"/>
      <c r="I820" s="59"/>
      <c r="J820" s="59"/>
    </row>
    <row r="821" ht="12.75" customHeight="1">
      <c r="C821" s="59"/>
      <c r="D821" s="59"/>
      <c r="H821" s="59"/>
      <c r="I821" s="59"/>
      <c r="J821" s="59"/>
    </row>
    <row r="822" ht="12.75" customHeight="1">
      <c r="C822" s="59"/>
      <c r="D822" s="59"/>
      <c r="H822" s="59"/>
      <c r="I822" s="59"/>
      <c r="J822" s="59"/>
    </row>
    <row r="823" ht="12.75" customHeight="1">
      <c r="C823" s="59"/>
      <c r="D823" s="59"/>
      <c r="H823" s="59"/>
      <c r="I823" s="59"/>
      <c r="J823" s="59"/>
    </row>
    <row r="824" ht="12.75" customHeight="1">
      <c r="C824" s="59"/>
      <c r="D824" s="59"/>
      <c r="H824" s="59"/>
      <c r="I824" s="59"/>
      <c r="J824" s="59"/>
    </row>
    <row r="825" ht="12.75" customHeight="1">
      <c r="C825" s="59"/>
      <c r="D825" s="59"/>
      <c r="H825" s="59"/>
      <c r="I825" s="59"/>
      <c r="J825" s="59"/>
    </row>
    <row r="826" ht="12.75" customHeight="1">
      <c r="C826" s="59"/>
      <c r="D826" s="59"/>
      <c r="H826" s="59"/>
      <c r="I826" s="59"/>
      <c r="J826" s="59"/>
    </row>
    <row r="827" ht="12.75" customHeight="1">
      <c r="C827" s="59"/>
      <c r="D827" s="59"/>
      <c r="H827" s="59"/>
      <c r="I827" s="59"/>
      <c r="J827" s="59"/>
    </row>
    <row r="828" ht="12.75" customHeight="1">
      <c r="C828" s="59"/>
      <c r="D828" s="59"/>
      <c r="H828" s="59"/>
      <c r="I828" s="59"/>
      <c r="J828" s="59"/>
    </row>
    <row r="829" ht="12.75" customHeight="1">
      <c r="C829" s="59"/>
      <c r="D829" s="59"/>
      <c r="H829" s="59"/>
      <c r="I829" s="59"/>
      <c r="J829" s="59"/>
    </row>
    <row r="830" ht="12.75" customHeight="1">
      <c r="C830" s="59"/>
      <c r="D830" s="59"/>
      <c r="H830" s="59"/>
      <c r="I830" s="59"/>
      <c r="J830" s="59"/>
    </row>
    <row r="831" ht="12.75" customHeight="1">
      <c r="C831" s="59"/>
      <c r="D831" s="59"/>
      <c r="H831" s="59"/>
      <c r="I831" s="59"/>
      <c r="J831" s="59"/>
    </row>
    <row r="832" ht="12.75" customHeight="1">
      <c r="C832" s="59"/>
      <c r="D832" s="59"/>
      <c r="H832" s="59"/>
      <c r="I832" s="59"/>
      <c r="J832" s="59"/>
    </row>
    <row r="833" ht="12.75" customHeight="1">
      <c r="C833" s="59"/>
      <c r="D833" s="59"/>
      <c r="H833" s="59"/>
      <c r="I833" s="59"/>
      <c r="J833" s="59"/>
    </row>
    <row r="834" ht="12.75" customHeight="1">
      <c r="C834" s="59"/>
      <c r="D834" s="59"/>
      <c r="H834" s="59"/>
      <c r="I834" s="59"/>
      <c r="J834" s="59"/>
    </row>
    <row r="835" ht="12.75" customHeight="1">
      <c r="C835" s="59"/>
      <c r="D835" s="59"/>
      <c r="H835" s="59"/>
      <c r="I835" s="59"/>
      <c r="J835" s="59"/>
    </row>
    <row r="836" ht="12.75" customHeight="1">
      <c r="C836" s="59"/>
      <c r="D836" s="59"/>
      <c r="H836" s="59"/>
      <c r="I836" s="59"/>
      <c r="J836" s="59"/>
    </row>
    <row r="837" ht="12.75" customHeight="1">
      <c r="C837" s="59"/>
      <c r="D837" s="59"/>
      <c r="H837" s="59"/>
      <c r="I837" s="59"/>
      <c r="J837" s="59"/>
    </row>
    <row r="838" ht="12.75" customHeight="1">
      <c r="C838" s="59"/>
      <c r="D838" s="59"/>
      <c r="H838" s="59"/>
      <c r="I838" s="59"/>
      <c r="J838" s="59"/>
    </row>
    <row r="839" ht="12.75" customHeight="1">
      <c r="C839" s="59"/>
      <c r="D839" s="59"/>
      <c r="H839" s="59"/>
      <c r="I839" s="59"/>
      <c r="J839" s="59"/>
    </row>
    <row r="840" ht="12.75" customHeight="1">
      <c r="C840" s="59"/>
      <c r="D840" s="59"/>
      <c r="H840" s="59"/>
      <c r="I840" s="59"/>
      <c r="J840" s="59"/>
    </row>
    <row r="841" ht="12.75" customHeight="1">
      <c r="C841" s="59"/>
      <c r="D841" s="59"/>
      <c r="H841" s="59"/>
      <c r="I841" s="59"/>
      <c r="J841" s="59"/>
    </row>
    <row r="842" ht="12.75" customHeight="1">
      <c r="C842" s="59"/>
      <c r="D842" s="59"/>
      <c r="H842" s="59"/>
      <c r="I842" s="59"/>
      <c r="J842" s="59"/>
    </row>
    <row r="843" ht="12.75" customHeight="1">
      <c r="C843" s="59"/>
      <c r="D843" s="59"/>
      <c r="H843" s="59"/>
      <c r="I843" s="59"/>
      <c r="J843" s="59"/>
    </row>
    <row r="844" ht="12.75" customHeight="1">
      <c r="C844" s="59"/>
      <c r="D844" s="59"/>
      <c r="H844" s="59"/>
      <c r="I844" s="59"/>
      <c r="J844" s="59"/>
    </row>
    <row r="845" ht="12.75" customHeight="1">
      <c r="C845" s="59"/>
      <c r="D845" s="59"/>
      <c r="H845" s="59"/>
      <c r="I845" s="59"/>
      <c r="J845" s="59"/>
    </row>
    <row r="846" ht="12.75" customHeight="1">
      <c r="C846" s="59"/>
      <c r="D846" s="59"/>
      <c r="H846" s="59"/>
      <c r="I846" s="59"/>
      <c r="J846" s="59"/>
    </row>
    <row r="847" ht="12.75" customHeight="1">
      <c r="C847" s="59"/>
      <c r="D847" s="59"/>
      <c r="H847" s="59"/>
      <c r="I847" s="59"/>
      <c r="J847" s="59"/>
    </row>
    <row r="848" ht="12.75" customHeight="1">
      <c r="C848" s="59"/>
      <c r="D848" s="59"/>
      <c r="H848" s="59"/>
      <c r="I848" s="59"/>
      <c r="J848" s="59"/>
    </row>
    <row r="849" ht="12.75" customHeight="1">
      <c r="C849" s="59"/>
      <c r="D849" s="59"/>
      <c r="H849" s="59"/>
      <c r="I849" s="59"/>
      <c r="J849" s="59"/>
    </row>
    <row r="850" ht="12.75" customHeight="1">
      <c r="C850" s="59"/>
      <c r="D850" s="59"/>
      <c r="H850" s="59"/>
      <c r="I850" s="59"/>
      <c r="J850" s="59"/>
    </row>
    <row r="851" ht="12.75" customHeight="1">
      <c r="C851" s="59"/>
      <c r="D851" s="59"/>
      <c r="H851" s="59"/>
      <c r="I851" s="59"/>
      <c r="J851" s="59"/>
    </row>
    <row r="852" ht="12.75" customHeight="1">
      <c r="C852" s="59"/>
      <c r="D852" s="59"/>
      <c r="H852" s="59"/>
      <c r="I852" s="59"/>
      <c r="J852" s="59"/>
    </row>
    <row r="853" ht="12.75" customHeight="1">
      <c r="C853" s="59"/>
      <c r="D853" s="59"/>
      <c r="H853" s="59"/>
      <c r="I853" s="59"/>
      <c r="J853" s="59"/>
    </row>
    <row r="854" ht="12.75" customHeight="1">
      <c r="C854" s="59"/>
      <c r="D854" s="59"/>
      <c r="H854" s="59"/>
      <c r="I854" s="59"/>
      <c r="J854" s="59"/>
    </row>
    <row r="855" ht="12.75" customHeight="1">
      <c r="C855" s="59"/>
      <c r="D855" s="59"/>
      <c r="H855" s="59"/>
      <c r="I855" s="59"/>
      <c r="J855" s="59"/>
    </row>
    <row r="856" ht="12.75" customHeight="1">
      <c r="C856" s="59"/>
      <c r="D856" s="59"/>
      <c r="H856" s="59"/>
      <c r="I856" s="59"/>
      <c r="J856" s="59"/>
    </row>
    <row r="857" ht="12.75" customHeight="1">
      <c r="C857" s="59"/>
      <c r="D857" s="59"/>
      <c r="H857" s="59"/>
      <c r="I857" s="59"/>
      <c r="J857" s="59"/>
    </row>
    <row r="858" ht="12.75" customHeight="1">
      <c r="C858" s="59"/>
      <c r="D858" s="59"/>
      <c r="H858" s="59"/>
      <c r="I858" s="59"/>
      <c r="J858" s="59"/>
    </row>
    <row r="859" ht="12.75" customHeight="1">
      <c r="C859" s="59"/>
      <c r="D859" s="59"/>
      <c r="H859" s="59"/>
      <c r="I859" s="59"/>
      <c r="J859" s="59"/>
    </row>
    <row r="860" ht="12.75" customHeight="1">
      <c r="C860" s="59"/>
      <c r="D860" s="59"/>
      <c r="H860" s="59"/>
      <c r="I860" s="59"/>
      <c r="J860" s="59"/>
    </row>
    <row r="861" ht="12.75" customHeight="1">
      <c r="C861" s="59"/>
      <c r="D861" s="59"/>
      <c r="H861" s="59"/>
      <c r="I861" s="59"/>
      <c r="J861" s="59"/>
    </row>
    <row r="862" ht="12.75" customHeight="1">
      <c r="C862" s="59"/>
      <c r="D862" s="59"/>
      <c r="H862" s="59"/>
      <c r="I862" s="59"/>
      <c r="J862" s="59"/>
    </row>
    <row r="863" ht="12.75" customHeight="1">
      <c r="C863" s="59"/>
      <c r="D863" s="59"/>
      <c r="H863" s="59"/>
      <c r="I863" s="59"/>
      <c r="J863" s="59"/>
    </row>
    <row r="864" ht="12.75" customHeight="1">
      <c r="C864" s="59"/>
      <c r="D864" s="59"/>
      <c r="H864" s="59"/>
      <c r="I864" s="59"/>
      <c r="J864" s="59"/>
    </row>
    <row r="865" ht="12.75" customHeight="1">
      <c r="C865" s="59"/>
      <c r="D865" s="59"/>
      <c r="H865" s="59"/>
      <c r="I865" s="59"/>
      <c r="J865" s="59"/>
    </row>
    <row r="866" ht="12.75" customHeight="1">
      <c r="C866" s="59"/>
      <c r="D866" s="59"/>
      <c r="H866" s="59"/>
      <c r="I866" s="59"/>
      <c r="J866" s="59"/>
    </row>
    <row r="867" ht="12.75" customHeight="1">
      <c r="C867" s="59"/>
      <c r="D867" s="59"/>
      <c r="H867" s="59"/>
      <c r="I867" s="59"/>
      <c r="J867" s="59"/>
    </row>
    <row r="868" ht="12.75" customHeight="1">
      <c r="C868" s="59"/>
      <c r="D868" s="59"/>
      <c r="H868" s="59"/>
      <c r="I868" s="59"/>
      <c r="J868" s="59"/>
    </row>
    <row r="869" ht="12.75" customHeight="1">
      <c r="C869" s="59"/>
      <c r="D869" s="59"/>
      <c r="H869" s="59"/>
      <c r="I869" s="59"/>
      <c r="J869" s="59"/>
    </row>
    <row r="870" ht="12.75" customHeight="1">
      <c r="C870" s="59"/>
      <c r="D870" s="59"/>
      <c r="H870" s="59"/>
      <c r="I870" s="59"/>
      <c r="J870" s="59"/>
    </row>
    <row r="871" ht="12.75" customHeight="1">
      <c r="C871" s="59"/>
      <c r="D871" s="59"/>
      <c r="H871" s="59"/>
      <c r="I871" s="59"/>
      <c r="J871" s="59"/>
    </row>
    <row r="872" ht="12.75" customHeight="1">
      <c r="C872" s="59"/>
      <c r="D872" s="59"/>
      <c r="H872" s="59"/>
      <c r="I872" s="59"/>
      <c r="J872" s="59"/>
    </row>
    <row r="873" ht="12.75" customHeight="1">
      <c r="C873" s="59"/>
      <c r="D873" s="59"/>
      <c r="H873" s="59"/>
      <c r="I873" s="59"/>
      <c r="J873" s="59"/>
    </row>
    <row r="874" ht="12.75" customHeight="1">
      <c r="C874" s="59"/>
      <c r="D874" s="59"/>
      <c r="H874" s="59"/>
      <c r="I874" s="59"/>
      <c r="J874" s="59"/>
    </row>
    <row r="875" ht="12.75" customHeight="1">
      <c r="C875" s="59"/>
      <c r="D875" s="59"/>
      <c r="H875" s="59"/>
      <c r="I875" s="59"/>
      <c r="J875" s="59"/>
    </row>
    <row r="876" ht="12.75" customHeight="1">
      <c r="C876" s="59"/>
      <c r="D876" s="59"/>
      <c r="H876" s="59"/>
      <c r="I876" s="59"/>
      <c r="J876" s="59"/>
    </row>
    <row r="877" ht="12.75" customHeight="1">
      <c r="C877" s="59"/>
      <c r="D877" s="59"/>
      <c r="H877" s="59"/>
      <c r="I877" s="59"/>
      <c r="J877" s="59"/>
    </row>
    <row r="878" ht="12.75" customHeight="1">
      <c r="C878" s="59"/>
      <c r="D878" s="59"/>
      <c r="H878" s="59"/>
      <c r="I878" s="59"/>
      <c r="J878" s="59"/>
    </row>
    <row r="879" ht="12.75" customHeight="1">
      <c r="C879" s="59"/>
      <c r="D879" s="59"/>
      <c r="H879" s="59"/>
      <c r="I879" s="59"/>
      <c r="J879" s="59"/>
    </row>
    <row r="880" ht="12.75" customHeight="1">
      <c r="C880" s="59"/>
      <c r="D880" s="59"/>
      <c r="H880" s="59"/>
      <c r="I880" s="59"/>
      <c r="J880" s="59"/>
    </row>
    <row r="881" ht="12.75" customHeight="1">
      <c r="C881" s="59"/>
      <c r="D881" s="59"/>
      <c r="H881" s="59"/>
      <c r="I881" s="59"/>
      <c r="J881" s="59"/>
    </row>
    <row r="882" ht="12.75" customHeight="1">
      <c r="C882" s="59"/>
      <c r="D882" s="59"/>
      <c r="H882" s="59"/>
      <c r="I882" s="59"/>
      <c r="J882" s="59"/>
    </row>
    <row r="883" ht="12.75" customHeight="1">
      <c r="C883" s="59"/>
      <c r="D883" s="59"/>
      <c r="H883" s="59"/>
      <c r="I883" s="59"/>
      <c r="J883" s="59"/>
    </row>
    <row r="884" ht="12.75" customHeight="1">
      <c r="C884" s="59"/>
      <c r="D884" s="59"/>
      <c r="H884" s="59"/>
      <c r="I884" s="59"/>
      <c r="J884" s="59"/>
    </row>
    <row r="885" ht="12.75" customHeight="1">
      <c r="C885" s="59"/>
      <c r="D885" s="59"/>
      <c r="H885" s="59"/>
      <c r="I885" s="59"/>
      <c r="J885" s="59"/>
    </row>
    <row r="886" ht="12.75" customHeight="1">
      <c r="C886" s="59"/>
      <c r="D886" s="59"/>
      <c r="H886" s="59"/>
      <c r="I886" s="59"/>
      <c r="J886" s="59"/>
    </row>
    <row r="887" ht="12.75" customHeight="1">
      <c r="C887" s="59"/>
      <c r="D887" s="59"/>
      <c r="H887" s="59"/>
      <c r="I887" s="59"/>
      <c r="J887" s="59"/>
    </row>
    <row r="888" ht="12.75" customHeight="1">
      <c r="C888" s="59"/>
      <c r="D888" s="59"/>
      <c r="H888" s="59"/>
      <c r="I888" s="59"/>
      <c r="J888" s="59"/>
    </row>
    <row r="889" ht="12.75" customHeight="1">
      <c r="C889" s="59"/>
      <c r="D889" s="59"/>
      <c r="H889" s="59"/>
      <c r="I889" s="59"/>
      <c r="J889" s="59"/>
    </row>
    <row r="890" ht="12.75" customHeight="1">
      <c r="C890" s="59"/>
      <c r="D890" s="59"/>
      <c r="H890" s="59"/>
      <c r="I890" s="59"/>
      <c r="J890" s="59"/>
    </row>
    <row r="891" ht="12.75" customHeight="1">
      <c r="C891" s="59"/>
      <c r="D891" s="59"/>
      <c r="H891" s="59"/>
      <c r="I891" s="59"/>
      <c r="J891" s="59"/>
    </row>
    <row r="892" ht="12.75" customHeight="1">
      <c r="C892" s="59"/>
      <c r="D892" s="59"/>
      <c r="H892" s="59"/>
      <c r="I892" s="59"/>
      <c r="J892" s="59"/>
    </row>
    <row r="893" ht="12.75" customHeight="1">
      <c r="C893" s="59"/>
      <c r="D893" s="59"/>
      <c r="H893" s="59"/>
      <c r="I893" s="59"/>
      <c r="J893" s="59"/>
    </row>
    <row r="894" ht="12.75" customHeight="1">
      <c r="C894" s="59"/>
      <c r="D894" s="59"/>
      <c r="H894" s="59"/>
      <c r="I894" s="59"/>
      <c r="J894" s="59"/>
    </row>
    <row r="895" ht="12.75" customHeight="1">
      <c r="C895" s="59"/>
      <c r="D895" s="59"/>
      <c r="H895" s="59"/>
      <c r="I895" s="59"/>
      <c r="J895" s="59"/>
    </row>
    <row r="896" ht="12.75" customHeight="1">
      <c r="C896" s="59"/>
      <c r="D896" s="59"/>
      <c r="H896" s="59"/>
      <c r="I896" s="59"/>
      <c r="J896" s="59"/>
    </row>
    <row r="897" ht="12.75" customHeight="1">
      <c r="C897" s="59"/>
      <c r="D897" s="59"/>
      <c r="H897" s="59"/>
      <c r="I897" s="59"/>
      <c r="J897" s="59"/>
    </row>
    <row r="898" ht="12.75" customHeight="1">
      <c r="C898" s="59"/>
      <c r="D898" s="59"/>
      <c r="H898" s="59"/>
      <c r="I898" s="59"/>
      <c r="J898" s="59"/>
    </row>
    <row r="899" ht="12.75" customHeight="1">
      <c r="C899" s="59"/>
      <c r="D899" s="59"/>
      <c r="H899" s="59"/>
      <c r="I899" s="59"/>
      <c r="J899" s="59"/>
    </row>
    <row r="900" ht="12.75" customHeight="1">
      <c r="C900" s="59"/>
      <c r="D900" s="59"/>
      <c r="H900" s="59"/>
      <c r="I900" s="59"/>
      <c r="J900" s="59"/>
    </row>
    <row r="901" ht="12.75" customHeight="1">
      <c r="C901" s="59"/>
      <c r="D901" s="59"/>
      <c r="H901" s="59"/>
      <c r="I901" s="59"/>
      <c r="J901" s="59"/>
    </row>
    <row r="902" ht="12.75" customHeight="1">
      <c r="C902" s="59"/>
      <c r="D902" s="59"/>
      <c r="H902" s="59"/>
      <c r="I902" s="59"/>
      <c r="J902" s="59"/>
    </row>
    <row r="903" ht="12.75" customHeight="1">
      <c r="C903" s="59"/>
      <c r="D903" s="59"/>
      <c r="H903" s="59"/>
      <c r="I903" s="59"/>
      <c r="J903" s="59"/>
    </row>
    <row r="904" ht="12.75" customHeight="1">
      <c r="C904" s="59"/>
      <c r="D904" s="59"/>
      <c r="H904" s="59"/>
      <c r="I904" s="59"/>
      <c r="J904" s="59"/>
    </row>
    <row r="905" ht="12.75" customHeight="1">
      <c r="C905" s="59"/>
      <c r="D905" s="59"/>
      <c r="H905" s="59"/>
      <c r="I905" s="59"/>
      <c r="J905" s="59"/>
    </row>
    <row r="906" ht="12.75" customHeight="1">
      <c r="C906" s="59"/>
      <c r="D906" s="59"/>
      <c r="H906" s="59"/>
      <c r="I906" s="59"/>
      <c r="J906" s="59"/>
    </row>
    <row r="907" ht="12.75" customHeight="1">
      <c r="C907" s="59"/>
      <c r="D907" s="59"/>
      <c r="H907" s="59"/>
      <c r="I907" s="59"/>
      <c r="J907" s="59"/>
    </row>
    <row r="908" ht="12.75" customHeight="1">
      <c r="C908" s="59"/>
      <c r="D908" s="59"/>
      <c r="H908" s="59"/>
      <c r="I908" s="59"/>
      <c r="J908" s="59"/>
    </row>
    <row r="909" ht="12.75" customHeight="1">
      <c r="C909" s="59"/>
      <c r="D909" s="59"/>
      <c r="H909" s="59"/>
      <c r="I909" s="59"/>
      <c r="J909" s="59"/>
    </row>
    <row r="910" ht="12.75" customHeight="1">
      <c r="C910" s="59"/>
      <c r="D910" s="59"/>
      <c r="H910" s="59"/>
      <c r="I910" s="59"/>
      <c r="J910" s="59"/>
    </row>
    <row r="911" ht="12.75" customHeight="1">
      <c r="C911" s="59"/>
      <c r="D911" s="59"/>
      <c r="H911" s="59"/>
      <c r="I911" s="59"/>
      <c r="J911" s="59"/>
    </row>
    <row r="912" ht="12.75" customHeight="1">
      <c r="C912" s="59"/>
      <c r="D912" s="59"/>
      <c r="H912" s="59"/>
      <c r="I912" s="59"/>
      <c r="J912" s="59"/>
    </row>
    <row r="913" ht="12.75" customHeight="1">
      <c r="C913" s="59"/>
      <c r="D913" s="59"/>
      <c r="H913" s="59"/>
      <c r="I913" s="59"/>
      <c r="J913" s="59"/>
    </row>
    <row r="914" ht="12.75" customHeight="1">
      <c r="C914" s="59"/>
      <c r="D914" s="59"/>
      <c r="H914" s="59"/>
      <c r="I914" s="59"/>
      <c r="J914" s="59"/>
    </row>
    <row r="915" ht="12.75" customHeight="1">
      <c r="C915" s="59"/>
      <c r="D915" s="59"/>
      <c r="H915" s="59"/>
      <c r="I915" s="59"/>
      <c r="J915" s="59"/>
    </row>
    <row r="916" ht="12.75" customHeight="1">
      <c r="C916" s="59"/>
      <c r="D916" s="59"/>
      <c r="H916" s="59"/>
      <c r="I916" s="59"/>
      <c r="J916" s="59"/>
    </row>
    <row r="917" ht="12.75" customHeight="1">
      <c r="C917" s="59"/>
      <c r="D917" s="59"/>
      <c r="H917" s="59"/>
      <c r="I917" s="59"/>
      <c r="J917" s="59"/>
    </row>
    <row r="918" ht="12.75" customHeight="1">
      <c r="C918" s="59"/>
      <c r="D918" s="59"/>
      <c r="H918" s="59"/>
      <c r="I918" s="59"/>
      <c r="J918" s="59"/>
    </row>
    <row r="919" ht="12.75" customHeight="1">
      <c r="C919" s="59"/>
      <c r="D919" s="59"/>
      <c r="H919" s="59"/>
      <c r="I919" s="59"/>
      <c r="J919" s="59"/>
    </row>
    <row r="920" ht="12.75" customHeight="1">
      <c r="C920" s="59"/>
      <c r="D920" s="59"/>
      <c r="H920" s="59"/>
      <c r="I920" s="59"/>
      <c r="J920" s="59"/>
    </row>
    <row r="921" ht="12.75" customHeight="1">
      <c r="C921" s="59"/>
      <c r="D921" s="59"/>
      <c r="H921" s="59"/>
      <c r="I921" s="59"/>
      <c r="J921" s="59"/>
    </row>
    <row r="922" ht="12.75" customHeight="1">
      <c r="C922" s="59"/>
      <c r="D922" s="59"/>
      <c r="H922" s="59"/>
      <c r="I922" s="59"/>
      <c r="J922" s="59"/>
    </row>
    <row r="923" ht="12.75" customHeight="1">
      <c r="C923" s="59"/>
      <c r="D923" s="59"/>
      <c r="H923" s="59"/>
      <c r="I923" s="59"/>
      <c r="J923" s="59"/>
    </row>
    <row r="924" ht="12.75" customHeight="1">
      <c r="C924" s="59"/>
      <c r="D924" s="59"/>
      <c r="H924" s="59"/>
      <c r="I924" s="59"/>
      <c r="J924" s="59"/>
    </row>
    <row r="925" ht="12.75" customHeight="1">
      <c r="C925" s="59"/>
      <c r="D925" s="59"/>
      <c r="H925" s="59"/>
      <c r="I925" s="59"/>
      <c r="J925" s="59"/>
    </row>
    <row r="926" ht="12.75" customHeight="1">
      <c r="C926" s="59"/>
      <c r="D926" s="59"/>
      <c r="H926" s="59"/>
      <c r="I926" s="59"/>
      <c r="J926" s="59"/>
    </row>
    <row r="927" ht="12.75" customHeight="1">
      <c r="C927" s="59"/>
      <c r="D927" s="59"/>
      <c r="H927" s="59"/>
      <c r="I927" s="59"/>
      <c r="J927" s="59"/>
    </row>
    <row r="928" ht="12.75" customHeight="1">
      <c r="C928" s="59"/>
      <c r="D928" s="59"/>
      <c r="H928" s="59"/>
      <c r="I928" s="59"/>
      <c r="J928" s="59"/>
    </row>
    <row r="929" ht="12.75" customHeight="1">
      <c r="C929" s="59"/>
      <c r="D929" s="59"/>
      <c r="H929" s="59"/>
      <c r="I929" s="59"/>
      <c r="J929" s="59"/>
    </row>
    <row r="930" ht="12.75" customHeight="1">
      <c r="C930" s="59"/>
      <c r="D930" s="59"/>
      <c r="H930" s="59"/>
      <c r="I930" s="59"/>
      <c r="J930" s="59"/>
    </row>
    <row r="931" ht="12.75" customHeight="1">
      <c r="C931" s="59"/>
      <c r="D931" s="59"/>
      <c r="H931" s="59"/>
      <c r="I931" s="59"/>
      <c r="J931" s="59"/>
    </row>
    <row r="932" ht="12.75" customHeight="1">
      <c r="C932" s="59"/>
      <c r="D932" s="59"/>
      <c r="H932" s="59"/>
      <c r="I932" s="59"/>
      <c r="J932" s="59"/>
    </row>
    <row r="933" ht="12.75" customHeight="1">
      <c r="C933" s="59"/>
      <c r="D933" s="59"/>
      <c r="H933" s="59"/>
      <c r="I933" s="59"/>
      <c r="J933" s="59"/>
    </row>
    <row r="934" ht="12.75" customHeight="1">
      <c r="C934" s="59"/>
      <c r="D934" s="59"/>
      <c r="H934" s="59"/>
      <c r="I934" s="59"/>
      <c r="J934" s="59"/>
    </row>
    <row r="935" ht="12.75" customHeight="1">
      <c r="C935" s="59"/>
      <c r="D935" s="59"/>
      <c r="H935" s="59"/>
      <c r="I935" s="59"/>
      <c r="J935" s="59"/>
    </row>
    <row r="936" ht="12.75" customHeight="1">
      <c r="C936" s="59"/>
      <c r="D936" s="59"/>
      <c r="H936" s="59"/>
      <c r="I936" s="59"/>
      <c r="J936" s="59"/>
    </row>
    <row r="937" ht="12.75" customHeight="1">
      <c r="C937" s="59"/>
      <c r="D937" s="59"/>
      <c r="H937" s="59"/>
      <c r="I937" s="59"/>
      <c r="J937" s="59"/>
    </row>
    <row r="938" ht="12.75" customHeight="1">
      <c r="C938" s="59"/>
      <c r="D938" s="59"/>
      <c r="H938" s="59"/>
      <c r="I938" s="59"/>
      <c r="J938" s="59"/>
    </row>
    <row r="939" ht="12.75" customHeight="1">
      <c r="C939" s="59"/>
      <c r="D939" s="59"/>
      <c r="H939" s="59"/>
      <c r="I939" s="59"/>
      <c r="J939" s="59"/>
    </row>
    <row r="940" ht="12.75" customHeight="1">
      <c r="C940" s="59"/>
      <c r="D940" s="59"/>
      <c r="H940" s="59"/>
      <c r="I940" s="59"/>
      <c r="J940" s="59"/>
    </row>
    <row r="941" ht="12.75" customHeight="1">
      <c r="C941" s="59"/>
      <c r="D941" s="59"/>
      <c r="H941" s="59"/>
      <c r="I941" s="59"/>
      <c r="J941" s="59"/>
    </row>
    <row r="942" ht="12.75" customHeight="1">
      <c r="C942" s="59"/>
      <c r="D942" s="59"/>
      <c r="H942" s="59"/>
      <c r="I942" s="59"/>
      <c r="J942" s="59"/>
    </row>
    <row r="943" ht="12.75" customHeight="1">
      <c r="C943" s="59"/>
      <c r="D943" s="59"/>
      <c r="H943" s="59"/>
      <c r="I943" s="59"/>
      <c r="J943" s="59"/>
    </row>
    <row r="944" ht="12.75" customHeight="1">
      <c r="C944" s="59"/>
      <c r="D944" s="59"/>
      <c r="H944" s="59"/>
      <c r="I944" s="59"/>
      <c r="J944" s="59"/>
    </row>
    <row r="945" ht="12.75" customHeight="1">
      <c r="C945" s="59"/>
      <c r="D945" s="59"/>
      <c r="H945" s="59"/>
      <c r="I945" s="59"/>
      <c r="J945" s="59"/>
    </row>
    <row r="946" ht="12.75" customHeight="1">
      <c r="C946" s="59"/>
      <c r="D946" s="59"/>
      <c r="H946" s="59"/>
      <c r="I946" s="59"/>
      <c r="J946" s="59"/>
    </row>
    <row r="947" ht="12.75" customHeight="1">
      <c r="C947" s="59"/>
      <c r="D947" s="59"/>
      <c r="H947" s="59"/>
      <c r="I947" s="59"/>
      <c r="J947" s="59"/>
    </row>
    <row r="948" ht="12.75" customHeight="1">
      <c r="C948" s="59"/>
      <c r="D948" s="59"/>
      <c r="H948" s="59"/>
      <c r="I948" s="59"/>
      <c r="J948" s="59"/>
    </row>
    <row r="949" ht="12.75" customHeight="1">
      <c r="C949" s="59"/>
      <c r="D949" s="59"/>
      <c r="H949" s="59"/>
      <c r="I949" s="59"/>
      <c r="J949" s="59"/>
    </row>
    <row r="950" ht="12.75" customHeight="1">
      <c r="C950" s="59"/>
      <c r="D950" s="59"/>
      <c r="H950" s="59"/>
      <c r="I950" s="59"/>
      <c r="J950" s="59"/>
    </row>
    <row r="951" ht="12.75" customHeight="1">
      <c r="C951" s="59"/>
      <c r="D951" s="59"/>
      <c r="H951" s="59"/>
      <c r="I951" s="59"/>
      <c r="J951" s="59"/>
    </row>
    <row r="952" ht="12.75" customHeight="1">
      <c r="C952" s="59"/>
      <c r="D952" s="59"/>
      <c r="H952" s="59"/>
      <c r="I952" s="59"/>
      <c r="J952" s="59"/>
    </row>
    <row r="953" ht="12.75" customHeight="1">
      <c r="C953" s="59"/>
      <c r="D953" s="59"/>
      <c r="H953" s="59"/>
      <c r="I953" s="59"/>
      <c r="J953" s="59"/>
    </row>
    <row r="954" ht="12.75" customHeight="1">
      <c r="C954" s="59"/>
      <c r="D954" s="59"/>
      <c r="H954" s="59"/>
      <c r="I954" s="59"/>
      <c r="J954" s="59"/>
    </row>
    <row r="955" ht="12.75" customHeight="1">
      <c r="C955" s="59"/>
      <c r="D955" s="59"/>
      <c r="H955" s="59"/>
      <c r="I955" s="59"/>
      <c r="J955" s="59"/>
    </row>
    <row r="956" ht="12.75" customHeight="1">
      <c r="C956" s="59"/>
      <c r="D956" s="59"/>
      <c r="H956" s="59"/>
      <c r="I956" s="59"/>
      <c r="J956" s="59"/>
    </row>
    <row r="957" ht="12.75" customHeight="1">
      <c r="C957" s="59"/>
      <c r="D957" s="59"/>
      <c r="H957" s="59"/>
      <c r="I957" s="59"/>
      <c r="J957" s="59"/>
    </row>
    <row r="958" ht="12.75" customHeight="1">
      <c r="C958" s="59"/>
      <c r="D958" s="59"/>
      <c r="H958" s="59"/>
      <c r="I958" s="59"/>
      <c r="J958" s="59"/>
    </row>
    <row r="959" ht="12.75" customHeight="1">
      <c r="C959" s="59"/>
      <c r="D959" s="59"/>
      <c r="H959" s="59"/>
      <c r="I959" s="59"/>
      <c r="J959" s="59"/>
    </row>
    <row r="960" ht="12.75" customHeight="1">
      <c r="C960" s="59"/>
      <c r="D960" s="59"/>
      <c r="H960" s="59"/>
      <c r="I960" s="59"/>
      <c r="J960" s="59"/>
    </row>
    <row r="961" ht="12.75" customHeight="1">
      <c r="C961" s="59"/>
      <c r="D961" s="59"/>
      <c r="H961" s="59"/>
      <c r="I961" s="59"/>
      <c r="J961" s="59"/>
    </row>
    <row r="962" ht="12.75" customHeight="1">
      <c r="C962" s="59"/>
      <c r="D962" s="59"/>
      <c r="H962" s="59"/>
      <c r="I962" s="59"/>
      <c r="J962" s="59"/>
    </row>
    <row r="963" ht="12.75" customHeight="1">
      <c r="C963" s="59"/>
      <c r="D963" s="59"/>
      <c r="H963" s="59"/>
      <c r="I963" s="59"/>
      <c r="J963" s="59"/>
    </row>
    <row r="964" ht="12.75" customHeight="1">
      <c r="C964" s="59"/>
      <c r="D964" s="59"/>
      <c r="H964" s="59"/>
      <c r="I964" s="59"/>
      <c r="J964" s="59"/>
    </row>
    <row r="965" ht="12.75" customHeight="1">
      <c r="C965" s="59"/>
      <c r="D965" s="59"/>
      <c r="H965" s="59"/>
      <c r="I965" s="59"/>
      <c r="J965" s="59"/>
    </row>
    <row r="966" ht="12.75" customHeight="1">
      <c r="C966" s="59"/>
      <c r="D966" s="59"/>
      <c r="H966" s="59"/>
      <c r="I966" s="59"/>
      <c r="J966" s="59"/>
    </row>
    <row r="967" ht="12.75" customHeight="1">
      <c r="C967" s="59"/>
      <c r="D967" s="59"/>
      <c r="H967" s="59"/>
      <c r="I967" s="59"/>
      <c r="J967" s="59"/>
    </row>
    <row r="968" ht="12.75" customHeight="1">
      <c r="C968" s="59"/>
      <c r="D968" s="59"/>
      <c r="H968" s="59"/>
      <c r="I968" s="59"/>
      <c r="J968" s="59"/>
    </row>
    <row r="969" ht="12.75" customHeight="1">
      <c r="C969" s="59"/>
      <c r="D969" s="59"/>
      <c r="H969" s="59"/>
      <c r="I969" s="59"/>
      <c r="J969" s="59"/>
    </row>
    <row r="970" ht="12.75" customHeight="1">
      <c r="C970" s="59"/>
      <c r="D970" s="59"/>
      <c r="H970" s="59"/>
      <c r="I970" s="59"/>
      <c r="J970" s="59"/>
    </row>
    <row r="971" ht="12.75" customHeight="1">
      <c r="C971" s="59"/>
      <c r="D971" s="59"/>
      <c r="H971" s="59"/>
      <c r="I971" s="59"/>
      <c r="J971" s="59"/>
    </row>
    <row r="972" ht="12.75" customHeight="1">
      <c r="C972" s="59"/>
      <c r="D972" s="59"/>
      <c r="H972" s="59"/>
      <c r="I972" s="59"/>
      <c r="J972" s="59"/>
    </row>
    <row r="973" ht="12.75" customHeight="1">
      <c r="C973" s="59"/>
      <c r="D973" s="59"/>
      <c r="H973" s="59"/>
      <c r="I973" s="59"/>
      <c r="J973" s="59"/>
    </row>
    <row r="974" ht="12.75" customHeight="1">
      <c r="C974" s="59"/>
      <c r="D974" s="59"/>
      <c r="H974" s="59"/>
      <c r="I974" s="59"/>
      <c r="J974" s="59"/>
    </row>
    <row r="975" ht="12.75" customHeight="1">
      <c r="C975" s="59"/>
      <c r="D975" s="59"/>
      <c r="H975" s="59"/>
      <c r="I975" s="59"/>
      <c r="J975" s="59"/>
    </row>
    <row r="976" ht="12.75" customHeight="1">
      <c r="C976" s="59"/>
      <c r="D976" s="59"/>
      <c r="H976" s="59"/>
      <c r="I976" s="59"/>
      <c r="J976" s="59"/>
    </row>
    <row r="977" ht="12.75" customHeight="1">
      <c r="C977" s="59"/>
      <c r="D977" s="59"/>
      <c r="H977" s="59"/>
      <c r="I977" s="59"/>
      <c r="J977" s="59"/>
    </row>
    <row r="978" ht="12.75" customHeight="1">
      <c r="C978" s="59"/>
      <c r="D978" s="59"/>
      <c r="H978" s="59"/>
      <c r="I978" s="59"/>
      <c r="J978" s="59"/>
    </row>
    <row r="979" ht="12.75" customHeight="1">
      <c r="C979" s="59"/>
      <c r="D979" s="59"/>
      <c r="H979" s="59"/>
      <c r="I979" s="59"/>
      <c r="J979" s="59"/>
    </row>
    <row r="980" ht="12.75" customHeight="1">
      <c r="C980" s="59"/>
      <c r="D980" s="59"/>
      <c r="H980" s="59"/>
      <c r="I980" s="59"/>
      <c r="J980" s="59"/>
    </row>
    <row r="981" ht="12.75" customHeight="1">
      <c r="C981" s="59"/>
      <c r="D981" s="59"/>
      <c r="H981" s="59"/>
      <c r="I981" s="59"/>
      <c r="J981" s="59"/>
    </row>
    <row r="982" ht="12.75" customHeight="1">
      <c r="C982" s="59"/>
      <c r="D982" s="59"/>
      <c r="H982" s="59"/>
      <c r="I982" s="59"/>
      <c r="J982" s="59"/>
    </row>
    <row r="983" ht="12.75" customHeight="1">
      <c r="C983" s="59"/>
      <c r="D983" s="59"/>
      <c r="H983" s="59"/>
      <c r="I983" s="59"/>
      <c r="J983" s="59"/>
    </row>
    <row r="984" ht="12.75" customHeight="1">
      <c r="C984" s="59"/>
      <c r="D984" s="59"/>
      <c r="H984" s="59"/>
      <c r="I984" s="59"/>
      <c r="J984" s="59"/>
    </row>
    <row r="985" ht="12.75" customHeight="1">
      <c r="C985" s="59"/>
      <c r="D985" s="59"/>
      <c r="H985" s="59"/>
      <c r="I985" s="59"/>
      <c r="J985" s="59"/>
    </row>
    <row r="986" ht="12.75" customHeight="1">
      <c r="C986" s="59"/>
      <c r="D986" s="59"/>
      <c r="H986" s="59"/>
      <c r="I986" s="59"/>
      <c r="J986" s="59"/>
    </row>
    <row r="987" ht="12.75" customHeight="1">
      <c r="C987" s="59"/>
      <c r="D987" s="59"/>
      <c r="H987" s="59"/>
      <c r="I987" s="59"/>
      <c r="J987" s="59"/>
    </row>
    <row r="988" ht="12.75" customHeight="1">
      <c r="C988" s="59"/>
      <c r="D988" s="59"/>
      <c r="H988" s="59"/>
      <c r="I988" s="59"/>
      <c r="J988" s="59"/>
    </row>
    <row r="989" ht="12.75" customHeight="1">
      <c r="C989" s="59"/>
      <c r="D989" s="59"/>
      <c r="H989" s="59"/>
      <c r="I989" s="59"/>
      <c r="J989" s="59"/>
    </row>
    <row r="990" ht="12.75" customHeight="1">
      <c r="C990" s="59"/>
      <c r="D990" s="59"/>
      <c r="H990" s="59"/>
      <c r="I990" s="59"/>
      <c r="J990" s="59"/>
    </row>
    <row r="991" ht="12.75" customHeight="1">
      <c r="C991" s="59"/>
      <c r="D991" s="59"/>
      <c r="H991" s="59"/>
      <c r="I991" s="59"/>
      <c r="J991" s="59"/>
    </row>
    <row r="992" ht="12.75" customHeight="1">
      <c r="C992" s="59"/>
      <c r="D992" s="59"/>
      <c r="H992" s="59"/>
      <c r="I992" s="59"/>
      <c r="J992" s="59"/>
    </row>
    <row r="993" ht="12.75" customHeight="1">
      <c r="C993" s="59"/>
      <c r="D993" s="59"/>
      <c r="H993" s="59"/>
      <c r="I993" s="59"/>
      <c r="J993" s="59"/>
    </row>
    <row r="994" ht="12.75" customHeight="1">
      <c r="C994" s="59"/>
      <c r="D994" s="59"/>
      <c r="H994" s="59"/>
      <c r="I994" s="59"/>
      <c r="J994" s="59"/>
    </row>
    <row r="995" ht="12.75" customHeight="1">
      <c r="C995" s="59"/>
      <c r="D995" s="59"/>
      <c r="H995" s="59"/>
      <c r="I995" s="59"/>
      <c r="J995" s="59"/>
    </row>
    <row r="996" ht="12.75" customHeight="1">
      <c r="C996" s="59"/>
      <c r="D996" s="59"/>
      <c r="H996" s="59"/>
      <c r="I996" s="59"/>
      <c r="J996" s="59"/>
    </row>
    <row r="997" ht="12.75" customHeight="1">
      <c r="C997" s="59"/>
      <c r="D997" s="59"/>
      <c r="H997" s="59"/>
      <c r="I997" s="59"/>
      <c r="J997" s="59"/>
    </row>
    <row r="998" ht="12.75" customHeight="1">
      <c r="C998" s="59"/>
      <c r="D998" s="59"/>
      <c r="H998" s="59"/>
      <c r="I998" s="59"/>
      <c r="J998" s="59"/>
    </row>
    <row r="999" ht="12.75" customHeight="1">
      <c r="C999" s="59"/>
      <c r="D999" s="59"/>
      <c r="H999" s="59"/>
      <c r="I999" s="59"/>
      <c r="J999" s="59"/>
    </row>
    <row r="1000" ht="12.75" customHeight="1">
      <c r="C1000" s="59"/>
      <c r="D1000" s="59"/>
      <c r="H1000" s="59"/>
      <c r="I1000" s="59"/>
      <c r="J1000" s="59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63"/>
    <col customWidth="1" min="3" max="3" width="13.75"/>
    <col customWidth="1" min="4" max="7" width="10.63"/>
    <col customWidth="1" min="8" max="8" width="3.0"/>
    <col customWidth="1" min="9" max="9" width="6.0"/>
    <col customWidth="1" min="10" max="11" width="10.63"/>
    <col customWidth="1" min="12" max="14" width="11.38"/>
    <col customWidth="1" min="15" max="26" width="10.63"/>
  </cols>
  <sheetData>
    <row r="1" ht="12.75" customHeight="1">
      <c r="A1" s="41">
        <v>3.0</v>
      </c>
      <c r="B1" s="59">
        <f t="shared" ref="B1:B31" si="1">D1-C1</f>
        <v>28865</v>
      </c>
      <c r="C1" s="59">
        <f>958+1549+2978</f>
        <v>5485</v>
      </c>
      <c r="D1" s="59">
        <f>6000+9700+18650</f>
        <v>34350</v>
      </c>
      <c r="E1" s="59">
        <f t="shared" ref="E1:E31" si="2">D1*2.3681%</f>
        <v>813.44235</v>
      </c>
      <c r="F1" s="59">
        <f t="shared" ref="F1:F31" si="3">D1-E1</f>
        <v>33536.55765</v>
      </c>
      <c r="G1" s="37" t="s">
        <v>3234</v>
      </c>
      <c r="H1" s="41">
        <v>1.0</v>
      </c>
      <c r="I1" s="25">
        <v>3.0</v>
      </c>
      <c r="J1" s="59">
        <f>6000+9700+18650</f>
        <v>34350</v>
      </c>
      <c r="L1" s="59"/>
      <c r="M1" s="59"/>
      <c r="N1" s="59"/>
    </row>
    <row r="2" ht="12.75" customHeight="1">
      <c r="A2" s="41">
        <v>7.0</v>
      </c>
      <c r="B2" s="59">
        <f t="shared" si="1"/>
        <v>45757</v>
      </c>
      <c r="C2" s="59">
        <f>2874+287+567+774+846+1333+2012</f>
        <v>8693</v>
      </c>
      <c r="D2" s="59">
        <f>18000+1800+3550+4850+5300+8350+12600</f>
        <v>54450</v>
      </c>
      <c r="E2" s="59">
        <f t="shared" si="2"/>
        <v>1289.43045</v>
      </c>
      <c r="F2" s="59">
        <f t="shared" si="3"/>
        <v>53160.56955</v>
      </c>
      <c r="G2" s="37" t="s">
        <v>3235</v>
      </c>
      <c r="H2" s="41">
        <v>2.0</v>
      </c>
      <c r="I2" s="25">
        <v>7.0</v>
      </c>
      <c r="J2" s="59">
        <f>18000+1800+3550+4850+5300+8350+12600</f>
        <v>54450</v>
      </c>
      <c r="L2" s="59"/>
      <c r="M2" s="59"/>
      <c r="N2" s="59"/>
    </row>
    <row r="3" ht="12.75" customHeight="1">
      <c r="A3" s="41">
        <v>9.0</v>
      </c>
      <c r="B3" s="59">
        <f t="shared" si="1"/>
        <v>65715</v>
      </c>
      <c r="C3" s="59">
        <f>1038+1150+2379+367+271+575+239+399+6067</f>
        <v>12485</v>
      </c>
      <c r="D3" s="59">
        <f>6500+7200+14900+2300+1700+3600+1500+2500+38000</f>
        <v>78200</v>
      </c>
      <c r="E3" s="59">
        <f t="shared" si="2"/>
        <v>1851.8542</v>
      </c>
      <c r="F3" s="59">
        <f t="shared" si="3"/>
        <v>76348.1458</v>
      </c>
      <c r="G3" s="37" t="s">
        <v>3236</v>
      </c>
      <c r="H3" s="41">
        <v>3.0</v>
      </c>
      <c r="I3" s="25">
        <v>9.0</v>
      </c>
      <c r="J3" s="59">
        <f>6500+7200+14900+2300+1700+3600+1500+2500+38000</f>
        <v>78200</v>
      </c>
      <c r="L3" s="59"/>
      <c r="M3" s="59"/>
      <c r="N3" s="59"/>
    </row>
    <row r="4" ht="12.75" customHeight="1">
      <c r="A4" s="41">
        <v>8.0</v>
      </c>
      <c r="B4" s="59">
        <f t="shared" si="1"/>
        <v>62774</v>
      </c>
      <c r="C4" s="59">
        <f>1245+1924+287+2411+4159+766+639+495</f>
        <v>11926</v>
      </c>
      <c r="D4" s="59">
        <f>7800+12050+1800+15100+26050+4800+4000+3100</f>
        <v>74700</v>
      </c>
      <c r="E4" s="59">
        <f t="shared" si="2"/>
        <v>1768.9707</v>
      </c>
      <c r="F4" s="59">
        <f t="shared" si="3"/>
        <v>72931.0293</v>
      </c>
      <c r="G4" s="37" t="s">
        <v>3237</v>
      </c>
      <c r="H4" s="41">
        <v>4.0</v>
      </c>
      <c r="I4" s="25">
        <v>8.0</v>
      </c>
      <c r="J4" s="59">
        <f>7800+12050+1800+15100+26050+4800+4000+3100</f>
        <v>74700</v>
      </c>
      <c r="L4" s="59"/>
      <c r="M4" s="59"/>
      <c r="N4" s="59"/>
    </row>
    <row r="5" ht="12.75" customHeight="1">
      <c r="A5" s="41">
        <v>5.0</v>
      </c>
      <c r="B5" s="59">
        <f t="shared" si="1"/>
        <v>10420</v>
      </c>
      <c r="C5" s="59">
        <f>559+192+319+96+814</f>
        <v>1980</v>
      </c>
      <c r="D5" s="59">
        <f>3500+1200+2000+600+5100</f>
        <v>12400</v>
      </c>
      <c r="E5" s="59">
        <f t="shared" si="2"/>
        <v>293.6444</v>
      </c>
      <c r="F5" s="59">
        <f t="shared" si="3"/>
        <v>12106.3556</v>
      </c>
      <c r="G5" s="37" t="s">
        <v>3238</v>
      </c>
      <c r="H5" s="41">
        <v>5.0</v>
      </c>
      <c r="I5" s="25">
        <v>5.0</v>
      </c>
      <c r="J5" s="59">
        <f>3500+1200+2000+600+5100</f>
        <v>12400</v>
      </c>
      <c r="L5" s="59"/>
      <c r="M5" s="59"/>
      <c r="N5" s="59"/>
    </row>
    <row r="6" ht="12.75" customHeight="1">
      <c r="A6" s="41">
        <v>13.0</v>
      </c>
      <c r="B6" s="59">
        <f t="shared" si="1"/>
        <v>60882</v>
      </c>
      <c r="C6" s="59">
        <f>479+5588+200+399+607+399+1597+415+287+48+32+878+639</f>
        <v>11568</v>
      </c>
      <c r="D6" s="59">
        <f>3000+35000+1250+2500+3800+2500+10000+2600+1800+300+200+5500+4000</f>
        <v>72450</v>
      </c>
      <c r="E6" s="59">
        <f t="shared" si="2"/>
        <v>1715.68845</v>
      </c>
      <c r="F6" s="59">
        <f t="shared" si="3"/>
        <v>70734.31155</v>
      </c>
      <c r="H6" s="41">
        <v>6.0</v>
      </c>
      <c r="I6" s="25">
        <v>13.0</v>
      </c>
      <c r="J6" s="59">
        <f>3000+35000+1250+2500+3800+2500+10000+2600+1800+300+200+5500+4000</f>
        <v>72450</v>
      </c>
      <c r="L6" s="59"/>
      <c r="M6" s="59"/>
      <c r="N6" s="59"/>
    </row>
    <row r="7" ht="12.75" customHeight="1">
      <c r="A7" s="41">
        <v>4.0</v>
      </c>
      <c r="B7" s="59">
        <f t="shared" si="1"/>
        <v>22941</v>
      </c>
      <c r="C7" s="59">
        <f>1485+271+1022+1581</f>
        <v>4359</v>
      </c>
      <c r="D7" s="59">
        <f>9300+1700+6400+9900</f>
        <v>27300</v>
      </c>
      <c r="E7" s="59">
        <f t="shared" si="2"/>
        <v>646.4913</v>
      </c>
      <c r="F7" s="59">
        <f t="shared" si="3"/>
        <v>26653.5087</v>
      </c>
      <c r="H7" s="41">
        <v>7.0</v>
      </c>
      <c r="I7" s="25">
        <v>4.0</v>
      </c>
      <c r="J7" s="59">
        <f>9300+1700+6400+9900</f>
        <v>27300</v>
      </c>
      <c r="L7" s="59"/>
      <c r="M7" s="59"/>
      <c r="N7" s="59"/>
    </row>
    <row r="8" ht="12.75" customHeight="1">
      <c r="A8" s="41">
        <v>10.0</v>
      </c>
      <c r="B8" s="59">
        <f t="shared" si="1"/>
        <v>62355</v>
      </c>
      <c r="C8" s="59">
        <f>2555+1357+1772+750+1038+287+255+1277+399+2155</f>
        <v>11845</v>
      </c>
      <c r="D8" s="59">
        <f>16000+8500+11100+4700+6500+1800+1600+8000+2500+13500</f>
        <v>74200</v>
      </c>
      <c r="E8" s="59">
        <f t="shared" si="2"/>
        <v>1757.1302</v>
      </c>
      <c r="F8" s="59">
        <f t="shared" si="3"/>
        <v>72442.8698</v>
      </c>
      <c r="G8" s="37" t="s">
        <v>3239</v>
      </c>
      <c r="H8" s="41">
        <v>8.0</v>
      </c>
      <c r="I8" s="25">
        <v>10.0</v>
      </c>
      <c r="J8" s="59">
        <f>16000+8500+11100+4700+6500+1800+1600+8000+2500+13500</f>
        <v>74200</v>
      </c>
      <c r="L8" s="59">
        <v>169831.0</v>
      </c>
      <c r="M8" s="59">
        <v>165924.0</v>
      </c>
      <c r="N8" s="59">
        <f>L8-M8</f>
        <v>3907</v>
      </c>
    </row>
    <row r="9" ht="12.75" customHeight="1">
      <c r="A9" s="41">
        <v>4.0</v>
      </c>
      <c r="B9" s="59">
        <f t="shared" si="1"/>
        <v>13445</v>
      </c>
      <c r="C9" s="59">
        <f>830+623+1102+3000</f>
        <v>5555</v>
      </c>
      <c r="D9" s="59">
        <f>5200+3900+6900+3000</f>
        <v>19000</v>
      </c>
      <c r="E9" s="59">
        <f t="shared" si="2"/>
        <v>449.939</v>
      </c>
      <c r="F9" s="59">
        <f t="shared" si="3"/>
        <v>18550.061</v>
      </c>
      <c r="G9" s="37" t="s">
        <v>3240</v>
      </c>
      <c r="H9" s="41">
        <v>9.0</v>
      </c>
      <c r="I9" s="25">
        <v>4.0</v>
      </c>
      <c r="J9" s="59">
        <f>5200+3900+6900+3000</f>
        <v>19000</v>
      </c>
      <c r="L9" s="59"/>
      <c r="M9" s="59"/>
      <c r="N9" s="59"/>
    </row>
    <row r="10" ht="12.75" customHeight="1">
      <c r="A10" s="41">
        <v>1.0</v>
      </c>
      <c r="B10" s="59">
        <f t="shared" si="1"/>
        <v>40336</v>
      </c>
      <c r="C10" s="59">
        <v>7664.0</v>
      </c>
      <c r="D10" s="59">
        <v>48000.0</v>
      </c>
      <c r="E10" s="59">
        <f t="shared" si="2"/>
        <v>1136.688</v>
      </c>
      <c r="F10" s="59">
        <f t="shared" si="3"/>
        <v>46863.312</v>
      </c>
      <c r="G10" s="37" t="s">
        <v>3241</v>
      </c>
      <c r="H10" s="41">
        <v>10.0</v>
      </c>
      <c r="I10" s="25">
        <v>1.0</v>
      </c>
      <c r="J10" s="59">
        <v>48000.0</v>
      </c>
      <c r="L10" s="59"/>
      <c r="M10" s="59"/>
      <c r="N10" s="59"/>
    </row>
    <row r="11" ht="12.75" customHeight="1">
      <c r="A11" s="41">
        <v>4.0</v>
      </c>
      <c r="B11" s="59">
        <f t="shared" si="1"/>
        <v>13781</v>
      </c>
      <c r="C11" s="59">
        <f>958+160+703+798</f>
        <v>2619</v>
      </c>
      <c r="D11" s="59">
        <f>6000+1000+4400+5000</f>
        <v>16400</v>
      </c>
      <c r="E11" s="59">
        <f t="shared" si="2"/>
        <v>388.3684</v>
      </c>
      <c r="F11" s="59">
        <f t="shared" si="3"/>
        <v>16011.6316</v>
      </c>
      <c r="G11" s="37" t="s">
        <v>3242</v>
      </c>
      <c r="H11" s="41">
        <v>11.0</v>
      </c>
      <c r="I11" s="25">
        <v>4.0</v>
      </c>
      <c r="J11" s="59">
        <f>6000+1000+4400+5000</f>
        <v>16400</v>
      </c>
      <c r="L11" s="59"/>
      <c r="M11" s="59"/>
      <c r="N11" s="59"/>
    </row>
    <row r="12" ht="12.75" customHeight="1">
      <c r="A12" s="41">
        <v>2.0</v>
      </c>
      <c r="B12" s="59">
        <f t="shared" si="1"/>
        <v>10000</v>
      </c>
      <c r="C12" s="59">
        <f>814+1086</f>
        <v>1900</v>
      </c>
      <c r="D12" s="59">
        <f>5100+6800</f>
        <v>11900</v>
      </c>
      <c r="E12" s="59">
        <f t="shared" si="2"/>
        <v>281.8039</v>
      </c>
      <c r="F12" s="59">
        <f t="shared" si="3"/>
        <v>11618.1961</v>
      </c>
      <c r="G12" s="37" t="s">
        <v>3243</v>
      </c>
      <c r="H12" s="41">
        <v>12.0</v>
      </c>
      <c r="I12" s="25">
        <v>2.0</v>
      </c>
      <c r="J12" s="59">
        <f>5100+6800</f>
        <v>11900</v>
      </c>
      <c r="L12" s="59"/>
      <c r="M12" s="59"/>
      <c r="N12" s="59"/>
    </row>
    <row r="13" ht="12.75" customHeight="1">
      <c r="A13" s="41">
        <v>6.0</v>
      </c>
      <c r="B13" s="59">
        <f t="shared" si="1"/>
        <v>17815</v>
      </c>
      <c r="C13" s="59">
        <f>958+559+399+271+144+1054</f>
        <v>3385</v>
      </c>
      <c r="D13" s="59">
        <f>6000+3500+2500+1700+900+6600</f>
        <v>21200</v>
      </c>
      <c r="E13" s="59">
        <f t="shared" si="2"/>
        <v>502.0372</v>
      </c>
      <c r="F13" s="59">
        <f t="shared" si="3"/>
        <v>20697.9628</v>
      </c>
      <c r="H13" s="41">
        <v>13.0</v>
      </c>
      <c r="I13" s="25">
        <v>6.0</v>
      </c>
      <c r="J13" s="59">
        <f>6000+3500+2500+1700+900+6600</f>
        <v>21200</v>
      </c>
      <c r="L13" s="59"/>
      <c r="M13" s="59"/>
      <c r="N13" s="59"/>
    </row>
    <row r="14" ht="12.75" customHeight="1">
      <c r="A14" s="41">
        <v>7.0</v>
      </c>
      <c r="B14" s="59">
        <f t="shared" si="1"/>
        <v>55589</v>
      </c>
      <c r="C14" s="59">
        <f>1357+1724+559+798+2267+2778+1078</f>
        <v>10561</v>
      </c>
      <c r="D14" s="59">
        <f>8500+10800+3500+5000+14200+17400+6750</f>
        <v>66150</v>
      </c>
      <c r="E14" s="59">
        <f t="shared" si="2"/>
        <v>1566.49815</v>
      </c>
      <c r="F14" s="59">
        <f t="shared" si="3"/>
        <v>64583.50185</v>
      </c>
      <c r="H14" s="41">
        <v>14.0</v>
      </c>
      <c r="I14" s="25">
        <v>7.0</v>
      </c>
      <c r="J14" s="59">
        <f>8500+10800+3500+5000+14200+17400+6750</f>
        <v>66150</v>
      </c>
      <c r="L14" s="59"/>
      <c r="M14" s="59"/>
      <c r="N14" s="59"/>
    </row>
    <row r="15" ht="12.75" customHeight="1">
      <c r="A15" s="41">
        <v>6.0</v>
      </c>
      <c r="B15" s="59">
        <f t="shared" si="1"/>
        <v>15169</v>
      </c>
      <c r="C15" s="59">
        <f>830+742+479+303+367+160</f>
        <v>2881</v>
      </c>
      <c r="D15" s="59">
        <f>5200+4650+3000+1900+2300+1000</f>
        <v>18050</v>
      </c>
      <c r="E15" s="59">
        <f t="shared" si="2"/>
        <v>427.44205</v>
      </c>
      <c r="F15" s="59">
        <f t="shared" si="3"/>
        <v>17622.55795</v>
      </c>
      <c r="G15" s="37" t="s">
        <v>3244</v>
      </c>
      <c r="H15" s="41">
        <v>15.0</v>
      </c>
      <c r="I15" s="25">
        <v>6.0</v>
      </c>
      <c r="J15" s="59">
        <f>5200+4650+3000+1900+2300+1000</f>
        <v>18050</v>
      </c>
      <c r="L15" s="59">
        <v>102904.0</v>
      </c>
      <c r="M15" s="59">
        <v>99973.0</v>
      </c>
      <c r="N15" s="59">
        <f t="shared" ref="N15:N16" si="4">L15-M15</f>
        <v>2931</v>
      </c>
    </row>
    <row r="16" ht="12.75" customHeight="1">
      <c r="A16" s="41">
        <v>5.0</v>
      </c>
      <c r="B16" s="59">
        <f t="shared" si="1"/>
        <v>17858</v>
      </c>
      <c r="C16" s="59">
        <f>431+687+758+1277+239</f>
        <v>3392</v>
      </c>
      <c r="D16" s="59">
        <f>2700+4300+4750+8000+1500</f>
        <v>21250</v>
      </c>
      <c r="E16" s="59">
        <f t="shared" si="2"/>
        <v>503.22125</v>
      </c>
      <c r="F16" s="59">
        <f t="shared" si="3"/>
        <v>20746.77875</v>
      </c>
      <c r="G16" s="37" t="s">
        <v>3245</v>
      </c>
      <c r="H16" s="41">
        <v>16.0</v>
      </c>
      <c r="I16" s="25">
        <v>5.0</v>
      </c>
      <c r="J16" s="59">
        <f>2700+4300+4750+8000+1500</f>
        <v>21250</v>
      </c>
      <c r="L16" s="59">
        <v>20747.0</v>
      </c>
      <c r="M16" s="59">
        <v>12935.0</v>
      </c>
      <c r="N16" s="59">
        <f t="shared" si="4"/>
        <v>7812</v>
      </c>
    </row>
    <row r="17" ht="12.75" customHeight="1">
      <c r="A17" s="41">
        <v>4.0</v>
      </c>
      <c r="B17" s="59">
        <f t="shared" si="1"/>
        <v>70378</v>
      </c>
      <c r="C17" s="59">
        <f>1437+3193+8622+120</f>
        <v>13372</v>
      </c>
      <c r="D17" s="59">
        <f>9000+20000+54000+750</f>
        <v>83750</v>
      </c>
      <c r="E17" s="59">
        <f t="shared" si="2"/>
        <v>1983.28375</v>
      </c>
      <c r="F17" s="59">
        <f t="shared" si="3"/>
        <v>81766.71625</v>
      </c>
      <c r="G17" s="37" t="s">
        <v>3246</v>
      </c>
      <c r="H17" s="41">
        <v>17.0</v>
      </c>
      <c r="I17" s="25">
        <v>4.0</v>
      </c>
      <c r="J17" s="59">
        <f>9000+20000+54000+750</f>
        <v>83750</v>
      </c>
      <c r="L17" s="59"/>
      <c r="M17" s="59"/>
      <c r="N17" s="59"/>
    </row>
    <row r="18" ht="12.75" customHeight="1">
      <c r="A18" s="41">
        <v>2.0</v>
      </c>
      <c r="B18" s="59">
        <f t="shared" si="1"/>
        <v>12899</v>
      </c>
      <c r="C18" s="59">
        <f>854+1597</f>
        <v>2451</v>
      </c>
      <c r="D18" s="59">
        <f>5350+10000</f>
        <v>15350</v>
      </c>
      <c r="E18" s="59">
        <f t="shared" si="2"/>
        <v>363.50335</v>
      </c>
      <c r="F18" s="59">
        <f t="shared" si="3"/>
        <v>14986.49665</v>
      </c>
      <c r="G18" s="37" t="s">
        <v>3247</v>
      </c>
      <c r="H18" s="41">
        <v>18.0</v>
      </c>
      <c r="I18" s="25">
        <v>2.0</v>
      </c>
      <c r="J18" s="59">
        <f>5350+10000</f>
        <v>15350</v>
      </c>
      <c r="L18" s="59">
        <v>14986.0</v>
      </c>
      <c r="M18" s="59">
        <v>9763.0</v>
      </c>
      <c r="N18" s="59">
        <f>L18-M18</f>
        <v>5223</v>
      </c>
    </row>
    <row r="19" ht="12.75" customHeight="1">
      <c r="A19" s="41">
        <v>4.0</v>
      </c>
      <c r="B19" s="59">
        <f t="shared" si="1"/>
        <v>14833</v>
      </c>
      <c r="C19" s="59">
        <f>718+1357+263+479</f>
        <v>2817</v>
      </c>
      <c r="D19" s="59">
        <f>4500+8500+1650+3000</f>
        <v>17650</v>
      </c>
      <c r="E19" s="59">
        <f t="shared" si="2"/>
        <v>417.96965</v>
      </c>
      <c r="F19" s="59">
        <f t="shared" si="3"/>
        <v>17232.03035</v>
      </c>
      <c r="G19" s="37" t="s">
        <v>3248</v>
      </c>
      <c r="H19" s="41">
        <v>19.0</v>
      </c>
      <c r="I19" s="25">
        <v>4.0</v>
      </c>
      <c r="J19" s="59">
        <f>4500+8500+1650+3000</f>
        <v>17650</v>
      </c>
      <c r="L19" s="59"/>
      <c r="M19" s="59"/>
      <c r="N19" s="59"/>
    </row>
    <row r="20" ht="12.75" customHeight="1">
      <c r="A20" s="41">
        <v>8.0</v>
      </c>
      <c r="B20" s="59">
        <f t="shared" si="1"/>
        <v>34538</v>
      </c>
      <c r="C20" s="59">
        <f>399+1357+80+1118+1253+487+814+1054</f>
        <v>6562</v>
      </c>
      <c r="D20" s="59">
        <f>2500+8500+500+7000+7850+3050+5100+6600</f>
        <v>41100</v>
      </c>
      <c r="E20" s="59">
        <f t="shared" si="2"/>
        <v>973.2891</v>
      </c>
      <c r="F20" s="59">
        <f t="shared" si="3"/>
        <v>40126.7109</v>
      </c>
      <c r="H20" s="41">
        <v>20.0</v>
      </c>
      <c r="I20" s="25">
        <v>8.0</v>
      </c>
      <c r="J20" s="59">
        <f>2500+8500+500+7000+7850+3050+5100+6600</f>
        <v>41100</v>
      </c>
      <c r="L20" s="59"/>
      <c r="M20" s="59"/>
      <c r="N20" s="59"/>
    </row>
    <row r="21" ht="12.75" customHeight="1">
      <c r="A21" s="41">
        <v>5.0</v>
      </c>
      <c r="B21" s="59">
        <f t="shared" si="1"/>
        <v>29118</v>
      </c>
      <c r="C21" s="59">
        <f>718+3193+543+200+878</f>
        <v>5532</v>
      </c>
      <c r="D21" s="59">
        <f>4500+20000+3400+1250+5500</f>
        <v>34650</v>
      </c>
      <c r="E21" s="59">
        <f t="shared" si="2"/>
        <v>820.54665</v>
      </c>
      <c r="F21" s="59">
        <f t="shared" si="3"/>
        <v>33829.45335</v>
      </c>
      <c r="H21" s="41">
        <v>21.0</v>
      </c>
      <c r="I21" s="25">
        <v>5.0</v>
      </c>
      <c r="J21" s="59">
        <f>4500+20000+3400+1250+5500</f>
        <v>34650</v>
      </c>
      <c r="L21" s="59"/>
      <c r="M21" s="59"/>
      <c r="N21" s="59"/>
    </row>
    <row r="22" ht="12.75" customHeight="1">
      <c r="A22" s="41">
        <v>6.0</v>
      </c>
      <c r="B22" s="59">
        <f t="shared" si="1"/>
        <v>52100</v>
      </c>
      <c r="C22" s="59">
        <f>2235+958+5892+160+224+431</f>
        <v>9900</v>
      </c>
      <c r="D22" s="59">
        <f>14000+6000+36900+1000+1400+2700</f>
        <v>62000</v>
      </c>
      <c r="E22" s="59">
        <f t="shared" si="2"/>
        <v>1468.222</v>
      </c>
      <c r="F22" s="59">
        <f t="shared" si="3"/>
        <v>60531.778</v>
      </c>
      <c r="G22" s="37" t="s">
        <v>3249</v>
      </c>
      <c r="H22" s="41">
        <v>22.0</v>
      </c>
      <c r="I22" s="25">
        <v>6.0</v>
      </c>
      <c r="J22" s="59">
        <f>14000+6000+36900+1000+1400+2700</f>
        <v>62000</v>
      </c>
      <c r="L22" s="59"/>
      <c r="M22" s="59"/>
      <c r="N22" s="59"/>
    </row>
    <row r="23" ht="12.75" customHeight="1">
      <c r="A23" s="41">
        <v>6.0</v>
      </c>
      <c r="B23" s="59">
        <f t="shared" si="1"/>
        <v>42185</v>
      </c>
      <c r="C23" s="59">
        <f>1357+878+2714+1118+1629+319</f>
        <v>8015</v>
      </c>
      <c r="D23" s="59">
        <f>8500+5500+17000+7000+10200+2000</f>
        <v>50200</v>
      </c>
      <c r="E23" s="59">
        <f t="shared" si="2"/>
        <v>1188.7862</v>
      </c>
      <c r="F23" s="59">
        <f t="shared" si="3"/>
        <v>49011.2138</v>
      </c>
      <c r="G23" s="37" t="s">
        <v>3250</v>
      </c>
      <c r="H23" s="41">
        <v>23.0</v>
      </c>
      <c r="I23" s="25">
        <v>6.0</v>
      </c>
      <c r="J23" s="59">
        <f>8500+5500+17000+7000+10200+2000</f>
        <v>50200</v>
      </c>
      <c r="L23" s="59"/>
      <c r="M23" s="59"/>
      <c r="N23" s="59"/>
    </row>
    <row r="24" ht="12.75" customHeight="1">
      <c r="A24" s="41">
        <v>26.0</v>
      </c>
      <c r="B24" s="59">
        <f t="shared" si="1"/>
        <v>354244</v>
      </c>
      <c r="C24" s="59">
        <f>5588+479+19958+1597+239+1676+399+295+1597+431+4367+671+1964+3241+1996+599+1581+2211+1533+3193+6866+798+878+120+4311+718</f>
        <v>67306</v>
      </c>
      <c r="D24" s="59">
        <f>35000+3000+125000+10000+1500+10500+2500+1850+10000+2700+27350+4200+12300+20300+12500+3750+9900+13850+9600+20000+43000+5000+5500+750+27000+4500</f>
        <v>421550</v>
      </c>
      <c r="E24" s="59">
        <f t="shared" si="2"/>
        <v>9982.72555</v>
      </c>
      <c r="F24" s="59">
        <f t="shared" si="3"/>
        <v>411567.2745</v>
      </c>
      <c r="H24" s="41">
        <v>24.0</v>
      </c>
      <c r="I24" s="25">
        <v>26.0</v>
      </c>
      <c r="J24" s="59">
        <f>35000+3000+125000+10000+1500+10500+2500+1850+10000+2700+27350+4200+12300+20300+12500+3750+9900+13850+9600+20000+43000+5000+5500+750+27000+4500</f>
        <v>421550</v>
      </c>
      <c r="L24" s="59"/>
      <c r="M24" s="59"/>
      <c r="N24" s="59"/>
    </row>
    <row r="25" ht="12.75" customHeight="1">
      <c r="A25" s="41">
        <v>1.0</v>
      </c>
      <c r="B25" s="59">
        <f t="shared" si="1"/>
        <v>16807</v>
      </c>
      <c r="C25" s="59">
        <v>3193.0</v>
      </c>
      <c r="D25" s="59">
        <v>20000.0</v>
      </c>
      <c r="E25" s="59">
        <f t="shared" si="2"/>
        <v>473.62</v>
      </c>
      <c r="F25" s="59">
        <f t="shared" si="3"/>
        <v>19526.38</v>
      </c>
      <c r="G25" s="37" t="s">
        <v>3251</v>
      </c>
      <c r="H25" s="41">
        <v>25.0</v>
      </c>
      <c r="I25" s="25">
        <v>1.0</v>
      </c>
      <c r="J25" s="59">
        <v>20000.0</v>
      </c>
      <c r="L25" s="59"/>
      <c r="M25" s="59"/>
      <c r="N25" s="59"/>
    </row>
    <row r="26" ht="12.75" customHeight="1">
      <c r="A26" s="41">
        <v>2.0</v>
      </c>
      <c r="B26" s="59">
        <f t="shared" si="1"/>
        <v>4790</v>
      </c>
      <c r="C26" s="59">
        <f>479+431</f>
        <v>910</v>
      </c>
      <c r="D26" s="59">
        <f>3000+2700</f>
        <v>5700</v>
      </c>
      <c r="E26" s="59">
        <f t="shared" si="2"/>
        <v>134.9817</v>
      </c>
      <c r="F26" s="59">
        <f t="shared" si="3"/>
        <v>5565.0183</v>
      </c>
      <c r="G26" s="37" t="s">
        <v>3252</v>
      </c>
      <c r="H26" s="41">
        <v>26.0</v>
      </c>
      <c r="I26" s="25">
        <v>2.0</v>
      </c>
      <c r="J26" s="59">
        <f>3000+2700</f>
        <v>5700</v>
      </c>
      <c r="L26" s="59"/>
      <c r="M26" s="59"/>
      <c r="N26" s="59"/>
    </row>
    <row r="27" ht="12.75" customHeight="1">
      <c r="A27" s="41">
        <v>3.0</v>
      </c>
      <c r="B27" s="59">
        <f t="shared" si="1"/>
        <v>25715</v>
      </c>
      <c r="C27" s="59">
        <f>3832+798+255</f>
        <v>4885</v>
      </c>
      <c r="D27" s="59">
        <f>24000+5000+1600</f>
        <v>30600</v>
      </c>
      <c r="E27" s="59">
        <f t="shared" si="2"/>
        <v>724.6386</v>
      </c>
      <c r="F27" s="59">
        <f t="shared" si="3"/>
        <v>29875.3614</v>
      </c>
      <c r="H27" s="41">
        <v>27.0</v>
      </c>
      <c r="I27" s="25">
        <v>3.0</v>
      </c>
      <c r="J27" s="59">
        <f>24000+5000+1600</f>
        <v>30600</v>
      </c>
      <c r="L27" s="59"/>
      <c r="M27" s="59"/>
      <c r="N27" s="59"/>
    </row>
    <row r="28" ht="12.75" customHeight="1">
      <c r="A28" s="41">
        <v>3.0</v>
      </c>
      <c r="B28" s="59">
        <f t="shared" si="1"/>
        <v>32941</v>
      </c>
      <c r="C28" s="59">
        <f>479+1629+4151</f>
        <v>6259</v>
      </c>
      <c r="D28" s="59">
        <f>3000+10200+26000</f>
        <v>39200</v>
      </c>
      <c r="E28" s="59">
        <f t="shared" si="2"/>
        <v>928.2952</v>
      </c>
      <c r="F28" s="59">
        <f t="shared" si="3"/>
        <v>38271.7048</v>
      </c>
      <c r="H28" s="41">
        <v>28.0</v>
      </c>
      <c r="I28" s="25">
        <v>3.0</v>
      </c>
      <c r="J28" s="59">
        <f>3000+10200+26000</f>
        <v>39200</v>
      </c>
      <c r="L28" s="59"/>
      <c r="M28" s="59"/>
      <c r="N28" s="59"/>
    </row>
    <row r="29" ht="12.75" customHeight="1">
      <c r="A29" s="41">
        <v>5.0</v>
      </c>
      <c r="B29" s="59">
        <f t="shared" si="1"/>
        <v>78907</v>
      </c>
      <c r="C29" s="59">
        <f>3545+4231+798+591+5828</f>
        <v>14993</v>
      </c>
      <c r="D29" s="59">
        <f>22200+26500+5000+3700+36500</f>
        <v>93900</v>
      </c>
      <c r="E29" s="59">
        <f t="shared" si="2"/>
        <v>2223.6459</v>
      </c>
      <c r="F29" s="59">
        <f t="shared" si="3"/>
        <v>91676.3541</v>
      </c>
      <c r="G29" s="37" t="s">
        <v>3253</v>
      </c>
      <c r="H29" s="41">
        <v>29.0</v>
      </c>
      <c r="I29" s="25">
        <v>5.0</v>
      </c>
      <c r="J29" s="59">
        <f>22200+26500+5000+3700+36500</f>
        <v>93900</v>
      </c>
      <c r="L29" s="59"/>
      <c r="M29" s="59"/>
      <c r="N29" s="59"/>
    </row>
    <row r="30" ht="12.75" customHeight="1">
      <c r="A30" s="41">
        <v>0.0</v>
      </c>
      <c r="B30" s="59">
        <f t="shared" si="1"/>
        <v>0</v>
      </c>
      <c r="C30" s="59">
        <v>0.0</v>
      </c>
      <c r="D30" s="59">
        <v>0.0</v>
      </c>
      <c r="E30" s="59">
        <f t="shared" si="2"/>
        <v>0</v>
      </c>
      <c r="F30" s="59">
        <f t="shared" si="3"/>
        <v>0</v>
      </c>
      <c r="H30" s="41">
        <v>30.0</v>
      </c>
      <c r="I30" s="25">
        <v>0.0</v>
      </c>
      <c r="J30" s="59">
        <v>0.0</v>
      </c>
      <c r="L30" s="59"/>
      <c r="M30" s="59"/>
      <c r="N30" s="59"/>
    </row>
    <row r="31" ht="12.75" customHeight="1">
      <c r="A31" s="41">
        <v>5.0</v>
      </c>
      <c r="B31" s="59">
        <f t="shared" si="1"/>
        <v>22983</v>
      </c>
      <c r="C31" s="59">
        <f>224+1174+1357+1261+351</f>
        <v>4367</v>
      </c>
      <c r="D31" s="59">
        <f>1400+7350+8500+7900+2200</f>
        <v>27350</v>
      </c>
      <c r="E31" s="59">
        <f t="shared" si="2"/>
        <v>647.67535</v>
      </c>
      <c r="F31" s="59">
        <f t="shared" si="3"/>
        <v>26702.32465</v>
      </c>
      <c r="G31" s="37" t="s">
        <v>3254</v>
      </c>
      <c r="H31" s="41">
        <v>31.0</v>
      </c>
      <c r="I31" s="25">
        <v>5.0</v>
      </c>
      <c r="J31" s="59">
        <f>1400+7350+8500+7900+2200</f>
        <v>27350</v>
      </c>
      <c r="L31" s="59"/>
      <c r="M31" s="59"/>
      <c r="N31" s="59"/>
    </row>
    <row r="32" ht="12.75" customHeight="1">
      <c r="A32" s="65">
        <f t="shared" ref="A32:F32" si="5">SUM(A1:A31)</f>
        <v>174</v>
      </c>
      <c r="B32" s="66">
        <f t="shared" si="5"/>
        <v>1336140</v>
      </c>
      <c r="C32" s="66">
        <f t="shared" si="5"/>
        <v>256860</v>
      </c>
      <c r="D32" s="66">
        <f t="shared" si="5"/>
        <v>1593000</v>
      </c>
      <c r="E32" s="67">
        <f t="shared" si="5"/>
        <v>37723.833</v>
      </c>
      <c r="F32" s="67">
        <f t="shared" si="5"/>
        <v>1555276.167</v>
      </c>
      <c r="I32" s="25"/>
      <c r="L32" s="59"/>
      <c r="M32" s="59"/>
      <c r="N32" s="59">
        <f>SUM(N1:N31)</f>
        <v>19873</v>
      </c>
    </row>
    <row r="33" ht="12.75" customHeight="1">
      <c r="B33" s="59">
        <v>1338655.0</v>
      </c>
      <c r="C33" s="59">
        <v>254345.0</v>
      </c>
      <c r="D33" s="59"/>
      <c r="I33" s="25"/>
      <c r="L33" s="59"/>
      <c r="M33" s="59"/>
      <c r="N33" s="59"/>
    </row>
    <row r="34" ht="12.75" customHeight="1">
      <c r="B34" s="59">
        <f>B33-B32</f>
        <v>2515</v>
      </c>
      <c r="C34" s="59">
        <f>C32-C33</f>
        <v>2515</v>
      </c>
      <c r="I34" s="25"/>
      <c r="L34" s="59"/>
      <c r="M34" s="59"/>
      <c r="N34" s="59"/>
    </row>
    <row r="35" ht="12.75" customHeight="1">
      <c r="B35" s="59"/>
      <c r="C35" s="59"/>
      <c r="I35" s="25"/>
      <c r="L35" s="59"/>
      <c r="M35" s="59"/>
      <c r="N35" s="59"/>
    </row>
    <row r="36" ht="12.75" customHeight="1">
      <c r="C36" s="74" t="s">
        <v>3218</v>
      </c>
      <c r="D36" s="74">
        <f>D32*2.3681%</f>
        <v>37723.833</v>
      </c>
      <c r="I36" s="25"/>
      <c r="L36" s="59"/>
      <c r="M36" s="59"/>
      <c r="N36" s="59"/>
    </row>
    <row r="37" ht="12.75" customHeight="1">
      <c r="I37" s="25"/>
      <c r="L37" s="59"/>
      <c r="M37" s="59"/>
      <c r="N37" s="59"/>
    </row>
    <row r="38" ht="12.75" customHeight="1">
      <c r="I38" s="25"/>
      <c r="L38" s="59"/>
      <c r="M38" s="59"/>
      <c r="N38" s="59"/>
    </row>
    <row r="39" ht="12.75" customHeight="1">
      <c r="I39" s="25"/>
      <c r="L39" s="59"/>
      <c r="M39" s="59"/>
      <c r="N39" s="59"/>
    </row>
    <row r="40" ht="12.75" customHeight="1">
      <c r="I40" s="25"/>
      <c r="L40" s="59"/>
      <c r="M40" s="59"/>
      <c r="N40" s="59"/>
    </row>
    <row r="41" ht="12.75" customHeight="1">
      <c r="I41" s="25"/>
      <c r="L41" s="59"/>
      <c r="M41" s="59"/>
      <c r="N41" s="59"/>
    </row>
    <row r="42" ht="12.75" customHeight="1">
      <c r="I42" s="25"/>
      <c r="L42" s="59"/>
      <c r="M42" s="59"/>
      <c r="N42" s="59"/>
    </row>
    <row r="43" ht="12.75" customHeight="1">
      <c r="I43" s="25"/>
      <c r="L43" s="59"/>
      <c r="M43" s="59"/>
      <c r="N43" s="59"/>
    </row>
    <row r="44" ht="12.75" customHeight="1">
      <c r="I44" s="25"/>
      <c r="L44" s="59"/>
      <c r="M44" s="59"/>
      <c r="N44" s="59"/>
    </row>
    <row r="45" ht="12.75" customHeight="1">
      <c r="I45" s="25"/>
      <c r="L45" s="59"/>
      <c r="M45" s="59"/>
      <c r="N45" s="59"/>
    </row>
    <row r="46" ht="12.75" customHeight="1">
      <c r="I46" s="25"/>
      <c r="L46" s="59"/>
      <c r="M46" s="59"/>
      <c r="N46" s="59"/>
    </row>
    <row r="47" ht="12.75" customHeight="1">
      <c r="I47" s="25"/>
      <c r="L47" s="59"/>
      <c r="M47" s="59"/>
      <c r="N47" s="59"/>
    </row>
    <row r="48" ht="12.75" customHeight="1">
      <c r="I48" s="25"/>
      <c r="L48" s="59"/>
      <c r="M48" s="59"/>
      <c r="N48" s="59"/>
    </row>
    <row r="49" ht="12.75" customHeight="1">
      <c r="I49" s="25"/>
      <c r="L49" s="59"/>
      <c r="M49" s="59"/>
      <c r="N49" s="59"/>
    </row>
    <row r="50" ht="12.75" customHeight="1">
      <c r="I50" s="25"/>
      <c r="L50" s="59"/>
      <c r="M50" s="59"/>
      <c r="N50" s="59"/>
    </row>
    <row r="51" ht="12.75" customHeight="1">
      <c r="I51" s="25"/>
      <c r="L51" s="59"/>
      <c r="M51" s="59"/>
      <c r="N51" s="59"/>
    </row>
    <row r="52" ht="12.75" customHeight="1">
      <c r="I52" s="25"/>
      <c r="L52" s="59"/>
      <c r="M52" s="59"/>
      <c r="N52" s="59"/>
    </row>
    <row r="53" ht="12.75" customHeight="1">
      <c r="I53" s="25"/>
      <c r="L53" s="59"/>
      <c r="M53" s="59"/>
      <c r="N53" s="59"/>
    </row>
    <row r="54" ht="12.75" customHeight="1">
      <c r="I54" s="25"/>
      <c r="L54" s="59"/>
      <c r="M54" s="59"/>
      <c r="N54" s="59"/>
    </row>
    <row r="55" ht="12.75" customHeight="1">
      <c r="I55" s="25"/>
      <c r="L55" s="59"/>
      <c r="M55" s="59"/>
      <c r="N55" s="59"/>
    </row>
    <row r="56" ht="12.75" customHeight="1">
      <c r="I56" s="25"/>
      <c r="L56" s="59"/>
      <c r="M56" s="59"/>
      <c r="N56" s="59"/>
    </row>
    <row r="57" ht="12.75" customHeight="1">
      <c r="I57" s="25"/>
      <c r="L57" s="59"/>
      <c r="M57" s="59"/>
      <c r="N57" s="59"/>
    </row>
    <row r="58" ht="12.75" customHeight="1">
      <c r="I58" s="25"/>
      <c r="L58" s="59"/>
      <c r="M58" s="59"/>
      <c r="N58" s="59"/>
    </row>
    <row r="59" ht="12.75" customHeight="1">
      <c r="I59" s="25"/>
      <c r="L59" s="59"/>
      <c r="M59" s="59"/>
      <c r="N59" s="59"/>
    </row>
    <row r="60" ht="12.75" customHeight="1">
      <c r="I60" s="25"/>
      <c r="L60" s="59"/>
      <c r="M60" s="59"/>
      <c r="N60" s="59"/>
    </row>
    <row r="61" ht="12.75" customHeight="1">
      <c r="I61" s="25"/>
      <c r="L61" s="59"/>
      <c r="M61" s="59"/>
      <c r="N61" s="59"/>
    </row>
    <row r="62" ht="12.75" customHeight="1">
      <c r="I62" s="25"/>
      <c r="L62" s="59"/>
      <c r="M62" s="59"/>
      <c r="N62" s="59"/>
    </row>
    <row r="63" ht="12.75" customHeight="1">
      <c r="I63" s="25"/>
      <c r="L63" s="59"/>
      <c r="M63" s="59"/>
      <c r="N63" s="59"/>
    </row>
    <row r="64" ht="12.75" customHeight="1">
      <c r="I64" s="25"/>
      <c r="L64" s="59"/>
      <c r="M64" s="59"/>
      <c r="N64" s="59"/>
    </row>
    <row r="65" ht="12.75" customHeight="1">
      <c r="I65" s="25"/>
      <c r="L65" s="59"/>
      <c r="M65" s="59"/>
      <c r="N65" s="59"/>
    </row>
    <row r="66" ht="12.75" customHeight="1">
      <c r="I66" s="25"/>
      <c r="L66" s="59"/>
      <c r="M66" s="59"/>
      <c r="N66" s="59"/>
    </row>
    <row r="67" ht="12.75" customHeight="1">
      <c r="I67" s="25"/>
      <c r="L67" s="59"/>
      <c r="M67" s="59"/>
      <c r="N67" s="59"/>
    </row>
    <row r="68" ht="12.75" customHeight="1">
      <c r="I68" s="25"/>
      <c r="L68" s="59"/>
      <c r="M68" s="59"/>
      <c r="N68" s="59"/>
    </row>
    <row r="69" ht="12.75" customHeight="1">
      <c r="I69" s="25"/>
      <c r="L69" s="59"/>
      <c r="M69" s="59"/>
      <c r="N69" s="59"/>
    </row>
    <row r="70" ht="12.75" customHeight="1">
      <c r="I70" s="25"/>
      <c r="L70" s="59"/>
      <c r="M70" s="59"/>
      <c r="N70" s="59"/>
    </row>
    <row r="71" ht="12.75" customHeight="1">
      <c r="I71" s="25"/>
      <c r="L71" s="59"/>
      <c r="M71" s="59"/>
      <c r="N71" s="59"/>
    </row>
    <row r="72" ht="12.75" customHeight="1">
      <c r="I72" s="25"/>
      <c r="L72" s="59"/>
      <c r="M72" s="59"/>
      <c r="N72" s="59"/>
    </row>
    <row r="73" ht="12.75" customHeight="1">
      <c r="I73" s="25"/>
      <c r="L73" s="59"/>
      <c r="M73" s="59"/>
      <c r="N73" s="59"/>
    </row>
    <row r="74" ht="12.75" customHeight="1">
      <c r="I74" s="25"/>
      <c r="L74" s="59"/>
      <c r="M74" s="59"/>
      <c r="N74" s="59"/>
    </row>
    <row r="75" ht="12.75" customHeight="1">
      <c r="I75" s="25"/>
      <c r="L75" s="59"/>
      <c r="M75" s="59"/>
      <c r="N75" s="59"/>
    </row>
    <row r="76" ht="12.75" customHeight="1">
      <c r="I76" s="25"/>
      <c r="L76" s="59"/>
      <c r="M76" s="59"/>
      <c r="N76" s="59"/>
    </row>
    <row r="77" ht="12.75" customHeight="1">
      <c r="I77" s="25"/>
      <c r="L77" s="59"/>
      <c r="M77" s="59"/>
      <c r="N77" s="59"/>
    </row>
    <row r="78" ht="12.75" customHeight="1">
      <c r="I78" s="25"/>
      <c r="L78" s="59"/>
      <c r="M78" s="59"/>
      <c r="N78" s="59"/>
    </row>
    <row r="79" ht="12.75" customHeight="1">
      <c r="I79" s="25"/>
      <c r="L79" s="59"/>
      <c r="M79" s="59"/>
      <c r="N79" s="59"/>
    </row>
    <row r="80" ht="12.75" customHeight="1">
      <c r="I80" s="25"/>
      <c r="L80" s="59"/>
      <c r="M80" s="59"/>
      <c r="N80" s="59"/>
    </row>
    <row r="81" ht="12.75" customHeight="1">
      <c r="I81" s="25"/>
      <c r="L81" s="59"/>
      <c r="M81" s="59"/>
      <c r="N81" s="59"/>
    </row>
    <row r="82" ht="12.75" customHeight="1">
      <c r="I82" s="25"/>
      <c r="L82" s="59"/>
      <c r="M82" s="59"/>
      <c r="N82" s="59"/>
    </row>
    <row r="83" ht="12.75" customHeight="1">
      <c r="I83" s="25"/>
      <c r="L83" s="59"/>
      <c r="M83" s="59"/>
      <c r="N83" s="59"/>
    </row>
    <row r="84" ht="12.75" customHeight="1">
      <c r="I84" s="25"/>
      <c r="L84" s="59"/>
      <c r="M84" s="59"/>
      <c r="N84" s="59"/>
    </row>
    <row r="85" ht="12.75" customHeight="1">
      <c r="I85" s="25"/>
      <c r="L85" s="59"/>
      <c r="M85" s="59"/>
      <c r="N85" s="59"/>
    </row>
    <row r="86" ht="12.75" customHeight="1">
      <c r="I86" s="25"/>
      <c r="L86" s="59"/>
      <c r="M86" s="59"/>
      <c r="N86" s="59"/>
    </row>
    <row r="87" ht="12.75" customHeight="1">
      <c r="I87" s="25"/>
      <c r="L87" s="59"/>
      <c r="M87" s="59"/>
      <c r="N87" s="59"/>
    </row>
    <row r="88" ht="12.75" customHeight="1">
      <c r="I88" s="25"/>
      <c r="L88" s="59"/>
      <c r="M88" s="59"/>
      <c r="N88" s="59"/>
    </row>
    <row r="89" ht="12.75" customHeight="1">
      <c r="I89" s="25"/>
      <c r="L89" s="59"/>
      <c r="M89" s="59"/>
      <c r="N89" s="59"/>
    </row>
    <row r="90" ht="12.75" customHeight="1">
      <c r="I90" s="25"/>
      <c r="L90" s="59"/>
      <c r="M90" s="59"/>
      <c r="N90" s="59"/>
    </row>
    <row r="91" ht="12.75" customHeight="1">
      <c r="I91" s="25"/>
      <c r="L91" s="59"/>
      <c r="M91" s="59"/>
      <c r="N91" s="59"/>
    </row>
    <row r="92" ht="12.75" customHeight="1">
      <c r="I92" s="25"/>
      <c r="L92" s="59"/>
      <c r="M92" s="59"/>
      <c r="N92" s="59"/>
    </row>
    <row r="93" ht="12.75" customHeight="1">
      <c r="I93" s="25"/>
      <c r="L93" s="59"/>
      <c r="M93" s="59"/>
      <c r="N93" s="59"/>
    </row>
    <row r="94" ht="12.75" customHeight="1">
      <c r="I94" s="25"/>
      <c r="L94" s="59"/>
      <c r="M94" s="59"/>
      <c r="N94" s="59"/>
    </row>
    <row r="95" ht="12.75" customHeight="1">
      <c r="I95" s="25"/>
      <c r="L95" s="59"/>
      <c r="M95" s="59"/>
      <c r="N95" s="59"/>
    </row>
    <row r="96" ht="12.75" customHeight="1">
      <c r="I96" s="25"/>
      <c r="L96" s="59"/>
      <c r="M96" s="59"/>
      <c r="N96" s="59"/>
    </row>
    <row r="97" ht="12.75" customHeight="1">
      <c r="I97" s="25"/>
      <c r="L97" s="59"/>
      <c r="M97" s="59"/>
      <c r="N97" s="59"/>
    </row>
    <row r="98" ht="12.75" customHeight="1">
      <c r="I98" s="25"/>
      <c r="L98" s="59"/>
      <c r="M98" s="59"/>
      <c r="N98" s="59"/>
    </row>
    <row r="99" ht="12.75" customHeight="1">
      <c r="I99" s="25"/>
      <c r="L99" s="59"/>
      <c r="M99" s="59"/>
      <c r="N99" s="59"/>
    </row>
    <row r="100" ht="12.75" customHeight="1">
      <c r="I100" s="25"/>
      <c r="L100" s="59"/>
      <c r="M100" s="59"/>
      <c r="N100" s="59"/>
    </row>
    <row r="101" ht="12.75" customHeight="1">
      <c r="I101" s="25"/>
      <c r="L101" s="59"/>
      <c r="M101" s="59"/>
      <c r="N101" s="59"/>
    </row>
    <row r="102" ht="12.75" customHeight="1">
      <c r="I102" s="25"/>
      <c r="L102" s="59"/>
      <c r="M102" s="59"/>
      <c r="N102" s="59"/>
    </row>
    <row r="103" ht="12.75" customHeight="1">
      <c r="I103" s="25"/>
      <c r="L103" s="59"/>
      <c r="M103" s="59"/>
      <c r="N103" s="59"/>
    </row>
    <row r="104" ht="12.75" customHeight="1">
      <c r="I104" s="25"/>
      <c r="L104" s="59"/>
      <c r="M104" s="59"/>
      <c r="N104" s="59"/>
    </row>
    <row r="105" ht="12.75" customHeight="1">
      <c r="I105" s="25"/>
      <c r="L105" s="59"/>
      <c r="M105" s="59"/>
      <c r="N105" s="59"/>
    </row>
    <row r="106" ht="12.75" customHeight="1">
      <c r="I106" s="25"/>
      <c r="L106" s="59"/>
      <c r="M106" s="59"/>
      <c r="N106" s="59"/>
    </row>
    <row r="107" ht="12.75" customHeight="1">
      <c r="I107" s="25"/>
      <c r="L107" s="59"/>
      <c r="M107" s="59"/>
      <c r="N107" s="59"/>
    </row>
    <row r="108" ht="12.75" customHeight="1">
      <c r="I108" s="25"/>
      <c r="L108" s="59"/>
      <c r="M108" s="59"/>
      <c r="N108" s="59"/>
    </row>
    <row r="109" ht="12.75" customHeight="1">
      <c r="I109" s="25"/>
      <c r="L109" s="59"/>
      <c r="M109" s="59"/>
      <c r="N109" s="59"/>
    </row>
    <row r="110" ht="12.75" customHeight="1">
      <c r="I110" s="25"/>
      <c r="L110" s="59"/>
      <c r="M110" s="59"/>
      <c r="N110" s="59"/>
    </row>
    <row r="111" ht="12.75" customHeight="1">
      <c r="I111" s="25"/>
      <c r="L111" s="59"/>
      <c r="M111" s="59"/>
      <c r="N111" s="59"/>
    </row>
    <row r="112" ht="12.75" customHeight="1">
      <c r="I112" s="25"/>
      <c r="L112" s="59"/>
      <c r="M112" s="59"/>
      <c r="N112" s="59"/>
    </row>
    <row r="113" ht="12.75" customHeight="1">
      <c r="I113" s="25"/>
      <c r="L113" s="59"/>
      <c r="M113" s="59"/>
      <c r="N113" s="59"/>
    </row>
    <row r="114" ht="12.75" customHeight="1">
      <c r="I114" s="25"/>
      <c r="L114" s="59"/>
      <c r="M114" s="59"/>
      <c r="N114" s="59"/>
    </row>
    <row r="115" ht="12.75" customHeight="1">
      <c r="I115" s="25"/>
      <c r="L115" s="59"/>
      <c r="M115" s="59"/>
      <c r="N115" s="59"/>
    </row>
    <row r="116" ht="12.75" customHeight="1">
      <c r="I116" s="25"/>
      <c r="L116" s="59"/>
      <c r="M116" s="59"/>
      <c r="N116" s="59"/>
    </row>
    <row r="117" ht="12.75" customHeight="1">
      <c r="I117" s="25"/>
      <c r="L117" s="59"/>
      <c r="M117" s="59"/>
      <c r="N117" s="59"/>
    </row>
    <row r="118" ht="12.75" customHeight="1">
      <c r="I118" s="25"/>
      <c r="L118" s="59"/>
      <c r="M118" s="59"/>
      <c r="N118" s="59"/>
    </row>
    <row r="119" ht="12.75" customHeight="1">
      <c r="I119" s="25"/>
      <c r="L119" s="59"/>
      <c r="M119" s="59"/>
      <c r="N119" s="59"/>
    </row>
    <row r="120" ht="12.75" customHeight="1">
      <c r="I120" s="25"/>
      <c r="L120" s="59"/>
      <c r="M120" s="59"/>
      <c r="N120" s="59"/>
    </row>
    <row r="121" ht="12.75" customHeight="1">
      <c r="I121" s="25"/>
      <c r="L121" s="59"/>
      <c r="M121" s="59"/>
      <c r="N121" s="59"/>
    </row>
    <row r="122" ht="12.75" customHeight="1">
      <c r="I122" s="25"/>
      <c r="L122" s="59"/>
      <c r="M122" s="59"/>
      <c r="N122" s="59"/>
    </row>
    <row r="123" ht="12.75" customHeight="1">
      <c r="I123" s="25"/>
      <c r="L123" s="59"/>
      <c r="M123" s="59"/>
      <c r="N123" s="59"/>
    </row>
    <row r="124" ht="12.75" customHeight="1">
      <c r="I124" s="25"/>
      <c r="L124" s="59"/>
      <c r="M124" s="59"/>
      <c r="N124" s="59"/>
    </row>
    <row r="125" ht="12.75" customHeight="1">
      <c r="I125" s="25"/>
      <c r="L125" s="59"/>
      <c r="M125" s="59"/>
      <c r="N125" s="59"/>
    </row>
    <row r="126" ht="12.75" customHeight="1">
      <c r="I126" s="25"/>
      <c r="L126" s="59"/>
      <c r="M126" s="59"/>
      <c r="N126" s="59"/>
    </row>
    <row r="127" ht="12.75" customHeight="1">
      <c r="I127" s="25"/>
      <c r="L127" s="59"/>
      <c r="M127" s="59"/>
      <c r="N127" s="59"/>
    </row>
    <row r="128" ht="12.75" customHeight="1">
      <c r="I128" s="25"/>
      <c r="L128" s="59"/>
      <c r="M128" s="59"/>
      <c r="N128" s="59"/>
    </row>
    <row r="129" ht="12.75" customHeight="1">
      <c r="I129" s="25"/>
      <c r="L129" s="59"/>
      <c r="M129" s="59"/>
      <c r="N129" s="59"/>
    </row>
    <row r="130" ht="12.75" customHeight="1">
      <c r="I130" s="25"/>
      <c r="L130" s="59"/>
      <c r="M130" s="59"/>
      <c r="N130" s="59"/>
    </row>
    <row r="131" ht="12.75" customHeight="1">
      <c r="I131" s="25"/>
      <c r="L131" s="59"/>
      <c r="M131" s="59"/>
      <c r="N131" s="59"/>
    </row>
    <row r="132" ht="12.75" customHeight="1">
      <c r="I132" s="25"/>
      <c r="L132" s="59"/>
      <c r="M132" s="59"/>
      <c r="N132" s="59"/>
    </row>
    <row r="133" ht="12.75" customHeight="1">
      <c r="I133" s="25"/>
      <c r="L133" s="59"/>
      <c r="M133" s="59"/>
      <c r="N133" s="59"/>
    </row>
    <row r="134" ht="12.75" customHeight="1">
      <c r="I134" s="25"/>
      <c r="L134" s="59"/>
      <c r="M134" s="59"/>
      <c r="N134" s="59"/>
    </row>
    <row r="135" ht="12.75" customHeight="1">
      <c r="I135" s="25"/>
      <c r="L135" s="59"/>
      <c r="M135" s="59"/>
      <c r="N135" s="59"/>
    </row>
    <row r="136" ht="12.75" customHeight="1">
      <c r="I136" s="25"/>
      <c r="L136" s="59"/>
      <c r="M136" s="59"/>
      <c r="N136" s="59"/>
    </row>
    <row r="137" ht="12.75" customHeight="1">
      <c r="I137" s="25"/>
      <c r="L137" s="59"/>
      <c r="M137" s="59"/>
      <c r="N137" s="59"/>
    </row>
    <row r="138" ht="12.75" customHeight="1">
      <c r="I138" s="25"/>
      <c r="L138" s="59"/>
      <c r="M138" s="59"/>
      <c r="N138" s="59"/>
    </row>
    <row r="139" ht="12.75" customHeight="1">
      <c r="I139" s="25"/>
      <c r="L139" s="59"/>
      <c r="M139" s="59"/>
      <c r="N139" s="59"/>
    </row>
    <row r="140" ht="12.75" customHeight="1">
      <c r="I140" s="25"/>
      <c r="L140" s="59"/>
      <c r="M140" s="59"/>
      <c r="N140" s="59"/>
    </row>
    <row r="141" ht="12.75" customHeight="1">
      <c r="I141" s="25"/>
      <c r="L141" s="59"/>
      <c r="M141" s="59"/>
      <c r="N141" s="59"/>
    </row>
    <row r="142" ht="12.75" customHeight="1">
      <c r="I142" s="25"/>
      <c r="L142" s="59"/>
      <c r="M142" s="59"/>
      <c r="N142" s="59"/>
    </row>
    <row r="143" ht="12.75" customHeight="1">
      <c r="I143" s="25"/>
      <c r="L143" s="59"/>
      <c r="M143" s="59"/>
      <c r="N143" s="59"/>
    </row>
    <row r="144" ht="12.75" customHeight="1">
      <c r="I144" s="25"/>
      <c r="L144" s="59"/>
      <c r="M144" s="59"/>
      <c r="N144" s="59"/>
    </row>
    <row r="145" ht="12.75" customHeight="1">
      <c r="I145" s="25"/>
      <c r="L145" s="59"/>
      <c r="M145" s="59"/>
      <c r="N145" s="59"/>
    </row>
    <row r="146" ht="12.75" customHeight="1">
      <c r="I146" s="25"/>
      <c r="L146" s="59"/>
      <c r="M146" s="59"/>
      <c r="N146" s="59"/>
    </row>
    <row r="147" ht="12.75" customHeight="1">
      <c r="I147" s="25"/>
      <c r="L147" s="59"/>
      <c r="M147" s="59"/>
      <c r="N147" s="59"/>
    </row>
    <row r="148" ht="12.75" customHeight="1">
      <c r="I148" s="25"/>
      <c r="L148" s="59"/>
      <c r="M148" s="59"/>
      <c r="N148" s="59"/>
    </row>
    <row r="149" ht="12.75" customHeight="1">
      <c r="I149" s="25"/>
      <c r="L149" s="59"/>
      <c r="M149" s="59"/>
      <c r="N149" s="59"/>
    </row>
    <row r="150" ht="12.75" customHeight="1">
      <c r="I150" s="25"/>
      <c r="L150" s="59"/>
      <c r="M150" s="59"/>
      <c r="N150" s="59"/>
    </row>
    <row r="151" ht="12.75" customHeight="1">
      <c r="I151" s="25"/>
      <c r="L151" s="59"/>
      <c r="M151" s="59"/>
      <c r="N151" s="59"/>
    </row>
    <row r="152" ht="12.75" customHeight="1">
      <c r="I152" s="25"/>
      <c r="L152" s="59"/>
      <c r="M152" s="59"/>
      <c r="N152" s="59"/>
    </row>
    <row r="153" ht="12.75" customHeight="1">
      <c r="I153" s="25"/>
      <c r="L153" s="59"/>
      <c r="M153" s="59"/>
      <c r="N153" s="59"/>
    </row>
    <row r="154" ht="12.75" customHeight="1">
      <c r="I154" s="25"/>
      <c r="L154" s="59"/>
      <c r="M154" s="59"/>
      <c r="N154" s="59"/>
    </row>
    <row r="155" ht="12.75" customHeight="1">
      <c r="I155" s="25"/>
      <c r="L155" s="59"/>
      <c r="M155" s="59"/>
      <c r="N155" s="59"/>
    </row>
    <row r="156" ht="12.75" customHeight="1">
      <c r="I156" s="25"/>
      <c r="L156" s="59"/>
      <c r="M156" s="59"/>
      <c r="N156" s="59"/>
    </row>
    <row r="157" ht="12.75" customHeight="1">
      <c r="I157" s="25"/>
      <c r="L157" s="59"/>
      <c r="M157" s="59"/>
      <c r="N157" s="59"/>
    </row>
    <row r="158" ht="12.75" customHeight="1">
      <c r="I158" s="25"/>
      <c r="L158" s="59"/>
      <c r="M158" s="59"/>
      <c r="N158" s="59"/>
    </row>
    <row r="159" ht="12.75" customHeight="1">
      <c r="I159" s="25"/>
      <c r="L159" s="59"/>
      <c r="M159" s="59"/>
      <c r="N159" s="59"/>
    </row>
    <row r="160" ht="12.75" customHeight="1">
      <c r="I160" s="25"/>
      <c r="L160" s="59"/>
      <c r="M160" s="59"/>
      <c r="N160" s="59"/>
    </row>
    <row r="161" ht="12.75" customHeight="1">
      <c r="I161" s="25"/>
      <c r="L161" s="59"/>
      <c r="M161" s="59"/>
      <c r="N161" s="59"/>
    </row>
    <row r="162" ht="12.75" customHeight="1">
      <c r="I162" s="25"/>
      <c r="L162" s="59"/>
      <c r="M162" s="59"/>
      <c r="N162" s="59"/>
    </row>
    <row r="163" ht="12.75" customHeight="1">
      <c r="I163" s="25"/>
      <c r="L163" s="59"/>
      <c r="M163" s="59"/>
      <c r="N163" s="59"/>
    </row>
    <row r="164" ht="12.75" customHeight="1">
      <c r="I164" s="25"/>
      <c r="L164" s="59"/>
      <c r="M164" s="59"/>
      <c r="N164" s="59"/>
    </row>
    <row r="165" ht="12.75" customHeight="1">
      <c r="I165" s="25"/>
      <c r="L165" s="59"/>
      <c r="M165" s="59"/>
      <c r="N165" s="59"/>
    </row>
    <row r="166" ht="12.75" customHeight="1">
      <c r="I166" s="25"/>
      <c r="L166" s="59"/>
      <c r="M166" s="59"/>
      <c r="N166" s="59"/>
    </row>
    <row r="167" ht="12.75" customHeight="1">
      <c r="I167" s="25"/>
      <c r="L167" s="59"/>
      <c r="M167" s="59"/>
      <c r="N167" s="59"/>
    </row>
    <row r="168" ht="12.75" customHeight="1">
      <c r="I168" s="25"/>
      <c r="L168" s="59"/>
      <c r="M168" s="59"/>
      <c r="N168" s="59"/>
    </row>
    <row r="169" ht="12.75" customHeight="1">
      <c r="I169" s="25"/>
      <c r="L169" s="59"/>
      <c r="M169" s="59"/>
      <c r="N169" s="59"/>
    </row>
    <row r="170" ht="12.75" customHeight="1">
      <c r="I170" s="25"/>
      <c r="L170" s="59"/>
      <c r="M170" s="59"/>
      <c r="N170" s="59"/>
    </row>
    <row r="171" ht="12.75" customHeight="1">
      <c r="I171" s="25"/>
      <c r="L171" s="59"/>
      <c r="M171" s="59"/>
      <c r="N171" s="59"/>
    </row>
    <row r="172" ht="12.75" customHeight="1">
      <c r="I172" s="25"/>
      <c r="L172" s="59"/>
      <c r="M172" s="59"/>
      <c r="N172" s="59"/>
    </row>
    <row r="173" ht="12.75" customHeight="1">
      <c r="I173" s="25"/>
      <c r="L173" s="59"/>
      <c r="M173" s="59"/>
      <c r="N173" s="59"/>
    </row>
    <row r="174" ht="12.75" customHeight="1">
      <c r="I174" s="25"/>
      <c r="L174" s="59"/>
      <c r="M174" s="59"/>
      <c r="N174" s="59"/>
    </row>
    <row r="175" ht="12.75" customHeight="1">
      <c r="I175" s="25"/>
      <c r="L175" s="59"/>
      <c r="M175" s="59"/>
      <c r="N175" s="59"/>
    </row>
    <row r="176" ht="12.75" customHeight="1">
      <c r="I176" s="25"/>
      <c r="L176" s="59"/>
      <c r="M176" s="59"/>
      <c r="N176" s="59"/>
    </row>
    <row r="177" ht="12.75" customHeight="1">
      <c r="I177" s="25"/>
      <c r="L177" s="59"/>
      <c r="M177" s="59"/>
      <c r="N177" s="59"/>
    </row>
    <row r="178" ht="12.75" customHeight="1">
      <c r="I178" s="25"/>
      <c r="L178" s="59"/>
      <c r="M178" s="59"/>
      <c r="N178" s="59"/>
    </row>
    <row r="179" ht="12.75" customHeight="1">
      <c r="I179" s="25"/>
      <c r="L179" s="59"/>
      <c r="M179" s="59"/>
      <c r="N179" s="59"/>
    </row>
    <row r="180" ht="12.75" customHeight="1">
      <c r="I180" s="25"/>
      <c r="L180" s="59"/>
      <c r="M180" s="59"/>
      <c r="N180" s="59"/>
    </row>
    <row r="181" ht="12.75" customHeight="1">
      <c r="I181" s="25"/>
      <c r="L181" s="59"/>
      <c r="M181" s="59"/>
      <c r="N181" s="59"/>
    </row>
    <row r="182" ht="12.75" customHeight="1">
      <c r="I182" s="25"/>
      <c r="L182" s="59"/>
      <c r="M182" s="59"/>
      <c r="N182" s="59"/>
    </row>
    <row r="183" ht="12.75" customHeight="1">
      <c r="I183" s="25"/>
      <c r="L183" s="59"/>
      <c r="M183" s="59"/>
      <c r="N183" s="59"/>
    </row>
    <row r="184" ht="12.75" customHeight="1">
      <c r="I184" s="25"/>
      <c r="L184" s="59"/>
      <c r="M184" s="59"/>
      <c r="N184" s="59"/>
    </row>
    <row r="185" ht="12.75" customHeight="1">
      <c r="I185" s="25"/>
      <c r="L185" s="59"/>
      <c r="M185" s="59"/>
      <c r="N185" s="59"/>
    </row>
    <row r="186" ht="12.75" customHeight="1">
      <c r="I186" s="25"/>
      <c r="L186" s="59"/>
      <c r="M186" s="59"/>
      <c r="N186" s="59"/>
    </row>
    <row r="187" ht="12.75" customHeight="1">
      <c r="I187" s="25"/>
      <c r="L187" s="59"/>
      <c r="M187" s="59"/>
      <c r="N187" s="59"/>
    </row>
    <row r="188" ht="12.75" customHeight="1">
      <c r="I188" s="25"/>
      <c r="L188" s="59"/>
      <c r="M188" s="59"/>
      <c r="N188" s="59"/>
    </row>
    <row r="189" ht="12.75" customHeight="1">
      <c r="I189" s="25"/>
      <c r="L189" s="59"/>
      <c r="M189" s="59"/>
      <c r="N189" s="59"/>
    </row>
    <row r="190" ht="12.75" customHeight="1">
      <c r="I190" s="25"/>
      <c r="L190" s="59"/>
      <c r="M190" s="59"/>
      <c r="N190" s="59"/>
    </row>
    <row r="191" ht="12.75" customHeight="1">
      <c r="I191" s="25"/>
      <c r="L191" s="59"/>
      <c r="M191" s="59"/>
      <c r="N191" s="59"/>
    </row>
    <row r="192" ht="12.75" customHeight="1">
      <c r="I192" s="25"/>
      <c r="L192" s="59"/>
      <c r="M192" s="59"/>
      <c r="N192" s="59"/>
    </row>
    <row r="193" ht="12.75" customHeight="1">
      <c r="I193" s="25"/>
      <c r="L193" s="59"/>
      <c r="M193" s="59"/>
      <c r="N193" s="59"/>
    </row>
    <row r="194" ht="12.75" customHeight="1">
      <c r="I194" s="25"/>
      <c r="L194" s="59"/>
      <c r="M194" s="59"/>
      <c r="N194" s="59"/>
    </row>
    <row r="195" ht="12.75" customHeight="1">
      <c r="I195" s="25"/>
      <c r="L195" s="59"/>
      <c r="M195" s="59"/>
      <c r="N195" s="59"/>
    </row>
    <row r="196" ht="12.75" customHeight="1">
      <c r="I196" s="25"/>
      <c r="L196" s="59"/>
      <c r="M196" s="59"/>
      <c r="N196" s="59"/>
    </row>
    <row r="197" ht="12.75" customHeight="1">
      <c r="I197" s="25"/>
      <c r="L197" s="59"/>
      <c r="M197" s="59"/>
      <c r="N197" s="59"/>
    </row>
    <row r="198" ht="12.75" customHeight="1">
      <c r="I198" s="25"/>
      <c r="L198" s="59"/>
      <c r="M198" s="59"/>
      <c r="N198" s="59"/>
    </row>
    <row r="199" ht="12.75" customHeight="1">
      <c r="I199" s="25"/>
      <c r="L199" s="59"/>
      <c r="M199" s="59"/>
      <c r="N199" s="59"/>
    </row>
    <row r="200" ht="12.75" customHeight="1">
      <c r="I200" s="25"/>
      <c r="L200" s="59"/>
      <c r="M200" s="59"/>
      <c r="N200" s="59"/>
    </row>
    <row r="201" ht="12.75" customHeight="1">
      <c r="I201" s="25"/>
      <c r="L201" s="59"/>
      <c r="M201" s="59"/>
      <c r="N201" s="59"/>
    </row>
    <row r="202" ht="12.75" customHeight="1">
      <c r="I202" s="25"/>
      <c r="L202" s="59"/>
      <c r="M202" s="59"/>
      <c r="N202" s="59"/>
    </row>
    <row r="203" ht="12.75" customHeight="1">
      <c r="I203" s="25"/>
      <c r="L203" s="59"/>
      <c r="M203" s="59"/>
      <c r="N203" s="59"/>
    </row>
    <row r="204" ht="12.75" customHeight="1">
      <c r="I204" s="25"/>
      <c r="L204" s="59"/>
      <c r="M204" s="59"/>
      <c r="N204" s="59"/>
    </row>
    <row r="205" ht="12.75" customHeight="1">
      <c r="I205" s="25"/>
      <c r="L205" s="59"/>
      <c r="M205" s="59"/>
      <c r="N205" s="59"/>
    </row>
    <row r="206" ht="12.75" customHeight="1">
      <c r="I206" s="25"/>
      <c r="L206" s="59"/>
      <c r="M206" s="59"/>
      <c r="N206" s="59"/>
    </row>
    <row r="207" ht="12.75" customHeight="1">
      <c r="I207" s="25"/>
      <c r="L207" s="59"/>
      <c r="M207" s="59"/>
      <c r="N207" s="59"/>
    </row>
    <row r="208" ht="12.75" customHeight="1">
      <c r="I208" s="25"/>
      <c r="L208" s="59"/>
      <c r="M208" s="59"/>
      <c r="N208" s="59"/>
    </row>
    <row r="209" ht="12.75" customHeight="1">
      <c r="I209" s="25"/>
      <c r="L209" s="59"/>
      <c r="M209" s="59"/>
      <c r="N209" s="59"/>
    </row>
    <row r="210" ht="12.75" customHeight="1">
      <c r="I210" s="25"/>
      <c r="L210" s="59"/>
      <c r="M210" s="59"/>
      <c r="N210" s="59"/>
    </row>
    <row r="211" ht="12.75" customHeight="1">
      <c r="I211" s="25"/>
      <c r="L211" s="59"/>
      <c r="M211" s="59"/>
      <c r="N211" s="59"/>
    </row>
    <row r="212" ht="12.75" customHeight="1">
      <c r="I212" s="25"/>
      <c r="L212" s="59"/>
      <c r="M212" s="59"/>
      <c r="N212" s="59"/>
    </row>
    <row r="213" ht="12.75" customHeight="1">
      <c r="I213" s="25"/>
      <c r="L213" s="59"/>
      <c r="M213" s="59"/>
      <c r="N213" s="59"/>
    </row>
    <row r="214" ht="12.75" customHeight="1">
      <c r="I214" s="25"/>
      <c r="L214" s="59"/>
      <c r="M214" s="59"/>
      <c r="N214" s="59"/>
    </row>
    <row r="215" ht="12.75" customHeight="1">
      <c r="I215" s="25"/>
      <c r="L215" s="59"/>
      <c r="M215" s="59"/>
      <c r="N215" s="59"/>
    </row>
    <row r="216" ht="12.75" customHeight="1">
      <c r="I216" s="25"/>
      <c r="L216" s="59"/>
      <c r="M216" s="59"/>
      <c r="N216" s="59"/>
    </row>
    <row r="217" ht="12.75" customHeight="1">
      <c r="I217" s="25"/>
      <c r="L217" s="59"/>
      <c r="M217" s="59"/>
      <c r="N217" s="59"/>
    </row>
    <row r="218" ht="12.75" customHeight="1">
      <c r="I218" s="25"/>
      <c r="L218" s="59"/>
      <c r="M218" s="59"/>
      <c r="N218" s="59"/>
    </row>
    <row r="219" ht="12.75" customHeight="1">
      <c r="I219" s="25"/>
      <c r="L219" s="59"/>
      <c r="M219" s="59"/>
      <c r="N219" s="59"/>
    </row>
    <row r="220" ht="12.75" customHeight="1">
      <c r="I220" s="25"/>
      <c r="L220" s="59"/>
      <c r="M220" s="59"/>
      <c r="N220" s="59"/>
    </row>
    <row r="221" ht="12.75" customHeight="1">
      <c r="I221" s="25"/>
      <c r="L221" s="59"/>
      <c r="M221" s="59"/>
      <c r="N221" s="59"/>
    </row>
    <row r="222" ht="12.75" customHeight="1">
      <c r="I222" s="25"/>
      <c r="L222" s="59"/>
      <c r="M222" s="59"/>
      <c r="N222" s="59"/>
    </row>
    <row r="223" ht="12.75" customHeight="1">
      <c r="I223" s="25"/>
      <c r="L223" s="59"/>
      <c r="M223" s="59"/>
      <c r="N223" s="59"/>
    </row>
    <row r="224" ht="12.75" customHeight="1">
      <c r="I224" s="25"/>
      <c r="L224" s="59"/>
      <c r="M224" s="59"/>
      <c r="N224" s="59"/>
    </row>
    <row r="225" ht="12.75" customHeight="1">
      <c r="I225" s="25"/>
      <c r="L225" s="59"/>
      <c r="M225" s="59"/>
      <c r="N225" s="59"/>
    </row>
    <row r="226" ht="12.75" customHeight="1">
      <c r="I226" s="25"/>
      <c r="L226" s="59"/>
      <c r="M226" s="59"/>
      <c r="N226" s="59"/>
    </row>
    <row r="227" ht="12.75" customHeight="1">
      <c r="I227" s="25"/>
      <c r="L227" s="59"/>
      <c r="M227" s="59"/>
      <c r="N227" s="59"/>
    </row>
    <row r="228" ht="12.75" customHeight="1">
      <c r="I228" s="25"/>
      <c r="L228" s="59"/>
      <c r="M228" s="59"/>
      <c r="N228" s="59"/>
    </row>
    <row r="229" ht="12.75" customHeight="1">
      <c r="I229" s="25"/>
      <c r="L229" s="59"/>
      <c r="M229" s="59"/>
      <c r="N229" s="59"/>
    </row>
    <row r="230" ht="12.75" customHeight="1">
      <c r="I230" s="25"/>
      <c r="L230" s="59"/>
      <c r="M230" s="59"/>
      <c r="N230" s="59"/>
    </row>
    <row r="231" ht="12.75" customHeight="1">
      <c r="I231" s="25"/>
      <c r="L231" s="59"/>
      <c r="M231" s="59"/>
      <c r="N231" s="59"/>
    </row>
    <row r="232" ht="12.75" customHeight="1">
      <c r="I232" s="25"/>
      <c r="L232" s="59"/>
      <c r="M232" s="59"/>
      <c r="N232" s="59"/>
    </row>
    <row r="233" ht="12.75" customHeight="1">
      <c r="I233" s="25"/>
      <c r="L233" s="59"/>
      <c r="M233" s="59"/>
      <c r="N233" s="59"/>
    </row>
    <row r="234" ht="12.75" customHeight="1">
      <c r="I234" s="25"/>
      <c r="L234" s="59"/>
      <c r="M234" s="59"/>
      <c r="N234" s="59"/>
    </row>
    <row r="235" ht="12.75" customHeight="1">
      <c r="I235" s="25"/>
      <c r="L235" s="59"/>
      <c r="M235" s="59"/>
      <c r="N235" s="59"/>
    </row>
    <row r="236" ht="12.75" customHeight="1">
      <c r="I236" s="25"/>
      <c r="L236" s="59"/>
      <c r="M236" s="59"/>
      <c r="N236" s="59"/>
    </row>
    <row r="237" ht="12.75" customHeight="1">
      <c r="I237" s="25"/>
      <c r="L237" s="59"/>
      <c r="M237" s="59"/>
      <c r="N237" s="59"/>
    </row>
    <row r="238" ht="12.75" customHeight="1">
      <c r="I238" s="25"/>
      <c r="L238" s="59"/>
      <c r="M238" s="59"/>
      <c r="N238" s="59"/>
    </row>
    <row r="239" ht="12.75" customHeight="1">
      <c r="I239" s="25"/>
      <c r="L239" s="59"/>
      <c r="M239" s="59"/>
      <c r="N239" s="59"/>
    </row>
    <row r="240" ht="12.75" customHeight="1">
      <c r="I240" s="25"/>
      <c r="L240" s="59"/>
      <c r="M240" s="59"/>
      <c r="N240" s="59"/>
    </row>
    <row r="241" ht="12.75" customHeight="1">
      <c r="I241" s="25"/>
      <c r="L241" s="59"/>
      <c r="M241" s="59"/>
      <c r="N241" s="59"/>
    </row>
    <row r="242" ht="12.75" customHeight="1">
      <c r="I242" s="25"/>
      <c r="L242" s="59"/>
      <c r="M242" s="59"/>
      <c r="N242" s="59"/>
    </row>
    <row r="243" ht="12.75" customHeight="1">
      <c r="I243" s="25"/>
      <c r="L243" s="59"/>
      <c r="M243" s="59"/>
      <c r="N243" s="59"/>
    </row>
    <row r="244" ht="12.75" customHeight="1">
      <c r="I244" s="25"/>
      <c r="L244" s="59"/>
      <c r="M244" s="59"/>
      <c r="N244" s="59"/>
    </row>
    <row r="245" ht="12.75" customHeight="1">
      <c r="I245" s="25"/>
      <c r="L245" s="59"/>
      <c r="M245" s="59"/>
      <c r="N245" s="59"/>
    </row>
    <row r="246" ht="12.75" customHeight="1">
      <c r="I246" s="25"/>
      <c r="L246" s="59"/>
      <c r="M246" s="59"/>
      <c r="N246" s="59"/>
    </row>
    <row r="247" ht="12.75" customHeight="1">
      <c r="I247" s="25"/>
      <c r="L247" s="59"/>
      <c r="M247" s="59"/>
      <c r="N247" s="59"/>
    </row>
    <row r="248" ht="12.75" customHeight="1">
      <c r="I248" s="25"/>
      <c r="L248" s="59"/>
      <c r="M248" s="59"/>
      <c r="N248" s="59"/>
    </row>
    <row r="249" ht="12.75" customHeight="1">
      <c r="I249" s="25"/>
      <c r="L249" s="59"/>
      <c r="M249" s="59"/>
      <c r="N249" s="59"/>
    </row>
    <row r="250" ht="12.75" customHeight="1">
      <c r="I250" s="25"/>
      <c r="L250" s="59"/>
      <c r="M250" s="59"/>
      <c r="N250" s="59"/>
    </row>
    <row r="251" ht="12.75" customHeight="1">
      <c r="I251" s="25"/>
      <c r="L251" s="59"/>
      <c r="M251" s="59"/>
      <c r="N251" s="59"/>
    </row>
    <row r="252" ht="12.75" customHeight="1">
      <c r="I252" s="25"/>
      <c r="L252" s="59"/>
      <c r="M252" s="59"/>
      <c r="N252" s="59"/>
    </row>
    <row r="253" ht="12.75" customHeight="1">
      <c r="I253" s="25"/>
      <c r="L253" s="59"/>
      <c r="M253" s="59"/>
      <c r="N253" s="59"/>
    </row>
    <row r="254" ht="12.75" customHeight="1">
      <c r="I254" s="25"/>
      <c r="L254" s="59"/>
      <c r="M254" s="59"/>
      <c r="N254" s="59"/>
    </row>
    <row r="255" ht="12.75" customHeight="1">
      <c r="I255" s="25"/>
      <c r="L255" s="59"/>
      <c r="M255" s="59"/>
      <c r="N255" s="59"/>
    </row>
    <row r="256" ht="12.75" customHeight="1">
      <c r="I256" s="25"/>
      <c r="L256" s="59"/>
      <c r="M256" s="59"/>
      <c r="N256" s="59"/>
    </row>
    <row r="257" ht="12.75" customHeight="1">
      <c r="I257" s="25"/>
      <c r="L257" s="59"/>
      <c r="M257" s="59"/>
      <c r="N257" s="59"/>
    </row>
    <row r="258" ht="12.75" customHeight="1">
      <c r="I258" s="25"/>
      <c r="L258" s="59"/>
      <c r="M258" s="59"/>
      <c r="N258" s="59"/>
    </row>
    <row r="259" ht="12.75" customHeight="1">
      <c r="I259" s="25"/>
      <c r="L259" s="59"/>
      <c r="M259" s="59"/>
      <c r="N259" s="59"/>
    </row>
    <row r="260" ht="12.75" customHeight="1">
      <c r="I260" s="25"/>
      <c r="L260" s="59"/>
      <c r="M260" s="59"/>
      <c r="N260" s="59"/>
    </row>
    <row r="261" ht="12.75" customHeight="1">
      <c r="I261" s="25"/>
      <c r="L261" s="59"/>
      <c r="M261" s="59"/>
      <c r="N261" s="59"/>
    </row>
    <row r="262" ht="12.75" customHeight="1">
      <c r="I262" s="25"/>
      <c r="L262" s="59"/>
      <c r="M262" s="59"/>
      <c r="N262" s="59"/>
    </row>
    <row r="263" ht="12.75" customHeight="1">
      <c r="I263" s="25"/>
      <c r="L263" s="59"/>
      <c r="M263" s="59"/>
      <c r="N263" s="59"/>
    </row>
    <row r="264" ht="12.75" customHeight="1">
      <c r="I264" s="25"/>
      <c r="L264" s="59"/>
      <c r="M264" s="59"/>
      <c r="N264" s="59"/>
    </row>
    <row r="265" ht="12.75" customHeight="1">
      <c r="I265" s="25"/>
      <c r="L265" s="59"/>
      <c r="M265" s="59"/>
      <c r="N265" s="59"/>
    </row>
    <row r="266" ht="12.75" customHeight="1">
      <c r="I266" s="25"/>
      <c r="L266" s="59"/>
      <c r="M266" s="59"/>
      <c r="N266" s="59"/>
    </row>
    <row r="267" ht="12.75" customHeight="1">
      <c r="I267" s="25"/>
      <c r="L267" s="59"/>
      <c r="M267" s="59"/>
      <c r="N267" s="59"/>
    </row>
    <row r="268" ht="12.75" customHeight="1">
      <c r="I268" s="25"/>
      <c r="L268" s="59"/>
      <c r="M268" s="59"/>
      <c r="N268" s="59"/>
    </row>
    <row r="269" ht="12.75" customHeight="1">
      <c r="I269" s="25"/>
      <c r="L269" s="59"/>
      <c r="M269" s="59"/>
      <c r="N269" s="59"/>
    </row>
    <row r="270" ht="12.75" customHeight="1">
      <c r="I270" s="25"/>
      <c r="L270" s="59"/>
      <c r="M270" s="59"/>
      <c r="N270" s="59"/>
    </row>
    <row r="271" ht="12.75" customHeight="1">
      <c r="I271" s="25"/>
      <c r="L271" s="59"/>
      <c r="M271" s="59"/>
      <c r="N271" s="59"/>
    </row>
    <row r="272" ht="12.75" customHeight="1">
      <c r="I272" s="25"/>
      <c r="L272" s="59"/>
      <c r="M272" s="59"/>
      <c r="N272" s="59"/>
    </row>
    <row r="273" ht="12.75" customHeight="1">
      <c r="I273" s="25"/>
      <c r="L273" s="59"/>
      <c r="M273" s="59"/>
      <c r="N273" s="59"/>
    </row>
    <row r="274" ht="12.75" customHeight="1">
      <c r="I274" s="25"/>
      <c r="L274" s="59"/>
      <c r="M274" s="59"/>
      <c r="N274" s="59"/>
    </row>
    <row r="275" ht="12.75" customHeight="1">
      <c r="I275" s="25"/>
      <c r="L275" s="59"/>
      <c r="M275" s="59"/>
      <c r="N275" s="59"/>
    </row>
    <row r="276" ht="12.75" customHeight="1">
      <c r="I276" s="25"/>
      <c r="L276" s="59"/>
      <c r="M276" s="59"/>
      <c r="N276" s="59"/>
    </row>
    <row r="277" ht="12.75" customHeight="1">
      <c r="I277" s="25"/>
      <c r="L277" s="59"/>
      <c r="M277" s="59"/>
      <c r="N277" s="59"/>
    </row>
    <row r="278" ht="12.75" customHeight="1">
      <c r="I278" s="25"/>
      <c r="L278" s="59"/>
      <c r="M278" s="59"/>
      <c r="N278" s="59"/>
    </row>
    <row r="279" ht="12.75" customHeight="1">
      <c r="I279" s="25"/>
      <c r="L279" s="59"/>
      <c r="M279" s="59"/>
      <c r="N279" s="59"/>
    </row>
    <row r="280" ht="12.75" customHeight="1">
      <c r="I280" s="25"/>
      <c r="L280" s="59"/>
      <c r="M280" s="59"/>
      <c r="N280" s="59"/>
    </row>
    <row r="281" ht="12.75" customHeight="1">
      <c r="I281" s="25"/>
      <c r="L281" s="59"/>
      <c r="M281" s="59"/>
      <c r="N281" s="59"/>
    </row>
    <row r="282" ht="12.75" customHeight="1">
      <c r="I282" s="25"/>
      <c r="L282" s="59"/>
      <c r="M282" s="59"/>
      <c r="N282" s="59"/>
    </row>
    <row r="283" ht="12.75" customHeight="1">
      <c r="I283" s="25"/>
      <c r="L283" s="59"/>
      <c r="M283" s="59"/>
      <c r="N283" s="59"/>
    </row>
    <row r="284" ht="12.75" customHeight="1">
      <c r="I284" s="25"/>
      <c r="L284" s="59"/>
      <c r="M284" s="59"/>
      <c r="N284" s="59"/>
    </row>
    <row r="285" ht="12.75" customHeight="1">
      <c r="I285" s="25"/>
      <c r="L285" s="59"/>
      <c r="M285" s="59"/>
      <c r="N285" s="59"/>
    </row>
    <row r="286" ht="12.75" customHeight="1">
      <c r="I286" s="25"/>
      <c r="L286" s="59"/>
      <c r="M286" s="59"/>
      <c r="N286" s="59"/>
    </row>
    <row r="287" ht="12.75" customHeight="1">
      <c r="I287" s="25"/>
      <c r="L287" s="59"/>
      <c r="M287" s="59"/>
      <c r="N287" s="59"/>
    </row>
    <row r="288" ht="12.75" customHeight="1">
      <c r="I288" s="25"/>
      <c r="L288" s="59"/>
      <c r="M288" s="59"/>
      <c r="N288" s="59"/>
    </row>
    <row r="289" ht="12.75" customHeight="1">
      <c r="I289" s="25"/>
      <c r="L289" s="59"/>
      <c r="M289" s="59"/>
      <c r="N289" s="59"/>
    </row>
    <row r="290" ht="12.75" customHeight="1">
      <c r="I290" s="25"/>
      <c r="L290" s="59"/>
      <c r="M290" s="59"/>
      <c r="N290" s="59"/>
    </row>
    <row r="291" ht="12.75" customHeight="1">
      <c r="I291" s="25"/>
      <c r="L291" s="59"/>
      <c r="M291" s="59"/>
      <c r="N291" s="59"/>
    </row>
    <row r="292" ht="12.75" customHeight="1">
      <c r="I292" s="25"/>
      <c r="L292" s="59"/>
      <c r="M292" s="59"/>
      <c r="N292" s="59"/>
    </row>
    <row r="293" ht="12.75" customHeight="1">
      <c r="I293" s="25"/>
      <c r="L293" s="59"/>
      <c r="M293" s="59"/>
      <c r="N293" s="59"/>
    </row>
    <row r="294" ht="12.75" customHeight="1">
      <c r="I294" s="25"/>
      <c r="L294" s="59"/>
      <c r="M294" s="59"/>
      <c r="N294" s="59"/>
    </row>
    <row r="295" ht="12.75" customHeight="1">
      <c r="I295" s="25"/>
      <c r="L295" s="59"/>
      <c r="M295" s="59"/>
      <c r="N295" s="59"/>
    </row>
    <row r="296" ht="12.75" customHeight="1">
      <c r="I296" s="25"/>
      <c r="L296" s="59"/>
      <c r="M296" s="59"/>
      <c r="N296" s="59"/>
    </row>
    <row r="297" ht="12.75" customHeight="1">
      <c r="I297" s="25"/>
      <c r="L297" s="59"/>
      <c r="M297" s="59"/>
      <c r="N297" s="59"/>
    </row>
    <row r="298" ht="12.75" customHeight="1">
      <c r="I298" s="25"/>
      <c r="L298" s="59"/>
      <c r="M298" s="59"/>
      <c r="N298" s="59"/>
    </row>
    <row r="299" ht="12.75" customHeight="1">
      <c r="I299" s="25"/>
      <c r="L299" s="59"/>
      <c r="M299" s="59"/>
      <c r="N299" s="59"/>
    </row>
    <row r="300" ht="12.75" customHeight="1">
      <c r="I300" s="25"/>
      <c r="L300" s="59"/>
      <c r="M300" s="59"/>
      <c r="N300" s="59"/>
    </row>
    <row r="301" ht="12.75" customHeight="1">
      <c r="I301" s="25"/>
      <c r="L301" s="59"/>
      <c r="M301" s="59"/>
      <c r="N301" s="59"/>
    </row>
    <row r="302" ht="12.75" customHeight="1">
      <c r="I302" s="25"/>
      <c r="L302" s="59"/>
      <c r="M302" s="59"/>
      <c r="N302" s="59"/>
    </row>
    <row r="303" ht="12.75" customHeight="1">
      <c r="I303" s="25"/>
      <c r="L303" s="59"/>
      <c r="M303" s="59"/>
      <c r="N303" s="59"/>
    </row>
    <row r="304" ht="12.75" customHeight="1">
      <c r="I304" s="25"/>
      <c r="L304" s="59"/>
      <c r="M304" s="59"/>
      <c r="N304" s="59"/>
    </row>
    <row r="305" ht="12.75" customHeight="1">
      <c r="I305" s="25"/>
      <c r="L305" s="59"/>
      <c r="M305" s="59"/>
      <c r="N305" s="59"/>
    </row>
    <row r="306" ht="12.75" customHeight="1">
      <c r="I306" s="25"/>
      <c r="L306" s="59"/>
      <c r="M306" s="59"/>
      <c r="N306" s="59"/>
    </row>
    <row r="307" ht="12.75" customHeight="1">
      <c r="I307" s="25"/>
      <c r="L307" s="59"/>
      <c r="M307" s="59"/>
      <c r="N307" s="59"/>
    </row>
    <row r="308" ht="12.75" customHeight="1">
      <c r="I308" s="25"/>
      <c r="L308" s="59"/>
      <c r="M308" s="59"/>
      <c r="N308" s="59"/>
    </row>
    <row r="309" ht="12.75" customHeight="1">
      <c r="I309" s="25"/>
      <c r="L309" s="59"/>
      <c r="M309" s="59"/>
      <c r="N309" s="59"/>
    </row>
    <row r="310" ht="12.75" customHeight="1">
      <c r="I310" s="25"/>
      <c r="L310" s="59"/>
      <c r="M310" s="59"/>
      <c r="N310" s="59"/>
    </row>
    <row r="311" ht="12.75" customHeight="1">
      <c r="I311" s="25"/>
      <c r="L311" s="59"/>
      <c r="M311" s="59"/>
      <c r="N311" s="59"/>
    </row>
    <row r="312" ht="12.75" customHeight="1">
      <c r="I312" s="25"/>
      <c r="L312" s="59"/>
      <c r="M312" s="59"/>
      <c r="N312" s="59"/>
    </row>
    <row r="313" ht="12.75" customHeight="1">
      <c r="I313" s="25"/>
      <c r="L313" s="59"/>
      <c r="M313" s="59"/>
      <c r="N313" s="59"/>
    </row>
    <row r="314" ht="12.75" customHeight="1">
      <c r="I314" s="25"/>
      <c r="L314" s="59"/>
      <c r="M314" s="59"/>
      <c r="N314" s="59"/>
    </row>
    <row r="315" ht="12.75" customHeight="1">
      <c r="I315" s="25"/>
      <c r="L315" s="59"/>
      <c r="M315" s="59"/>
      <c r="N315" s="59"/>
    </row>
    <row r="316" ht="12.75" customHeight="1">
      <c r="I316" s="25"/>
      <c r="L316" s="59"/>
      <c r="M316" s="59"/>
      <c r="N316" s="59"/>
    </row>
    <row r="317" ht="12.75" customHeight="1">
      <c r="I317" s="25"/>
      <c r="L317" s="59"/>
      <c r="M317" s="59"/>
      <c r="N317" s="59"/>
    </row>
    <row r="318" ht="12.75" customHeight="1">
      <c r="I318" s="25"/>
      <c r="L318" s="59"/>
      <c r="M318" s="59"/>
      <c r="N318" s="59"/>
    </row>
    <row r="319" ht="12.75" customHeight="1">
      <c r="I319" s="25"/>
      <c r="L319" s="59"/>
      <c r="M319" s="59"/>
      <c r="N319" s="59"/>
    </row>
    <row r="320" ht="12.75" customHeight="1">
      <c r="I320" s="25"/>
      <c r="L320" s="59"/>
      <c r="M320" s="59"/>
      <c r="N320" s="59"/>
    </row>
    <row r="321" ht="12.75" customHeight="1">
      <c r="I321" s="25"/>
      <c r="L321" s="59"/>
      <c r="M321" s="59"/>
      <c r="N321" s="59"/>
    </row>
    <row r="322" ht="12.75" customHeight="1">
      <c r="I322" s="25"/>
      <c r="L322" s="59"/>
      <c r="M322" s="59"/>
      <c r="N322" s="59"/>
    </row>
    <row r="323" ht="12.75" customHeight="1">
      <c r="I323" s="25"/>
      <c r="L323" s="59"/>
      <c r="M323" s="59"/>
      <c r="N323" s="59"/>
    </row>
    <row r="324" ht="12.75" customHeight="1">
      <c r="I324" s="25"/>
      <c r="L324" s="59"/>
      <c r="M324" s="59"/>
      <c r="N324" s="59"/>
    </row>
    <row r="325" ht="12.75" customHeight="1">
      <c r="I325" s="25"/>
      <c r="L325" s="59"/>
      <c r="M325" s="59"/>
      <c r="N325" s="59"/>
    </row>
    <row r="326" ht="12.75" customHeight="1">
      <c r="I326" s="25"/>
      <c r="L326" s="59"/>
      <c r="M326" s="59"/>
      <c r="N326" s="59"/>
    </row>
    <row r="327" ht="12.75" customHeight="1">
      <c r="I327" s="25"/>
      <c r="L327" s="59"/>
      <c r="M327" s="59"/>
      <c r="N327" s="59"/>
    </row>
    <row r="328" ht="12.75" customHeight="1">
      <c r="I328" s="25"/>
      <c r="L328" s="59"/>
      <c r="M328" s="59"/>
      <c r="N328" s="59"/>
    </row>
    <row r="329" ht="12.75" customHeight="1">
      <c r="I329" s="25"/>
      <c r="L329" s="59"/>
      <c r="M329" s="59"/>
      <c r="N329" s="59"/>
    </row>
    <row r="330" ht="12.75" customHeight="1">
      <c r="I330" s="25"/>
      <c r="L330" s="59"/>
      <c r="M330" s="59"/>
      <c r="N330" s="59"/>
    </row>
    <row r="331" ht="12.75" customHeight="1">
      <c r="I331" s="25"/>
      <c r="L331" s="59"/>
      <c r="M331" s="59"/>
      <c r="N331" s="59"/>
    </row>
    <row r="332" ht="12.75" customHeight="1">
      <c r="I332" s="25"/>
      <c r="L332" s="59"/>
      <c r="M332" s="59"/>
      <c r="N332" s="59"/>
    </row>
    <row r="333" ht="12.75" customHeight="1">
      <c r="I333" s="25"/>
      <c r="L333" s="59"/>
      <c r="M333" s="59"/>
      <c r="N333" s="59"/>
    </row>
    <row r="334" ht="12.75" customHeight="1">
      <c r="I334" s="25"/>
      <c r="L334" s="59"/>
      <c r="M334" s="59"/>
      <c r="N334" s="59"/>
    </row>
    <row r="335" ht="12.75" customHeight="1">
      <c r="I335" s="25"/>
      <c r="L335" s="59"/>
      <c r="M335" s="59"/>
      <c r="N335" s="59"/>
    </row>
    <row r="336" ht="12.75" customHeight="1">
      <c r="I336" s="25"/>
      <c r="L336" s="59"/>
      <c r="M336" s="59"/>
      <c r="N336" s="59"/>
    </row>
    <row r="337" ht="12.75" customHeight="1">
      <c r="I337" s="25"/>
      <c r="L337" s="59"/>
      <c r="M337" s="59"/>
      <c r="N337" s="59"/>
    </row>
    <row r="338" ht="12.75" customHeight="1">
      <c r="I338" s="25"/>
      <c r="L338" s="59"/>
      <c r="M338" s="59"/>
      <c r="N338" s="59"/>
    </row>
    <row r="339" ht="12.75" customHeight="1">
      <c r="I339" s="25"/>
      <c r="L339" s="59"/>
      <c r="M339" s="59"/>
      <c r="N339" s="59"/>
    </row>
    <row r="340" ht="12.75" customHeight="1">
      <c r="I340" s="25"/>
      <c r="L340" s="59"/>
      <c r="M340" s="59"/>
      <c r="N340" s="59"/>
    </row>
    <row r="341" ht="12.75" customHeight="1">
      <c r="I341" s="25"/>
      <c r="L341" s="59"/>
      <c r="M341" s="59"/>
      <c r="N341" s="59"/>
    </row>
    <row r="342" ht="12.75" customHeight="1">
      <c r="I342" s="25"/>
      <c r="L342" s="59"/>
      <c r="M342" s="59"/>
      <c r="N342" s="59"/>
    </row>
    <row r="343" ht="12.75" customHeight="1">
      <c r="I343" s="25"/>
      <c r="L343" s="59"/>
      <c r="M343" s="59"/>
      <c r="N343" s="59"/>
    </row>
    <row r="344" ht="12.75" customHeight="1">
      <c r="I344" s="25"/>
      <c r="L344" s="59"/>
      <c r="M344" s="59"/>
      <c r="N344" s="59"/>
    </row>
    <row r="345" ht="12.75" customHeight="1">
      <c r="I345" s="25"/>
      <c r="L345" s="59"/>
      <c r="M345" s="59"/>
      <c r="N345" s="59"/>
    </row>
    <row r="346" ht="12.75" customHeight="1">
      <c r="I346" s="25"/>
      <c r="L346" s="59"/>
      <c r="M346" s="59"/>
      <c r="N346" s="59"/>
    </row>
    <row r="347" ht="12.75" customHeight="1">
      <c r="I347" s="25"/>
      <c r="L347" s="59"/>
      <c r="M347" s="59"/>
      <c r="N347" s="59"/>
    </row>
    <row r="348" ht="12.75" customHeight="1">
      <c r="I348" s="25"/>
      <c r="L348" s="59"/>
      <c r="M348" s="59"/>
      <c r="N348" s="59"/>
    </row>
    <row r="349" ht="12.75" customHeight="1">
      <c r="I349" s="25"/>
      <c r="L349" s="59"/>
      <c r="M349" s="59"/>
      <c r="N349" s="59"/>
    </row>
    <row r="350" ht="12.75" customHeight="1">
      <c r="I350" s="25"/>
      <c r="L350" s="59"/>
      <c r="M350" s="59"/>
      <c r="N350" s="59"/>
    </row>
    <row r="351" ht="12.75" customHeight="1">
      <c r="I351" s="25"/>
      <c r="L351" s="59"/>
      <c r="M351" s="59"/>
      <c r="N351" s="59"/>
    </row>
    <row r="352" ht="12.75" customHeight="1">
      <c r="I352" s="25"/>
      <c r="L352" s="59"/>
      <c r="M352" s="59"/>
      <c r="N352" s="59"/>
    </row>
    <row r="353" ht="12.75" customHeight="1">
      <c r="I353" s="25"/>
      <c r="L353" s="59"/>
      <c r="M353" s="59"/>
      <c r="N353" s="59"/>
    </row>
    <row r="354" ht="12.75" customHeight="1">
      <c r="I354" s="25"/>
      <c r="L354" s="59"/>
      <c r="M354" s="59"/>
      <c r="N354" s="59"/>
    </row>
    <row r="355" ht="12.75" customHeight="1">
      <c r="I355" s="25"/>
      <c r="L355" s="59"/>
      <c r="M355" s="59"/>
      <c r="N355" s="59"/>
    </row>
    <row r="356" ht="12.75" customHeight="1">
      <c r="I356" s="25"/>
      <c r="L356" s="59"/>
      <c r="M356" s="59"/>
      <c r="N356" s="59"/>
    </row>
    <row r="357" ht="12.75" customHeight="1">
      <c r="I357" s="25"/>
      <c r="L357" s="59"/>
      <c r="M357" s="59"/>
      <c r="N357" s="59"/>
    </row>
    <row r="358" ht="12.75" customHeight="1">
      <c r="I358" s="25"/>
      <c r="L358" s="59"/>
      <c r="M358" s="59"/>
      <c r="N358" s="59"/>
    </row>
    <row r="359" ht="12.75" customHeight="1">
      <c r="I359" s="25"/>
      <c r="L359" s="59"/>
      <c r="M359" s="59"/>
      <c r="N359" s="59"/>
    </row>
    <row r="360" ht="12.75" customHeight="1">
      <c r="I360" s="25"/>
      <c r="L360" s="59"/>
      <c r="M360" s="59"/>
      <c r="N360" s="59"/>
    </row>
    <row r="361" ht="12.75" customHeight="1">
      <c r="I361" s="25"/>
      <c r="L361" s="59"/>
      <c r="M361" s="59"/>
      <c r="N361" s="59"/>
    </row>
    <row r="362" ht="12.75" customHeight="1">
      <c r="I362" s="25"/>
      <c r="L362" s="59"/>
      <c r="M362" s="59"/>
      <c r="N362" s="59"/>
    </row>
    <row r="363" ht="12.75" customHeight="1">
      <c r="I363" s="25"/>
      <c r="L363" s="59"/>
      <c r="M363" s="59"/>
      <c r="N363" s="59"/>
    </row>
    <row r="364" ht="12.75" customHeight="1">
      <c r="I364" s="25"/>
      <c r="L364" s="59"/>
      <c r="M364" s="59"/>
      <c r="N364" s="59"/>
    </row>
    <row r="365" ht="12.75" customHeight="1">
      <c r="I365" s="25"/>
      <c r="L365" s="59"/>
      <c r="M365" s="59"/>
      <c r="N365" s="59"/>
    </row>
    <row r="366" ht="12.75" customHeight="1">
      <c r="I366" s="25"/>
      <c r="L366" s="59"/>
      <c r="M366" s="59"/>
      <c r="N366" s="59"/>
    </row>
    <row r="367" ht="12.75" customHeight="1">
      <c r="I367" s="25"/>
      <c r="L367" s="59"/>
      <c r="M367" s="59"/>
      <c r="N367" s="59"/>
    </row>
    <row r="368" ht="12.75" customHeight="1">
      <c r="I368" s="25"/>
      <c r="L368" s="59"/>
      <c r="M368" s="59"/>
      <c r="N368" s="59"/>
    </row>
    <row r="369" ht="12.75" customHeight="1">
      <c r="I369" s="25"/>
      <c r="L369" s="59"/>
      <c r="M369" s="59"/>
      <c r="N369" s="59"/>
    </row>
    <row r="370" ht="12.75" customHeight="1">
      <c r="I370" s="25"/>
      <c r="L370" s="59"/>
      <c r="M370" s="59"/>
      <c r="N370" s="59"/>
    </row>
    <row r="371" ht="12.75" customHeight="1">
      <c r="I371" s="25"/>
      <c r="L371" s="59"/>
      <c r="M371" s="59"/>
      <c r="N371" s="59"/>
    </row>
    <row r="372" ht="12.75" customHeight="1">
      <c r="I372" s="25"/>
      <c r="L372" s="59"/>
      <c r="M372" s="59"/>
      <c r="N372" s="59"/>
    </row>
    <row r="373" ht="12.75" customHeight="1">
      <c r="I373" s="25"/>
      <c r="L373" s="59"/>
      <c r="M373" s="59"/>
      <c r="N373" s="59"/>
    </row>
    <row r="374" ht="12.75" customHeight="1">
      <c r="I374" s="25"/>
      <c r="L374" s="59"/>
      <c r="M374" s="59"/>
      <c r="N374" s="59"/>
    </row>
    <row r="375" ht="12.75" customHeight="1">
      <c r="I375" s="25"/>
      <c r="L375" s="59"/>
      <c r="M375" s="59"/>
      <c r="N375" s="59"/>
    </row>
    <row r="376" ht="12.75" customHeight="1">
      <c r="I376" s="25"/>
      <c r="L376" s="59"/>
      <c r="M376" s="59"/>
      <c r="N376" s="59"/>
    </row>
    <row r="377" ht="12.75" customHeight="1">
      <c r="I377" s="25"/>
      <c r="L377" s="59"/>
      <c r="M377" s="59"/>
      <c r="N377" s="59"/>
    </row>
    <row r="378" ht="12.75" customHeight="1">
      <c r="I378" s="25"/>
      <c r="L378" s="59"/>
      <c r="M378" s="59"/>
      <c r="N378" s="59"/>
    </row>
    <row r="379" ht="12.75" customHeight="1">
      <c r="I379" s="25"/>
      <c r="L379" s="59"/>
      <c r="M379" s="59"/>
      <c r="N379" s="59"/>
    </row>
    <row r="380" ht="12.75" customHeight="1">
      <c r="I380" s="25"/>
      <c r="L380" s="59"/>
      <c r="M380" s="59"/>
      <c r="N380" s="59"/>
    </row>
    <row r="381" ht="12.75" customHeight="1">
      <c r="I381" s="25"/>
      <c r="L381" s="59"/>
      <c r="M381" s="59"/>
      <c r="N381" s="59"/>
    </row>
    <row r="382" ht="12.75" customHeight="1">
      <c r="I382" s="25"/>
      <c r="L382" s="59"/>
      <c r="M382" s="59"/>
      <c r="N382" s="59"/>
    </row>
    <row r="383" ht="12.75" customHeight="1">
      <c r="I383" s="25"/>
      <c r="L383" s="59"/>
      <c r="M383" s="59"/>
      <c r="N383" s="59"/>
    </row>
    <row r="384" ht="12.75" customHeight="1">
      <c r="I384" s="25"/>
      <c r="L384" s="59"/>
      <c r="M384" s="59"/>
      <c r="N384" s="59"/>
    </row>
    <row r="385" ht="12.75" customHeight="1">
      <c r="I385" s="25"/>
      <c r="L385" s="59"/>
      <c r="M385" s="59"/>
      <c r="N385" s="59"/>
    </row>
    <row r="386" ht="12.75" customHeight="1">
      <c r="I386" s="25"/>
      <c r="L386" s="59"/>
      <c r="M386" s="59"/>
      <c r="N386" s="59"/>
    </row>
    <row r="387" ht="12.75" customHeight="1">
      <c r="I387" s="25"/>
      <c r="L387" s="59"/>
      <c r="M387" s="59"/>
      <c r="N387" s="59"/>
    </row>
    <row r="388" ht="12.75" customHeight="1">
      <c r="I388" s="25"/>
      <c r="L388" s="59"/>
      <c r="M388" s="59"/>
      <c r="N388" s="59"/>
    </row>
    <row r="389" ht="12.75" customHeight="1">
      <c r="I389" s="25"/>
      <c r="L389" s="59"/>
      <c r="M389" s="59"/>
      <c r="N389" s="59"/>
    </row>
    <row r="390" ht="12.75" customHeight="1">
      <c r="I390" s="25"/>
      <c r="L390" s="59"/>
      <c r="M390" s="59"/>
      <c r="N390" s="59"/>
    </row>
    <row r="391" ht="12.75" customHeight="1">
      <c r="I391" s="25"/>
      <c r="L391" s="59"/>
      <c r="M391" s="59"/>
      <c r="N391" s="59"/>
    </row>
    <row r="392" ht="12.75" customHeight="1">
      <c r="I392" s="25"/>
      <c r="L392" s="59"/>
      <c r="M392" s="59"/>
      <c r="N392" s="59"/>
    </row>
    <row r="393" ht="12.75" customHeight="1">
      <c r="I393" s="25"/>
      <c r="L393" s="59"/>
      <c r="M393" s="59"/>
      <c r="N393" s="59"/>
    </row>
    <row r="394" ht="12.75" customHeight="1">
      <c r="I394" s="25"/>
      <c r="L394" s="59"/>
      <c r="M394" s="59"/>
      <c r="N394" s="59"/>
    </row>
    <row r="395" ht="12.75" customHeight="1">
      <c r="I395" s="25"/>
      <c r="L395" s="59"/>
      <c r="M395" s="59"/>
      <c r="N395" s="59"/>
    </row>
    <row r="396" ht="12.75" customHeight="1">
      <c r="I396" s="25"/>
      <c r="L396" s="59"/>
      <c r="M396" s="59"/>
      <c r="N396" s="59"/>
    </row>
    <row r="397" ht="12.75" customHeight="1">
      <c r="I397" s="25"/>
      <c r="L397" s="59"/>
      <c r="M397" s="59"/>
      <c r="N397" s="59"/>
    </row>
    <row r="398" ht="12.75" customHeight="1">
      <c r="I398" s="25"/>
      <c r="L398" s="59"/>
      <c r="M398" s="59"/>
      <c r="N398" s="59"/>
    </row>
    <row r="399" ht="12.75" customHeight="1">
      <c r="I399" s="25"/>
      <c r="L399" s="59"/>
      <c r="M399" s="59"/>
      <c r="N399" s="59"/>
    </row>
    <row r="400" ht="12.75" customHeight="1">
      <c r="I400" s="25"/>
      <c r="L400" s="59"/>
      <c r="M400" s="59"/>
      <c r="N400" s="59"/>
    </row>
    <row r="401" ht="12.75" customHeight="1">
      <c r="I401" s="25"/>
      <c r="L401" s="59"/>
      <c r="M401" s="59"/>
      <c r="N401" s="59"/>
    </row>
    <row r="402" ht="12.75" customHeight="1">
      <c r="I402" s="25"/>
      <c r="L402" s="59"/>
      <c r="M402" s="59"/>
      <c r="N402" s="59"/>
    </row>
    <row r="403" ht="12.75" customHeight="1">
      <c r="I403" s="25"/>
      <c r="L403" s="59"/>
      <c r="M403" s="59"/>
      <c r="N403" s="59"/>
    </row>
    <row r="404" ht="12.75" customHeight="1">
      <c r="I404" s="25"/>
      <c r="L404" s="59"/>
      <c r="M404" s="59"/>
      <c r="N404" s="59"/>
    </row>
    <row r="405" ht="12.75" customHeight="1">
      <c r="I405" s="25"/>
      <c r="L405" s="59"/>
      <c r="M405" s="59"/>
      <c r="N405" s="59"/>
    </row>
    <row r="406" ht="12.75" customHeight="1">
      <c r="I406" s="25"/>
      <c r="L406" s="59"/>
      <c r="M406" s="59"/>
      <c r="N406" s="59"/>
    </row>
    <row r="407" ht="12.75" customHeight="1">
      <c r="I407" s="25"/>
      <c r="L407" s="59"/>
      <c r="M407" s="59"/>
      <c r="N407" s="59"/>
    </row>
    <row r="408" ht="12.75" customHeight="1">
      <c r="I408" s="25"/>
      <c r="L408" s="59"/>
      <c r="M408" s="59"/>
      <c r="N408" s="59"/>
    </row>
    <row r="409" ht="12.75" customHeight="1">
      <c r="I409" s="25"/>
      <c r="L409" s="59"/>
      <c r="M409" s="59"/>
      <c r="N409" s="59"/>
    </row>
    <row r="410" ht="12.75" customHeight="1">
      <c r="I410" s="25"/>
      <c r="L410" s="59"/>
      <c r="M410" s="59"/>
      <c r="N410" s="59"/>
    </row>
    <row r="411" ht="12.75" customHeight="1">
      <c r="I411" s="25"/>
      <c r="L411" s="59"/>
      <c r="M411" s="59"/>
      <c r="N411" s="59"/>
    </row>
    <row r="412" ht="12.75" customHeight="1">
      <c r="I412" s="25"/>
      <c r="L412" s="59"/>
      <c r="M412" s="59"/>
      <c r="N412" s="59"/>
    </row>
    <row r="413" ht="12.75" customHeight="1">
      <c r="I413" s="25"/>
      <c r="L413" s="59"/>
      <c r="M413" s="59"/>
      <c r="N413" s="59"/>
    </row>
    <row r="414" ht="12.75" customHeight="1">
      <c r="I414" s="25"/>
      <c r="L414" s="59"/>
      <c r="M414" s="59"/>
      <c r="N414" s="59"/>
    </row>
    <row r="415" ht="12.75" customHeight="1">
      <c r="I415" s="25"/>
      <c r="L415" s="59"/>
      <c r="M415" s="59"/>
      <c r="N415" s="59"/>
    </row>
    <row r="416" ht="12.75" customHeight="1">
      <c r="I416" s="25"/>
      <c r="L416" s="59"/>
      <c r="M416" s="59"/>
      <c r="N416" s="59"/>
    </row>
    <row r="417" ht="12.75" customHeight="1">
      <c r="I417" s="25"/>
      <c r="L417" s="59"/>
      <c r="M417" s="59"/>
      <c r="N417" s="59"/>
    </row>
    <row r="418" ht="12.75" customHeight="1">
      <c r="I418" s="25"/>
      <c r="L418" s="59"/>
      <c r="M418" s="59"/>
      <c r="N418" s="59"/>
    </row>
    <row r="419" ht="12.75" customHeight="1">
      <c r="I419" s="25"/>
      <c r="L419" s="59"/>
      <c r="M419" s="59"/>
      <c r="N419" s="59"/>
    </row>
    <row r="420" ht="12.75" customHeight="1">
      <c r="I420" s="25"/>
      <c r="L420" s="59"/>
      <c r="M420" s="59"/>
      <c r="N420" s="59"/>
    </row>
    <row r="421" ht="12.75" customHeight="1">
      <c r="I421" s="25"/>
      <c r="L421" s="59"/>
      <c r="M421" s="59"/>
      <c r="N421" s="59"/>
    </row>
    <row r="422" ht="12.75" customHeight="1">
      <c r="I422" s="25"/>
      <c r="L422" s="59"/>
      <c r="M422" s="59"/>
      <c r="N422" s="59"/>
    </row>
    <row r="423" ht="12.75" customHeight="1">
      <c r="I423" s="25"/>
      <c r="L423" s="59"/>
      <c r="M423" s="59"/>
      <c r="N423" s="59"/>
    </row>
    <row r="424" ht="12.75" customHeight="1">
      <c r="I424" s="25"/>
      <c r="L424" s="59"/>
      <c r="M424" s="59"/>
      <c r="N424" s="59"/>
    </row>
    <row r="425" ht="12.75" customHeight="1">
      <c r="I425" s="25"/>
      <c r="L425" s="59"/>
      <c r="M425" s="59"/>
      <c r="N425" s="59"/>
    </row>
    <row r="426" ht="12.75" customHeight="1">
      <c r="I426" s="25"/>
      <c r="L426" s="59"/>
      <c r="M426" s="59"/>
      <c r="N426" s="59"/>
    </row>
    <row r="427" ht="12.75" customHeight="1">
      <c r="I427" s="25"/>
      <c r="L427" s="59"/>
      <c r="M427" s="59"/>
      <c r="N427" s="59"/>
    </row>
    <row r="428" ht="12.75" customHeight="1">
      <c r="I428" s="25"/>
      <c r="L428" s="59"/>
      <c r="M428" s="59"/>
      <c r="N428" s="59"/>
    </row>
    <row r="429" ht="12.75" customHeight="1">
      <c r="I429" s="25"/>
      <c r="L429" s="59"/>
      <c r="M429" s="59"/>
      <c r="N429" s="59"/>
    </row>
    <row r="430" ht="12.75" customHeight="1">
      <c r="I430" s="25"/>
      <c r="L430" s="59"/>
      <c r="M430" s="59"/>
      <c r="N430" s="59"/>
    </row>
    <row r="431" ht="12.75" customHeight="1">
      <c r="I431" s="25"/>
      <c r="L431" s="59"/>
      <c r="M431" s="59"/>
      <c r="N431" s="59"/>
    </row>
    <row r="432" ht="12.75" customHeight="1">
      <c r="I432" s="25"/>
      <c r="L432" s="59"/>
      <c r="M432" s="59"/>
      <c r="N432" s="59"/>
    </row>
    <row r="433" ht="12.75" customHeight="1">
      <c r="I433" s="25"/>
      <c r="L433" s="59"/>
      <c r="M433" s="59"/>
      <c r="N433" s="59"/>
    </row>
    <row r="434" ht="12.75" customHeight="1">
      <c r="I434" s="25"/>
      <c r="L434" s="59"/>
      <c r="M434" s="59"/>
      <c r="N434" s="59"/>
    </row>
    <row r="435" ht="12.75" customHeight="1">
      <c r="I435" s="25"/>
      <c r="L435" s="59"/>
      <c r="M435" s="59"/>
      <c r="N435" s="59"/>
    </row>
    <row r="436" ht="12.75" customHeight="1">
      <c r="I436" s="25"/>
      <c r="L436" s="59"/>
      <c r="M436" s="59"/>
      <c r="N436" s="59"/>
    </row>
    <row r="437" ht="12.75" customHeight="1">
      <c r="I437" s="25"/>
      <c r="L437" s="59"/>
      <c r="M437" s="59"/>
      <c r="N437" s="59"/>
    </row>
    <row r="438" ht="12.75" customHeight="1">
      <c r="I438" s="25"/>
      <c r="L438" s="59"/>
      <c r="M438" s="59"/>
      <c r="N438" s="59"/>
    </row>
    <row r="439" ht="12.75" customHeight="1">
      <c r="I439" s="25"/>
      <c r="L439" s="59"/>
      <c r="M439" s="59"/>
      <c r="N439" s="59"/>
    </row>
    <row r="440" ht="12.75" customHeight="1">
      <c r="I440" s="25"/>
      <c r="L440" s="59"/>
      <c r="M440" s="59"/>
      <c r="N440" s="59"/>
    </row>
    <row r="441" ht="12.75" customHeight="1">
      <c r="I441" s="25"/>
      <c r="L441" s="59"/>
      <c r="M441" s="59"/>
      <c r="N441" s="59"/>
    </row>
    <row r="442" ht="12.75" customHeight="1">
      <c r="I442" s="25"/>
      <c r="L442" s="59"/>
      <c r="M442" s="59"/>
      <c r="N442" s="59"/>
    </row>
    <row r="443" ht="12.75" customHeight="1">
      <c r="I443" s="25"/>
      <c r="L443" s="59"/>
      <c r="M443" s="59"/>
      <c r="N443" s="59"/>
    </row>
    <row r="444" ht="12.75" customHeight="1">
      <c r="I444" s="25"/>
      <c r="L444" s="59"/>
      <c r="M444" s="59"/>
      <c r="N444" s="59"/>
    </row>
    <row r="445" ht="12.75" customHeight="1">
      <c r="I445" s="25"/>
      <c r="L445" s="59"/>
      <c r="M445" s="59"/>
      <c r="N445" s="59"/>
    </row>
    <row r="446" ht="12.75" customHeight="1">
      <c r="I446" s="25"/>
      <c r="L446" s="59"/>
      <c r="M446" s="59"/>
      <c r="N446" s="59"/>
    </row>
    <row r="447" ht="12.75" customHeight="1">
      <c r="I447" s="25"/>
      <c r="L447" s="59"/>
      <c r="M447" s="59"/>
      <c r="N447" s="59"/>
    </row>
    <row r="448" ht="12.75" customHeight="1">
      <c r="I448" s="25"/>
      <c r="L448" s="59"/>
      <c r="M448" s="59"/>
      <c r="N448" s="59"/>
    </row>
    <row r="449" ht="12.75" customHeight="1">
      <c r="I449" s="25"/>
      <c r="L449" s="59"/>
      <c r="M449" s="59"/>
      <c r="N449" s="59"/>
    </row>
    <row r="450" ht="12.75" customHeight="1">
      <c r="I450" s="25"/>
      <c r="L450" s="59"/>
      <c r="M450" s="59"/>
      <c r="N450" s="59"/>
    </row>
    <row r="451" ht="12.75" customHeight="1">
      <c r="I451" s="25"/>
      <c r="L451" s="59"/>
      <c r="M451" s="59"/>
      <c r="N451" s="59"/>
    </row>
    <row r="452" ht="12.75" customHeight="1">
      <c r="I452" s="25"/>
      <c r="L452" s="59"/>
      <c r="M452" s="59"/>
      <c r="N452" s="59"/>
    </row>
    <row r="453" ht="12.75" customHeight="1">
      <c r="I453" s="25"/>
      <c r="L453" s="59"/>
      <c r="M453" s="59"/>
      <c r="N453" s="59"/>
    </row>
    <row r="454" ht="12.75" customHeight="1">
      <c r="I454" s="25"/>
      <c r="L454" s="59"/>
      <c r="M454" s="59"/>
      <c r="N454" s="59"/>
    </row>
    <row r="455" ht="12.75" customHeight="1">
      <c r="I455" s="25"/>
      <c r="L455" s="59"/>
      <c r="M455" s="59"/>
      <c r="N455" s="59"/>
    </row>
    <row r="456" ht="12.75" customHeight="1">
      <c r="I456" s="25"/>
      <c r="L456" s="59"/>
      <c r="M456" s="59"/>
      <c r="N456" s="59"/>
    </row>
    <row r="457" ht="12.75" customHeight="1">
      <c r="I457" s="25"/>
      <c r="L457" s="59"/>
      <c r="M457" s="59"/>
      <c r="N457" s="59"/>
    </row>
    <row r="458" ht="12.75" customHeight="1">
      <c r="I458" s="25"/>
      <c r="L458" s="59"/>
      <c r="M458" s="59"/>
      <c r="N458" s="59"/>
    </row>
    <row r="459" ht="12.75" customHeight="1">
      <c r="I459" s="25"/>
      <c r="L459" s="59"/>
      <c r="M459" s="59"/>
      <c r="N459" s="59"/>
    </row>
    <row r="460" ht="12.75" customHeight="1">
      <c r="I460" s="25"/>
      <c r="L460" s="59"/>
      <c r="M460" s="59"/>
      <c r="N460" s="59"/>
    </row>
    <row r="461" ht="12.75" customHeight="1">
      <c r="I461" s="25"/>
      <c r="L461" s="59"/>
      <c r="M461" s="59"/>
      <c r="N461" s="59"/>
    </row>
    <row r="462" ht="12.75" customHeight="1">
      <c r="I462" s="25"/>
      <c r="L462" s="59"/>
      <c r="M462" s="59"/>
      <c r="N462" s="59"/>
    </row>
    <row r="463" ht="12.75" customHeight="1">
      <c r="I463" s="25"/>
      <c r="L463" s="59"/>
      <c r="M463" s="59"/>
      <c r="N463" s="59"/>
    </row>
    <row r="464" ht="12.75" customHeight="1">
      <c r="I464" s="25"/>
      <c r="L464" s="59"/>
      <c r="M464" s="59"/>
      <c r="N464" s="59"/>
    </row>
    <row r="465" ht="12.75" customHeight="1">
      <c r="I465" s="25"/>
      <c r="L465" s="59"/>
      <c r="M465" s="59"/>
      <c r="N465" s="59"/>
    </row>
    <row r="466" ht="12.75" customHeight="1">
      <c r="I466" s="25"/>
      <c r="L466" s="59"/>
      <c r="M466" s="59"/>
      <c r="N466" s="59"/>
    </row>
    <row r="467" ht="12.75" customHeight="1">
      <c r="I467" s="25"/>
      <c r="L467" s="59"/>
      <c r="M467" s="59"/>
      <c r="N467" s="59"/>
    </row>
    <row r="468" ht="12.75" customHeight="1">
      <c r="I468" s="25"/>
      <c r="L468" s="59"/>
      <c r="M468" s="59"/>
      <c r="N468" s="59"/>
    </row>
    <row r="469" ht="12.75" customHeight="1">
      <c r="I469" s="25"/>
      <c r="L469" s="59"/>
      <c r="M469" s="59"/>
      <c r="N469" s="59"/>
    </row>
    <row r="470" ht="12.75" customHeight="1">
      <c r="I470" s="25"/>
      <c r="L470" s="59"/>
      <c r="M470" s="59"/>
      <c r="N470" s="59"/>
    </row>
    <row r="471" ht="12.75" customHeight="1">
      <c r="I471" s="25"/>
      <c r="L471" s="59"/>
      <c r="M471" s="59"/>
      <c r="N471" s="59"/>
    </row>
    <row r="472" ht="12.75" customHeight="1">
      <c r="I472" s="25"/>
      <c r="L472" s="59"/>
      <c r="M472" s="59"/>
      <c r="N472" s="59"/>
    </row>
    <row r="473" ht="12.75" customHeight="1">
      <c r="I473" s="25"/>
      <c r="L473" s="59"/>
      <c r="M473" s="59"/>
      <c r="N473" s="59"/>
    </row>
    <row r="474" ht="12.75" customHeight="1">
      <c r="I474" s="25"/>
      <c r="L474" s="59"/>
      <c r="M474" s="59"/>
      <c r="N474" s="59"/>
    </row>
    <row r="475" ht="12.75" customHeight="1">
      <c r="I475" s="25"/>
      <c r="L475" s="59"/>
      <c r="M475" s="59"/>
      <c r="N475" s="59"/>
    </row>
    <row r="476" ht="12.75" customHeight="1">
      <c r="I476" s="25"/>
      <c r="L476" s="59"/>
      <c r="M476" s="59"/>
      <c r="N476" s="59"/>
    </row>
    <row r="477" ht="12.75" customHeight="1">
      <c r="I477" s="25"/>
      <c r="L477" s="59"/>
      <c r="M477" s="59"/>
      <c r="N477" s="59"/>
    </row>
    <row r="478" ht="12.75" customHeight="1">
      <c r="I478" s="25"/>
      <c r="L478" s="59"/>
      <c r="M478" s="59"/>
      <c r="N478" s="59"/>
    </row>
    <row r="479" ht="12.75" customHeight="1">
      <c r="I479" s="25"/>
      <c r="L479" s="59"/>
      <c r="M479" s="59"/>
      <c r="N479" s="59"/>
    </row>
    <row r="480" ht="12.75" customHeight="1">
      <c r="I480" s="25"/>
      <c r="L480" s="59"/>
      <c r="M480" s="59"/>
      <c r="N480" s="59"/>
    </row>
    <row r="481" ht="12.75" customHeight="1">
      <c r="I481" s="25"/>
      <c r="L481" s="59"/>
      <c r="M481" s="59"/>
      <c r="N481" s="59"/>
    </row>
    <row r="482" ht="12.75" customHeight="1">
      <c r="I482" s="25"/>
      <c r="L482" s="59"/>
      <c r="M482" s="59"/>
      <c r="N482" s="59"/>
    </row>
    <row r="483" ht="12.75" customHeight="1">
      <c r="I483" s="25"/>
      <c r="L483" s="59"/>
      <c r="M483" s="59"/>
      <c r="N483" s="59"/>
    </row>
    <row r="484" ht="12.75" customHeight="1">
      <c r="I484" s="25"/>
      <c r="L484" s="59"/>
      <c r="M484" s="59"/>
      <c r="N484" s="59"/>
    </row>
    <row r="485" ht="12.75" customHeight="1">
      <c r="I485" s="25"/>
      <c r="L485" s="59"/>
      <c r="M485" s="59"/>
      <c r="N485" s="59"/>
    </row>
    <row r="486" ht="12.75" customHeight="1">
      <c r="I486" s="25"/>
      <c r="L486" s="59"/>
      <c r="M486" s="59"/>
      <c r="N486" s="59"/>
    </row>
    <row r="487" ht="12.75" customHeight="1">
      <c r="I487" s="25"/>
      <c r="L487" s="59"/>
      <c r="M487" s="59"/>
      <c r="N487" s="59"/>
    </row>
    <row r="488" ht="12.75" customHeight="1">
      <c r="I488" s="25"/>
      <c r="L488" s="59"/>
      <c r="M488" s="59"/>
      <c r="N488" s="59"/>
    </row>
    <row r="489" ht="12.75" customHeight="1">
      <c r="I489" s="25"/>
      <c r="L489" s="59"/>
      <c r="M489" s="59"/>
      <c r="N489" s="59"/>
    </row>
    <row r="490" ht="12.75" customHeight="1">
      <c r="I490" s="25"/>
      <c r="L490" s="59"/>
      <c r="M490" s="59"/>
      <c r="N490" s="59"/>
    </row>
    <row r="491" ht="12.75" customHeight="1">
      <c r="I491" s="25"/>
      <c r="L491" s="59"/>
      <c r="M491" s="59"/>
      <c r="N491" s="59"/>
    </row>
    <row r="492" ht="12.75" customHeight="1">
      <c r="I492" s="25"/>
      <c r="L492" s="59"/>
      <c r="M492" s="59"/>
      <c r="N492" s="59"/>
    </row>
    <row r="493" ht="12.75" customHeight="1">
      <c r="I493" s="25"/>
      <c r="L493" s="59"/>
      <c r="M493" s="59"/>
      <c r="N493" s="59"/>
    </row>
    <row r="494" ht="12.75" customHeight="1">
      <c r="I494" s="25"/>
      <c r="L494" s="59"/>
      <c r="M494" s="59"/>
      <c r="N494" s="59"/>
    </row>
    <row r="495" ht="12.75" customHeight="1">
      <c r="I495" s="25"/>
      <c r="L495" s="59"/>
      <c r="M495" s="59"/>
      <c r="N495" s="59"/>
    </row>
    <row r="496" ht="12.75" customHeight="1">
      <c r="I496" s="25"/>
      <c r="L496" s="59"/>
      <c r="M496" s="59"/>
      <c r="N496" s="59"/>
    </row>
    <row r="497" ht="12.75" customHeight="1">
      <c r="I497" s="25"/>
      <c r="L497" s="59"/>
      <c r="M497" s="59"/>
      <c r="N497" s="59"/>
    </row>
    <row r="498" ht="12.75" customHeight="1">
      <c r="I498" s="25"/>
      <c r="L498" s="59"/>
      <c r="M498" s="59"/>
      <c r="N498" s="59"/>
    </row>
    <row r="499" ht="12.75" customHeight="1">
      <c r="I499" s="25"/>
      <c r="L499" s="59"/>
      <c r="M499" s="59"/>
      <c r="N499" s="59"/>
    </row>
    <row r="500" ht="12.75" customHeight="1">
      <c r="I500" s="25"/>
      <c r="L500" s="59"/>
      <c r="M500" s="59"/>
      <c r="N500" s="59"/>
    </row>
    <row r="501" ht="12.75" customHeight="1">
      <c r="I501" s="25"/>
      <c r="L501" s="59"/>
      <c r="M501" s="59"/>
      <c r="N501" s="59"/>
    </row>
    <row r="502" ht="12.75" customHeight="1">
      <c r="I502" s="25"/>
      <c r="L502" s="59"/>
      <c r="M502" s="59"/>
      <c r="N502" s="59"/>
    </row>
    <row r="503" ht="12.75" customHeight="1">
      <c r="I503" s="25"/>
      <c r="L503" s="59"/>
      <c r="M503" s="59"/>
      <c r="N503" s="59"/>
    </row>
    <row r="504" ht="12.75" customHeight="1">
      <c r="I504" s="25"/>
      <c r="L504" s="59"/>
      <c r="M504" s="59"/>
      <c r="N504" s="59"/>
    </row>
    <row r="505" ht="12.75" customHeight="1">
      <c r="I505" s="25"/>
      <c r="L505" s="59"/>
      <c r="M505" s="59"/>
      <c r="N505" s="59"/>
    </row>
    <row r="506" ht="12.75" customHeight="1">
      <c r="I506" s="25"/>
      <c r="L506" s="59"/>
      <c r="M506" s="59"/>
      <c r="N506" s="59"/>
    </row>
    <row r="507" ht="12.75" customHeight="1">
      <c r="I507" s="25"/>
      <c r="L507" s="59"/>
      <c r="M507" s="59"/>
      <c r="N507" s="59"/>
    </row>
    <row r="508" ht="12.75" customHeight="1">
      <c r="I508" s="25"/>
      <c r="L508" s="59"/>
      <c r="M508" s="59"/>
      <c r="N508" s="59"/>
    </row>
    <row r="509" ht="12.75" customHeight="1">
      <c r="I509" s="25"/>
      <c r="L509" s="59"/>
      <c r="M509" s="59"/>
      <c r="N509" s="59"/>
    </row>
    <row r="510" ht="12.75" customHeight="1">
      <c r="I510" s="25"/>
      <c r="L510" s="59"/>
      <c r="M510" s="59"/>
      <c r="N510" s="59"/>
    </row>
    <row r="511" ht="12.75" customHeight="1">
      <c r="I511" s="25"/>
      <c r="L511" s="59"/>
      <c r="M511" s="59"/>
      <c r="N511" s="59"/>
    </row>
    <row r="512" ht="12.75" customHeight="1">
      <c r="I512" s="25"/>
      <c r="L512" s="59"/>
      <c r="M512" s="59"/>
      <c r="N512" s="59"/>
    </row>
    <row r="513" ht="12.75" customHeight="1">
      <c r="I513" s="25"/>
      <c r="L513" s="59"/>
      <c r="M513" s="59"/>
      <c r="N513" s="59"/>
    </row>
    <row r="514" ht="12.75" customHeight="1">
      <c r="I514" s="25"/>
      <c r="L514" s="59"/>
      <c r="M514" s="59"/>
      <c r="N514" s="59"/>
    </row>
    <row r="515" ht="12.75" customHeight="1">
      <c r="I515" s="25"/>
      <c r="L515" s="59"/>
      <c r="M515" s="59"/>
      <c r="N515" s="59"/>
    </row>
    <row r="516" ht="12.75" customHeight="1">
      <c r="I516" s="25"/>
      <c r="L516" s="59"/>
      <c r="M516" s="59"/>
      <c r="N516" s="59"/>
    </row>
    <row r="517" ht="12.75" customHeight="1">
      <c r="I517" s="25"/>
      <c r="L517" s="59"/>
      <c r="M517" s="59"/>
      <c r="N517" s="59"/>
    </row>
    <row r="518" ht="12.75" customHeight="1">
      <c r="I518" s="25"/>
      <c r="L518" s="59"/>
      <c r="M518" s="59"/>
      <c r="N518" s="59"/>
    </row>
    <row r="519" ht="12.75" customHeight="1">
      <c r="I519" s="25"/>
      <c r="L519" s="59"/>
      <c r="M519" s="59"/>
      <c r="N519" s="59"/>
    </row>
    <row r="520" ht="12.75" customHeight="1">
      <c r="I520" s="25"/>
      <c r="L520" s="59"/>
      <c r="M520" s="59"/>
      <c r="N520" s="59"/>
    </row>
    <row r="521" ht="12.75" customHeight="1">
      <c r="I521" s="25"/>
      <c r="L521" s="59"/>
      <c r="M521" s="59"/>
      <c r="N521" s="59"/>
    </row>
    <row r="522" ht="12.75" customHeight="1">
      <c r="I522" s="25"/>
      <c r="L522" s="59"/>
      <c r="M522" s="59"/>
      <c r="N522" s="59"/>
    </row>
    <row r="523" ht="12.75" customHeight="1">
      <c r="I523" s="25"/>
      <c r="L523" s="59"/>
      <c r="M523" s="59"/>
      <c r="N523" s="59"/>
    </row>
    <row r="524" ht="12.75" customHeight="1">
      <c r="I524" s="25"/>
      <c r="L524" s="59"/>
      <c r="M524" s="59"/>
      <c r="N524" s="59"/>
    </row>
    <row r="525" ht="12.75" customHeight="1">
      <c r="I525" s="25"/>
      <c r="L525" s="59"/>
      <c r="M525" s="59"/>
      <c r="N525" s="59"/>
    </row>
    <row r="526" ht="12.75" customHeight="1">
      <c r="I526" s="25"/>
      <c r="L526" s="59"/>
      <c r="M526" s="59"/>
      <c r="N526" s="59"/>
    </row>
    <row r="527" ht="12.75" customHeight="1">
      <c r="I527" s="25"/>
      <c r="L527" s="59"/>
      <c r="M527" s="59"/>
      <c r="N527" s="59"/>
    </row>
    <row r="528" ht="12.75" customHeight="1">
      <c r="I528" s="25"/>
      <c r="L528" s="59"/>
      <c r="M528" s="59"/>
      <c r="N528" s="59"/>
    </row>
    <row r="529" ht="12.75" customHeight="1">
      <c r="I529" s="25"/>
      <c r="L529" s="59"/>
      <c r="M529" s="59"/>
      <c r="N529" s="59"/>
    </row>
    <row r="530" ht="12.75" customHeight="1">
      <c r="I530" s="25"/>
      <c r="L530" s="59"/>
      <c r="M530" s="59"/>
      <c r="N530" s="59"/>
    </row>
    <row r="531" ht="12.75" customHeight="1">
      <c r="I531" s="25"/>
      <c r="L531" s="59"/>
      <c r="M531" s="59"/>
      <c r="N531" s="59"/>
    </row>
    <row r="532" ht="12.75" customHeight="1">
      <c r="I532" s="25"/>
      <c r="L532" s="59"/>
      <c r="M532" s="59"/>
      <c r="N532" s="59"/>
    </row>
    <row r="533" ht="12.75" customHeight="1">
      <c r="I533" s="25"/>
      <c r="L533" s="59"/>
      <c r="M533" s="59"/>
      <c r="N533" s="59"/>
    </row>
    <row r="534" ht="12.75" customHeight="1">
      <c r="I534" s="25"/>
      <c r="L534" s="59"/>
      <c r="M534" s="59"/>
      <c r="N534" s="59"/>
    </row>
    <row r="535" ht="12.75" customHeight="1">
      <c r="I535" s="25"/>
      <c r="L535" s="59"/>
      <c r="M535" s="59"/>
      <c r="N535" s="59"/>
    </row>
    <row r="536" ht="12.75" customHeight="1">
      <c r="I536" s="25"/>
      <c r="L536" s="59"/>
      <c r="M536" s="59"/>
      <c r="N536" s="59"/>
    </row>
    <row r="537" ht="12.75" customHeight="1">
      <c r="I537" s="25"/>
      <c r="L537" s="59"/>
      <c r="M537" s="59"/>
      <c r="N537" s="59"/>
    </row>
    <row r="538" ht="12.75" customHeight="1">
      <c r="I538" s="25"/>
      <c r="L538" s="59"/>
      <c r="M538" s="59"/>
      <c r="N538" s="59"/>
    </row>
    <row r="539" ht="12.75" customHeight="1">
      <c r="I539" s="25"/>
      <c r="L539" s="59"/>
      <c r="M539" s="59"/>
      <c r="N539" s="59"/>
    </row>
    <row r="540" ht="12.75" customHeight="1">
      <c r="I540" s="25"/>
      <c r="L540" s="59"/>
      <c r="M540" s="59"/>
      <c r="N540" s="59"/>
    </row>
    <row r="541" ht="12.75" customHeight="1">
      <c r="I541" s="25"/>
      <c r="L541" s="59"/>
      <c r="M541" s="59"/>
      <c r="N541" s="59"/>
    </row>
    <row r="542" ht="12.75" customHeight="1">
      <c r="I542" s="25"/>
      <c r="L542" s="59"/>
      <c r="M542" s="59"/>
      <c r="N542" s="59"/>
    </row>
    <row r="543" ht="12.75" customHeight="1">
      <c r="I543" s="25"/>
      <c r="L543" s="59"/>
      <c r="M543" s="59"/>
      <c r="N543" s="59"/>
    </row>
    <row r="544" ht="12.75" customHeight="1">
      <c r="I544" s="25"/>
      <c r="L544" s="59"/>
      <c r="M544" s="59"/>
      <c r="N544" s="59"/>
    </row>
    <row r="545" ht="12.75" customHeight="1">
      <c r="I545" s="25"/>
      <c r="L545" s="59"/>
      <c r="M545" s="59"/>
      <c r="N545" s="59"/>
    </row>
    <row r="546" ht="12.75" customHeight="1">
      <c r="I546" s="25"/>
      <c r="L546" s="59"/>
      <c r="M546" s="59"/>
      <c r="N546" s="59"/>
    </row>
    <row r="547" ht="12.75" customHeight="1">
      <c r="I547" s="25"/>
      <c r="L547" s="59"/>
      <c r="M547" s="59"/>
      <c r="N547" s="59"/>
    </row>
    <row r="548" ht="12.75" customHeight="1">
      <c r="I548" s="25"/>
      <c r="L548" s="59"/>
      <c r="M548" s="59"/>
      <c r="N548" s="59"/>
    </row>
    <row r="549" ht="12.75" customHeight="1">
      <c r="I549" s="25"/>
      <c r="L549" s="59"/>
      <c r="M549" s="59"/>
      <c r="N549" s="59"/>
    </row>
    <row r="550" ht="12.75" customHeight="1">
      <c r="I550" s="25"/>
      <c r="L550" s="59"/>
      <c r="M550" s="59"/>
      <c r="N550" s="59"/>
    </row>
    <row r="551" ht="12.75" customHeight="1">
      <c r="I551" s="25"/>
      <c r="L551" s="59"/>
      <c r="M551" s="59"/>
      <c r="N551" s="59"/>
    </row>
    <row r="552" ht="12.75" customHeight="1">
      <c r="I552" s="25"/>
      <c r="L552" s="59"/>
      <c r="M552" s="59"/>
      <c r="N552" s="59"/>
    </row>
    <row r="553" ht="12.75" customHeight="1">
      <c r="I553" s="25"/>
      <c r="L553" s="59"/>
      <c r="M553" s="59"/>
      <c r="N553" s="59"/>
    </row>
    <row r="554" ht="12.75" customHeight="1">
      <c r="I554" s="25"/>
      <c r="L554" s="59"/>
      <c r="M554" s="59"/>
      <c r="N554" s="59"/>
    </row>
    <row r="555" ht="12.75" customHeight="1">
      <c r="I555" s="25"/>
      <c r="L555" s="59"/>
      <c r="M555" s="59"/>
      <c r="N555" s="59"/>
    </row>
    <row r="556" ht="12.75" customHeight="1">
      <c r="I556" s="25"/>
      <c r="L556" s="59"/>
      <c r="M556" s="59"/>
      <c r="N556" s="59"/>
    </row>
    <row r="557" ht="12.75" customHeight="1">
      <c r="I557" s="25"/>
      <c r="L557" s="59"/>
      <c r="M557" s="59"/>
      <c r="N557" s="59"/>
    </row>
    <row r="558" ht="12.75" customHeight="1">
      <c r="I558" s="25"/>
      <c r="L558" s="59"/>
      <c r="M558" s="59"/>
      <c r="N558" s="59"/>
    </row>
    <row r="559" ht="12.75" customHeight="1">
      <c r="I559" s="25"/>
      <c r="L559" s="59"/>
      <c r="M559" s="59"/>
      <c r="N559" s="59"/>
    </row>
    <row r="560" ht="12.75" customHeight="1">
      <c r="I560" s="25"/>
      <c r="L560" s="59"/>
      <c r="M560" s="59"/>
      <c r="N560" s="59"/>
    </row>
    <row r="561" ht="12.75" customHeight="1">
      <c r="I561" s="25"/>
      <c r="L561" s="59"/>
      <c r="M561" s="59"/>
      <c r="N561" s="59"/>
    </row>
    <row r="562" ht="12.75" customHeight="1">
      <c r="I562" s="25"/>
      <c r="L562" s="59"/>
      <c r="M562" s="59"/>
      <c r="N562" s="59"/>
    </row>
    <row r="563" ht="12.75" customHeight="1">
      <c r="I563" s="25"/>
      <c r="L563" s="59"/>
      <c r="M563" s="59"/>
      <c r="N563" s="59"/>
    </row>
    <row r="564" ht="12.75" customHeight="1">
      <c r="I564" s="25"/>
      <c r="L564" s="59"/>
      <c r="M564" s="59"/>
      <c r="N564" s="59"/>
    </row>
    <row r="565" ht="12.75" customHeight="1">
      <c r="I565" s="25"/>
      <c r="L565" s="59"/>
      <c r="M565" s="59"/>
      <c r="N565" s="59"/>
    </row>
    <row r="566" ht="12.75" customHeight="1">
      <c r="I566" s="25"/>
      <c r="L566" s="59"/>
      <c r="M566" s="59"/>
      <c r="N566" s="59"/>
    </row>
    <row r="567" ht="12.75" customHeight="1">
      <c r="I567" s="25"/>
      <c r="L567" s="59"/>
      <c r="M567" s="59"/>
      <c r="N567" s="59"/>
    </row>
    <row r="568" ht="12.75" customHeight="1">
      <c r="I568" s="25"/>
      <c r="L568" s="59"/>
      <c r="M568" s="59"/>
      <c r="N568" s="59"/>
    </row>
    <row r="569" ht="12.75" customHeight="1">
      <c r="I569" s="25"/>
      <c r="L569" s="59"/>
      <c r="M569" s="59"/>
      <c r="N569" s="59"/>
    </row>
    <row r="570" ht="12.75" customHeight="1">
      <c r="I570" s="25"/>
      <c r="L570" s="59"/>
      <c r="M570" s="59"/>
      <c r="N570" s="59"/>
    </row>
    <row r="571" ht="12.75" customHeight="1">
      <c r="I571" s="25"/>
      <c r="L571" s="59"/>
      <c r="M571" s="59"/>
      <c r="N571" s="59"/>
    </row>
    <row r="572" ht="12.75" customHeight="1">
      <c r="I572" s="25"/>
      <c r="L572" s="59"/>
      <c r="M572" s="59"/>
      <c r="N572" s="59"/>
    </row>
    <row r="573" ht="12.75" customHeight="1">
      <c r="I573" s="25"/>
      <c r="L573" s="59"/>
      <c r="M573" s="59"/>
      <c r="N573" s="59"/>
    </row>
    <row r="574" ht="12.75" customHeight="1">
      <c r="I574" s="25"/>
      <c r="L574" s="59"/>
      <c r="M574" s="59"/>
      <c r="N574" s="59"/>
    </row>
    <row r="575" ht="12.75" customHeight="1">
      <c r="I575" s="25"/>
      <c r="L575" s="59"/>
      <c r="M575" s="59"/>
      <c r="N575" s="59"/>
    </row>
    <row r="576" ht="12.75" customHeight="1">
      <c r="I576" s="25"/>
      <c r="L576" s="59"/>
      <c r="M576" s="59"/>
      <c r="N576" s="59"/>
    </row>
    <row r="577" ht="12.75" customHeight="1">
      <c r="I577" s="25"/>
      <c r="L577" s="59"/>
      <c r="M577" s="59"/>
      <c r="N577" s="59"/>
    </row>
    <row r="578" ht="12.75" customHeight="1">
      <c r="I578" s="25"/>
      <c r="L578" s="59"/>
      <c r="M578" s="59"/>
      <c r="N578" s="59"/>
    </row>
    <row r="579" ht="12.75" customHeight="1">
      <c r="I579" s="25"/>
      <c r="L579" s="59"/>
      <c r="M579" s="59"/>
      <c r="N579" s="59"/>
    </row>
    <row r="580" ht="12.75" customHeight="1">
      <c r="I580" s="25"/>
      <c r="L580" s="59"/>
      <c r="M580" s="59"/>
      <c r="N580" s="59"/>
    </row>
    <row r="581" ht="12.75" customHeight="1">
      <c r="I581" s="25"/>
      <c r="L581" s="59"/>
      <c r="M581" s="59"/>
      <c r="N581" s="59"/>
    </row>
    <row r="582" ht="12.75" customHeight="1">
      <c r="I582" s="25"/>
      <c r="L582" s="59"/>
      <c r="M582" s="59"/>
      <c r="N582" s="59"/>
    </row>
    <row r="583" ht="12.75" customHeight="1">
      <c r="I583" s="25"/>
      <c r="L583" s="59"/>
      <c r="M583" s="59"/>
      <c r="N583" s="59"/>
    </row>
    <row r="584" ht="12.75" customHeight="1">
      <c r="I584" s="25"/>
      <c r="L584" s="59"/>
      <c r="M584" s="59"/>
      <c r="N584" s="59"/>
    </row>
    <row r="585" ht="12.75" customHeight="1">
      <c r="I585" s="25"/>
      <c r="L585" s="59"/>
      <c r="M585" s="59"/>
      <c r="N585" s="59"/>
    </row>
    <row r="586" ht="12.75" customHeight="1">
      <c r="I586" s="25"/>
      <c r="L586" s="59"/>
      <c r="M586" s="59"/>
      <c r="N586" s="59"/>
    </row>
    <row r="587" ht="12.75" customHeight="1">
      <c r="I587" s="25"/>
      <c r="L587" s="59"/>
      <c r="M587" s="59"/>
      <c r="N587" s="59"/>
    </row>
    <row r="588" ht="12.75" customHeight="1">
      <c r="I588" s="25"/>
      <c r="L588" s="59"/>
      <c r="M588" s="59"/>
      <c r="N588" s="59"/>
    </row>
    <row r="589" ht="12.75" customHeight="1">
      <c r="I589" s="25"/>
      <c r="L589" s="59"/>
      <c r="M589" s="59"/>
      <c r="N589" s="59"/>
    </row>
    <row r="590" ht="12.75" customHeight="1">
      <c r="I590" s="25"/>
      <c r="L590" s="59"/>
      <c r="M590" s="59"/>
      <c r="N590" s="59"/>
    </row>
    <row r="591" ht="12.75" customHeight="1">
      <c r="I591" s="25"/>
      <c r="L591" s="59"/>
      <c r="M591" s="59"/>
      <c r="N591" s="59"/>
    </row>
    <row r="592" ht="12.75" customHeight="1">
      <c r="I592" s="25"/>
      <c r="L592" s="59"/>
      <c r="M592" s="59"/>
      <c r="N592" s="59"/>
    </row>
    <row r="593" ht="12.75" customHeight="1">
      <c r="I593" s="25"/>
      <c r="L593" s="59"/>
      <c r="M593" s="59"/>
      <c r="N593" s="59"/>
    </row>
    <row r="594" ht="12.75" customHeight="1">
      <c r="I594" s="25"/>
      <c r="L594" s="59"/>
      <c r="M594" s="59"/>
      <c r="N594" s="59"/>
    </row>
    <row r="595" ht="12.75" customHeight="1">
      <c r="I595" s="25"/>
      <c r="L595" s="59"/>
      <c r="M595" s="59"/>
      <c r="N595" s="59"/>
    </row>
    <row r="596" ht="12.75" customHeight="1">
      <c r="I596" s="25"/>
      <c r="L596" s="59"/>
      <c r="M596" s="59"/>
      <c r="N596" s="59"/>
    </row>
    <row r="597" ht="12.75" customHeight="1">
      <c r="I597" s="25"/>
      <c r="L597" s="59"/>
      <c r="M597" s="59"/>
      <c r="N597" s="59"/>
    </row>
    <row r="598" ht="12.75" customHeight="1">
      <c r="I598" s="25"/>
      <c r="L598" s="59"/>
      <c r="M598" s="59"/>
      <c r="N598" s="59"/>
    </row>
    <row r="599" ht="12.75" customHeight="1">
      <c r="I599" s="25"/>
      <c r="L599" s="59"/>
      <c r="M599" s="59"/>
      <c r="N599" s="59"/>
    </row>
    <row r="600" ht="12.75" customHeight="1">
      <c r="I600" s="25"/>
      <c r="L600" s="59"/>
      <c r="M600" s="59"/>
      <c r="N600" s="59"/>
    </row>
    <row r="601" ht="12.75" customHeight="1">
      <c r="I601" s="25"/>
      <c r="L601" s="59"/>
      <c r="M601" s="59"/>
      <c r="N601" s="59"/>
    </row>
    <row r="602" ht="12.75" customHeight="1">
      <c r="I602" s="25"/>
      <c r="L602" s="59"/>
      <c r="M602" s="59"/>
      <c r="N602" s="59"/>
    </row>
    <row r="603" ht="12.75" customHeight="1">
      <c r="I603" s="25"/>
      <c r="L603" s="59"/>
      <c r="M603" s="59"/>
      <c r="N603" s="59"/>
    </row>
    <row r="604" ht="12.75" customHeight="1">
      <c r="I604" s="25"/>
      <c r="L604" s="59"/>
      <c r="M604" s="59"/>
      <c r="N604" s="59"/>
    </row>
    <row r="605" ht="12.75" customHeight="1">
      <c r="I605" s="25"/>
      <c r="L605" s="59"/>
      <c r="M605" s="59"/>
      <c r="N605" s="59"/>
    </row>
    <row r="606" ht="12.75" customHeight="1">
      <c r="I606" s="25"/>
      <c r="L606" s="59"/>
      <c r="M606" s="59"/>
      <c r="N606" s="59"/>
    </row>
    <row r="607" ht="12.75" customHeight="1">
      <c r="I607" s="25"/>
      <c r="L607" s="59"/>
      <c r="M607" s="59"/>
      <c r="N607" s="59"/>
    </row>
    <row r="608" ht="12.75" customHeight="1">
      <c r="I608" s="25"/>
      <c r="L608" s="59"/>
      <c r="M608" s="59"/>
      <c r="N608" s="59"/>
    </row>
    <row r="609" ht="12.75" customHeight="1">
      <c r="I609" s="25"/>
      <c r="L609" s="59"/>
      <c r="M609" s="59"/>
      <c r="N609" s="59"/>
    </row>
    <row r="610" ht="12.75" customHeight="1">
      <c r="I610" s="25"/>
      <c r="L610" s="59"/>
      <c r="M610" s="59"/>
      <c r="N610" s="59"/>
    </row>
    <row r="611" ht="12.75" customHeight="1">
      <c r="I611" s="25"/>
      <c r="L611" s="59"/>
      <c r="M611" s="59"/>
      <c r="N611" s="59"/>
    </row>
    <row r="612" ht="12.75" customHeight="1">
      <c r="I612" s="25"/>
      <c r="L612" s="59"/>
      <c r="M612" s="59"/>
      <c r="N612" s="59"/>
    </row>
    <row r="613" ht="12.75" customHeight="1">
      <c r="I613" s="25"/>
      <c r="L613" s="59"/>
      <c r="M613" s="59"/>
      <c r="N613" s="59"/>
    </row>
    <row r="614" ht="12.75" customHeight="1">
      <c r="I614" s="25"/>
      <c r="L614" s="59"/>
      <c r="M614" s="59"/>
      <c r="N614" s="59"/>
    </row>
    <row r="615" ht="12.75" customHeight="1">
      <c r="I615" s="25"/>
      <c r="L615" s="59"/>
      <c r="M615" s="59"/>
      <c r="N615" s="59"/>
    </row>
    <row r="616" ht="12.75" customHeight="1">
      <c r="I616" s="25"/>
      <c r="L616" s="59"/>
      <c r="M616" s="59"/>
      <c r="N616" s="59"/>
    </row>
    <row r="617" ht="12.75" customHeight="1">
      <c r="I617" s="25"/>
      <c r="L617" s="59"/>
      <c r="M617" s="59"/>
      <c r="N617" s="59"/>
    </row>
    <row r="618" ht="12.75" customHeight="1">
      <c r="I618" s="25"/>
      <c r="L618" s="59"/>
      <c r="M618" s="59"/>
      <c r="N618" s="59"/>
    </row>
    <row r="619" ht="12.75" customHeight="1">
      <c r="I619" s="25"/>
      <c r="L619" s="59"/>
      <c r="M619" s="59"/>
      <c r="N619" s="59"/>
    </row>
    <row r="620" ht="12.75" customHeight="1">
      <c r="I620" s="25"/>
      <c r="L620" s="59"/>
      <c r="M620" s="59"/>
      <c r="N620" s="59"/>
    </row>
    <row r="621" ht="12.75" customHeight="1">
      <c r="I621" s="25"/>
      <c r="L621" s="59"/>
      <c r="M621" s="59"/>
      <c r="N621" s="59"/>
    </row>
    <row r="622" ht="12.75" customHeight="1">
      <c r="I622" s="25"/>
      <c r="L622" s="59"/>
      <c r="M622" s="59"/>
      <c r="N622" s="59"/>
    </row>
    <row r="623" ht="12.75" customHeight="1">
      <c r="I623" s="25"/>
      <c r="L623" s="59"/>
      <c r="M623" s="59"/>
      <c r="N623" s="59"/>
    </row>
    <row r="624" ht="12.75" customHeight="1">
      <c r="I624" s="25"/>
      <c r="L624" s="59"/>
      <c r="M624" s="59"/>
      <c r="N624" s="59"/>
    </row>
    <row r="625" ht="12.75" customHeight="1">
      <c r="I625" s="25"/>
      <c r="L625" s="59"/>
      <c r="M625" s="59"/>
      <c r="N625" s="59"/>
    </row>
    <row r="626" ht="12.75" customHeight="1">
      <c r="I626" s="25"/>
      <c r="L626" s="59"/>
      <c r="M626" s="59"/>
      <c r="N626" s="59"/>
    </row>
    <row r="627" ht="12.75" customHeight="1">
      <c r="I627" s="25"/>
      <c r="L627" s="59"/>
      <c r="M627" s="59"/>
      <c r="N627" s="59"/>
    </row>
    <row r="628" ht="12.75" customHeight="1">
      <c r="I628" s="25"/>
      <c r="L628" s="59"/>
      <c r="M628" s="59"/>
      <c r="N628" s="59"/>
    </row>
    <row r="629" ht="12.75" customHeight="1">
      <c r="I629" s="25"/>
      <c r="L629" s="59"/>
      <c r="M629" s="59"/>
      <c r="N629" s="59"/>
    </row>
    <row r="630" ht="12.75" customHeight="1">
      <c r="I630" s="25"/>
      <c r="L630" s="59"/>
      <c r="M630" s="59"/>
      <c r="N630" s="59"/>
    </row>
    <row r="631" ht="12.75" customHeight="1">
      <c r="I631" s="25"/>
      <c r="L631" s="59"/>
      <c r="M631" s="59"/>
      <c r="N631" s="59"/>
    </row>
    <row r="632" ht="12.75" customHeight="1">
      <c r="I632" s="25"/>
      <c r="L632" s="59"/>
      <c r="M632" s="59"/>
      <c r="N632" s="59"/>
    </row>
    <row r="633" ht="12.75" customHeight="1">
      <c r="I633" s="25"/>
      <c r="L633" s="59"/>
      <c r="M633" s="59"/>
      <c r="N633" s="59"/>
    </row>
    <row r="634" ht="12.75" customHeight="1">
      <c r="I634" s="25"/>
      <c r="L634" s="59"/>
      <c r="M634" s="59"/>
      <c r="N634" s="59"/>
    </row>
    <row r="635" ht="12.75" customHeight="1">
      <c r="I635" s="25"/>
      <c r="L635" s="59"/>
      <c r="M635" s="59"/>
      <c r="N635" s="59"/>
    </row>
    <row r="636" ht="12.75" customHeight="1">
      <c r="I636" s="25"/>
      <c r="L636" s="59"/>
      <c r="M636" s="59"/>
      <c r="N636" s="59"/>
    </row>
    <row r="637" ht="12.75" customHeight="1">
      <c r="I637" s="25"/>
      <c r="L637" s="59"/>
      <c r="M637" s="59"/>
      <c r="N637" s="59"/>
    </row>
    <row r="638" ht="12.75" customHeight="1">
      <c r="I638" s="25"/>
      <c r="L638" s="59"/>
      <c r="M638" s="59"/>
      <c r="N638" s="59"/>
    </row>
    <row r="639" ht="12.75" customHeight="1">
      <c r="I639" s="25"/>
      <c r="L639" s="59"/>
      <c r="M639" s="59"/>
      <c r="N639" s="59"/>
    </row>
    <row r="640" ht="12.75" customHeight="1">
      <c r="I640" s="25"/>
      <c r="L640" s="59"/>
      <c r="M640" s="59"/>
      <c r="N640" s="59"/>
    </row>
    <row r="641" ht="12.75" customHeight="1">
      <c r="I641" s="25"/>
      <c r="L641" s="59"/>
      <c r="M641" s="59"/>
      <c r="N641" s="59"/>
    </row>
    <row r="642" ht="12.75" customHeight="1">
      <c r="I642" s="25"/>
      <c r="L642" s="59"/>
      <c r="M642" s="59"/>
      <c r="N642" s="59"/>
    </row>
    <row r="643" ht="12.75" customHeight="1">
      <c r="I643" s="25"/>
      <c r="L643" s="59"/>
      <c r="M643" s="59"/>
      <c r="N643" s="59"/>
    </row>
    <row r="644" ht="12.75" customHeight="1">
      <c r="I644" s="25"/>
      <c r="L644" s="59"/>
      <c r="M644" s="59"/>
      <c r="N644" s="59"/>
    </row>
    <row r="645" ht="12.75" customHeight="1">
      <c r="I645" s="25"/>
      <c r="L645" s="59"/>
      <c r="M645" s="59"/>
      <c r="N645" s="59"/>
    </row>
    <row r="646" ht="12.75" customHeight="1">
      <c r="I646" s="25"/>
      <c r="L646" s="59"/>
      <c r="M646" s="59"/>
      <c r="N646" s="59"/>
    </row>
    <row r="647" ht="12.75" customHeight="1">
      <c r="I647" s="25"/>
      <c r="L647" s="59"/>
      <c r="M647" s="59"/>
      <c r="N647" s="59"/>
    </row>
    <row r="648" ht="12.75" customHeight="1">
      <c r="I648" s="25"/>
      <c r="L648" s="59"/>
      <c r="M648" s="59"/>
      <c r="N648" s="59"/>
    </row>
    <row r="649" ht="12.75" customHeight="1">
      <c r="I649" s="25"/>
      <c r="L649" s="59"/>
      <c r="M649" s="59"/>
      <c r="N649" s="59"/>
    </row>
    <row r="650" ht="12.75" customHeight="1">
      <c r="I650" s="25"/>
      <c r="L650" s="59"/>
      <c r="M650" s="59"/>
      <c r="N650" s="59"/>
    </row>
    <row r="651" ht="12.75" customHeight="1">
      <c r="I651" s="25"/>
      <c r="L651" s="59"/>
      <c r="M651" s="59"/>
      <c r="N651" s="59"/>
    </row>
    <row r="652" ht="12.75" customHeight="1">
      <c r="I652" s="25"/>
      <c r="L652" s="59"/>
      <c r="M652" s="59"/>
      <c r="N652" s="59"/>
    </row>
    <row r="653" ht="12.75" customHeight="1">
      <c r="I653" s="25"/>
      <c r="L653" s="59"/>
      <c r="M653" s="59"/>
      <c r="N653" s="59"/>
    </row>
    <row r="654" ht="12.75" customHeight="1">
      <c r="I654" s="25"/>
      <c r="L654" s="59"/>
      <c r="M654" s="59"/>
      <c r="N654" s="59"/>
    </row>
    <row r="655" ht="12.75" customHeight="1">
      <c r="I655" s="25"/>
      <c r="L655" s="59"/>
      <c r="M655" s="59"/>
      <c r="N655" s="59"/>
    </row>
    <row r="656" ht="12.75" customHeight="1">
      <c r="I656" s="25"/>
      <c r="L656" s="59"/>
      <c r="M656" s="59"/>
      <c r="N656" s="59"/>
    </row>
    <row r="657" ht="12.75" customHeight="1">
      <c r="I657" s="25"/>
      <c r="L657" s="59"/>
      <c r="M657" s="59"/>
      <c r="N657" s="59"/>
    </row>
    <row r="658" ht="12.75" customHeight="1">
      <c r="I658" s="25"/>
      <c r="L658" s="59"/>
      <c r="M658" s="59"/>
      <c r="N658" s="59"/>
    </row>
    <row r="659" ht="12.75" customHeight="1">
      <c r="I659" s="25"/>
      <c r="L659" s="59"/>
      <c r="M659" s="59"/>
      <c r="N659" s="59"/>
    </row>
    <row r="660" ht="12.75" customHeight="1">
      <c r="I660" s="25"/>
      <c r="L660" s="59"/>
      <c r="M660" s="59"/>
      <c r="N660" s="59"/>
    </row>
    <row r="661" ht="12.75" customHeight="1">
      <c r="I661" s="25"/>
      <c r="L661" s="59"/>
      <c r="M661" s="59"/>
      <c r="N661" s="59"/>
    </row>
    <row r="662" ht="12.75" customHeight="1">
      <c r="I662" s="25"/>
      <c r="L662" s="59"/>
      <c r="M662" s="59"/>
      <c r="N662" s="59"/>
    </row>
    <row r="663" ht="12.75" customHeight="1">
      <c r="I663" s="25"/>
      <c r="L663" s="59"/>
      <c r="M663" s="59"/>
      <c r="N663" s="59"/>
    </row>
    <row r="664" ht="12.75" customHeight="1">
      <c r="I664" s="25"/>
      <c r="L664" s="59"/>
      <c r="M664" s="59"/>
      <c r="N664" s="59"/>
    </row>
    <row r="665" ht="12.75" customHeight="1">
      <c r="I665" s="25"/>
      <c r="L665" s="59"/>
      <c r="M665" s="59"/>
      <c r="N665" s="59"/>
    </row>
    <row r="666" ht="12.75" customHeight="1">
      <c r="I666" s="25"/>
      <c r="L666" s="59"/>
      <c r="M666" s="59"/>
      <c r="N666" s="59"/>
    </row>
    <row r="667" ht="12.75" customHeight="1">
      <c r="I667" s="25"/>
      <c r="L667" s="59"/>
      <c r="M667" s="59"/>
      <c r="N667" s="59"/>
    </row>
    <row r="668" ht="12.75" customHeight="1">
      <c r="I668" s="25"/>
      <c r="L668" s="59"/>
      <c r="M668" s="59"/>
      <c r="N668" s="59"/>
    </row>
    <row r="669" ht="12.75" customHeight="1">
      <c r="I669" s="25"/>
      <c r="L669" s="59"/>
      <c r="M669" s="59"/>
      <c r="N669" s="59"/>
    </row>
    <row r="670" ht="12.75" customHeight="1">
      <c r="I670" s="25"/>
      <c r="L670" s="59"/>
      <c r="M670" s="59"/>
      <c r="N670" s="59"/>
    </row>
    <row r="671" ht="12.75" customHeight="1">
      <c r="I671" s="25"/>
      <c r="L671" s="59"/>
      <c r="M671" s="59"/>
      <c r="N671" s="59"/>
    </row>
    <row r="672" ht="12.75" customHeight="1">
      <c r="I672" s="25"/>
      <c r="L672" s="59"/>
      <c r="M672" s="59"/>
      <c r="N672" s="59"/>
    </row>
    <row r="673" ht="12.75" customHeight="1">
      <c r="I673" s="25"/>
      <c r="L673" s="59"/>
      <c r="M673" s="59"/>
      <c r="N673" s="59"/>
    </row>
    <row r="674" ht="12.75" customHeight="1">
      <c r="I674" s="25"/>
      <c r="L674" s="59"/>
      <c r="M674" s="59"/>
      <c r="N674" s="59"/>
    </row>
    <row r="675" ht="12.75" customHeight="1">
      <c r="I675" s="25"/>
      <c r="L675" s="59"/>
      <c r="M675" s="59"/>
      <c r="N675" s="59"/>
    </row>
    <row r="676" ht="12.75" customHeight="1">
      <c r="I676" s="25"/>
      <c r="L676" s="59"/>
      <c r="M676" s="59"/>
      <c r="N676" s="59"/>
    </row>
    <row r="677" ht="12.75" customHeight="1">
      <c r="I677" s="25"/>
      <c r="L677" s="59"/>
      <c r="M677" s="59"/>
      <c r="N677" s="59"/>
    </row>
    <row r="678" ht="12.75" customHeight="1">
      <c r="I678" s="25"/>
      <c r="L678" s="59"/>
      <c r="M678" s="59"/>
      <c r="N678" s="59"/>
    </row>
    <row r="679" ht="12.75" customHeight="1">
      <c r="I679" s="25"/>
      <c r="L679" s="59"/>
      <c r="M679" s="59"/>
      <c r="N679" s="59"/>
    </row>
    <row r="680" ht="12.75" customHeight="1">
      <c r="I680" s="25"/>
      <c r="L680" s="59"/>
      <c r="M680" s="59"/>
      <c r="N680" s="59"/>
    </row>
    <row r="681" ht="12.75" customHeight="1">
      <c r="I681" s="25"/>
      <c r="L681" s="59"/>
      <c r="M681" s="59"/>
      <c r="N681" s="59"/>
    </row>
    <row r="682" ht="12.75" customHeight="1">
      <c r="I682" s="25"/>
      <c r="L682" s="59"/>
      <c r="M682" s="59"/>
      <c r="N682" s="59"/>
    </row>
    <row r="683" ht="12.75" customHeight="1">
      <c r="I683" s="25"/>
      <c r="L683" s="59"/>
      <c r="M683" s="59"/>
      <c r="N683" s="59"/>
    </row>
    <row r="684" ht="12.75" customHeight="1">
      <c r="I684" s="25"/>
      <c r="L684" s="59"/>
      <c r="M684" s="59"/>
      <c r="N684" s="59"/>
    </row>
    <row r="685" ht="12.75" customHeight="1">
      <c r="I685" s="25"/>
      <c r="L685" s="59"/>
      <c r="M685" s="59"/>
      <c r="N685" s="59"/>
    </row>
    <row r="686" ht="12.75" customHeight="1">
      <c r="I686" s="25"/>
      <c r="L686" s="59"/>
      <c r="M686" s="59"/>
      <c r="N686" s="59"/>
    </row>
    <row r="687" ht="12.75" customHeight="1">
      <c r="I687" s="25"/>
      <c r="L687" s="59"/>
      <c r="M687" s="59"/>
      <c r="N687" s="59"/>
    </row>
    <row r="688" ht="12.75" customHeight="1">
      <c r="I688" s="25"/>
      <c r="L688" s="59"/>
      <c r="M688" s="59"/>
      <c r="N688" s="59"/>
    </row>
    <row r="689" ht="12.75" customHeight="1">
      <c r="I689" s="25"/>
      <c r="L689" s="59"/>
      <c r="M689" s="59"/>
      <c r="N689" s="59"/>
    </row>
    <row r="690" ht="12.75" customHeight="1">
      <c r="I690" s="25"/>
      <c r="L690" s="59"/>
      <c r="M690" s="59"/>
      <c r="N690" s="59"/>
    </row>
    <row r="691" ht="12.75" customHeight="1">
      <c r="I691" s="25"/>
      <c r="L691" s="59"/>
      <c r="M691" s="59"/>
      <c r="N691" s="59"/>
    </row>
    <row r="692" ht="12.75" customHeight="1">
      <c r="I692" s="25"/>
      <c r="L692" s="59"/>
      <c r="M692" s="59"/>
      <c r="N692" s="59"/>
    </row>
    <row r="693" ht="12.75" customHeight="1">
      <c r="I693" s="25"/>
      <c r="L693" s="59"/>
      <c r="M693" s="59"/>
      <c r="N693" s="59"/>
    </row>
    <row r="694" ht="12.75" customHeight="1">
      <c r="I694" s="25"/>
      <c r="L694" s="59"/>
      <c r="M694" s="59"/>
      <c r="N694" s="59"/>
    </row>
    <row r="695" ht="12.75" customHeight="1">
      <c r="I695" s="25"/>
      <c r="L695" s="59"/>
      <c r="M695" s="59"/>
      <c r="N695" s="59"/>
    </row>
    <row r="696" ht="12.75" customHeight="1">
      <c r="I696" s="25"/>
      <c r="L696" s="59"/>
      <c r="M696" s="59"/>
      <c r="N696" s="59"/>
    </row>
    <row r="697" ht="12.75" customHeight="1">
      <c r="I697" s="25"/>
      <c r="L697" s="59"/>
      <c r="M697" s="59"/>
      <c r="N697" s="59"/>
    </row>
    <row r="698" ht="12.75" customHeight="1">
      <c r="I698" s="25"/>
      <c r="L698" s="59"/>
      <c r="M698" s="59"/>
      <c r="N698" s="59"/>
    </row>
    <row r="699" ht="12.75" customHeight="1">
      <c r="I699" s="25"/>
      <c r="L699" s="59"/>
      <c r="M699" s="59"/>
      <c r="N699" s="59"/>
    </row>
    <row r="700" ht="12.75" customHeight="1">
      <c r="I700" s="25"/>
      <c r="L700" s="59"/>
      <c r="M700" s="59"/>
      <c r="N700" s="59"/>
    </row>
    <row r="701" ht="12.75" customHeight="1">
      <c r="I701" s="25"/>
      <c r="L701" s="59"/>
      <c r="M701" s="59"/>
      <c r="N701" s="59"/>
    </row>
    <row r="702" ht="12.75" customHeight="1">
      <c r="I702" s="25"/>
      <c r="L702" s="59"/>
      <c r="M702" s="59"/>
      <c r="N702" s="59"/>
    </row>
    <row r="703" ht="12.75" customHeight="1">
      <c r="I703" s="25"/>
      <c r="L703" s="59"/>
      <c r="M703" s="59"/>
      <c r="N703" s="59"/>
    </row>
    <row r="704" ht="12.75" customHeight="1">
      <c r="I704" s="25"/>
      <c r="L704" s="59"/>
      <c r="M704" s="59"/>
      <c r="N704" s="59"/>
    </row>
    <row r="705" ht="12.75" customHeight="1">
      <c r="I705" s="25"/>
      <c r="L705" s="59"/>
      <c r="M705" s="59"/>
      <c r="N705" s="59"/>
    </row>
    <row r="706" ht="12.75" customHeight="1">
      <c r="I706" s="25"/>
      <c r="L706" s="59"/>
      <c r="M706" s="59"/>
      <c r="N706" s="59"/>
    </row>
    <row r="707" ht="12.75" customHeight="1">
      <c r="I707" s="25"/>
      <c r="L707" s="59"/>
      <c r="M707" s="59"/>
      <c r="N707" s="59"/>
    </row>
    <row r="708" ht="12.75" customHeight="1">
      <c r="I708" s="25"/>
      <c r="L708" s="59"/>
      <c r="M708" s="59"/>
      <c r="N708" s="59"/>
    </row>
    <row r="709" ht="12.75" customHeight="1">
      <c r="I709" s="25"/>
      <c r="L709" s="59"/>
      <c r="M709" s="59"/>
      <c r="N709" s="59"/>
    </row>
    <row r="710" ht="12.75" customHeight="1">
      <c r="I710" s="25"/>
      <c r="L710" s="59"/>
      <c r="M710" s="59"/>
      <c r="N710" s="59"/>
    </row>
    <row r="711" ht="12.75" customHeight="1">
      <c r="I711" s="25"/>
      <c r="L711" s="59"/>
      <c r="M711" s="59"/>
      <c r="N711" s="59"/>
    </row>
    <row r="712" ht="12.75" customHeight="1">
      <c r="I712" s="25"/>
      <c r="L712" s="59"/>
      <c r="M712" s="59"/>
      <c r="N712" s="59"/>
    </row>
    <row r="713" ht="12.75" customHeight="1">
      <c r="I713" s="25"/>
      <c r="L713" s="59"/>
      <c r="M713" s="59"/>
      <c r="N713" s="59"/>
    </row>
    <row r="714" ht="12.75" customHeight="1">
      <c r="I714" s="25"/>
      <c r="L714" s="59"/>
      <c r="M714" s="59"/>
      <c r="N714" s="59"/>
    </row>
    <row r="715" ht="12.75" customHeight="1">
      <c r="I715" s="25"/>
      <c r="L715" s="59"/>
      <c r="M715" s="59"/>
      <c r="N715" s="59"/>
    </row>
    <row r="716" ht="12.75" customHeight="1">
      <c r="I716" s="25"/>
      <c r="L716" s="59"/>
      <c r="M716" s="59"/>
      <c r="N716" s="59"/>
    </row>
    <row r="717" ht="12.75" customHeight="1">
      <c r="I717" s="25"/>
      <c r="L717" s="59"/>
      <c r="M717" s="59"/>
      <c r="N717" s="59"/>
    </row>
    <row r="718" ht="12.75" customHeight="1">
      <c r="I718" s="25"/>
      <c r="L718" s="59"/>
      <c r="M718" s="59"/>
      <c r="N718" s="59"/>
    </row>
    <row r="719" ht="12.75" customHeight="1">
      <c r="I719" s="25"/>
      <c r="L719" s="59"/>
      <c r="M719" s="59"/>
      <c r="N719" s="59"/>
    </row>
    <row r="720" ht="12.75" customHeight="1">
      <c r="I720" s="25"/>
      <c r="L720" s="59"/>
      <c r="M720" s="59"/>
      <c r="N720" s="59"/>
    </row>
    <row r="721" ht="12.75" customHeight="1">
      <c r="I721" s="25"/>
      <c r="L721" s="59"/>
      <c r="M721" s="59"/>
      <c r="N721" s="59"/>
    </row>
    <row r="722" ht="12.75" customHeight="1">
      <c r="I722" s="25"/>
      <c r="L722" s="59"/>
      <c r="M722" s="59"/>
      <c r="N722" s="59"/>
    </row>
    <row r="723" ht="12.75" customHeight="1">
      <c r="I723" s="25"/>
      <c r="L723" s="59"/>
      <c r="M723" s="59"/>
      <c r="N723" s="59"/>
    </row>
    <row r="724" ht="12.75" customHeight="1">
      <c r="I724" s="25"/>
      <c r="L724" s="59"/>
      <c r="M724" s="59"/>
      <c r="N724" s="59"/>
    </row>
    <row r="725" ht="12.75" customHeight="1">
      <c r="I725" s="25"/>
      <c r="L725" s="59"/>
      <c r="M725" s="59"/>
      <c r="N725" s="59"/>
    </row>
    <row r="726" ht="12.75" customHeight="1">
      <c r="I726" s="25"/>
      <c r="L726" s="59"/>
      <c r="M726" s="59"/>
      <c r="N726" s="59"/>
    </row>
    <row r="727" ht="12.75" customHeight="1">
      <c r="I727" s="25"/>
      <c r="L727" s="59"/>
      <c r="M727" s="59"/>
      <c r="N727" s="59"/>
    </row>
    <row r="728" ht="12.75" customHeight="1">
      <c r="I728" s="25"/>
      <c r="L728" s="59"/>
      <c r="M728" s="59"/>
      <c r="N728" s="59"/>
    </row>
    <row r="729" ht="12.75" customHeight="1">
      <c r="I729" s="25"/>
      <c r="L729" s="59"/>
      <c r="M729" s="59"/>
      <c r="N729" s="59"/>
    </row>
    <row r="730" ht="12.75" customHeight="1">
      <c r="I730" s="25"/>
      <c r="L730" s="59"/>
      <c r="M730" s="59"/>
      <c r="N730" s="59"/>
    </row>
    <row r="731" ht="12.75" customHeight="1">
      <c r="I731" s="25"/>
      <c r="L731" s="59"/>
      <c r="M731" s="59"/>
      <c r="N731" s="59"/>
    </row>
    <row r="732" ht="12.75" customHeight="1">
      <c r="I732" s="25"/>
      <c r="L732" s="59"/>
      <c r="M732" s="59"/>
      <c r="N732" s="59"/>
    </row>
    <row r="733" ht="12.75" customHeight="1">
      <c r="I733" s="25"/>
      <c r="L733" s="59"/>
      <c r="M733" s="59"/>
      <c r="N733" s="59"/>
    </row>
    <row r="734" ht="12.75" customHeight="1">
      <c r="I734" s="25"/>
      <c r="L734" s="59"/>
      <c r="M734" s="59"/>
      <c r="N734" s="59"/>
    </row>
    <row r="735" ht="12.75" customHeight="1">
      <c r="I735" s="25"/>
      <c r="L735" s="59"/>
      <c r="M735" s="59"/>
      <c r="N735" s="59"/>
    </row>
    <row r="736" ht="12.75" customHeight="1">
      <c r="I736" s="25"/>
      <c r="L736" s="59"/>
      <c r="M736" s="59"/>
      <c r="N736" s="59"/>
    </row>
    <row r="737" ht="12.75" customHeight="1">
      <c r="I737" s="25"/>
      <c r="L737" s="59"/>
      <c r="M737" s="59"/>
      <c r="N737" s="59"/>
    </row>
    <row r="738" ht="12.75" customHeight="1">
      <c r="I738" s="25"/>
      <c r="L738" s="59"/>
      <c r="M738" s="59"/>
      <c r="N738" s="59"/>
    </row>
    <row r="739" ht="12.75" customHeight="1">
      <c r="I739" s="25"/>
      <c r="L739" s="59"/>
      <c r="M739" s="59"/>
      <c r="N739" s="59"/>
    </row>
    <row r="740" ht="12.75" customHeight="1">
      <c r="I740" s="25"/>
      <c r="L740" s="59"/>
      <c r="M740" s="59"/>
      <c r="N740" s="59"/>
    </row>
    <row r="741" ht="12.75" customHeight="1">
      <c r="I741" s="25"/>
      <c r="L741" s="59"/>
      <c r="M741" s="59"/>
      <c r="N741" s="59"/>
    </row>
    <row r="742" ht="12.75" customHeight="1">
      <c r="I742" s="25"/>
      <c r="L742" s="59"/>
      <c r="M742" s="59"/>
      <c r="N742" s="59"/>
    </row>
    <row r="743" ht="12.75" customHeight="1">
      <c r="I743" s="25"/>
      <c r="L743" s="59"/>
      <c r="M743" s="59"/>
      <c r="N743" s="59"/>
    </row>
    <row r="744" ht="12.75" customHeight="1">
      <c r="I744" s="25"/>
      <c r="L744" s="59"/>
      <c r="M744" s="59"/>
      <c r="N744" s="59"/>
    </row>
    <row r="745" ht="12.75" customHeight="1">
      <c r="I745" s="25"/>
      <c r="L745" s="59"/>
      <c r="M745" s="59"/>
      <c r="N745" s="59"/>
    </row>
    <row r="746" ht="12.75" customHeight="1">
      <c r="I746" s="25"/>
      <c r="L746" s="59"/>
      <c r="M746" s="59"/>
      <c r="N746" s="59"/>
    </row>
    <row r="747" ht="12.75" customHeight="1">
      <c r="I747" s="25"/>
      <c r="L747" s="59"/>
      <c r="M747" s="59"/>
      <c r="N747" s="59"/>
    </row>
    <row r="748" ht="12.75" customHeight="1">
      <c r="I748" s="25"/>
      <c r="L748" s="59"/>
      <c r="M748" s="59"/>
      <c r="N748" s="59"/>
    </row>
    <row r="749" ht="12.75" customHeight="1">
      <c r="I749" s="25"/>
      <c r="L749" s="59"/>
      <c r="M749" s="59"/>
      <c r="N749" s="59"/>
    </row>
    <row r="750" ht="12.75" customHeight="1">
      <c r="I750" s="25"/>
      <c r="L750" s="59"/>
      <c r="M750" s="59"/>
      <c r="N750" s="59"/>
    </row>
    <row r="751" ht="12.75" customHeight="1">
      <c r="I751" s="25"/>
      <c r="L751" s="59"/>
      <c r="M751" s="59"/>
      <c r="N751" s="59"/>
    </row>
    <row r="752" ht="12.75" customHeight="1">
      <c r="I752" s="25"/>
      <c r="L752" s="59"/>
      <c r="M752" s="59"/>
      <c r="N752" s="59"/>
    </row>
    <row r="753" ht="12.75" customHeight="1">
      <c r="I753" s="25"/>
      <c r="L753" s="59"/>
      <c r="M753" s="59"/>
      <c r="N753" s="59"/>
    </row>
    <row r="754" ht="12.75" customHeight="1">
      <c r="I754" s="25"/>
      <c r="L754" s="59"/>
      <c r="M754" s="59"/>
      <c r="N754" s="59"/>
    </row>
    <row r="755" ht="12.75" customHeight="1">
      <c r="I755" s="25"/>
      <c r="L755" s="59"/>
      <c r="M755" s="59"/>
      <c r="N755" s="59"/>
    </row>
    <row r="756" ht="12.75" customHeight="1">
      <c r="I756" s="25"/>
      <c r="L756" s="59"/>
      <c r="M756" s="59"/>
      <c r="N756" s="59"/>
    </row>
    <row r="757" ht="12.75" customHeight="1">
      <c r="I757" s="25"/>
      <c r="L757" s="59"/>
      <c r="M757" s="59"/>
      <c r="N757" s="59"/>
    </row>
    <row r="758" ht="12.75" customHeight="1">
      <c r="I758" s="25"/>
      <c r="L758" s="59"/>
      <c r="M758" s="59"/>
      <c r="N758" s="59"/>
    </row>
    <row r="759" ht="12.75" customHeight="1">
      <c r="I759" s="25"/>
      <c r="L759" s="59"/>
      <c r="M759" s="59"/>
      <c r="N759" s="59"/>
    </row>
    <row r="760" ht="12.75" customHeight="1">
      <c r="I760" s="25"/>
      <c r="L760" s="59"/>
      <c r="M760" s="59"/>
      <c r="N760" s="59"/>
    </row>
    <row r="761" ht="12.75" customHeight="1">
      <c r="I761" s="25"/>
      <c r="L761" s="59"/>
      <c r="M761" s="59"/>
      <c r="N761" s="59"/>
    </row>
    <row r="762" ht="12.75" customHeight="1">
      <c r="I762" s="25"/>
      <c r="L762" s="59"/>
      <c r="M762" s="59"/>
      <c r="N762" s="59"/>
    </row>
    <row r="763" ht="12.75" customHeight="1">
      <c r="I763" s="25"/>
      <c r="L763" s="59"/>
      <c r="M763" s="59"/>
      <c r="N763" s="59"/>
    </row>
    <row r="764" ht="12.75" customHeight="1">
      <c r="I764" s="25"/>
      <c r="L764" s="59"/>
      <c r="M764" s="59"/>
      <c r="N764" s="59"/>
    </row>
    <row r="765" ht="12.75" customHeight="1">
      <c r="I765" s="25"/>
      <c r="L765" s="59"/>
      <c r="M765" s="59"/>
      <c r="N765" s="59"/>
    </row>
    <row r="766" ht="12.75" customHeight="1">
      <c r="I766" s="25"/>
      <c r="L766" s="59"/>
      <c r="M766" s="59"/>
      <c r="N766" s="59"/>
    </row>
    <row r="767" ht="12.75" customHeight="1">
      <c r="I767" s="25"/>
      <c r="L767" s="59"/>
      <c r="M767" s="59"/>
      <c r="N767" s="59"/>
    </row>
    <row r="768" ht="12.75" customHeight="1">
      <c r="I768" s="25"/>
      <c r="L768" s="59"/>
      <c r="M768" s="59"/>
      <c r="N768" s="59"/>
    </row>
    <row r="769" ht="12.75" customHeight="1">
      <c r="I769" s="25"/>
      <c r="L769" s="59"/>
      <c r="M769" s="59"/>
      <c r="N769" s="59"/>
    </row>
    <row r="770" ht="12.75" customHeight="1">
      <c r="I770" s="25"/>
      <c r="L770" s="59"/>
      <c r="M770" s="59"/>
      <c r="N770" s="59"/>
    </row>
    <row r="771" ht="12.75" customHeight="1">
      <c r="I771" s="25"/>
      <c r="L771" s="59"/>
      <c r="M771" s="59"/>
      <c r="N771" s="59"/>
    </row>
    <row r="772" ht="12.75" customHeight="1">
      <c r="I772" s="25"/>
      <c r="L772" s="59"/>
      <c r="M772" s="59"/>
      <c r="N772" s="59"/>
    </row>
    <row r="773" ht="12.75" customHeight="1">
      <c r="I773" s="25"/>
      <c r="L773" s="59"/>
      <c r="M773" s="59"/>
      <c r="N773" s="59"/>
    </row>
    <row r="774" ht="12.75" customHeight="1">
      <c r="I774" s="25"/>
      <c r="L774" s="59"/>
      <c r="M774" s="59"/>
      <c r="N774" s="59"/>
    </row>
    <row r="775" ht="12.75" customHeight="1">
      <c r="I775" s="25"/>
      <c r="L775" s="59"/>
      <c r="M775" s="59"/>
      <c r="N775" s="59"/>
    </row>
    <row r="776" ht="12.75" customHeight="1">
      <c r="I776" s="25"/>
      <c r="L776" s="59"/>
      <c r="M776" s="59"/>
      <c r="N776" s="59"/>
    </row>
    <row r="777" ht="12.75" customHeight="1">
      <c r="I777" s="25"/>
      <c r="L777" s="59"/>
      <c r="M777" s="59"/>
      <c r="N777" s="59"/>
    </row>
    <row r="778" ht="12.75" customHeight="1">
      <c r="I778" s="25"/>
      <c r="L778" s="59"/>
      <c r="M778" s="59"/>
      <c r="N778" s="59"/>
    </row>
    <row r="779" ht="12.75" customHeight="1">
      <c r="I779" s="25"/>
      <c r="L779" s="59"/>
      <c r="M779" s="59"/>
      <c r="N779" s="59"/>
    </row>
    <row r="780" ht="12.75" customHeight="1">
      <c r="I780" s="25"/>
      <c r="L780" s="59"/>
      <c r="M780" s="59"/>
      <c r="N780" s="59"/>
    </row>
    <row r="781" ht="12.75" customHeight="1">
      <c r="I781" s="25"/>
      <c r="L781" s="59"/>
      <c r="M781" s="59"/>
      <c r="N781" s="59"/>
    </row>
    <row r="782" ht="12.75" customHeight="1">
      <c r="I782" s="25"/>
      <c r="L782" s="59"/>
      <c r="M782" s="59"/>
      <c r="N782" s="59"/>
    </row>
    <row r="783" ht="12.75" customHeight="1">
      <c r="I783" s="25"/>
      <c r="L783" s="59"/>
      <c r="M783" s="59"/>
      <c r="N783" s="59"/>
    </row>
    <row r="784" ht="12.75" customHeight="1">
      <c r="I784" s="25"/>
      <c r="L784" s="59"/>
      <c r="M784" s="59"/>
      <c r="N784" s="59"/>
    </row>
    <row r="785" ht="12.75" customHeight="1">
      <c r="I785" s="25"/>
      <c r="L785" s="59"/>
      <c r="M785" s="59"/>
      <c r="N785" s="59"/>
    </row>
    <row r="786" ht="12.75" customHeight="1">
      <c r="I786" s="25"/>
      <c r="L786" s="59"/>
      <c r="M786" s="59"/>
      <c r="N786" s="59"/>
    </row>
    <row r="787" ht="12.75" customHeight="1">
      <c r="I787" s="25"/>
      <c r="L787" s="59"/>
      <c r="M787" s="59"/>
      <c r="N787" s="59"/>
    </row>
    <row r="788" ht="12.75" customHeight="1">
      <c r="I788" s="25"/>
      <c r="L788" s="59"/>
      <c r="M788" s="59"/>
      <c r="N788" s="59"/>
    </row>
    <row r="789" ht="12.75" customHeight="1">
      <c r="I789" s="25"/>
      <c r="L789" s="59"/>
      <c r="M789" s="59"/>
      <c r="N789" s="59"/>
    </row>
    <row r="790" ht="12.75" customHeight="1">
      <c r="I790" s="25"/>
      <c r="L790" s="59"/>
      <c r="M790" s="59"/>
      <c r="N790" s="59"/>
    </row>
    <row r="791" ht="12.75" customHeight="1">
      <c r="I791" s="25"/>
      <c r="L791" s="59"/>
      <c r="M791" s="59"/>
      <c r="N791" s="59"/>
    </row>
    <row r="792" ht="12.75" customHeight="1">
      <c r="I792" s="25"/>
      <c r="L792" s="59"/>
      <c r="M792" s="59"/>
      <c r="N792" s="59"/>
    </row>
    <row r="793" ht="12.75" customHeight="1">
      <c r="I793" s="25"/>
      <c r="L793" s="59"/>
      <c r="M793" s="59"/>
      <c r="N793" s="59"/>
    </row>
    <row r="794" ht="12.75" customHeight="1">
      <c r="I794" s="25"/>
      <c r="L794" s="59"/>
      <c r="M794" s="59"/>
      <c r="N794" s="59"/>
    </row>
    <row r="795" ht="12.75" customHeight="1">
      <c r="I795" s="25"/>
      <c r="L795" s="59"/>
      <c r="M795" s="59"/>
      <c r="N795" s="59"/>
    </row>
    <row r="796" ht="12.75" customHeight="1">
      <c r="I796" s="25"/>
      <c r="L796" s="59"/>
      <c r="M796" s="59"/>
      <c r="N796" s="59"/>
    </row>
    <row r="797" ht="12.75" customHeight="1">
      <c r="I797" s="25"/>
      <c r="L797" s="59"/>
      <c r="M797" s="59"/>
      <c r="N797" s="59"/>
    </row>
    <row r="798" ht="12.75" customHeight="1">
      <c r="I798" s="25"/>
      <c r="L798" s="59"/>
      <c r="M798" s="59"/>
      <c r="N798" s="59"/>
    </row>
    <row r="799" ht="12.75" customHeight="1">
      <c r="I799" s="25"/>
      <c r="L799" s="59"/>
      <c r="M799" s="59"/>
      <c r="N799" s="59"/>
    </row>
    <row r="800" ht="12.75" customHeight="1">
      <c r="I800" s="25"/>
      <c r="L800" s="59"/>
      <c r="M800" s="59"/>
      <c r="N800" s="59"/>
    </row>
    <row r="801" ht="12.75" customHeight="1">
      <c r="I801" s="25"/>
      <c r="L801" s="59"/>
      <c r="M801" s="59"/>
      <c r="N801" s="59"/>
    </row>
    <row r="802" ht="12.75" customHeight="1">
      <c r="I802" s="25"/>
      <c r="L802" s="59"/>
      <c r="M802" s="59"/>
      <c r="N802" s="59"/>
    </row>
    <row r="803" ht="12.75" customHeight="1">
      <c r="I803" s="25"/>
      <c r="L803" s="59"/>
      <c r="M803" s="59"/>
      <c r="N803" s="59"/>
    </row>
    <row r="804" ht="12.75" customHeight="1">
      <c r="I804" s="25"/>
      <c r="L804" s="59"/>
      <c r="M804" s="59"/>
      <c r="N804" s="59"/>
    </row>
    <row r="805" ht="12.75" customHeight="1">
      <c r="I805" s="25"/>
      <c r="L805" s="59"/>
      <c r="M805" s="59"/>
      <c r="N805" s="59"/>
    </row>
    <row r="806" ht="12.75" customHeight="1">
      <c r="I806" s="25"/>
      <c r="L806" s="59"/>
      <c r="M806" s="59"/>
      <c r="N806" s="59"/>
    </row>
    <row r="807" ht="12.75" customHeight="1">
      <c r="I807" s="25"/>
      <c r="L807" s="59"/>
      <c r="M807" s="59"/>
      <c r="N807" s="59"/>
    </row>
    <row r="808" ht="12.75" customHeight="1">
      <c r="I808" s="25"/>
      <c r="L808" s="59"/>
      <c r="M808" s="59"/>
      <c r="N808" s="59"/>
    </row>
    <row r="809" ht="12.75" customHeight="1">
      <c r="I809" s="25"/>
      <c r="L809" s="59"/>
      <c r="M809" s="59"/>
      <c r="N809" s="59"/>
    </row>
    <row r="810" ht="12.75" customHeight="1">
      <c r="I810" s="25"/>
      <c r="L810" s="59"/>
      <c r="M810" s="59"/>
      <c r="N810" s="59"/>
    </row>
    <row r="811" ht="12.75" customHeight="1">
      <c r="I811" s="25"/>
      <c r="L811" s="59"/>
      <c r="M811" s="59"/>
      <c r="N811" s="59"/>
    </row>
    <row r="812" ht="12.75" customHeight="1">
      <c r="I812" s="25"/>
      <c r="L812" s="59"/>
      <c r="M812" s="59"/>
      <c r="N812" s="59"/>
    </row>
    <row r="813" ht="12.75" customHeight="1">
      <c r="I813" s="25"/>
      <c r="L813" s="59"/>
      <c r="M813" s="59"/>
      <c r="N813" s="59"/>
    </row>
    <row r="814" ht="12.75" customHeight="1">
      <c r="I814" s="25"/>
      <c r="L814" s="59"/>
      <c r="M814" s="59"/>
      <c r="N814" s="59"/>
    </row>
    <row r="815" ht="12.75" customHeight="1">
      <c r="I815" s="25"/>
      <c r="L815" s="59"/>
      <c r="M815" s="59"/>
      <c r="N815" s="59"/>
    </row>
    <row r="816" ht="12.75" customHeight="1">
      <c r="I816" s="25"/>
      <c r="L816" s="59"/>
      <c r="M816" s="59"/>
      <c r="N816" s="59"/>
    </row>
    <row r="817" ht="12.75" customHeight="1">
      <c r="I817" s="25"/>
      <c r="L817" s="59"/>
      <c r="M817" s="59"/>
      <c r="N817" s="59"/>
    </row>
    <row r="818" ht="12.75" customHeight="1">
      <c r="I818" s="25"/>
      <c r="L818" s="59"/>
      <c r="M818" s="59"/>
      <c r="N818" s="59"/>
    </row>
    <row r="819" ht="12.75" customHeight="1">
      <c r="I819" s="25"/>
      <c r="L819" s="59"/>
      <c r="M819" s="59"/>
      <c r="N819" s="59"/>
    </row>
    <row r="820" ht="12.75" customHeight="1">
      <c r="I820" s="25"/>
      <c r="L820" s="59"/>
      <c r="M820" s="59"/>
      <c r="N820" s="59"/>
    </row>
    <row r="821" ht="12.75" customHeight="1">
      <c r="I821" s="25"/>
      <c r="L821" s="59"/>
      <c r="M821" s="59"/>
      <c r="N821" s="59"/>
    </row>
    <row r="822" ht="12.75" customHeight="1">
      <c r="I822" s="25"/>
      <c r="L822" s="59"/>
      <c r="M822" s="59"/>
      <c r="N822" s="59"/>
    </row>
    <row r="823" ht="12.75" customHeight="1">
      <c r="I823" s="25"/>
      <c r="L823" s="59"/>
      <c r="M823" s="59"/>
      <c r="N823" s="59"/>
    </row>
    <row r="824" ht="12.75" customHeight="1">
      <c r="I824" s="25"/>
      <c r="L824" s="59"/>
      <c r="M824" s="59"/>
      <c r="N824" s="59"/>
    </row>
    <row r="825" ht="12.75" customHeight="1">
      <c r="I825" s="25"/>
      <c r="L825" s="59"/>
      <c r="M825" s="59"/>
      <c r="N825" s="59"/>
    </row>
    <row r="826" ht="12.75" customHeight="1">
      <c r="I826" s="25"/>
      <c r="L826" s="59"/>
      <c r="M826" s="59"/>
      <c r="N826" s="59"/>
    </row>
    <row r="827" ht="12.75" customHeight="1">
      <c r="I827" s="25"/>
      <c r="L827" s="59"/>
      <c r="M827" s="59"/>
      <c r="N827" s="59"/>
    </row>
    <row r="828" ht="12.75" customHeight="1">
      <c r="I828" s="25"/>
      <c r="L828" s="59"/>
      <c r="M828" s="59"/>
      <c r="N828" s="59"/>
    </row>
    <row r="829" ht="12.75" customHeight="1">
      <c r="I829" s="25"/>
      <c r="L829" s="59"/>
      <c r="M829" s="59"/>
      <c r="N829" s="59"/>
    </row>
    <row r="830" ht="12.75" customHeight="1">
      <c r="I830" s="25"/>
      <c r="L830" s="59"/>
      <c r="M830" s="59"/>
      <c r="N830" s="59"/>
    </row>
    <row r="831" ht="12.75" customHeight="1">
      <c r="I831" s="25"/>
      <c r="L831" s="59"/>
      <c r="M831" s="59"/>
      <c r="N831" s="59"/>
    </row>
    <row r="832" ht="12.75" customHeight="1">
      <c r="I832" s="25"/>
      <c r="L832" s="59"/>
      <c r="M832" s="59"/>
      <c r="N832" s="59"/>
    </row>
    <row r="833" ht="12.75" customHeight="1">
      <c r="I833" s="25"/>
      <c r="L833" s="59"/>
      <c r="M833" s="59"/>
      <c r="N833" s="59"/>
    </row>
    <row r="834" ht="12.75" customHeight="1">
      <c r="I834" s="25"/>
      <c r="L834" s="59"/>
      <c r="M834" s="59"/>
      <c r="N834" s="59"/>
    </row>
    <row r="835" ht="12.75" customHeight="1">
      <c r="I835" s="25"/>
      <c r="L835" s="59"/>
      <c r="M835" s="59"/>
      <c r="N835" s="59"/>
    </row>
    <row r="836" ht="12.75" customHeight="1">
      <c r="I836" s="25"/>
      <c r="L836" s="59"/>
      <c r="M836" s="59"/>
      <c r="N836" s="59"/>
    </row>
    <row r="837" ht="12.75" customHeight="1">
      <c r="I837" s="25"/>
      <c r="L837" s="59"/>
      <c r="M837" s="59"/>
      <c r="N837" s="59"/>
    </row>
    <row r="838" ht="12.75" customHeight="1">
      <c r="I838" s="25"/>
      <c r="L838" s="59"/>
      <c r="M838" s="59"/>
      <c r="N838" s="59"/>
    </row>
    <row r="839" ht="12.75" customHeight="1">
      <c r="I839" s="25"/>
      <c r="L839" s="59"/>
      <c r="M839" s="59"/>
      <c r="N839" s="59"/>
    </row>
    <row r="840" ht="12.75" customHeight="1">
      <c r="I840" s="25"/>
      <c r="L840" s="59"/>
      <c r="M840" s="59"/>
      <c r="N840" s="59"/>
    </row>
    <row r="841" ht="12.75" customHeight="1">
      <c r="I841" s="25"/>
      <c r="L841" s="59"/>
      <c r="M841" s="59"/>
      <c r="N841" s="59"/>
    </row>
    <row r="842" ht="12.75" customHeight="1">
      <c r="I842" s="25"/>
      <c r="L842" s="59"/>
      <c r="M842" s="59"/>
      <c r="N842" s="59"/>
    </row>
    <row r="843" ht="12.75" customHeight="1">
      <c r="I843" s="25"/>
      <c r="L843" s="59"/>
      <c r="M843" s="59"/>
      <c r="N843" s="59"/>
    </row>
    <row r="844" ht="12.75" customHeight="1">
      <c r="I844" s="25"/>
      <c r="L844" s="59"/>
      <c r="M844" s="59"/>
      <c r="N844" s="59"/>
    </row>
    <row r="845" ht="12.75" customHeight="1">
      <c r="I845" s="25"/>
      <c r="L845" s="59"/>
      <c r="M845" s="59"/>
      <c r="N845" s="59"/>
    </row>
    <row r="846" ht="12.75" customHeight="1">
      <c r="I846" s="25"/>
      <c r="L846" s="59"/>
      <c r="M846" s="59"/>
      <c r="N846" s="59"/>
    </row>
    <row r="847" ht="12.75" customHeight="1">
      <c r="I847" s="25"/>
      <c r="L847" s="59"/>
      <c r="M847" s="59"/>
      <c r="N847" s="59"/>
    </row>
    <row r="848" ht="12.75" customHeight="1">
      <c r="I848" s="25"/>
      <c r="L848" s="59"/>
      <c r="M848" s="59"/>
      <c r="N848" s="59"/>
    </row>
    <row r="849" ht="12.75" customHeight="1">
      <c r="I849" s="25"/>
      <c r="L849" s="59"/>
      <c r="M849" s="59"/>
      <c r="N849" s="59"/>
    </row>
    <row r="850" ht="12.75" customHeight="1">
      <c r="I850" s="25"/>
      <c r="L850" s="59"/>
      <c r="M850" s="59"/>
      <c r="N850" s="59"/>
    </row>
    <row r="851" ht="12.75" customHeight="1">
      <c r="I851" s="25"/>
      <c r="L851" s="59"/>
      <c r="M851" s="59"/>
      <c r="N851" s="59"/>
    </row>
    <row r="852" ht="12.75" customHeight="1">
      <c r="I852" s="25"/>
      <c r="L852" s="59"/>
      <c r="M852" s="59"/>
      <c r="N852" s="59"/>
    </row>
    <row r="853" ht="12.75" customHeight="1">
      <c r="I853" s="25"/>
      <c r="L853" s="59"/>
      <c r="M853" s="59"/>
      <c r="N853" s="59"/>
    </row>
    <row r="854" ht="12.75" customHeight="1">
      <c r="I854" s="25"/>
      <c r="L854" s="59"/>
      <c r="M854" s="59"/>
      <c r="N854" s="59"/>
    </row>
    <row r="855" ht="12.75" customHeight="1">
      <c r="I855" s="25"/>
      <c r="L855" s="59"/>
      <c r="M855" s="59"/>
      <c r="N855" s="59"/>
    </row>
    <row r="856" ht="12.75" customHeight="1">
      <c r="I856" s="25"/>
      <c r="L856" s="59"/>
      <c r="M856" s="59"/>
      <c r="N856" s="59"/>
    </row>
    <row r="857" ht="12.75" customHeight="1">
      <c r="I857" s="25"/>
      <c r="L857" s="59"/>
      <c r="M857" s="59"/>
      <c r="N857" s="59"/>
    </row>
    <row r="858" ht="12.75" customHeight="1">
      <c r="I858" s="25"/>
      <c r="L858" s="59"/>
      <c r="M858" s="59"/>
      <c r="N858" s="59"/>
    </row>
    <row r="859" ht="12.75" customHeight="1">
      <c r="I859" s="25"/>
      <c r="L859" s="59"/>
      <c r="M859" s="59"/>
      <c r="N859" s="59"/>
    </row>
    <row r="860" ht="12.75" customHeight="1">
      <c r="I860" s="25"/>
      <c r="L860" s="59"/>
      <c r="M860" s="59"/>
      <c r="N860" s="59"/>
    </row>
    <row r="861" ht="12.75" customHeight="1">
      <c r="I861" s="25"/>
      <c r="L861" s="59"/>
      <c r="M861" s="59"/>
      <c r="N861" s="59"/>
    </row>
    <row r="862" ht="12.75" customHeight="1">
      <c r="I862" s="25"/>
      <c r="L862" s="59"/>
      <c r="M862" s="59"/>
      <c r="N862" s="59"/>
    </row>
    <row r="863" ht="12.75" customHeight="1">
      <c r="I863" s="25"/>
      <c r="L863" s="59"/>
      <c r="M863" s="59"/>
      <c r="N863" s="59"/>
    </row>
    <row r="864" ht="12.75" customHeight="1">
      <c r="I864" s="25"/>
      <c r="L864" s="59"/>
      <c r="M864" s="59"/>
      <c r="N864" s="59"/>
    </row>
    <row r="865" ht="12.75" customHeight="1">
      <c r="I865" s="25"/>
      <c r="L865" s="59"/>
      <c r="M865" s="59"/>
      <c r="N865" s="59"/>
    </row>
    <row r="866" ht="12.75" customHeight="1">
      <c r="I866" s="25"/>
      <c r="L866" s="59"/>
      <c r="M866" s="59"/>
      <c r="N866" s="59"/>
    </row>
    <row r="867" ht="12.75" customHeight="1">
      <c r="I867" s="25"/>
      <c r="L867" s="59"/>
      <c r="M867" s="59"/>
      <c r="N867" s="59"/>
    </row>
    <row r="868" ht="12.75" customHeight="1">
      <c r="I868" s="25"/>
      <c r="L868" s="59"/>
      <c r="M868" s="59"/>
      <c r="N868" s="59"/>
    </row>
    <row r="869" ht="12.75" customHeight="1">
      <c r="I869" s="25"/>
      <c r="L869" s="59"/>
      <c r="M869" s="59"/>
      <c r="N869" s="59"/>
    </row>
    <row r="870" ht="12.75" customHeight="1">
      <c r="I870" s="25"/>
      <c r="L870" s="59"/>
      <c r="M870" s="59"/>
      <c r="N870" s="59"/>
    </row>
    <row r="871" ht="12.75" customHeight="1">
      <c r="I871" s="25"/>
      <c r="L871" s="59"/>
      <c r="M871" s="59"/>
      <c r="N871" s="59"/>
    </row>
    <row r="872" ht="12.75" customHeight="1">
      <c r="I872" s="25"/>
      <c r="L872" s="59"/>
      <c r="M872" s="59"/>
      <c r="N872" s="59"/>
    </row>
    <row r="873" ht="12.75" customHeight="1">
      <c r="I873" s="25"/>
      <c r="L873" s="59"/>
      <c r="M873" s="59"/>
      <c r="N873" s="59"/>
    </row>
    <row r="874" ht="12.75" customHeight="1">
      <c r="I874" s="25"/>
      <c r="L874" s="59"/>
      <c r="M874" s="59"/>
      <c r="N874" s="59"/>
    </row>
    <row r="875" ht="12.75" customHeight="1">
      <c r="I875" s="25"/>
      <c r="L875" s="59"/>
      <c r="M875" s="59"/>
      <c r="N875" s="59"/>
    </row>
    <row r="876" ht="12.75" customHeight="1">
      <c r="I876" s="25"/>
      <c r="L876" s="59"/>
      <c r="M876" s="59"/>
      <c r="N876" s="59"/>
    </row>
    <row r="877" ht="12.75" customHeight="1">
      <c r="I877" s="25"/>
      <c r="L877" s="59"/>
      <c r="M877" s="59"/>
      <c r="N877" s="59"/>
    </row>
    <row r="878" ht="12.75" customHeight="1">
      <c r="I878" s="25"/>
      <c r="L878" s="59"/>
      <c r="M878" s="59"/>
      <c r="N878" s="59"/>
    </row>
    <row r="879" ht="12.75" customHeight="1">
      <c r="I879" s="25"/>
      <c r="L879" s="59"/>
      <c r="M879" s="59"/>
      <c r="N879" s="59"/>
    </row>
    <row r="880" ht="12.75" customHeight="1">
      <c r="I880" s="25"/>
      <c r="L880" s="59"/>
      <c r="M880" s="59"/>
      <c r="N880" s="59"/>
    </row>
    <row r="881" ht="12.75" customHeight="1">
      <c r="I881" s="25"/>
      <c r="L881" s="59"/>
      <c r="M881" s="59"/>
      <c r="N881" s="59"/>
    </row>
    <row r="882" ht="12.75" customHeight="1">
      <c r="I882" s="25"/>
      <c r="L882" s="59"/>
      <c r="M882" s="59"/>
      <c r="N882" s="59"/>
    </row>
    <row r="883" ht="12.75" customHeight="1">
      <c r="I883" s="25"/>
      <c r="L883" s="59"/>
      <c r="M883" s="59"/>
      <c r="N883" s="59"/>
    </row>
    <row r="884" ht="12.75" customHeight="1">
      <c r="I884" s="25"/>
      <c r="L884" s="59"/>
      <c r="M884" s="59"/>
      <c r="N884" s="59"/>
    </row>
    <row r="885" ht="12.75" customHeight="1">
      <c r="I885" s="25"/>
      <c r="L885" s="59"/>
      <c r="M885" s="59"/>
      <c r="N885" s="59"/>
    </row>
    <row r="886" ht="12.75" customHeight="1">
      <c r="I886" s="25"/>
      <c r="L886" s="59"/>
      <c r="M886" s="59"/>
      <c r="N886" s="59"/>
    </row>
    <row r="887" ht="12.75" customHeight="1">
      <c r="I887" s="25"/>
      <c r="L887" s="59"/>
      <c r="M887" s="59"/>
      <c r="N887" s="59"/>
    </row>
    <row r="888" ht="12.75" customHeight="1">
      <c r="I888" s="25"/>
      <c r="L888" s="59"/>
      <c r="M888" s="59"/>
      <c r="N888" s="59"/>
    </row>
    <row r="889" ht="12.75" customHeight="1">
      <c r="I889" s="25"/>
      <c r="L889" s="59"/>
      <c r="M889" s="59"/>
      <c r="N889" s="59"/>
    </row>
    <row r="890" ht="12.75" customHeight="1">
      <c r="I890" s="25"/>
      <c r="L890" s="59"/>
      <c r="M890" s="59"/>
      <c r="N890" s="59"/>
    </row>
    <row r="891" ht="12.75" customHeight="1">
      <c r="I891" s="25"/>
      <c r="L891" s="59"/>
      <c r="M891" s="59"/>
      <c r="N891" s="59"/>
    </row>
    <row r="892" ht="12.75" customHeight="1">
      <c r="I892" s="25"/>
      <c r="L892" s="59"/>
      <c r="M892" s="59"/>
      <c r="N892" s="59"/>
    </row>
    <row r="893" ht="12.75" customHeight="1">
      <c r="I893" s="25"/>
      <c r="L893" s="59"/>
      <c r="M893" s="59"/>
      <c r="N893" s="59"/>
    </row>
    <row r="894" ht="12.75" customHeight="1">
      <c r="I894" s="25"/>
      <c r="L894" s="59"/>
      <c r="M894" s="59"/>
      <c r="N894" s="59"/>
    </row>
    <row r="895" ht="12.75" customHeight="1">
      <c r="I895" s="25"/>
      <c r="L895" s="59"/>
      <c r="M895" s="59"/>
      <c r="N895" s="59"/>
    </row>
    <row r="896" ht="12.75" customHeight="1">
      <c r="I896" s="25"/>
      <c r="L896" s="59"/>
      <c r="M896" s="59"/>
      <c r="N896" s="59"/>
    </row>
    <row r="897" ht="12.75" customHeight="1">
      <c r="I897" s="25"/>
      <c r="L897" s="59"/>
      <c r="M897" s="59"/>
      <c r="N897" s="59"/>
    </row>
    <row r="898" ht="12.75" customHeight="1">
      <c r="I898" s="25"/>
      <c r="L898" s="59"/>
      <c r="M898" s="59"/>
      <c r="N898" s="59"/>
    </row>
    <row r="899" ht="12.75" customHeight="1">
      <c r="I899" s="25"/>
      <c r="L899" s="59"/>
      <c r="M899" s="59"/>
      <c r="N899" s="59"/>
    </row>
    <row r="900" ht="12.75" customHeight="1">
      <c r="I900" s="25"/>
      <c r="L900" s="59"/>
      <c r="M900" s="59"/>
      <c r="N900" s="59"/>
    </row>
    <row r="901" ht="12.75" customHeight="1">
      <c r="I901" s="25"/>
      <c r="L901" s="59"/>
      <c r="M901" s="59"/>
      <c r="N901" s="59"/>
    </row>
    <row r="902" ht="12.75" customHeight="1">
      <c r="I902" s="25"/>
      <c r="L902" s="59"/>
      <c r="M902" s="59"/>
      <c r="N902" s="59"/>
    </row>
    <row r="903" ht="12.75" customHeight="1">
      <c r="I903" s="25"/>
      <c r="L903" s="59"/>
      <c r="M903" s="59"/>
      <c r="N903" s="59"/>
    </row>
    <row r="904" ht="12.75" customHeight="1">
      <c r="I904" s="25"/>
      <c r="L904" s="59"/>
      <c r="M904" s="59"/>
      <c r="N904" s="59"/>
    </row>
    <row r="905" ht="12.75" customHeight="1">
      <c r="I905" s="25"/>
      <c r="L905" s="59"/>
      <c r="M905" s="59"/>
      <c r="N905" s="59"/>
    </row>
    <row r="906" ht="12.75" customHeight="1">
      <c r="I906" s="25"/>
      <c r="L906" s="59"/>
      <c r="M906" s="59"/>
      <c r="N906" s="59"/>
    </row>
    <row r="907" ht="12.75" customHeight="1">
      <c r="I907" s="25"/>
      <c r="L907" s="59"/>
      <c r="M907" s="59"/>
      <c r="N907" s="59"/>
    </row>
    <row r="908" ht="12.75" customHeight="1">
      <c r="I908" s="25"/>
      <c r="L908" s="59"/>
      <c r="M908" s="59"/>
      <c r="N908" s="59"/>
    </row>
    <row r="909" ht="12.75" customHeight="1">
      <c r="I909" s="25"/>
      <c r="L909" s="59"/>
      <c r="M909" s="59"/>
      <c r="N909" s="59"/>
    </row>
    <row r="910" ht="12.75" customHeight="1">
      <c r="I910" s="25"/>
      <c r="L910" s="59"/>
      <c r="M910" s="59"/>
      <c r="N910" s="59"/>
    </row>
    <row r="911" ht="12.75" customHeight="1">
      <c r="I911" s="25"/>
      <c r="L911" s="59"/>
      <c r="M911" s="59"/>
      <c r="N911" s="59"/>
    </row>
    <row r="912" ht="12.75" customHeight="1">
      <c r="I912" s="25"/>
      <c r="L912" s="59"/>
      <c r="M912" s="59"/>
      <c r="N912" s="59"/>
    </row>
    <row r="913" ht="12.75" customHeight="1">
      <c r="I913" s="25"/>
      <c r="L913" s="59"/>
      <c r="M913" s="59"/>
      <c r="N913" s="59"/>
    </row>
    <row r="914" ht="12.75" customHeight="1">
      <c r="I914" s="25"/>
      <c r="L914" s="59"/>
      <c r="M914" s="59"/>
      <c r="N914" s="59"/>
    </row>
    <row r="915" ht="12.75" customHeight="1">
      <c r="I915" s="25"/>
      <c r="L915" s="59"/>
      <c r="M915" s="59"/>
      <c r="N915" s="59"/>
    </row>
    <row r="916" ht="12.75" customHeight="1">
      <c r="I916" s="25"/>
      <c r="L916" s="59"/>
      <c r="M916" s="59"/>
      <c r="N916" s="59"/>
    </row>
    <row r="917" ht="12.75" customHeight="1">
      <c r="I917" s="25"/>
      <c r="L917" s="59"/>
      <c r="M917" s="59"/>
      <c r="N917" s="59"/>
    </row>
    <row r="918" ht="12.75" customHeight="1">
      <c r="I918" s="25"/>
      <c r="L918" s="59"/>
      <c r="M918" s="59"/>
      <c r="N918" s="59"/>
    </row>
    <row r="919" ht="12.75" customHeight="1">
      <c r="I919" s="25"/>
      <c r="L919" s="59"/>
      <c r="M919" s="59"/>
      <c r="N919" s="59"/>
    </row>
    <row r="920" ht="12.75" customHeight="1">
      <c r="I920" s="25"/>
      <c r="L920" s="59"/>
      <c r="M920" s="59"/>
      <c r="N920" s="59"/>
    </row>
    <row r="921" ht="12.75" customHeight="1">
      <c r="I921" s="25"/>
      <c r="L921" s="59"/>
      <c r="M921" s="59"/>
      <c r="N921" s="59"/>
    </row>
    <row r="922" ht="12.75" customHeight="1">
      <c r="I922" s="25"/>
      <c r="L922" s="59"/>
      <c r="M922" s="59"/>
      <c r="N922" s="59"/>
    </row>
    <row r="923" ht="12.75" customHeight="1">
      <c r="I923" s="25"/>
      <c r="L923" s="59"/>
      <c r="M923" s="59"/>
      <c r="N923" s="59"/>
    </row>
    <row r="924" ht="12.75" customHeight="1">
      <c r="I924" s="25"/>
      <c r="L924" s="59"/>
      <c r="M924" s="59"/>
      <c r="N924" s="59"/>
    </row>
    <row r="925" ht="12.75" customHeight="1">
      <c r="I925" s="25"/>
      <c r="L925" s="59"/>
      <c r="M925" s="59"/>
      <c r="N925" s="59"/>
    </row>
    <row r="926" ht="12.75" customHeight="1">
      <c r="I926" s="25"/>
      <c r="L926" s="59"/>
      <c r="M926" s="59"/>
      <c r="N926" s="59"/>
    </row>
    <row r="927" ht="12.75" customHeight="1">
      <c r="I927" s="25"/>
      <c r="L927" s="59"/>
      <c r="M927" s="59"/>
      <c r="N927" s="59"/>
    </row>
    <row r="928" ht="12.75" customHeight="1">
      <c r="I928" s="25"/>
      <c r="L928" s="59"/>
      <c r="M928" s="59"/>
      <c r="N928" s="59"/>
    </row>
    <row r="929" ht="12.75" customHeight="1">
      <c r="I929" s="25"/>
      <c r="L929" s="59"/>
      <c r="M929" s="59"/>
      <c r="N929" s="59"/>
    </row>
    <row r="930" ht="12.75" customHeight="1">
      <c r="I930" s="25"/>
      <c r="L930" s="59"/>
      <c r="M930" s="59"/>
      <c r="N930" s="59"/>
    </row>
    <row r="931" ht="12.75" customHeight="1">
      <c r="I931" s="25"/>
      <c r="L931" s="59"/>
      <c r="M931" s="59"/>
      <c r="N931" s="59"/>
    </row>
    <row r="932" ht="12.75" customHeight="1">
      <c r="I932" s="25"/>
      <c r="L932" s="59"/>
      <c r="M932" s="59"/>
      <c r="N932" s="59"/>
    </row>
    <row r="933" ht="12.75" customHeight="1">
      <c r="I933" s="25"/>
      <c r="L933" s="59"/>
      <c r="M933" s="59"/>
      <c r="N933" s="59"/>
    </row>
    <row r="934" ht="12.75" customHeight="1">
      <c r="I934" s="25"/>
      <c r="L934" s="59"/>
      <c r="M934" s="59"/>
      <c r="N934" s="59"/>
    </row>
    <row r="935" ht="12.75" customHeight="1">
      <c r="I935" s="25"/>
      <c r="L935" s="59"/>
      <c r="M935" s="59"/>
      <c r="N935" s="59"/>
    </row>
    <row r="936" ht="12.75" customHeight="1">
      <c r="I936" s="25"/>
      <c r="L936" s="59"/>
      <c r="M936" s="59"/>
      <c r="N936" s="59"/>
    </row>
    <row r="937" ht="12.75" customHeight="1">
      <c r="I937" s="25"/>
      <c r="L937" s="59"/>
      <c r="M937" s="59"/>
      <c r="N937" s="59"/>
    </row>
    <row r="938" ht="12.75" customHeight="1">
      <c r="I938" s="25"/>
      <c r="L938" s="59"/>
      <c r="M938" s="59"/>
      <c r="N938" s="59"/>
    </row>
    <row r="939" ht="12.75" customHeight="1">
      <c r="I939" s="25"/>
      <c r="L939" s="59"/>
      <c r="M939" s="59"/>
      <c r="N939" s="59"/>
    </row>
    <row r="940" ht="12.75" customHeight="1">
      <c r="I940" s="25"/>
      <c r="L940" s="59"/>
      <c r="M940" s="59"/>
      <c r="N940" s="59"/>
    </row>
    <row r="941" ht="12.75" customHeight="1">
      <c r="I941" s="25"/>
      <c r="L941" s="59"/>
      <c r="M941" s="59"/>
      <c r="N941" s="59"/>
    </row>
    <row r="942" ht="12.75" customHeight="1">
      <c r="I942" s="25"/>
      <c r="L942" s="59"/>
      <c r="M942" s="59"/>
      <c r="N942" s="59"/>
    </row>
    <row r="943" ht="12.75" customHeight="1">
      <c r="I943" s="25"/>
      <c r="L943" s="59"/>
      <c r="M943" s="59"/>
      <c r="N943" s="59"/>
    </row>
    <row r="944" ht="12.75" customHeight="1">
      <c r="I944" s="25"/>
      <c r="L944" s="59"/>
      <c r="M944" s="59"/>
      <c r="N944" s="59"/>
    </row>
    <row r="945" ht="12.75" customHeight="1">
      <c r="I945" s="25"/>
      <c r="L945" s="59"/>
      <c r="M945" s="59"/>
      <c r="N945" s="59"/>
    </row>
    <row r="946" ht="12.75" customHeight="1">
      <c r="I946" s="25"/>
      <c r="L946" s="59"/>
      <c r="M946" s="59"/>
      <c r="N946" s="59"/>
    </row>
    <row r="947" ht="12.75" customHeight="1">
      <c r="I947" s="25"/>
      <c r="L947" s="59"/>
      <c r="M947" s="59"/>
      <c r="N947" s="59"/>
    </row>
    <row r="948" ht="12.75" customHeight="1">
      <c r="I948" s="25"/>
      <c r="L948" s="59"/>
      <c r="M948" s="59"/>
      <c r="N948" s="59"/>
    </row>
    <row r="949" ht="12.75" customHeight="1">
      <c r="I949" s="25"/>
      <c r="L949" s="59"/>
      <c r="M949" s="59"/>
      <c r="N949" s="59"/>
    </row>
    <row r="950" ht="12.75" customHeight="1">
      <c r="I950" s="25"/>
      <c r="L950" s="59"/>
      <c r="M950" s="59"/>
      <c r="N950" s="59"/>
    </row>
    <row r="951" ht="12.75" customHeight="1">
      <c r="I951" s="25"/>
      <c r="L951" s="59"/>
      <c r="M951" s="59"/>
      <c r="N951" s="59"/>
    </row>
    <row r="952" ht="12.75" customHeight="1">
      <c r="I952" s="25"/>
      <c r="L952" s="59"/>
      <c r="M952" s="59"/>
      <c r="N952" s="59"/>
    </row>
    <row r="953" ht="12.75" customHeight="1">
      <c r="I953" s="25"/>
      <c r="L953" s="59"/>
      <c r="M953" s="59"/>
      <c r="N953" s="59"/>
    </row>
    <row r="954" ht="12.75" customHeight="1">
      <c r="I954" s="25"/>
      <c r="L954" s="59"/>
      <c r="M954" s="59"/>
      <c r="N954" s="59"/>
    </row>
    <row r="955" ht="12.75" customHeight="1">
      <c r="I955" s="25"/>
      <c r="L955" s="59"/>
      <c r="M955" s="59"/>
      <c r="N955" s="59"/>
    </row>
    <row r="956" ht="12.75" customHeight="1">
      <c r="I956" s="25"/>
      <c r="L956" s="59"/>
      <c r="M956" s="59"/>
      <c r="N956" s="59"/>
    </row>
    <row r="957" ht="12.75" customHeight="1">
      <c r="I957" s="25"/>
      <c r="L957" s="59"/>
      <c r="M957" s="59"/>
      <c r="N957" s="59"/>
    </row>
    <row r="958" ht="12.75" customHeight="1">
      <c r="I958" s="25"/>
      <c r="L958" s="59"/>
      <c r="M958" s="59"/>
      <c r="N958" s="59"/>
    </row>
    <row r="959" ht="12.75" customHeight="1">
      <c r="I959" s="25"/>
      <c r="L959" s="59"/>
      <c r="M959" s="59"/>
      <c r="N959" s="59"/>
    </row>
    <row r="960" ht="12.75" customHeight="1">
      <c r="I960" s="25"/>
      <c r="L960" s="59"/>
      <c r="M960" s="59"/>
      <c r="N960" s="59"/>
    </row>
    <row r="961" ht="12.75" customHeight="1">
      <c r="I961" s="25"/>
      <c r="L961" s="59"/>
      <c r="M961" s="59"/>
      <c r="N961" s="59"/>
    </row>
    <row r="962" ht="12.75" customHeight="1">
      <c r="I962" s="25"/>
      <c r="L962" s="59"/>
      <c r="M962" s="59"/>
      <c r="N962" s="59"/>
    </row>
    <row r="963" ht="12.75" customHeight="1">
      <c r="I963" s="25"/>
      <c r="L963" s="59"/>
      <c r="M963" s="59"/>
      <c r="N963" s="59"/>
    </row>
    <row r="964" ht="12.75" customHeight="1">
      <c r="I964" s="25"/>
      <c r="L964" s="59"/>
      <c r="M964" s="59"/>
      <c r="N964" s="59"/>
    </row>
    <row r="965" ht="12.75" customHeight="1">
      <c r="I965" s="25"/>
      <c r="L965" s="59"/>
      <c r="M965" s="59"/>
      <c r="N965" s="59"/>
    </row>
    <row r="966" ht="12.75" customHeight="1">
      <c r="I966" s="25"/>
      <c r="L966" s="59"/>
      <c r="M966" s="59"/>
      <c r="N966" s="59"/>
    </row>
    <row r="967" ht="12.75" customHeight="1">
      <c r="I967" s="25"/>
      <c r="L967" s="59"/>
      <c r="M967" s="59"/>
      <c r="N967" s="59"/>
    </row>
    <row r="968" ht="12.75" customHeight="1">
      <c r="I968" s="25"/>
      <c r="L968" s="59"/>
      <c r="M968" s="59"/>
      <c r="N968" s="59"/>
    </row>
    <row r="969" ht="12.75" customHeight="1">
      <c r="I969" s="25"/>
      <c r="L969" s="59"/>
      <c r="M969" s="59"/>
      <c r="N969" s="59"/>
    </row>
    <row r="970" ht="12.75" customHeight="1">
      <c r="I970" s="25"/>
      <c r="L970" s="59"/>
      <c r="M970" s="59"/>
      <c r="N970" s="59"/>
    </row>
    <row r="971" ht="12.75" customHeight="1">
      <c r="I971" s="25"/>
      <c r="L971" s="59"/>
      <c r="M971" s="59"/>
      <c r="N971" s="59"/>
    </row>
    <row r="972" ht="12.75" customHeight="1">
      <c r="I972" s="25"/>
      <c r="L972" s="59"/>
      <c r="M972" s="59"/>
      <c r="N972" s="59"/>
    </row>
    <row r="973" ht="12.75" customHeight="1">
      <c r="I973" s="25"/>
      <c r="L973" s="59"/>
      <c r="M973" s="59"/>
      <c r="N973" s="59"/>
    </row>
    <row r="974" ht="12.75" customHeight="1">
      <c r="I974" s="25"/>
      <c r="L974" s="59"/>
      <c r="M974" s="59"/>
      <c r="N974" s="59"/>
    </row>
    <row r="975" ht="12.75" customHeight="1">
      <c r="I975" s="25"/>
      <c r="L975" s="59"/>
      <c r="M975" s="59"/>
      <c r="N975" s="59"/>
    </row>
    <row r="976" ht="12.75" customHeight="1">
      <c r="I976" s="25"/>
      <c r="L976" s="59"/>
      <c r="M976" s="59"/>
      <c r="N976" s="59"/>
    </row>
    <row r="977" ht="12.75" customHeight="1">
      <c r="I977" s="25"/>
      <c r="L977" s="59"/>
      <c r="M977" s="59"/>
      <c r="N977" s="59"/>
    </row>
    <row r="978" ht="12.75" customHeight="1">
      <c r="I978" s="25"/>
      <c r="L978" s="59"/>
      <c r="M978" s="59"/>
      <c r="N978" s="59"/>
    </row>
    <row r="979" ht="12.75" customHeight="1">
      <c r="I979" s="25"/>
      <c r="L979" s="59"/>
      <c r="M979" s="59"/>
      <c r="N979" s="59"/>
    </row>
    <row r="980" ht="12.75" customHeight="1">
      <c r="I980" s="25"/>
      <c r="L980" s="59"/>
      <c r="M980" s="59"/>
      <c r="N980" s="59"/>
    </row>
    <row r="981" ht="12.75" customHeight="1">
      <c r="I981" s="25"/>
      <c r="L981" s="59"/>
      <c r="M981" s="59"/>
      <c r="N981" s="59"/>
    </row>
    <row r="982" ht="12.75" customHeight="1">
      <c r="I982" s="25"/>
      <c r="L982" s="59"/>
      <c r="M982" s="59"/>
      <c r="N982" s="59"/>
    </row>
    <row r="983" ht="12.75" customHeight="1">
      <c r="I983" s="25"/>
      <c r="L983" s="59"/>
      <c r="M983" s="59"/>
      <c r="N983" s="59"/>
    </row>
    <row r="984" ht="12.75" customHeight="1">
      <c r="I984" s="25"/>
      <c r="L984" s="59"/>
      <c r="M984" s="59"/>
      <c r="N984" s="59"/>
    </row>
    <row r="985" ht="12.75" customHeight="1">
      <c r="I985" s="25"/>
      <c r="L985" s="59"/>
      <c r="M985" s="59"/>
      <c r="N985" s="59"/>
    </row>
    <row r="986" ht="12.75" customHeight="1">
      <c r="I986" s="25"/>
      <c r="L986" s="59"/>
      <c r="M986" s="59"/>
      <c r="N986" s="59"/>
    </row>
    <row r="987" ht="12.75" customHeight="1">
      <c r="I987" s="25"/>
      <c r="L987" s="59"/>
      <c r="M987" s="59"/>
      <c r="N987" s="59"/>
    </row>
    <row r="988" ht="12.75" customHeight="1">
      <c r="I988" s="25"/>
      <c r="L988" s="59"/>
      <c r="M988" s="59"/>
      <c r="N988" s="59"/>
    </row>
    <row r="989" ht="12.75" customHeight="1">
      <c r="I989" s="25"/>
      <c r="L989" s="59"/>
      <c r="M989" s="59"/>
      <c r="N989" s="59"/>
    </row>
    <row r="990" ht="12.75" customHeight="1">
      <c r="I990" s="25"/>
      <c r="L990" s="59"/>
      <c r="M990" s="59"/>
      <c r="N990" s="59"/>
    </row>
    <row r="991" ht="12.75" customHeight="1">
      <c r="I991" s="25"/>
      <c r="L991" s="59"/>
      <c r="M991" s="59"/>
      <c r="N991" s="59"/>
    </row>
    <row r="992" ht="12.75" customHeight="1">
      <c r="I992" s="25"/>
      <c r="L992" s="59"/>
      <c r="M992" s="59"/>
      <c r="N992" s="59"/>
    </row>
    <row r="993" ht="12.75" customHeight="1">
      <c r="I993" s="25"/>
      <c r="L993" s="59"/>
      <c r="M993" s="59"/>
      <c r="N993" s="59"/>
    </row>
    <row r="994" ht="12.75" customHeight="1">
      <c r="I994" s="25"/>
      <c r="L994" s="59"/>
      <c r="M994" s="59"/>
      <c r="N994" s="59"/>
    </row>
    <row r="995" ht="12.75" customHeight="1">
      <c r="I995" s="25"/>
      <c r="L995" s="59"/>
      <c r="M995" s="59"/>
      <c r="N995" s="59"/>
    </row>
    <row r="996" ht="12.75" customHeight="1">
      <c r="I996" s="25"/>
      <c r="L996" s="59"/>
      <c r="M996" s="59"/>
      <c r="N996" s="59"/>
    </row>
    <row r="997" ht="12.75" customHeight="1">
      <c r="I997" s="25"/>
      <c r="L997" s="59"/>
      <c r="M997" s="59"/>
      <c r="N997" s="59"/>
    </row>
    <row r="998" ht="12.75" customHeight="1">
      <c r="I998" s="25"/>
      <c r="L998" s="59"/>
      <c r="M998" s="59"/>
      <c r="N998" s="59"/>
    </row>
    <row r="999" ht="12.75" customHeight="1">
      <c r="I999" s="25"/>
      <c r="L999" s="59"/>
      <c r="M999" s="59"/>
      <c r="N999" s="59"/>
    </row>
    <row r="1000" ht="12.75" customHeight="1">
      <c r="I1000" s="25"/>
      <c r="L1000" s="59"/>
      <c r="M1000" s="59"/>
      <c r="N1000" s="59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.63"/>
    <col customWidth="1" min="3" max="3" width="13.75"/>
    <col customWidth="1" min="4" max="4" width="11.38"/>
    <col customWidth="1" min="5" max="7" width="10.63"/>
    <col customWidth="1" min="8" max="9" width="11.38"/>
    <col customWidth="1" min="10" max="26" width="10.63"/>
  </cols>
  <sheetData>
    <row r="1" ht="12.75" customHeight="1">
      <c r="A1" s="75">
        <v>2.0</v>
      </c>
      <c r="B1" s="59">
        <f t="shared" ref="B1:B30" si="1">D1-C1</f>
        <v>14916</v>
      </c>
      <c r="C1" s="59">
        <f>2499+335</f>
        <v>2834</v>
      </c>
      <c r="D1" s="59">
        <f>15650+2100</f>
        <v>17750</v>
      </c>
      <c r="E1" s="59">
        <f t="shared" ref="E1:E30" si="2">D1*2.3681%</f>
        <v>420.33775</v>
      </c>
      <c r="F1" s="59">
        <f t="shared" ref="F1:F30" si="3">D1-E1</f>
        <v>17329.66225</v>
      </c>
      <c r="H1" s="59"/>
      <c r="I1" s="59"/>
    </row>
    <row r="2" ht="12.75" customHeight="1">
      <c r="A2" s="75">
        <v>7.0</v>
      </c>
      <c r="B2" s="59">
        <f t="shared" si="1"/>
        <v>47278</v>
      </c>
      <c r="C2" s="59">
        <f>431+5588+1341+38+239+208+1137</f>
        <v>8982</v>
      </c>
      <c r="D2" s="59">
        <f>2700+35000+8400+240+1500+1300+7120</f>
        <v>56260</v>
      </c>
      <c r="E2" s="59">
        <f t="shared" si="2"/>
        <v>1332.29306</v>
      </c>
      <c r="F2" s="59">
        <f t="shared" si="3"/>
        <v>54927.70694</v>
      </c>
      <c r="H2" s="59"/>
      <c r="I2" s="59"/>
    </row>
    <row r="3" ht="12.75" customHeight="1">
      <c r="A3" s="75">
        <v>1.0</v>
      </c>
      <c r="B3" s="59">
        <f t="shared" si="1"/>
        <v>672</v>
      </c>
      <c r="C3" s="59">
        <v>128.0</v>
      </c>
      <c r="D3" s="59">
        <v>800.0</v>
      </c>
      <c r="E3" s="59">
        <f t="shared" si="2"/>
        <v>18.9448</v>
      </c>
      <c r="F3" s="59">
        <f t="shared" si="3"/>
        <v>781.0552</v>
      </c>
      <c r="G3" s="41" t="s">
        <v>3255</v>
      </c>
      <c r="H3" s="59">
        <v>131081.0</v>
      </c>
      <c r="I3" s="59">
        <v>122537.0</v>
      </c>
      <c r="J3" s="59">
        <f>H3-I3</f>
        <v>8544</v>
      </c>
    </row>
    <row r="4" ht="12.75" customHeight="1">
      <c r="A4" s="75">
        <v>6.0</v>
      </c>
      <c r="B4" s="59">
        <f t="shared" si="1"/>
        <v>33908</v>
      </c>
      <c r="C4" s="59">
        <f>3153+1437+942+479+287+144</f>
        <v>6442</v>
      </c>
      <c r="D4" s="59">
        <f>19750+9000+5900+3000+1800+900</f>
        <v>40350</v>
      </c>
      <c r="E4" s="59">
        <f t="shared" si="2"/>
        <v>955.52835</v>
      </c>
      <c r="F4" s="59">
        <f t="shared" si="3"/>
        <v>39394.47165</v>
      </c>
      <c r="G4" s="41" t="s">
        <v>3255</v>
      </c>
      <c r="H4" s="59"/>
      <c r="I4" s="59"/>
    </row>
    <row r="5" ht="12.75" customHeight="1">
      <c r="A5" s="75">
        <v>4.0</v>
      </c>
      <c r="B5" s="59">
        <f t="shared" si="1"/>
        <v>24875</v>
      </c>
      <c r="C5" s="59">
        <f>2147+559+758+1261</f>
        <v>4725</v>
      </c>
      <c r="D5" s="59">
        <f>13450+3500+4750+7900</f>
        <v>29600</v>
      </c>
      <c r="E5" s="59">
        <f t="shared" si="2"/>
        <v>700.9576</v>
      </c>
      <c r="F5" s="59">
        <f t="shared" si="3"/>
        <v>28899.0424</v>
      </c>
      <c r="G5" s="37" t="s">
        <v>3256</v>
      </c>
      <c r="H5" s="59"/>
      <c r="I5" s="59"/>
    </row>
    <row r="6" ht="12.75" customHeight="1">
      <c r="A6" s="75">
        <v>7.0</v>
      </c>
      <c r="B6" s="59">
        <f t="shared" si="1"/>
        <v>24143</v>
      </c>
      <c r="C6" s="59">
        <f>184+750+295+1306+479+894+679</f>
        <v>4587</v>
      </c>
      <c r="D6" s="59">
        <f>1150+4700+1850+8180+3000+5600+4250</f>
        <v>28730</v>
      </c>
      <c r="E6" s="59">
        <f t="shared" si="2"/>
        <v>680.35513</v>
      </c>
      <c r="F6" s="59">
        <f t="shared" si="3"/>
        <v>28049.64487</v>
      </c>
      <c r="G6" s="37" t="s">
        <v>3257</v>
      </c>
      <c r="H6" s="59"/>
      <c r="I6" s="59"/>
    </row>
    <row r="7" ht="12.75" customHeight="1">
      <c r="A7" s="75">
        <v>3.0</v>
      </c>
      <c r="B7" s="59">
        <f t="shared" si="1"/>
        <v>12437</v>
      </c>
      <c r="C7" s="59">
        <f>128+1756+479</f>
        <v>2363</v>
      </c>
      <c r="D7" s="59">
        <f>800+11000+3000</f>
        <v>14800</v>
      </c>
      <c r="E7" s="59">
        <f t="shared" si="2"/>
        <v>350.4788</v>
      </c>
      <c r="F7" s="59">
        <f t="shared" si="3"/>
        <v>14449.5212</v>
      </c>
      <c r="G7" s="37" t="s">
        <v>3258</v>
      </c>
      <c r="H7" s="59"/>
      <c r="I7" s="59"/>
    </row>
    <row r="8" ht="12.75" customHeight="1">
      <c r="A8" s="75">
        <v>1.0</v>
      </c>
      <c r="B8" s="59">
        <f t="shared" si="1"/>
        <v>1681</v>
      </c>
      <c r="C8" s="59">
        <v>319.0</v>
      </c>
      <c r="D8" s="59">
        <v>2000.0</v>
      </c>
      <c r="E8" s="59">
        <f t="shared" si="2"/>
        <v>47.362</v>
      </c>
      <c r="F8" s="59">
        <f t="shared" si="3"/>
        <v>1952.638</v>
      </c>
      <c r="H8" s="59"/>
      <c r="I8" s="59"/>
    </row>
    <row r="9" ht="12.75" customHeight="1">
      <c r="A9" s="75">
        <v>9.0</v>
      </c>
      <c r="B9" s="59">
        <f t="shared" si="1"/>
        <v>34119</v>
      </c>
      <c r="C9" s="59">
        <f>415+990+543+878+1836+239+415+447+718</f>
        <v>6481</v>
      </c>
      <c r="D9" s="59">
        <f>2600+6200+3400+5500+11500+1500+2600+2800+4500</f>
        <v>40600</v>
      </c>
      <c r="E9" s="59">
        <f t="shared" si="2"/>
        <v>961.4486</v>
      </c>
      <c r="F9" s="59">
        <f t="shared" si="3"/>
        <v>39638.5514</v>
      </c>
      <c r="G9" s="37" t="s">
        <v>3259</v>
      </c>
      <c r="H9" s="59">
        <v>41591.0</v>
      </c>
      <c r="I9" s="59">
        <v>38269.0</v>
      </c>
      <c r="J9" s="59">
        <f>H9-I9</f>
        <v>3322</v>
      </c>
    </row>
    <row r="10" ht="12.75" customHeight="1">
      <c r="A10" s="75">
        <v>0.0</v>
      </c>
      <c r="B10" s="59">
        <f t="shared" si="1"/>
        <v>0</v>
      </c>
      <c r="C10" s="59">
        <v>0.0</v>
      </c>
      <c r="D10" s="59">
        <v>0.0</v>
      </c>
      <c r="E10" s="59">
        <f t="shared" si="2"/>
        <v>0</v>
      </c>
      <c r="F10" s="59">
        <f t="shared" si="3"/>
        <v>0</v>
      </c>
      <c r="H10" s="59"/>
      <c r="I10" s="59"/>
    </row>
    <row r="11" ht="12.75" customHeight="1">
      <c r="A11" s="75">
        <v>5.0</v>
      </c>
      <c r="B11" s="59">
        <f t="shared" si="1"/>
        <v>27144</v>
      </c>
      <c r="C11" s="59">
        <f>319+1054+830+718+2235</f>
        <v>5156</v>
      </c>
      <c r="D11" s="59">
        <f>2000+6600+5200+4500+14000</f>
        <v>32300</v>
      </c>
      <c r="E11" s="59">
        <f t="shared" si="2"/>
        <v>764.8963</v>
      </c>
      <c r="F11" s="59">
        <f t="shared" si="3"/>
        <v>31535.1037</v>
      </c>
      <c r="G11" s="37" t="s">
        <v>3260</v>
      </c>
      <c r="H11" s="59"/>
      <c r="I11" s="59"/>
    </row>
    <row r="12" ht="12.75" customHeight="1">
      <c r="A12" s="75">
        <v>2.0</v>
      </c>
      <c r="B12" s="59">
        <f t="shared" si="1"/>
        <v>6303</v>
      </c>
      <c r="C12" s="59">
        <f>367+830</f>
        <v>1197</v>
      </c>
      <c r="D12" s="59">
        <f>2300+5200</f>
        <v>7500</v>
      </c>
      <c r="E12" s="59">
        <f t="shared" si="2"/>
        <v>177.6075</v>
      </c>
      <c r="F12" s="59">
        <f t="shared" si="3"/>
        <v>7322.3925</v>
      </c>
      <c r="G12" s="37" t="s">
        <v>3261</v>
      </c>
      <c r="H12" s="59"/>
      <c r="I12" s="59"/>
    </row>
    <row r="13" ht="12.75" customHeight="1">
      <c r="A13" s="75">
        <v>2.0</v>
      </c>
      <c r="B13" s="59">
        <f t="shared" si="1"/>
        <v>5714</v>
      </c>
      <c r="C13" s="59">
        <f>958+128</f>
        <v>1086</v>
      </c>
      <c r="D13" s="59">
        <f>6000+800</f>
        <v>6800</v>
      </c>
      <c r="E13" s="59">
        <f t="shared" si="2"/>
        <v>161.0308</v>
      </c>
      <c r="F13" s="59">
        <f t="shared" si="3"/>
        <v>6638.9692</v>
      </c>
      <c r="G13" s="37" t="s">
        <v>3262</v>
      </c>
      <c r="H13" s="59">
        <v>6639.0</v>
      </c>
      <c r="I13" s="59">
        <v>781.0</v>
      </c>
      <c r="J13" s="59">
        <f>H13-I13</f>
        <v>5858</v>
      </c>
    </row>
    <row r="14" ht="12.75" customHeight="1">
      <c r="A14" s="75">
        <v>6.0</v>
      </c>
      <c r="B14" s="59">
        <f t="shared" si="1"/>
        <v>21135</v>
      </c>
      <c r="C14" s="59">
        <f>479+479+311+287+1357+1102</f>
        <v>4015</v>
      </c>
      <c r="D14" s="59">
        <f>3000+3000+1950+1800+8500+6900</f>
        <v>25150</v>
      </c>
      <c r="E14" s="59">
        <f t="shared" si="2"/>
        <v>595.57715</v>
      </c>
      <c r="F14" s="59">
        <f t="shared" si="3"/>
        <v>24554.42285</v>
      </c>
      <c r="G14" s="37" t="s">
        <v>3263</v>
      </c>
      <c r="H14" s="59"/>
      <c r="I14" s="59"/>
    </row>
    <row r="15" ht="12.75" customHeight="1">
      <c r="A15" s="75">
        <v>6.0</v>
      </c>
      <c r="B15" s="59">
        <f t="shared" si="1"/>
        <v>40463</v>
      </c>
      <c r="C15" s="59">
        <f>1597+327+1213+1277+1597+1676</f>
        <v>7687</v>
      </c>
      <c r="D15" s="59">
        <f>10000+2050+7600+8000+10000+10500</f>
        <v>48150</v>
      </c>
      <c r="E15" s="59">
        <f t="shared" si="2"/>
        <v>1140.24015</v>
      </c>
      <c r="F15" s="59">
        <f t="shared" si="3"/>
        <v>47009.75985</v>
      </c>
      <c r="H15" s="59"/>
      <c r="I15" s="59"/>
    </row>
    <row r="16" ht="12.75" customHeight="1">
      <c r="A16" s="75">
        <v>7.0</v>
      </c>
      <c r="B16" s="59">
        <f t="shared" si="1"/>
        <v>34874</v>
      </c>
      <c r="C16" s="59">
        <f>1277+160+1277+1437+1038+1309+128</f>
        <v>6626</v>
      </c>
      <c r="D16" s="59">
        <f>8000+1000+8000+9000+6500+8200+800</f>
        <v>41500</v>
      </c>
      <c r="E16" s="59">
        <f t="shared" si="2"/>
        <v>982.7615</v>
      </c>
      <c r="F16" s="59">
        <f t="shared" si="3"/>
        <v>40517.2385</v>
      </c>
      <c r="H16" s="59"/>
      <c r="I16" s="59"/>
    </row>
    <row r="17" ht="12.75" customHeight="1">
      <c r="A17" s="75">
        <v>12.0</v>
      </c>
      <c r="B17" s="59">
        <f t="shared" si="1"/>
        <v>55883</v>
      </c>
      <c r="C17" s="59">
        <f>112+479+1038+591+239+1637+726+1006+239+2714+639+1197</f>
        <v>10617</v>
      </c>
      <c r="D17" s="59">
        <f>700+3000+6500+3700+1500+10250+4550+6300+1500+17000+4000+7500</f>
        <v>66500</v>
      </c>
      <c r="E17" s="59">
        <f t="shared" si="2"/>
        <v>1574.7865</v>
      </c>
      <c r="F17" s="59">
        <f t="shared" si="3"/>
        <v>64925.2135</v>
      </c>
      <c r="G17" s="37" t="s">
        <v>3264</v>
      </c>
      <c r="H17" s="59"/>
      <c r="I17" s="59"/>
    </row>
    <row r="18" ht="12.75" customHeight="1">
      <c r="A18" s="75">
        <v>6.0</v>
      </c>
      <c r="B18" s="59">
        <f t="shared" si="1"/>
        <v>26136</v>
      </c>
      <c r="C18" s="59">
        <f>64+303+2634+798+447+718</f>
        <v>4964</v>
      </c>
      <c r="D18" s="59">
        <f>400+1900+16500+5000+2800+4500</f>
        <v>31100</v>
      </c>
      <c r="E18" s="59">
        <f t="shared" si="2"/>
        <v>736.4791</v>
      </c>
      <c r="F18" s="59">
        <f t="shared" si="3"/>
        <v>30363.5209</v>
      </c>
      <c r="G18" s="37" t="s">
        <v>3265</v>
      </c>
      <c r="H18" s="59"/>
      <c r="I18" s="59"/>
    </row>
    <row r="19" ht="12.75" customHeight="1">
      <c r="A19" s="75">
        <v>2.0</v>
      </c>
      <c r="B19" s="59">
        <f t="shared" si="1"/>
        <v>9159</v>
      </c>
      <c r="C19" s="59">
        <f>1118+623</f>
        <v>1741</v>
      </c>
      <c r="D19" s="59">
        <f>7000+3900</f>
        <v>10900</v>
      </c>
      <c r="E19" s="59">
        <f t="shared" si="2"/>
        <v>258.1229</v>
      </c>
      <c r="F19" s="59">
        <f t="shared" si="3"/>
        <v>10641.8771</v>
      </c>
      <c r="G19" s="37" t="s">
        <v>3266</v>
      </c>
      <c r="H19" s="59"/>
      <c r="I19" s="59"/>
    </row>
    <row r="20" ht="12.75" customHeight="1">
      <c r="A20" s="75">
        <v>4.0</v>
      </c>
      <c r="B20" s="59">
        <f t="shared" si="1"/>
        <v>11723</v>
      </c>
      <c r="C20" s="59">
        <f>399+279+80+1469</f>
        <v>2227</v>
      </c>
      <c r="D20" s="59">
        <f>2500+1750+500+9200</f>
        <v>13950</v>
      </c>
      <c r="E20" s="59">
        <f t="shared" si="2"/>
        <v>330.34995</v>
      </c>
      <c r="F20" s="59">
        <f t="shared" si="3"/>
        <v>13619.65005</v>
      </c>
      <c r="G20" s="37" t="s">
        <v>3267</v>
      </c>
      <c r="H20" s="59">
        <v>13620.0</v>
      </c>
      <c r="I20" s="59">
        <v>11178.0</v>
      </c>
      <c r="J20" s="59">
        <f>H20-I20</f>
        <v>2442</v>
      </c>
    </row>
    <row r="21" ht="12.75" customHeight="1">
      <c r="A21" s="75">
        <v>5.0</v>
      </c>
      <c r="B21" s="59">
        <f t="shared" si="1"/>
        <v>8319</v>
      </c>
      <c r="C21" s="59">
        <f>160+128+559+415+319</f>
        <v>1581</v>
      </c>
      <c r="D21" s="59">
        <f>1000+800+3500+2600+2000</f>
        <v>9900</v>
      </c>
      <c r="E21" s="59">
        <f t="shared" si="2"/>
        <v>234.4419</v>
      </c>
      <c r="F21" s="59">
        <f t="shared" si="3"/>
        <v>9665.5581</v>
      </c>
      <c r="G21" s="37" t="s">
        <v>3268</v>
      </c>
      <c r="H21" s="59"/>
      <c r="I21" s="59"/>
    </row>
    <row r="22" ht="12.75" customHeight="1">
      <c r="A22" s="75">
        <v>3.0</v>
      </c>
      <c r="B22" s="59">
        <f t="shared" si="1"/>
        <v>20294</v>
      </c>
      <c r="C22" s="59">
        <f>2714+88+1054</f>
        <v>3856</v>
      </c>
      <c r="D22" s="59">
        <f>17000+550+6600</f>
        <v>24150</v>
      </c>
      <c r="E22" s="59">
        <f t="shared" si="2"/>
        <v>571.89615</v>
      </c>
      <c r="F22" s="59">
        <f t="shared" si="3"/>
        <v>23578.10385</v>
      </c>
      <c r="H22" s="59"/>
      <c r="I22" s="59"/>
    </row>
    <row r="23" ht="12.75" customHeight="1">
      <c r="A23" s="75">
        <v>1.0</v>
      </c>
      <c r="B23" s="59">
        <f t="shared" si="1"/>
        <v>33613</v>
      </c>
      <c r="C23" s="59">
        <v>6387.0</v>
      </c>
      <c r="D23" s="59">
        <v>40000.0</v>
      </c>
      <c r="E23" s="59">
        <f t="shared" si="2"/>
        <v>947.24</v>
      </c>
      <c r="F23" s="59">
        <f t="shared" si="3"/>
        <v>39052.76</v>
      </c>
      <c r="H23" s="59"/>
      <c r="I23" s="59"/>
    </row>
    <row r="24" ht="12.75" customHeight="1">
      <c r="A24" s="75">
        <v>6.0</v>
      </c>
      <c r="B24" s="59">
        <f t="shared" si="1"/>
        <v>39622</v>
      </c>
      <c r="C24" s="59">
        <f>1277+774+2076+1629+479+1293</f>
        <v>7528</v>
      </c>
      <c r="D24" s="59">
        <f>8000+4850+13000+10200+3000+8100</f>
        <v>47150</v>
      </c>
      <c r="E24" s="59">
        <f t="shared" si="2"/>
        <v>1116.55915</v>
      </c>
      <c r="F24" s="59">
        <f t="shared" si="3"/>
        <v>46033.44085</v>
      </c>
      <c r="G24" s="37" t="s">
        <v>3269</v>
      </c>
      <c r="H24" s="59"/>
      <c r="I24" s="59"/>
    </row>
    <row r="25" ht="12.75" customHeight="1">
      <c r="A25" s="75">
        <v>4.0</v>
      </c>
      <c r="B25" s="59">
        <f t="shared" si="1"/>
        <v>18992</v>
      </c>
      <c r="C25" s="59">
        <f>1006+239+2155+208</f>
        <v>3608</v>
      </c>
      <c r="D25" s="59">
        <f>6300+1500+13500+1300</f>
        <v>22600</v>
      </c>
      <c r="E25" s="59">
        <f t="shared" si="2"/>
        <v>535.1906</v>
      </c>
      <c r="F25" s="59">
        <f t="shared" si="3"/>
        <v>22064.8094</v>
      </c>
      <c r="G25" s="37" t="s">
        <v>3270</v>
      </c>
      <c r="H25" s="59"/>
      <c r="I25" s="59"/>
    </row>
    <row r="26" ht="12.75" customHeight="1">
      <c r="A26" s="75">
        <v>2.0</v>
      </c>
      <c r="B26" s="59">
        <f t="shared" si="1"/>
        <v>26596</v>
      </c>
      <c r="C26" s="59">
        <f>1493+3561</f>
        <v>5054</v>
      </c>
      <c r="D26" s="59">
        <f>9350+22300</f>
        <v>31650</v>
      </c>
      <c r="E26" s="59">
        <f t="shared" si="2"/>
        <v>749.50365</v>
      </c>
      <c r="F26" s="59">
        <f t="shared" si="3"/>
        <v>30900.49635</v>
      </c>
      <c r="G26" s="37" t="s">
        <v>3271</v>
      </c>
      <c r="H26" s="59"/>
      <c r="I26" s="59"/>
    </row>
    <row r="27" ht="12.75" customHeight="1">
      <c r="A27" s="75">
        <v>3.0</v>
      </c>
      <c r="B27" s="59">
        <f t="shared" si="1"/>
        <v>14412</v>
      </c>
      <c r="C27" s="59">
        <f>854+766+1118</f>
        <v>2738</v>
      </c>
      <c r="D27" s="59">
        <f>5350+4800+7000</f>
        <v>17150</v>
      </c>
      <c r="E27" s="59">
        <f t="shared" si="2"/>
        <v>406.12915</v>
      </c>
      <c r="F27" s="59">
        <f t="shared" si="3"/>
        <v>16743.87085</v>
      </c>
      <c r="G27" s="37" t="s">
        <v>3272</v>
      </c>
      <c r="H27" s="59"/>
      <c r="I27" s="59"/>
    </row>
    <row r="28" ht="12.75" customHeight="1">
      <c r="A28" s="75">
        <v>3.0</v>
      </c>
      <c r="B28" s="59">
        <f t="shared" si="1"/>
        <v>9496</v>
      </c>
      <c r="C28" s="59">
        <f>319+1038+447</f>
        <v>1804</v>
      </c>
      <c r="D28" s="59">
        <f>2000+6500+2800</f>
        <v>11300</v>
      </c>
      <c r="E28" s="59">
        <f t="shared" si="2"/>
        <v>267.5953</v>
      </c>
      <c r="F28" s="59">
        <f t="shared" si="3"/>
        <v>11032.4047</v>
      </c>
      <c r="G28" s="37" t="s">
        <v>3273</v>
      </c>
      <c r="H28" s="59"/>
      <c r="I28" s="59"/>
    </row>
    <row r="29" ht="12.75" customHeight="1">
      <c r="A29" s="75">
        <v>3.0</v>
      </c>
      <c r="B29" s="59">
        <f t="shared" si="1"/>
        <v>22689</v>
      </c>
      <c r="C29" s="59">
        <f>1038+926+2347</f>
        <v>4311</v>
      </c>
      <c r="D29" s="59">
        <f>6500+5800+14700</f>
        <v>27000</v>
      </c>
      <c r="E29" s="59">
        <f t="shared" si="2"/>
        <v>639.387</v>
      </c>
      <c r="F29" s="59">
        <f t="shared" si="3"/>
        <v>26360.613</v>
      </c>
      <c r="H29" s="59"/>
      <c r="I29" s="59"/>
    </row>
    <row r="30" ht="12.75" customHeight="1">
      <c r="A30" s="75">
        <v>6.0</v>
      </c>
      <c r="B30" s="59">
        <f t="shared" si="1"/>
        <v>38866</v>
      </c>
      <c r="C30" s="59">
        <f>96+918+423+3289+1381+1277</f>
        <v>7384</v>
      </c>
      <c r="D30" s="59">
        <f>600+5750+2650+20600+8650+8000</f>
        <v>46250</v>
      </c>
      <c r="E30" s="59">
        <f t="shared" si="2"/>
        <v>1095.24625</v>
      </c>
      <c r="F30" s="59">
        <f t="shared" si="3"/>
        <v>45154.75375</v>
      </c>
      <c r="G30" s="37" t="s">
        <v>3234</v>
      </c>
      <c r="H30" s="59"/>
      <c r="I30" s="59"/>
    </row>
    <row r="31" ht="12.75" customHeight="1">
      <c r="A31" s="76">
        <f t="shared" ref="A31:F31" si="4">SUM(A1:A30)</f>
        <v>128</v>
      </c>
      <c r="B31" s="66">
        <f t="shared" si="4"/>
        <v>665462</v>
      </c>
      <c r="C31" s="66">
        <f t="shared" si="4"/>
        <v>126428</v>
      </c>
      <c r="D31" s="66">
        <f t="shared" si="4"/>
        <v>791890</v>
      </c>
      <c r="E31" s="67">
        <f t="shared" si="4"/>
        <v>18752.74709</v>
      </c>
      <c r="F31" s="67">
        <f t="shared" si="4"/>
        <v>773137.2529</v>
      </c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2.75" customHeight="1">
      <c r="A32" s="75"/>
      <c r="C32" s="59"/>
      <c r="D32" s="59"/>
      <c r="H32" s="59"/>
      <c r="I32" s="59"/>
    </row>
    <row r="33" ht="12.75" customHeight="1">
      <c r="A33" s="75"/>
      <c r="C33" s="59"/>
      <c r="D33" s="59"/>
      <c r="H33" s="59"/>
      <c r="I33" s="59"/>
    </row>
    <row r="34" ht="12.75" customHeight="1">
      <c r="A34" s="75"/>
      <c r="C34" s="74" t="s">
        <v>3218</v>
      </c>
      <c r="D34" s="74">
        <f>D31*2.3681%</f>
        <v>18752.74709</v>
      </c>
      <c r="H34" s="59"/>
      <c r="I34" s="59"/>
    </row>
    <row r="35" ht="12.75" customHeight="1">
      <c r="A35" s="75"/>
      <c r="C35" s="59"/>
      <c r="D35" s="59"/>
      <c r="H35" s="59"/>
      <c r="I35" s="59"/>
    </row>
    <row r="36" ht="12.75" customHeight="1">
      <c r="A36" s="75"/>
      <c r="C36" s="59"/>
      <c r="D36" s="59"/>
      <c r="H36" s="59"/>
      <c r="I36" s="59"/>
    </row>
    <row r="37" ht="12.75" customHeight="1">
      <c r="A37" s="75"/>
      <c r="C37" s="59"/>
      <c r="D37" s="59"/>
      <c r="H37" s="59"/>
      <c r="I37" s="59"/>
    </row>
    <row r="38" ht="12.75" customHeight="1">
      <c r="A38" s="75"/>
      <c r="C38" s="59"/>
      <c r="D38" s="59"/>
      <c r="H38" s="59"/>
      <c r="I38" s="59"/>
    </row>
    <row r="39" ht="12.75" customHeight="1">
      <c r="A39" s="75"/>
      <c r="C39" s="59"/>
      <c r="D39" s="59"/>
      <c r="H39" s="59"/>
      <c r="I39" s="59"/>
    </row>
    <row r="40" ht="12.75" customHeight="1">
      <c r="A40" s="75"/>
      <c r="C40" s="59"/>
      <c r="D40" s="59"/>
      <c r="H40" s="59"/>
      <c r="I40" s="59"/>
    </row>
    <row r="41" ht="12.75" customHeight="1">
      <c r="A41" s="75"/>
      <c r="C41" s="59"/>
      <c r="D41" s="59"/>
      <c r="H41" s="59"/>
      <c r="I41" s="59"/>
    </row>
    <row r="42" ht="12.75" customHeight="1">
      <c r="A42" s="75"/>
      <c r="C42" s="59"/>
      <c r="D42" s="59"/>
      <c r="H42" s="59"/>
      <c r="I42" s="59"/>
    </row>
    <row r="43" ht="12.75" customHeight="1">
      <c r="A43" s="75"/>
      <c r="C43" s="59"/>
      <c r="D43" s="59"/>
      <c r="H43" s="59"/>
      <c r="I43" s="59"/>
    </row>
    <row r="44" ht="12.75" customHeight="1">
      <c r="A44" s="75"/>
      <c r="C44" s="59"/>
      <c r="D44" s="59"/>
      <c r="H44" s="59"/>
      <c r="I44" s="59"/>
    </row>
    <row r="45" ht="12.75" customHeight="1">
      <c r="A45" s="75"/>
      <c r="C45" s="59"/>
      <c r="D45" s="59"/>
      <c r="H45" s="59"/>
      <c r="I45" s="59"/>
    </row>
    <row r="46" ht="12.75" customHeight="1">
      <c r="A46" s="75"/>
      <c r="C46" s="59"/>
      <c r="D46" s="59"/>
      <c r="H46" s="59"/>
      <c r="I46" s="59"/>
    </row>
    <row r="47" ht="12.75" customHeight="1">
      <c r="A47" s="75"/>
      <c r="C47" s="59"/>
      <c r="D47" s="59"/>
      <c r="H47" s="59"/>
      <c r="I47" s="59"/>
    </row>
    <row r="48" ht="12.75" customHeight="1">
      <c r="A48" s="75"/>
      <c r="C48" s="59"/>
      <c r="D48" s="59"/>
      <c r="H48" s="59"/>
      <c r="I48" s="59"/>
    </row>
    <row r="49" ht="12.75" customHeight="1">
      <c r="A49" s="75"/>
      <c r="C49" s="59"/>
      <c r="D49" s="59"/>
      <c r="H49" s="59"/>
      <c r="I49" s="59"/>
    </row>
    <row r="50" ht="12.75" customHeight="1">
      <c r="A50" s="75"/>
      <c r="C50" s="59"/>
      <c r="D50" s="59"/>
      <c r="H50" s="59"/>
      <c r="I50" s="59"/>
    </row>
    <row r="51" ht="12.75" customHeight="1">
      <c r="A51" s="75"/>
      <c r="C51" s="59"/>
      <c r="D51" s="59"/>
      <c r="H51" s="59"/>
      <c r="I51" s="59"/>
    </row>
    <row r="52" ht="12.75" customHeight="1">
      <c r="A52" s="75"/>
      <c r="C52" s="59"/>
      <c r="D52" s="59"/>
      <c r="H52" s="59"/>
      <c r="I52" s="59"/>
    </row>
    <row r="53" ht="12.75" customHeight="1">
      <c r="A53" s="75"/>
      <c r="C53" s="59"/>
      <c r="D53" s="59"/>
      <c r="H53" s="59"/>
      <c r="I53" s="59"/>
    </row>
    <row r="54" ht="12.75" customHeight="1">
      <c r="A54" s="75"/>
      <c r="C54" s="59"/>
      <c r="D54" s="59"/>
      <c r="H54" s="59"/>
      <c r="I54" s="59"/>
    </row>
    <row r="55" ht="12.75" customHeight="1">
      <c r="A55" s="75"/>
      <c r="C55" s="59"/>
      <c r="D55" s="59"/>
      <c r="H55" s="59"/>
      <c r="I55" s="59"/>
    </row>
    <row r="56" ht="12.75" customHeight="1">
      <c r="A56" s="75"/>
      <c r="C56" s="59"/>
      <c r="D56" s="59"/>
      <c r="H56" s="59"/>
      <c r="I56" s="59"/>
    </row>
    <row r="57" ht="12.75" customHeight="1">
      <c r="A57" s="75"/>
      <c r="C57" s="59"/>
      <c r="D57" s="59"/>
      <c r="H57" s="59"/>
      <c r="I57" s="59"/>
    </row>
    <row r="58" ht="12.75" customHeight="1">
      <c r="A58" s="75"/>
      <c r="C58" s="59"/>
      <c r="D58" s="59"/>
      <c r="H58" s="59"/>
      <c r="I58" s="59"/>
    </row>
    <row r="59" ht="12.75" customHeight="1">
      <c r="A59" s="75"/>
      <c r="C59" s="59"/>
      <c r="D59" s="59"/>
      <c r="H59" s="59"/>
      <c r="I59" s="59"/>
    </row>
    <row r="60" ht="12.75" customHeight="1">
      <c r="A60" s="75"/>
      <c r="C60" s="59"/>
      <c r="D60" s="59"/>
      <c r="H60" s="59"/>
      <c r="I60" s="59"/>
    </row>
    <row r="61" ht="12.75" customHeight="1">
      <c r="A61" s="75"/>
      <c r="C61" s="59"/>
      <c r="D61" s="59"/>
      <c r="H61" s="59"/>
      <c r="I61" s="59"/>
    </row>
    <row r="62" ht="12.75" customHeight="1">
      <c r="A62" s="75"/>
      <c r="C62" s="59"/>
      <c r="D62" s="59"/>
      <c r="H62" s="59"/>
      <c r="I62" s="59"/>
    </row>
    <row r="63" ht="12.75" customHeight="1">
      <c r="A63" s="75"/>
      <c r="C63" s="59"/>
      <c r="D63" s="59"/>
      <c r="H63" s="59"/>
      <c r="I63" s="59"/>
    </row>
    <row r="64" ht="12.75" customHeight="1">
      <c r="A64" s="75"/>
      <c r="C64" s="59"/>
      <c r="D64" s="59"/>
      <c r="H64" s="59"/>
      <c r="I64" s="59"/>
    </row>
    <row r="65" ht="12.75" customHeight="1">
      <c r="A65" s="75"/>
      <c r="C65" s="59"/>
      <c r="D65" s="59"/>
      <c r="H65" s="59"/>
      <c r="I65" s="59"/>
    </row>
    <row r="66" ht="12.75" customHeight="1">
      <c r="A66" s="75"/>
      <c r="C66" s="59"/>
      <c r="D66" s="59"/>
      <c r="H66" s="59"/>
      <c r="I66" s="59"/>
    </row>
    <row r="67" ht="12.75" customHeight="1">
      <c r="A67" s="75"/>
      <c r="C67" s="59"/>
      <c r="D67" s="59"/>
      <c r="H67" s="59"/>
      <c r="I67" s="59"/>
    </row>
    <row r="68" ht="12.75" customHeight="1">
      <c r="A68" s="75"/>
      <c r="C68" s="59"/>
      <c r="D68" s="59"/>
      <c r="H68" s="59"/>
      <c r="I68" s="59"/>
    </row>
    <row r="69" ht="12.75" customHeight="1">
      <c r="A69" s="75"/>
      <c r="C69" s="59"/>
      <c r="D69" s="59"/>
      <c r="H69" s="59"/>
      <c r="I69" s="59"/>
    </row>
    <row r="70" ht="12.75" customHeight="1">
      <c r="A70" s="75"/>
      <c r="C70" s="59"/>
      <c r="D70" s="59"/>
      <c r="H70" s="59"/>
      <c r="I70" s="59"/>
    </row>
    <row r="71" ht="12.75" customHeight="1">
      <c r="A71" s="75"/>
      <c r="C71" s="59"/>
      <c r="D71" s="59"/>
      <c r="H71" s="59"/>
      <c r="I71" s="59"/>
    </row>
    <row r="72" ht="12.75" customHeight="1">
      <c r="A72" s="75"/>
      <c r="C72" s="59"/>
      <c r="D72" s="59"/>
      <c r="H72" s="59"/>
      <c r="I72" s="59"/>
    </row>
    <row r="73" ht="12.75" customHeight="1">
      <c r="A73" s="75"/>
      <c r="C73" s="59"/>
      <c r="D73" s="59"/>
      <c r="H73" s="59"/>
      <c r="I73" s="59"/>
    </row>
    <row r="74" ht="12.75" customHeight="1">
      <c r="A74" s="75"/>
      <c r="C74" s="59"/>
      <c r="D74" s="59"/>
      <c r="H74" s="59"/>
      <c r="I74" s="59"/>
    </row>
    <row r="75" ht="12.75" customHeight="1">
      <c r="A75" s="75"/>
      <c r="C75" s="59"/>
      <c r="D75" s="59"/>
      <c r="H75" s="59"/>
      <c r="I75" s="59"/>
    </row>
    <row r="76" ht="12.75" customHeight="1">
      <c r="A76" s="75"/>
      <c r="C76" s="59"/>
      <c r="D76" s="59"/>
      <c r="H76" s="59"/>
      <c r="I76" s="59"/>
    </row>
    <row r="77" ht="12.75" customHeight="1">
      <c r="A77" s="75"/>
      <c r="C77" s="59"/>
      <c r="D77" s="59"/>
      <c r="H77" s="59"/>
      <c r="I77" s="59"/>
    </row>
    <row r="78" ht="12.75" customHeight="1">
      <c r="A78" s="75"/>
      <c r="C78" s="59"/>
      <c r="D78" s="59"/>
      <c r="H78" s="59"/>
      <c r="I78" s="59"/>
    </row>
    <row r="79" ht="12.75" customHeight="1">
      <c r="A79" s="75"/>
      <c r="C79" s="59"/>
      <c r="D79" s="59"/>
      <c r="H79" s="59"/>
      <c r="I79" s="59"/>
    </row>
    <row r="80" ht="12.75" customHeight="1">
      <c r="A80" s="75"/>
      <c r="C80" s="59"/>
      <c r="D80" s="59"/>
      <c r="H80" s="59"/>
      <c r="I80" s="59"/>
    </row>
    <row r="81" ht="12.75" customHeight="1">
      <c r="A81" s="75"/>
      <c r="C81" s="59"/>
      <c r="D81" s="59"/>
      <c r="H81" s="59"/>
      <c r="I81" s="59"/>
    </row>
    <row r="82" ht="12.75" customHeight="1">
      <c r="A82" s="75"/>
      <c r="C82" s="59"/>
      <c r="D82" s="59"/>
      <c r="H82" s="59"/>
      <c r="I82" s="59"/>
    </row>
    <row r="83" ht="12.75" customHeight="1">
      <c r="A83" s="75"/>
      <c r="C83" s="59"/>
      <c r="D83" s="59"/>
      <c r="H83" s="59"/>
      <c r="I83" s="59"/>
    </row>
    <row r="84" ht="12.75" customHeight="1">
      <c r="A84" s="75"/>
      <c r="C84" s="59"/>
      <c r="D84" s="59"/>
      <c r="H84" s="59"/>
      <c r="I84" s="59"/>
    </row>
    <row r="85" ht="12.75" customHeight="1">
      <c r="A85" s="75"/>
      <c r="C85" s="59"/>
      <c r="D85" s="59"/>
      <c r="H85" s="59"/>
      <c r="I85" s="59"/>
    </row>
    <row r="86" ht="12.75" customHeight="1">
      <c r="A86" s="75"/>
      <c r="C86" s="59"/>
      <c r="D86" s="59"/>
      <c r="H86" s="59"/>
      <c r="I86" s="59"/>
    </row>
    <row r="87" ht="12.75" customHeight="1">
      <c r="A87" s="75"/>
      <c r="C87" s="59"/>
      <c r="D87" s="59"/>
      <c r="H87" s="59"/>
      <c r="I87" s="59"/>
    </row>
    <row r="88" ht="12.75" customHeight="1">
      <c r="A88" s="75"/>
      <c r="C88" s="59"/>
      <c r="D88" s="59"/>
      <c r="H88" s="59"/>
      <c r="I88" s="59"/>
    </row>
    <row r="89" ht="12.75" customHeight="1">
      <c r="A89" s="75"/>
      <c r="C89" s="59"/>
      <c r="D89" s="59"/>
      <c r="H89" s="59"/>
      <c r="I89" s="59"/>
    </row>
    <row r="90" ht="12.75" customHeight="1">
      <c r="A90" s="75"/>
      <c r="C90" s="59"/>
      <c r="D90" s="59"/>
      <c r="H90" s="59"/>
      <c r="I90" s="59"/>
    </row>
    <row r="91" ht="12.75" customHeight="1">
      <c r="A91" s="75"/>
      <c r="C91" s="59"/>
      <c r="D91" s="59"/>
      <c r="H91" s="59"/>
      <c r="I91" s="59"/>
    </row>
    <row r="92" ht="12.75" customHeight="1">
      <c r="A92" s="75"/>
      <c r="C92" s="59"/>
      <c r="D92" s="59"/>
      <c r="H92" s="59"/>
      <c r="I92" s="59"/>
    </row>
    <row r="93" ht="12.75" customHeight="1">
      <c r="A93" s="75"/>
      <c r="C93" s="59"/>
      <c r="D93" s="59"/>
      <c r="H93" s="59"/>
      <c r="I93" s="59"/>
    </row>
    <row r="94" ht="12.75" customHeight="1">
      <c r="A94" s="75"/>
      <c r="C94" s="59"/>
      <c r="D94" s="59"/>
      <c r="H94" s="59"/>
      <c r="I94" s="59"/>
    </row>
    <row r="95" ht="12.75" customHeight="1">
      <c r="A95" s="75"/>
      <c r="C95" s="59"/>
      <c r="D95" s="59"/>
      <c r="H95" s="59"/>
      <c r="I95" s="59"/>
    </row>
    <row r="96" ht="12.75" customHeight="1">
      <c r="A96" s="75"/>
      <c r="C96" s="59"/>
      <c r="D96" s="59"/>
      <c r="H96" s="59"/>
      <c r="I96" s="59"/>
    </row>
    <row r="97" ht="12.75" customHeight="1">
      <c r="A97" s="75"/>
      <c r="C97" s="59"/>
      <c r="D97" s="59"/>
      <c r="H97" s="59"/>
      <c r="I97" s="59"/>
    </row>
    <row r="98" ht="12.75" customHeight="1">
      <c r="A98" s="75"/>
      <c r="C98" s="59"/>
      <c r="D98" s="59"/>
      <c r="H98" s="59"/>
      <c r="I98" s="59"/>
    </row>
    <row r="99" ht="12.75" customHeight="1">
      <c r="A99" s="75"/>
      <c r="C99" s="59"/>
      <c r="D99" s="59"/>
      <c r="H99" s="59"/>
      <c r="I99" s="59"/>
    </row>
    <row r="100" ht="12.75" customHeight="1">
      <c r="A100" s="75"/>
      <c r="C100" s="59"/>
      <c r="D100" s="59"/>
      <c r="H100" s="59"/>
      <c r="I100" s="59"/>
    </row>
    <row r="101" ht="12.75" customHeight="1">
      <c r="A101" s="75"/>
      <c r="C101" s="59"/>
      <c r="D101" s="59"/>
      <c r="H101" s="59"/>
      <c r="I101" s="59"/>
    </row>
    <row r="102" ht="12.75" customHeight="1">
      <c r="A102" s="75"/>
      <c r="C102" s="59"/>
      <c r="D102" s="59"/>
      <c r="H102" s="59"/>
      <c r="I102" s="59"/>
    </row>
    <row r="103" ht="12.75" customHeight="1">
      <c r="A103" s="75"/>
      <c r="C103" s="59"/>
      <c r="D103" s="59"/>
      <c r="H103" s="59"/>
      <c r="I103" s="59"/>
    </row>
    <row r="104" ht="12.75" customHeight="1">
      <c r="A104" s="75"/>
      <c r="C104" s="59"/>
      <c r="D104" s="59"/>
      <c r="H104" s="59"/>
      <c r="I104" s="59"/>
    </row>
    <row r="105" ht="12.75" customHeight="1">
      <c r="A105" s="75"/>
      <c r="C105" s="59"/>
      <c r="D105" s="59"/>
      <c r="H105" s="59"/>
      <c r="I105" s="59"/>
    </row>
    <row r="106" ht="12.75" customHeight="1">
      <c r="A106" s="75"/>
      <c r="C106" s="59"/>
      <c r="D106" s="59"/>
      <c r="H106" s="59"/>
      <c r="I106" s="59"/>
    </row>
    <row r="107" ht="12.75" customHeight="1">
      <c r="A107" s="75"/>
      <c r="C107" s="59"/>
      <c r="D107" s="59"/>
      <c r="H107" s="59"/>
      <c r="I107" s="59"/>
    </row>
    <row r="108" ht="12.75" customHeight="1">
      <c r="A108" s="75"/>
      <c r="C108" s="59"/>
      <c r="D108" s="59"/>
      <c r="H108" s="59"/>
      <c r="I108" s="59"/>
    </row>
    <row r="109" ht="12.75" customHeight="1">
      <c r="A109" s="75"/>
      <c r="C109" s="59"/>
      <c r="D109" s="59"/>
      <c r="H109" s="59"/>
      <c r="I109" s="59"/>
    </row>
    <row r="110" ht="12.75" customHeight="1">
      <c r="A110" s="75"/>
      <c r="C110" s="59"/>
      <c r="D110" s="59"/>
      <c r="H110" s="59"/>
      <c r="I110" s="59"/>
    </row>
    <row r="111" ht="12.75" customHeight="1">
      <c r="A111" s="75"/>
      <c r="C111" s="59"/>
      <c r="D111" s="59"/>
      <c r="H111" s="59"/>
      <c r="I111" s="59"/>
    </row>
    <row r="112" ht="12.75" customHeight="1">
      <c r="A112" s="75"/>
      <c r="C112" s="59"/>
      <c r="D112" s="59"/>
      <c r="H112" s="59"/>
      <c r="I112" s="59"/>
    </row>
    <row r="113" ht="12.75" customHeight="1">
      <c r="A113" s="75"/>
      <c r="C113" s="59"/>
      <c r="D113" s="59"/>
      <c r="H113" s="59"/>
      <c r="I113" s="59"/>
    </row>
    <row r="114" ht="12.75" customHeight="1">
      <c r="A114" s="75"/>
      <c r="C114" s="59"/>
      <c r="D114" s="59"/>
      <c r="H114" s="59"/>
      <c r="I114" s="59"/>
    </row>
    <row r="115" ht="12.75" customHeight="1">
      <c r="A115" s="75"/>
      <c r="C115" s="59"/>
      <c r="D115" s="59"/>
      <c r="H115" s="59"/>
      <c r="I115" s="59"/>
    </row>
    <row r="116" ht="12.75" customHeight="1">
      <c r="A116" s="75"/>
      <c r="C116" s="59"/>
      <c r="D116" s="59"/>
      <c r="H116" s="59"/>
      <c r="I116" s="59"/>
    </row>
    <row r="117" ht="12.75" customHeight="1">
      <c r="A117" s="75"/>
      <c r="C117" s="59"/>
      <c r="D117" s="59"/>
      <c r="H117" s="59"/>
      <c r="I117" s="59"/>
    </row>
    <row r="118" ht="12.75" customHeight="1">
      <c r="A118" s="75"/>
      <c r="C118" s="59"/>
      <c r="D118" s="59"/>
      <c r="H118" s="59"/>
      <c r="I118" s="59"/>
    </row>
    <row r="119" ht="12.75" customHeight="1">
      <c r="A119" s="75"/>
      <c r="C119" s="59"/>
      <c r="D119" s="59"/>
      <c r="H119" s="59"/>
      <c r="I119" s="59"/>
    </row>
    <row r="120" ht="12.75" customHeight="1">
      <c r="A120" s="75"/>
      <c r="C120" s="59"/>
      <c r="D120" s="59"/>
      <c r="H120" s="59"/>
      <c r="I120" s="59"/>
    </row>
    <row r="121" ht="12.75" customHeight="1">
      <c r="A121" s="75"/>
      <c r="C121" s="59"/>
      <c r="D121" s="59"/>
      <c r="H121" s="59"/>
      <c r="I121" s="59"/>
    </row>
    <row r="122" ht="12.75" customHeight="1">
      <c r="A122" s="75"/>
      <c r="C122" s="59"/>
      <c r="D122" s="59"/>
      <c r="H122" s="59"/>
      <c r="I122" s="59"/>
    </row>
    <row r="123" ht="12.75" customHeight="1">
      <c r="A123" s="75"/>
      <c r="C123" s="59"/>
      <c r="D123" s="59"/>
      <c r="H123" s="59"/>
      <c r="I123" s="59"/>
    </row>
    <row r="124" ht="12.75" customHeight="1">
      <c r="A124" s="75"/>
      <c r="C124" s="59"/>
      <c r="D124" s="59"/>
      <c r="H124" s="59"/>
      <c r="I124" s="59"/>
    </row>
    <row r="125" ht="12.75" customHeight="1">
      <c r="A125" s="75"/>
      <c r="C125" s="59"/>
      <c r="D125" s="59"/>
      <c r="H125" s="59"/>
      <c r="I125" s="59"/>
    </row>
    <row r="126" ht="12.75" customHeight="1">
      <c r="A126" s="75"/>
      <c r="C126" s="59"/>
      <c r="D126" s="59"/>
      <c r="H126" s="59"/>
      <c r="I126" s="59"/>
    </row>
    <row r="127" ht="12.75" customHeight="1">
      <c r="A127" s="75"/>
      <c r="C127" s="59"/>
      <c r="D127" s="59"/>
      <c r="H127" s="59"/>
      <c r="I127" s="59"/>
    </row>
    <row r="128" ht="12.75" customHeight="1">
      <c r="A128" s="75"/>
      <c r="C128" s="59"/>
      <c r="D128" s="59"/>
      <c r="H128" s="59"/>
      <c r="I128" s="59"/>
    </row>
    <row r="129" ht="12.75" customHeight="1">
      <c r="A129" s="75"/>
      <c r="C129" s="59"/>
      <c r="D129" s="59"/>
      <c r="H129" s="59"/>
      <c r="I129" s="59"/>
    </row>
    <row r="130" ht="12.75" customHeight="1">
      <c r="A130" s="75"/>
      <c r="C130" s="59"/>
      <c r="D130" s="59"/>
      <c r="H130" s="59"/>
      <c r="I130" s="59"/>
    </row>
    <row r="131" ht="12.75" customHeight="1">
      <c r="A131" s="75"/>
      <c r="C131" s="59"/>
      <c r="D131" s="59"/>
      <c r="H131" s="59"/>
      <c r="I131" s="59"/>
    </row>
    <row r="132" ht="12.75" customHeight="1">
      <c r="A132" s="75"/>
      <c r="C132" s="59"/>
      <c r="D132" s="59"/>
      <c r="H132" s="59"/>
      <c r="I132" s="59"/>
    </row>
    <row r="133" ht="12.75" customHeight="1">
      <c r="A133" s="75"/>
      <c r="C133" s="59"/>
      <c r="D133" s="59"/>
      <c r="H133" s="59"/>
      <c r="I133" s="59"/>
    </row>
    <row r="134" ht="12.75" customHeight="1">
      <c r="A134" s="75"/>
      <c r="C134" s="59"/>
      <c r="D134" s="59"/>
      <c r="H134" s="59"/>
      <c r="I134" s="59"/>
    </row>
    <row r="135" ht="12.75" customHeight="1">
      <c r="A135" s="75"/>
      <c r="C135" s="59"/>
      <c r="D135" s="59"/>
      <c r="H135" s="59"/>
      <c r="I135" s="59"/>
    </row>
    <row r="136" ht="12.75" customHeight="1">
      <c r="A136" s="75"/>
      <c r="C136" s="59"/>
      <c r="D136" s="59"/>
      <c r="H136" s="59"/>
      <c r="I136" s="59"/>
    </row>
    <row r="137" ht="12.75" customHeight="1">
      <c r="A137" s="75"/>
      <c r="C137" s="59"/>
      <c r="D137" s="59"/>
      <c r="H137" s="59"/>
      <c r="I137" s="59"/>
    </row>
    <row r="138" ht="12.75" customHeight="1">
      <c r="A138" s="75"/>
      <c r="C138" s="59"/>
      <c r="D138" s="59"/>
      <c r="H138" s="59"/>
      <c r="I138" s="59"/>
    </row>
    <row r="139" ht="12.75" customHeight="1">
      <c r="A139" s="75"/>
      <c r="C139" s="59"/>
      <c r="D139" s="59"/>
      <c r="H139" s="59"/>
      <c r="I139" s="59"/>
    </row>
    <row r="140" ht="12.75" customHeight="1">
      <c r="A140" s="75"/>
      <c r="C140" s="59"/>
      <c r="D140" s="59"/>
      <c r="H140" s="59"/>
      <c r="I140" s="59"/>
    </row>
    <row r="141" ht="12.75" customHeight="1">
      <c r="A141" s="75"/>
      <c r="C141" s="59"/>
      <c r="D141" s="59"/>
      <c r="H141" s="59"/>
      <c r="I141" s="59"/>
    </row>
    <row r="142" ht="12.75" customHeight="1">
      <c r="A142" s="75"/>
      <c r="C142" s="59"/>
      <c r="D142" s="59"/>
      <c r="H142" s="59"/>
      <c r="I142" s="59"/>
    </row>
    <row r="143" ht="12.75" customHeight="1">
      <c r="A143" s="75"/>
      <c r="C143" s="59"/>
      <c r="D143" s="59"/>
      <c r="H143" s="59"/>
      <c r="I143" s="59"/>
    </row>
    <row r="144" ht="12.75" customHeight="1">
      <c r="A144" s="75"/>
      <c r="C144" s="59"/>
      <c r="D144" s="59"/>
      <c r="H144" s="59"/>
      <c r="I144" s="59"/>
    </row>
    <row r="145" ht="12.75" customHeight="1">
      <c r="A145" s="75"/>
      <c r="C145" s="59"/>
      <c r="D145" s="59"/>
      <c r="H145" s="59"/>
      <c r="I145" s="59"/>
    </row>
    <row r="146" ht="12.75" customHeight="1">
      <c r="A146" s="75"/>
      <c r="C146" s="59"/>
      <c r="D146" s="59"/>
      <c r="H146" s="59"/>
      <c r="I146" s="59"/>
    </row>
    <row r="147" ht="12.75" customHeight="1">
      <c r="A147" s="75"/>
      <c r="C147" s="59"/>
      <c r="D147" s="59"/>
      <c r="H147" s="59"/>
      <c r="I147" s="59"/>
    </row>
    <row r="148" ht="12.75" customHeight="1">
      <c r="A148" s="75"/>
      <c r="C148" s="59"/>
      <c r="D148" s="59"/>
      <c r="H148" s="59"/>
      <c r="I148" s="59"/>
    </row>
    <row r="149" ht="12.75" customHeight="1">
      <c r="A149" s="75"/>
      <c r="C149" s="59"/>
      <c r="D149" s="59"/>
      <c r="H149" s="59"/>
      <c r="I149" s="59"/>
    </row>
    <row r="150" ht="12.75" customHeight="1">
      <c r="A150" s="75"/>
      <c r="C150" s="59"/>
      <c r="D150" s="59"/>
      <c r="H150" s="59"/>
      <c r="I150" s="59"/>
    </row>
    <row r="151" ht="12.75" customHeight="1">
      <c r="A151" s="75"/>
      <c r="C151" s="59"/>
      <c r="D151" s="59"/>
      <c r="H151" s="59"/>
      <c r="I151" s="59"/>
    </row>
    <row r="152" ht="12.75" customHeight="1">
      <c r="A152" s="75"/>
      <c r="C152" s="59"/>
      <c r="D152" s="59"/>
      <c r="H152" s="59"/>
      <c r="I152" s="59"/>
    </row>
    <row r="153" ht="12.75" customHeight="1">
      <c r="A153" s="75"/>
      <c r="C153" s="59"/>
      <c r="D153" s="59"/>
      <c r="H153" s="59"/>
      <c r="I153" s="59"/>
    </row>
    <row r="154" ht="12.75" customHeight="1">
      <c r="A154" s="75"/>
      <c r="C154" s="59"/>
      <c r="D154" s="59"/>
      <c r="H154" s="59"/>
      <c r="I154" s="59"/>
    </row>
    <row r="155" ht="12.75" customHeight="1">
      <c r="A155" s="75"/>
      <c r="C155" s="59"/>
      <c r="D155" s="59"/>
      <c r="H155" s="59"/>
      <c r="I155" s="59"/>
    </row>
    <row r="156" ht="12.75" customHeight="1">
      <c r="A156" s="75"/>
      <c r="C156" s="59"/>
      <c r="D156" s="59"/>
      <c r="H156" s="59"/>
      <c r="I156" s="59"/>
    </row>
    <row r="157" ht="12.75" customHeight="1">
      <c r="A157" s="75"/>
      <c r="C157" s="59"/>
      <c r="D157" s="59"/>
      <c r="H157" s="59"/>
      <c r="I157" s="59"/>
    </row>
    <row r="158" ht="12.75" customHeight="1">
      <c r="A158" s="75"/>
      <c r="C158" s="59"/>
      <c r="D158" s="59"/>
      <c r="H158" s="59"/>
      <c r="I158" s="59"/>
    </row>
    <row r="159" ht="12.75" customHeight="1">
      <c r="A159" s="75"/>
      <c r="C159" s="59"/>
      <c r="D159" s="59"/>
      <c r="H159" s="59"/>
      <c r="I159" s="59"/>
    </row>
    <row r="160" ht="12.75" customHeight="1">
      <c r="A160" s="75"/>
      <c r="C160" s="59"/>
      <c r="D160" s="59"/>
      <c r="H160" s="59"/>
      <c r="I160" s="59"/>
    </row>
    <row r="161" ht="12.75" customHeight="1">
      <c r="A161" s="75"/>
      <c r="C161" s="59"/>
      <c r="D161" s="59"/>
      <c r="H161" s="59"/>
      <c r="I161" s="59"/>
    </row>
    <row r="162" ht="12.75" customHeight="1">
      <c r="A162" s="75"/>
      <c r="C162" s="59"/>
      <c r="D162" s="59"/>
      <c r="H162" s="59"/>
      <c r="I162" s="59"/>
    </row>
    <row r="163" ht="12.75" customHeight="1">
      <c r="A163" s="75"/>
      <c r="C163" s="59"/>
      <c r="D163" s="59"/>
      <c r="H163" s="59"/>
      <c r="I163" s="59"/>
    </row>
    <row r="164" ht="12.75" customHeight="1">
      <c r="A164" s="75"/>
      <c r="C164" s="59"/>
      <c r="D164" s="59"/>
      <c r="H164" s="59"/>
      <c r="I164" s="59"/>
    </row>
    <row r="165" ht="12.75" customHeight="1">
      <c r="A165" s="75"/>
      <c r="C165" s="59"/>
      <c r="D165" s="59"/>
      <c r="H165" s="59"/>
      <c r="I165" s="59"/>
    </row>
    <row r="166" ht="12.75" customHeight="1">
      <c r="A166" s="75"/>
      <c r="C166" s="59"/>
      <c r="D166" s="59"/>
      <c r="H166" s="59"/>
      <c r="I166" s="59"/>
    </row>
    <row r="167" ht="12.75" customHeight="1">
      <c r="A167" s="75"/>
      <c r="C167" s="59"/>
      <c r="D167" s="59"/>
      <c r="H167" s="59"/>
      <c r="I167" s="59"/>
    </row>
    <row r="168" ht="12.75" customHeight="1">
      <c r="A168" s="75"/>
      <c r="C168" s="59"/>
      <c r="D168" s="59"/>
      <c r="H168" s="59"/>
      <c r="I168" s="59"/>
    </row>
    <row r="169" ht="12.75" customHeight="1">
      <c r="A169" s="75"/>
      <c r="C169" s="59"/>
      <c r="D169" s="59"/>
      <c r="H169" s="59"/>
      <c r="I169" s="59"/>
    </row>
    <row r="170" ht="12.75" customHeight="1">
      <c r="A170" s="75"/>
      <c r="C170" s="59"/>
      <c r="D170" s="59"/>
      <c r="H170" s="59"/>
      <c r="I170" s="59"/>
    </row>
    <row r="171" ht="12.75" customHeight="1">
      <c r="A171" s="75"/>
      <c r="C171" s="59"/>
      <c r="D171" s="59"/>
      <c r="H171" s="59"/>
      <c r="I171" s="59"/>
    </row>
    <row r="172" ht="12.75" customHeight="1">
      <c r="A172" s="75"/>
      <c r="C172" s="59"/>
      <c r="D172" s="59"/>
      <c r="H172" s="59"/>
      <c r="I172" s="59"/>
    </row>
    <row r="173" ht="12.75" customHeight="1">
      <c r="A173" s="75"/>
      <c r="C173" s="59"/>
      <c r="D173" s="59"/>
      <c r="H173" s="59"/>
      <c r="I173" s="59"/>
    </row>
    <row r="174" ht="12.75" customHeight="1">
      <c r="A174" s="75"/>
      <c r="C174" s="59"/>
      <c r="D174" s="59"/>
      <c r="H174" s="59"/>
      <c r="I174" s="59"/>
    </row>
    <row r="175" ht="12.75" customHeight="1">
      <c r="A175" s="75"/>
      <c r="C175" s="59"/>
      <c r="D175" s="59"/>
      <c r="H175" s="59"/>
      <c r="I175" s="59"/>
    </row>
    <row r="176" ht="12.75" customHeight="1">
      <c r="A176" s="75"/>
      <c r="C176" s="59"/>
      <c r="D176" s="59"/>
      <c r="H176" s="59"/>
      <c r="I176" s="59"/>
    </row>
    <row r="177" ht="12.75" customHeight="1">
      <c r="A177" s="75"/>
      <c r="C177" s="59"/>
      <c r="D177" s="59"/>
      <c r="H177" s="59"/>
      <c r="I177" s="59"/>
    </row>
    <row r="178" ht="12.75" customHeight="1">
      <c r="A178" s="75"/>
      <c r="C178" s="59"/>
      <c r="D178" s="59"/>
      <c r="H178" s="59"/>
      <c r="I178" s="59"/>
    </row>
    <row r="179" ht="12.75" customHeight="1">
      <c r="A179" s="75"/>
      <c r="C179" s="59"/>
      <c r="D179" s="59"/>
      <c r="H179" s="59"/>
      <c r="I179" s="59"/>
    </row>
    <row r="180" ht="12.75" customHeight="1">
      <c r="A180" s="75"/>
      <c r="C180" s="59"/>
      <c r="D180" s="59"/>
      <c r="H180" s="59"/>
      <c r="I180" s="59"/>
    </row>
    <row r="181" ht="12.75" customHeight="1">
      <c r="A181" s="75"/>
      <c r="C181" s="59"/>
      <c r="D181" s="59"/>
      <c r="H181" s="59"/>
      <c r="I181" s="59"/>
    </row>
    <row r="182" ht="12.75" customHeight="1">
      <c r="A182" s="75"/>
      <c r="C182" s="59"/>
      <c r="D182" s="59"/>
      <c r="H182" s="59"/>
      <c r="I182" s="59"/>
    </row>
    <row r="183" ht="12.75" customHeight="1">
      <c r="A183" s="75"/>
      <c r="C183" s="59"/>
      <c r="D183" s="59"/>
      <c r="H183" s="59"/>
      <c r="I183" s="59"/>
    </row>
    <row r="184" ht="12.75" customHeight="1">
      <c r="A184" s="75"/>
      <c r="C184" s="59"/>
      <c r="D184" s="59"/>
      <c r="H184" s="59"/>
      <c r="I184" s="59"/>
    </row>
    <row r="185" ht="12.75" customHeight="1">
      <c r="A185" s="75"/>
      <c r="C185" s="59"/>
      <c r="D185" s="59"/>
      <c r="H185" s="59"/>
      <c r="I185" s="59"/>
    </row>
    <row r="186" ht="12.75" customHeight="1">
      <c r="A186" s="75"/>
      <c r="C186" s="59"/>
      <c r="D186" s="59"/>
      <c r="H186" s="59"/>
      <c r="I186" s="59"/>
    </row>
    <row r="187" ht="12.75" customHeight="1">
      <c r="A187" s="75"/>
      <c r="C187" s="59"/>
      <c r="D187" s="59"/>
      <c r="H187" s="59"/>
      <c r="I187" s="59"/>
    </row>
    <row r="188" ht="12.75" customHeight="1">
      <c r="A188" s="75"/>
      <c r="C188" s="59"/>
      <c r="D188" s="59"/>
      <c r="H188" s="59"/>
      <c r="I188" s="59"/>
    </row>
    <row r="189" ht="12.75" customHeight="1">
      <c r="A189" s="75"/>
      <c r="C189" s="59"/>
      <c r="D189" s="59"/>
      <c r="H189" s="59"/>
      <c r="I189" s="59"/>
    </row>
    <row r="190" ht="12.75" customHeight="1">
      <c r="A190" s="75"/>
      <c r="C190" s="59"/>
      <c r="D190" s="59"/>
      <c r="H190" s="59"/>
      <c r="I190" s="59"/>
    </row>
    <row r="191" ht="12.75" customHeight="1">
      <c r="A191" s="75"/>
      <c r="C191" s="59"/>
      <c r="D191" s="59"/>
      <c r="H191" s="59"/>
      <c r="I191" s="59"/>
    </row>
    <row r="192" ht="12.75" customHeight="1">
      <c r="A192" s="75"/>
      <c r="C192" s="59"/>
      <c r="D192" s="59"/>
      <c r="H192" s="59"/>
      <c r="I192" s="59"/>
    </row>
    <row r="193" ht="12.75" customHeight="1">
      <c r="A193" s="75"/>
      <c r="C193" s="59"/>
      <c r="D193" s="59"/>
      <c r="H193" s="59"/>
      <c r="I193" s="59"/>
    </row>
    <row r="194" ht="12.75" customHeight="1">
      <c r="A194" s="75"/>
      <c r="C194" s="59"/>
      <c r="D194" s="59"/>
      <c r="H194" s="59"/>
      <c r="I194" s="59"/>
    </row>
    <row r="195" ht="12.75" customHeight="1">
      <c r="A195" s="75"/>
      <c r="C195" s="59"/>
      <c r="D195" s="59"/>
      <c r="H195" s="59"/>
      <c r="I195" s="59"/>
    </row>
    <row r="196" ht="12.75" customHeight="1">
      <c r="A196" s="75"/>
      <c r="C196" s="59"/>
      <c r="D196" s="59"/>
      <c r="H196" s="59"/>
      <c r="I196" s="59"/>
    </row>
    <row r="197" ht="12.75" customHeight="1">
      <c r="A197" s="75"/>
      <c r="C197" s="59"/>
      <c r="D197" s="59"/>
      <c r="H197" s="59"/>
      <c r="I197" s="59"/>
    </row>
    <row r="198" ht="12.75" customHeight="1">
      <c r="A198" s="75"/>
      <c r="C198" s="59"/>
      <c r="D198" s="59"/>
      <c r="H198" s="59"/>
      <c r="I198" s="59"/>
    </row>
    <row r="199" ht="12.75" customHeight="1">
      <c r="A199" s="75"/>
      <c r="C199" s="59"/>
      <c r="D199" s="59"/>
      <c r="H199" s="59"/>
      <c r="I199" s="59"/>
    </row>
    <row r="200" ht="12.75" customHeight="1">
      <c r="A200" s="75"/>
      <c r="C200" s="59"/>
      <c r="D200" s="59"/>
      <c r="H200" s="59"/>
      <c r="I200" s="59"/>
    </row>
    <row r="201" ht="12.75" customHeight="1">
      <c r="A201" s="75"/>
      <c r="C201" s="59"/>
      <c r="D201" s="59"/>
      <c r="H201" s="59"/>
      <c r="I201" s="59"/>
    </row>
    <row r="202" ht="12.75" customHeight="1">
      <c r="A202" s="75"/>
      <c r="C202" s="59"/>
      <c r="D202" s="59"/>
      <c r="H202" s="59"/>
      <c r="I202" s="59"/>
    </row>
    <row r="203" ht="12.75" customHeight="1">
      <c r="A203" s="75"/>
      <c r="C203" s="59"/>
      <c r="D203" s="59"/>
      <c r="H203" s="59"/>
      <c r="I203" s="59"/>
    </row>
    <row r="204" ht="12.75" customHeight="1">
      <c r="A204" s="75"/>
      <c r="C204" s="59"/>
      <c r="D204" s="59"/>
      <c r="H204" s="59"/>
      <c r="I204" s="59"/>
    </row>
    <row r="205" ht="12.75" customHeight="1">
      <c r="A205" s="75"/>
      <c r="C205" s="59"/>
      <c r="D205" s="59"/>
      <c r="H205" s="59"/>
      <c r="I205" s="59"/>
    </row>
    <row r="206" ht="12.75" customHeight="1">
      <c r="A206" s="75"/>
      <c r="C206" s="59"/>
      <c r="D206" s="59"/>
      <c r="H206" s="59"/>
      <c r="I206" s="59"/>
    </row>
    <row r="207" ht="12.75" customHeight="1">
      <c r="A207" s="75"/>
      <c r="C207" s="59"/>
      <c r="D207" s="59"/>
      <c r="H207" s="59"/>
      <c r="I207" s="59"/>
    </row>
    <row r="208" ht="12.75" customHeight="1">
      <c r="A208" s="75"/>
      <c r="C208" s="59"/>
      <c r="D208" s="59"/>
      <c r="H208" s="59"/>
      <c r="I208" s="59"/>
    </row>
    <row r="209" ht="12.75" customHeight="1">
      <c r="A209" s="75"/>
      <c r="C209" s="59"/>
      <c r="D209" s="59"/>
      <c r="H209" s="59"/>
      <c r="I209" s="59"/>
    </row>
    <row r="210" ht="12.75" customHeight="1">
      <c r="A210" s="75"/>
      <c r="C210" s="59"/>
      <c r="D210" s="59"/>
      <c r="H210" s="59"/>
      <c r="I210" s="59"/>
    </row>
    <row r="211" ht="12.75" customHeight="1">
      <c r="A211" s="75"/>
      <c r="C211" s="59"/>
      <c r="D211" s="59"/>
      <c r="H211" s="59"/>
      <c r="I211" s="59"/>
    </row>
    <row r="212" ht="12.75" customHeight="1">
      <c r="A212" s="75"/>
      <c r="C212" s="59"/>
      <c r="D212" s="59"/>
      <c r="H212" s="59"/>
      <c r="I212" s="59"/>
    </row>
    <row r="213" ht="12.75" customHeight="1">
      <c r="A213" s="75"/>
      <c r="C213" s="59"/>
      <c r="D213" s="59"/>
      <c r="H213" s="59"/>
      <c r="I213" s="59"/>
    </row>
    <row r="214" ht="12.75" customHeight="1">
      <c r="A214" s="75"/>
      <c r="C214" s="59"/>
      <c r="D214" s="59"/>
      <c r="H214" s="59"/>
      <c r="I214" s="59"/>
    </row>
    <row r="215" ht="12.75" customHeight="1">
      <c r="A215" s="75"/>
      <c r="C215" s="59"/>
      <c r="D215" s="59"/>
      <c r="H215" s="59"/>
      <c r="I215" s="59"/>
    </row>
    <row r="216" ht="12.75" customHeight="1">
      <c r="A216" s="75"/>
      <c r="C216" s="59"/>
      <c r="D216" s="59"/>
      <c r="H216" s="59"/>
      <c r="I216" s="59"/>
    </row>
    <row r="217" ht="12.75" customHeight="1">
      <c r="A217" s="75"/>
      <c r="C217" s="59"/>
      <c r="D217" s="59"/>
      <c r="H217" s="59"/>
      <c r="I217" s="59"/>
    </row>
    <row r="218" ht="12.75" customHeight="1">
      <c r="A218" s="75"/>
      <c r="C218" s="59"/>
      <c r="D218" s="59"/>
      <c r="H218" s="59"/>
      <c r="I218" s="59"/>
    </row>
    <row r="219" ht="12.75" customHeight="1">
      <c r="A219" s="75"/>
      <c r="C219" s="59"/>
      <c r="D219" s="59"/>
      <c r="H219" s="59"/>
      <c r="I219" s="59"/>
    </row>
    <row r="220" ht="12.75" customHeight="1">
      <c r="A220" s="75"/>
      <c r="C220" s="59"/>
      <c r="D220" s="59"/>
      <c r="H220" s="59"/>
      <c r="I220" s="59"/>
    </row>
    <row r="221" ht="12.75" customHeight="1">
      <c r="A221" s="75"/>
      <c r="C221" s="59"/>
      <c r="D221" s="59"/>
      <c r="H221" s="59"/>
      <c r="I221" s="59"/>
    </row>
    <row r="222" ht="12.75" customHeight="1">
      <c r="A222" s="75"/>
      <c r="C222" s="59"/>
      <c r="D222" s="59"/>
      <c r="H222" s="59"/>
      <c r="I222" s="59"/>
    </row>
    <row r="223" ht="12.75" customHeight="1">
      <c r="A223" s="75"/>
      <c r="C223" s="59"/>
      <c r="D223" s="59"/>
      <c r="H223" s="59"/>
      <c r="I223" s="59"/>
    </row>
    <row r="224" ht="12.75" customHeight="1">
      <c r="A224" s="75"/>
      <c r="C224" s="59"/>
      <c r="D224" s="59"/>
      <c r="H224" s="59"/>
      <c r="I224" s="59"/>
    </row>
    <row r="225" ht="12.75" customHeight="1">
      <c r="A225" s="75"/>
      <c r="C225" s="59"/>
      <c r="D225" s="59"/>
      <c r="H225" s="59"/>
      <c r="I225" s="59"/>
    </row>
    <row r="226" ht="12.75" customHeight="1">
      <c r="A226" s="75"/>
      <c r="C226" s="59"/>
      <c r="D226" s="59"/>
      <c r="H226" s="59"/>
      <c r="I226" s="59"/>
    </row>
    <row r="227" ht="12.75" customHeight="1">
      <c r="A227" s="75"/>
      <c r="C227" s="59"/>
      <c r="D227" s="59"/>
      <c r="H227" s="59"/>
      <c r="I227" s="59"/>
    </row>
    <row r="228" ht="12.75" customHeight="1">
      <c r="A228" s="75"/>
      <c r="C228" s="59"/>
      <c r="D228" s="59"/>
      <c r="H228" s="59"/>
      <c r="I228" s="59"/>
    </row>
    <row r="229" ht="12.75" customHeight="1">
      <c r="A229" s="75"/>
      <c r="C229" s="59"/>
      <c r="D229" s="59"/>
      <c r="H229" s="59"/>
      <c r="I229" s="59"/>
    </row>
    <row r="230" ht="12.75" customHeight="1">
      <c r="A230" s="75"/>
      <c r="C230" s="59"/>
      <c r="D230" s="59"/>
      <c r="H230" s="59"/>
      <c r="I230" s="59"/>
    </row>
    <row r="231" ht="12.75" customHeight="1">
      <c r="A231" s="75"/>
      <c r="C231" s="59"/>
      <c r="D231" s="59"/>
      <c r="H231" s="59"/>
      <c r="I231" s="59"/>
    </row>
    <row r="232" ht="12.75" customHeight="1">
      <c r="A232" s="75"/>
      <c r="C232" s="59"/>
      <c r="D232" s="59"/>
      <c r="H232" s="59"/>
      <c r="I232" s="59"/>
    </row>
    <row r="233" ht="12.75" customHeight="1">
      <c r="A233" s="75"/>
      <c r="C233" s="59"/>
      <c r="D233" s="59"/>
      <c r="H233" s="59"/>
      <c r="I233" s="59"/>
    </row>
    <row r="234" ht="12.75" customHeight="1">
      <c r="A234" s="75"/>
      <c r="C234" s="59"/>
      <c r="D234" s="59"/>
      <c r="H234" s="59"/>
      <c r="I234" s="59"/>
    </row>
    <row r="235" ht="12.75" customHeight="1">
      <c r="A235" s="75"/>
      <c r="C235" s="59"/>
      <c r="D235" s="59"/>
      <c r="H235" s="59"/>
      <c r="I235" s="59"/>
    </row>
    <row r="236" ht="12.75" customHeight="1">
      <c r="A236" s="75"/>
      <c r="C236" s="59"/>
      <c r="D236" s="59"/>
      <c r="H236" s="59"/>
      <c r="I236" s="59"/>
    </row>
    <row r="237" ht="12.75" customHeight="1">
      <c r="A237" s="75"/>
      <c r="C237" s="59"/>
      <c r="D237" s="59"/>
      <c r="H237" s="59"/>
      <c r="I237" s="59"/>
    </row>
    <row r="238" ht="12.75" customHeight="1">
      <c r="A238" s="75"/>
      <c r="C238" s="59"/>
      <c r="D238" s="59"/>
      <c r="H238" s="59"/>
      <c r="I238" s="59"/>
    </row>
    <row r="239" ht="12.75" customHeight="1">
      <c r="A239" s="75"/>
      <c r="C239" s="59"/>
      <c r="D239" s="59"/>
      <c r="H239" s="59"/>
      <c r="I239" s="59"/>
    </row>
    <row r="240" ht="12.75" customHeight="1">
      <c r="A240" s="75"/>
      <c r="C240" s="59"/>
      <c r="D240" s="59"/>
      <c r="H240" s="59"/>
      <c r="I240" s="59"/>
    </row>
    <row r="241" ht="12.75" customHeight="1">
      <c r="A241" s="75"/>
      <c r="C241" s="59"/>
      <c r="D241" s="59"/>
      <c r="H241" s="59"/>
      <c r="I241" s="59"/>
    </row>
    <row r="242" ht="12.75" customHeight="1">
      <c r="A242" s="75"/>
      <c r="C242" s="59"/>
      <c r="D242" s="59"/>
      <c r="H242" s="59"/>
      <c r="I242" s="59"/>
    </row>
    <row r="243" ht="12.75" customHeight="1">
      <c r="A243" s="75"/>
      <c r="C243" s="59"/>
      <c r="D243" s="59"/>
      <c r="H243" s="59"/>
      <c r="I243" s="59"/>
    </row>
    <row r="244" ht="12.75" customHeight="1">
      <c r="A244" s="75"/>
      <c r="C244" s="59"/>
      <c r="D244" s="59"/>
      <c r="H244" s="59"/>
      <c r="I244" s="59"/>
    </row>
    <row r="245" ht="12.75" customHeight="1">
      <c r="A245" s="75"/>
      <c r="C245" s="59"/>
      <c r="D245" s="59"/>
      <c r="H245" s="59"/>
      <c r="I245" s="59"/>
    </row>
    <row r="246" ht="12.75" customHeight="1">
      <c r="A246" s="75"/>
      <c r="C246" s="59"/>
      <c r="D246" s="59"/>
      <c r="H246" s="59"/>
      <c r="I246" s="59"/>
    </row>
    <row r="247" ht="12.75" customHeight="1">
      <c r="A247" s="75"/>
      <c r="C247" s="59"/>
      <c r="D247" s="59"/>
      <c r="H247" s="59"/>
      <c r="I247" s="59"/>
    </row>
    <row r="248" ht="12.75" customHeight="1">
      <c r="A248" s="75"/>
      <c r="C248" s="59"/>
      <c r="D248" s="59"/>
      <c r="H248" s="59"/>
      <c r="I248" s="59"/>
    </row>
    <row r="249" ht="12.75" customHeight="1">
      <c r="A249" s="75"/>
      <c r="C249" s="59"/>
      <c r="D249" s="59"/>
      <c r="H249" s="59"/>
      <c r="I249" s="59"/>
    </row>
    <row r="250" ht="12.75" customHeight="1">
      <c r="A250" s="75"/>
      <c r="C250" s="59"/>
      <c r="D250" s="59"/>
      <c r="H250" s="59"/>
      <c r="I250" s="59"/>
    </row>
    <row r="251" ht="12.75" customHeight="1">
      <c r="A251" s="75"/>
      <c r="C251" s="59"/>
      <c r="D251" s="59"/>
      <c r="H251" s="59"/>
      <c r="I251" s="59"/>
    </row>
    <row r="252" ht="12.75" customHeight="1">
      <c r="A252" s="75"/>
      <c r="C252" s="59"/>
      <c r="D252" s="59"/>
      <c r="H252" s="59"/>
      <c r="I252" s="59"/>
    </row>
    <row r="253" ht="12.75" customHeight="1">
      <c r="A253" s="75"/>
      <c r="C253" s="59"/>
      <c r="D253" s="59"/>
      <c r="H253" s="59"/>
      <c r="I253" s="59"/>
    </row>
    <row r="254" ht="12.75" customHeight="1">
      <c r="A254" s="75"/>
      <c r="C254" s="59"/>
      <c r="D254" s="59"/>
      <c r="H254" s="59"/>
      <c r="I254" s="59"/>
    </row>
    <row r="255" ht="12.75" customHeight="1">
      <c r="A255" s="75"/>
      <c r="C255" s="59"/>
      <c r="D255" s="59"/>
      <c r="H255" s="59"/>
      <c r="I255" s="59"/>
    </row>
    <row r="256" ht="12.75" customHeight="1">
      <c r="A256" s="75"/>
      <c r="C256" s="59"/>
      <c r="D256" s="59"/>
      <c r="H256" s="59"/>
      <c r="I256" s="59"/>
    </row>
    <row r="257" ht="12.75" customHeight="1">
      <c r="A257" s="75"/>
      <c r="C257" s="59"/>
      <c r="D257" s="59"/>
      <c r="H257" s="59"/>
      <c r="I257" s="59"/>
    </row>
    <row r="258" ht="12.75" customHeight="1">
      <c r="A258" s="75"/>
      <c r="C258" s="59"/>
      <c r="D258" s="59"/>
      <c r="H258" s="59"/>
      <c r="I258" s="59"/>
    </row>
    <row r="259" ht="12.75" customHeight="1">
      <c r="A259" s="75"/>
      <c r="C259" s="59"/>
      <c r="D259" s="59"/>
      <c r="H259" s="59"/>
      <c r="I259" s="59"/>
    </row>
    <row r="260" ht="12.75" customHeight="1">
      <c r="A260" s="75"/>
      <c r="C260" s="59"/>
      <c r="D260" s="59"/>
      <c r="H260" s="59"/>
      <c r="I260" s="59"/>
    </row>
    <row r="261" ht="12.75" customHeight="1">
      <c r="A261" s="75"/>
      <c r="C261" s="59"/>
      <c r="D261" s="59"/>
      <c r="H261" s="59"/>
      <c r="I261" s="59"/>
    </row>
    <row r="262" ht="12.75" customHeight="1">
      <c r="A262" s="75"/>
      <c r="C262" s="59"/>
      <c r="D262" s="59"/>
      <c r="H262" s="59"/>
      <c r="I262" s="59"/>
    </row>
    <row r="263" ht="12.75" customHeight="1">
      <c r="A263" s="75"/>
      <c r="C263" s="59"/>
      <c r="D263" s="59"/>
      <c r="H263" s="59"/>
      <c r="I263" s="59"/>
    </row>
    <row r="264" ht="12.75" customHeight="1">
      <c r="A264" s="75"/>
      <c r="C264" s="59"/>
      <c r="D264" s="59"/>
      <c r="H264" s="59"/>
      <c r="I264" s="59"/>
    </row>
    <row r="265" ht="12.75" customHeight="1">
      <c r="A265" s="75"/>
      <c r="C265" s="59"/>
      <c r="D265" s="59"/>
      <c r="H265" s="59"/>
      <c r="I265" s="59"/>
    </row>
    <row r="266" ht="12.75" customHeight="1">
      <c r="A266" s="75"/>
      <c r="C266" s="59"/>
      <c r="D266" s="59"/>
      <c r="H266" s="59"/>
      <c r="I266" s="59"/>
    </row>
    <row r="267" ht="12.75" customHeight="1">
      <c r="A267" s="75"/>
      <c r="C267" s="59"/>
      <c r="D267" s="59"/>
      <c r="H267" s="59"/>
      <c r="I267" s="59"/>
    </row>
    <row r="268" ht="12.75" customHeight="1">
      <c r="A268" s="75"/>
      <c r="C268" s="59"/>
      <c r="D268" s="59"/>
      <c r="H268" s="59"/>
      <c r="I268" s="59"/>
    </row>
    <row r="269" ht="12.75" customHeight="1">
      <c r="A269" s="75"/>
      <c r="C269" s="59"/>
      <c r="D269" s="59"/>
      <c r="H269" s="59"/>
      <c r="I269" s="59"/>
    </row>
    <row r="270" ht="12.75" customHeight="1">
      <c r="A270" s="75"/>
      <c r="C270" s="59"/>
      <c r="D270" s="59"/>
      <c r="H270" s="59"/>
      <c r="I270" s="59"/>
    </row>
    <row r="271" ht="12.75" customHeight="1">
      <c r="A271" s="75"/>
      <c r="C271" s="59"/>
      <c r="D271" s="59"/>
      <c r="H271" s="59"/>
      <c r="I271" s="59"/>
    </row>
    <row r="272" ht="12.75" customHeight="1">
      <c r="A272" s="75"/>
      <c r="C272" s="59"/>
      <c r="D272" s="59"/>
      <c r="H272" s="59"/>
      <c r="I272" s="59"/>
    </row>
    <row r="273" ht="12.75" customHeight="1">
      <c r="A273" s="75"/>
      <c r="C273" s="59"/>
      <c r="D273" s="59"/>
      <c r="H273" s="59"/>
      <c r="I273" s="59"/>
    </row>
    <row r="274" ht="12.75" customHeight="1">
      <c r="A274" s="75"/>
      <c r="C274" s="59"/>
      <c r="D274" s="59"/>
      <c r="H274" s="59"/>
      <c r="I274" s="59"/>
    </row>
    <row r="275" ht="12.75" customHeight="1">
      <c r="A275" s="75"/>
      <c r="C275" s="59"/>
      <c r="D275" s="59"/>
      <c r="H275" s="59"/>
      <c r="I275" s="59"/>
    </row>
    <row r="276" ht="12.75" customHeight="1">
      <c r="A276" s="75"/>
      <c r="C276" s="59"/>
      <c r="D276" s="59"/>
      <c r="H276" s="59"/>
      <c r="I276" s="59"/>
    </row>
    <row r="277" ht="12.75" customHeight="1">
      <c r="A277" s="75"/>
      <c r="C277" s="59"/>
      <c r="D277" s="59"/>
      <c r="H277" s="59"/>
      <c r="I277" s="59"/>
    </row>
    <row r="278" ht="12.75" customHeight="1">
      <c r="A278" s="75"/>
      <c r="C278" s="59"/>
      <c r="D278" s="59"/>
      <c r="H278" s="59"/>
      <c r="I278" s="59"/>
    </row>
    <row r="279" ht="12.75" customHeight="1">
      <c r="A279" s="75"/>
      <c r="C279" s="59"/>
      <c r="D279" s="59"/>
      <c r="H279" s="59"/>
      <c r="I279" s="59"/>
    </row>
    <row r="280" ht="12.75" customHeight="1">
      <c r="A280" s="75"/>
      <c r="C280" s="59"/>
      <c r="D280" s="59"/>
      <c r="H280" s="59"/>
      <c r="I280" s="59"/>
    </row>
    <row r="281" ht="12.75" customHeight="1">
      <c r="A281" s="75"/>
      <c r="C281" s="59"/>
      <c r="D281" s="59"/>
      <c r="H281" s="59"/>
      <c r="I281" s="59"/>
    </row>
    <row r="282" ht="12.75" customHeight="1">
      <c r="A282" s="75"/>
      <c r="C282" s="59"/>
      <c r="D282" s="59"/>
      <c r="H282" s="59"/>
      <c r="I282" s="59"/>
    </row>
    <row r="283" ht="12.75" customHeight="1">
      <c r="A283" s="75"/>
      <c r="C283" s="59"/>
      <c r="D283" s="59"/>
      <c r="H283" s="59"/>
      <c r="I283" s="59"/>
    </row>
    <row r="284" ht="12.75" customHeight="1">
      <c r="A284" s="75"/>
      <c r="C284" s="59"/>
      <c r="D284" s="59"/>
      <c r="H284" s="59"/>
      <c r="I284" s="59"/>
    </row>
    <row r="285" ht="12.75" customHeight="1">
      <c r="A285" s="75"/>
      <c r="C285" s="59"/>
      <c r="D285" s="59"/>
      <c r="H285" s="59"/>
      <c r="I285" s="59"/>
    </row>
    <row r="286" ht="12.75" customHeight="1">
      <c r="A286" s="75"/>
      <c r="C286" s="59"/>
      <c r="D286" s="59"/>
      <c r="H286" s="59"/>
      <c r="I286" s="59"/>
    </row>
    <row r="287" ht="12.75" customHeight="1">
      <c r="A287" s="75"/>
      <c r="C287" s="59"/>
      <c r="D287" s="59"/>
      <c r="H287" s="59"/>
      <c r="I287" s="59"/>
    </row>
    <row r="288" ht="12.75" customHeight="1">
      <c r="A288" s="75"/>
      <c r="C288" s="59"/>
      <c r="D288" s="59"/>
      <c r="H288" s="59"/>
      <c r="I288" s="59"/>
    </row>
    <row r="289" ht="12.75" customHeight="1">
      <c r="A289" s="75"/>
      <c r="C289" s="59"/>
      <c r="D289" s="59"/>
      <c r="H289" s="59"/>
      <c r="I289" s="59"/>
    </row>
    <row r="290" ht="12.75" customHeight="1">
      <c r="A290" s="75"/>
      <c r="C290" s="59"/>
      <c r="D290" s="59"/>
      <c r="H290" s="59"/>
      <c r="I290" s="59"/>
    </row>
    <row r="291" ht="12.75" customHeight="1">
      <c r="A291" s="75"/>
      <c r="C291" s="59"/>
      <c r="D291" s="59"/>
      <c r="H291" s="59"/>
      <c r="I291" s="59"/>
    </row>
    <row r="292" ht="12.75" customHeight="1">
      <c r="A292" s="75"/>
      <c r="C292" s="59"/>
      <c r="D292" s="59"/>
      <c r="H292" s="59"/>
      <c r="I292" s="59"/>
    </row>
    <row r="293" ht="12.75" customHeight="1">
      <c r="A293" s="75"/>
      <c r="C293" s="59"/>
      <c r="D293" s="59"/>
      <c r="H293" s="59"/>
      <c r="I293" s="59"/>
    </row>
    <row r="294" ht="12.75" customHeight="1">
      <c r="A294" s="75"/>
      <c r="C294" s="59"/>
      <c r="D294" s="59"/>
      <c r="H294" s="59"/>
      <c r="I294" s="59"/>
    </row>
    <row r="295" ht="12.75" customHeight="1">
      <c r="A295" s="75"/>
      <c r="C295" s="59"/>
      <c r="D295" s="59"/>
      <c r="H295" s="59"/>
      <c r="I295" s="59"/>
    </row>
    <row r="296" ht="12.75" customHeight="1">
      <c r="A296" s="75"/>
      <c r="C296" s="59"/>
      <c r="D296" s="59"/>
      <c r="H296" s="59"/>
      <c r="I296" s="59"/>
    </row>
    <row r="297" ht="12.75" customHeight="1">
      <c r="A297" s="75"/>
      <c r="C297" s="59"/>
      <c r="D297" s="59"/>
      <c r="H297" s="59"/>
      <c r="I297" s="59"/>
    </row>
    <row r="298" ht="12.75" customHeight="1">
      <c r="A298" s="75"/>
      <c r="C298" s="59"/>
      <c r="D298" s="59"/>
      <c r="H298" s="59"/>
      <c r="I298" s="59"/>
    </row>
    <row r="299" ht="12.75" customHeight="1">
      <c r="A299" s="75"/>
      <c r="C299" s="59"/>
      <c r="D299" s="59"/>
      <c r="H299" s="59"/>
      <c r="I299" s="59"/>
    </row>
    <row r="300" ht="12.75" customHeight="1">
      <c r="A300" s="75"/>
      <c r="C300" s="59"/>
      <c r="D300" s="59"/>
      <c r="H300" s="59"/>
      <c r="I300" s="59"/>
    </row>
    <row r="301" ht="12.75" customHeight="1">
      <c r="A301" s="75"/>
      <c r="C301" s="59"/>
      <c r="D301" s="59"/>
      <c r="H301" s="59"/>
      <c r="I301" s="59"/>
    </row>
    <row r="302" ht="12.75" customHeight="1">
      <c r="A302" s="75"/>
      <c r="C302" s="59"/>
      <c r="D302" s="59"/>
      <c r="H302" s="59"/>
      <c r="I302" s="59"/>
    </row>
    <row r="303" ht="12.75" customHeight="1">
      <c r="A303" s="75"/>
      <c r="C303" s="59"/>
      <c r="D303" s="59"/>
      <c r="H303" s="59"/>
      <c r="I303" s="59"/>
    </row>
    <row r="304" ht="12.75" customHeight="1">
      <c r="A304" s="75"/>
      <c r="C304" s="59"/>
      <c r="D304" s="59"/>
      <c r="H304" s="59"/>
      <c r="I304" s="59"/>
    </row>
    <row r="305" ht="12.75" customHeight="1">
      <c r="A305" s="75"/>
      <c r="C305" s="59"/>
      <c r="D305" s="59"/>
      <c r="H305" s="59"/>
      <c r="I305" s="59"/>
    </row>
    <row r="306" ht="12.75" customHeight="1">
      <c r="A306" s="75"/>
      <c r="C306" s="59"/>
      <c r="D306" s="59"/>
      <c r="H306" s="59"/>
      <c r="I306" s="59"/>
    </row>
    <row r="307" ht="12.75" customHeight="1">
      <c r="A307" s="75"/>
      <c r="C307" s="59"/>
      <c r="D307" s="59"/>
      <c r="H307" s="59"/>
      <c r="I307" s="59"/>
    </row>
    <row r="308" ht="12.75" customHeight="1">
      <c r="A308" s="75"/>
      <c r="C308" s="59"/>
      <c r="D308" s="59"/>
      <c r="H308" s="59"/>
      <c r="I308" s="59"/>
    </row>
    <row r="309" ht="12.75" customHeight="1">
      <c r="A309" s="75"/>
      <c r="C309" s="59"/>
      <c r="D309" s="59"/>
      <c r="H309" s="59"/>
      <c r="I309" s="59"/>
    </row>
    <row r="310" ht="12.75" customHeight="1">
      <c r="A310" s="75"/>
      <c r="C310" s="59"/>
      <c r="D310" s="59"/>
      <c r="H310" s="59"/>
      <c r="I310" s="59"/>
    </row>
    <row r="311" ht="12.75" customHeight="1">
      <c r="A311" s="75"/>
      <c r="C311" s="59"/>
      <c r="D311" s="59"/>
      <c r="H311" s="59"/>
      <c r="I311" s="59"/>
    </row>
    <row r="312" ht="12.75" customHeight="1">
      <c r="A312" s="75"/>
      <c r="C312" s="59"/>
      <c r="D312" s="59"/>
      <c r="H312" s="59"/>
      <c r="I312" s="59"/>
    </row>
    <row r="313" ht="12.75" customHeight="1">
      <c r="A313" s="75"/>
      <c r="C313" s="59"/>
      <c r="D313" s="59"/>
      <c r="H313" s="59"/>
      <c r="I313" s="59"/>
    </row>
    <row r="314" ht="12.75" customHeight="1">
      <c r="A314" s="75"/>
      <c r="C314" s="59"/>
      <c r="D314" s="59"/>
      <c r="H314" s="59"/>
      <c r="I314" s="59"/>
    </row>
    <row r="315" ht="12.75" customHeight="1">
      <c r="A315" s="75"/>
      <c r="C315" s="59"/>
      <c r="D315" s="59"/>
      <c r="H315" s="59"/>
      <c r="I315" s="59"/>
    </row>
    <row r="316" ht="12.75" customHeight="1">
      <c r="A316" s="75"/>
      <c r="C316" s="59"/>
      <c r="D316" s="59"/>
      <c r="H316" s="59"/>
      <c r="I316" s="59"/>
    </row>
    <row r="317" ht="12.75" customHeight="1">
      <c r="A317" s="75"/>
      <c r="C317" s="59"/>
      <c r="D317" s="59"/>
      <c r="H317" s="59"/>
      <c r="I317" s="59"/>
    </row>
    <row r="318" ht="12.75" customHeight="1">
      <c r="A318" s="75"/>
      <c r="C318" s="59"/>
      <c r="D318" s="59"/>
      <c r="H318" s="59"/>
      <c r="I318" s="59"/>
    </row>
    <row r="319" ht="12.75" customHeight="1">
      <c r="A319" s="75"/>
      <c r="C319" s="59"/>
      <c r="D319" s="59"/>
      <c r="H319" s="59"/>
      <c r="I319" s="59"/>
    </row>
    <row r="320" ht="12.75" customHeight="1">
      <c r="A320" s="75"/>
      <c r="C320" s="59"/>
      <c r="D320" s="59"/>
      <c r="H320" s="59"/>
      <c r="I320" s="59"/>
    </row>
    <row r="321" ht="12.75" customHeight="1">
      <c r="A321" s="75"/>
      <c r="C321" s="59"/>
      <c r="D321" s="59"/>
      <c r="H321" s="59"/>
      <c r="I321" s="59"/>
    </row>
    <row r="322" ht="12.75" customHeight="1">
      <c r="A322" s="75"/>
      <c r="C322" s="59"/>
      <c r="D322" s="59"/>
      <c r="H322" s="59"/>
      <c r="I322" s="59"/>
    </row>
    <row r="323" ht="12.75" customHeight="1">
      <c r="A323" s="75"/>
      <c r="C323" s="59"/>
      <c r="D323" s="59"/>
      <c r="H323" s="59"/>
      <c r="I323" s="59"/>
    </row>
    <row r="324" ht="12.75" customHeight="1">
      <c r="A324" s="75"/>
      <c r="C324" s="59"/>
      <c r="D324" s="59"/>
      <c r="H324" s="59"/>
      <c r="I324" s="59"/>
    </row>
    <row r="325" ht="12.75" customHeight="1">
      <c r="A325" s="75"/>
      <c r="C325" s="59"/>
      <c r="D325" s="59"/>
      <c r="H325" s="59"/>
      <c r="I325" s="59"/>
    </row>
    <row r="326" ht="12.75" customHeight="1">
      <c r="A326" s="75"/>
      <c r="C326" s="59"/>
      <c r="D326" s="59"/>
      <c r="H326" s="59"/>
      <c r="I326" s="59"/>
    </row>
    <row r="327" ht="12.75" customHeight="1">
      <c r="A327" s="75"/>
      <c r="C327" s="59"/>
      <c r="D327" s="59"/>
      <c r="H327" s="59"/>
      <c r="I327" s="59"/>
    </row>
    <row r="328" ht="12.75" customHeight="1">
      <c r="A328" s="75"/>
      <c r="C328" s="59"/>
      <c r="D328" s="59"/>
      <c r="H328" s="59"/>
      <c r="I328" s="59"/>
    </row>
    <row r="329" ht="12.75" customHeight="1">
      <c r="A329" s="75"/>
      <c r="C329" s="59"/>
      <c r="D329" s="59"/>
      <c r="H329" s="59"/>
      <c r="I329" s="59"/>
    </row>
    <row r="330" ht="12.75" customHeight="1">
      <c r="A330" s="75"/>
      <c r="C330" s="59"/>
      <c r="D330" s="59"/>
      <c r="H330" s="59"/>
      <c r="I330" s="59"/>
    </row>
    <row r="331" ht="12.75" customHeight="1">
      <c r="A331" s="75"/>
      <c r="C331" s="59"/>
      <c r="D331" s="59"/>
      <c r="H331" s="59"/>
      <c r="I331" s="59"/>
    </row>
    <row r="332" ht="12.75" customHeight="1">
      <c r="A332" s="75"/>
      <c r="C332" s="59"/>
      <c r="D332" s="59"/>
      <c r="H332" s="59"/>
      <c r="I332" s="59"/>
    </row>
    <row r="333" ht="12.75" customHeight="1">
      <c r="A333" s="75"/>
      <c r="C333" s="59"/>
      <c r="D333" s="59"/>
      <c r="H333" s="59"/>
      <c r="I333" s="59"/>
    </row>
    <row r="334" ht="12.75" customHeight="1">
      <c r="A334" s="75"/>
      <c r="C334" s="59"/>
      <c r="D334" s="59"/>
      <c r="H334" s="59"/>
      <c r="I334" s="59"/>
    </row>
    <row r="335" ht="12.75" customHeight="1">
      <c r="A335" s="75"/>
      <c r="C335" s="59"/>
      <c r="D335" s="59"/>
      <c r="H335" s="59"/>
      <c r="I335" s="59"/>
    </row>
    <row r="336" ht="12.75" customHeight="1">
      <c r="A336" s="75"/>
      <c r="C336" s="59"/>
      <c r="D336" s="59"/>
      <c r="H336" s="59"/>
      <c r="I336" s="59"/>
    </row>
    <row r="337" ht="12.75" customHeight="1">
      <c r="A337" s="75"/>
      <c r="C337" s="59"/>
      <c r="D337" s="59"/>
      <c r="H337" s="59"/>
      <c r="I337" s="59"/>
    </row>
    <row r="338" ht="12.75" customHeight="1">
      <c r="A338" s="75"/>
      <c r="C338" s="59"/>
      <c r="D338" s="59"/>
      <c r="H338" s="59"/>
      <c r="I338" s="59"/>
    </row>
    <row r="339" ht="12.75" customHeight="1">
      <c r="A339" s="75"/>
      <c r="C339" s="59"/>
      <c r="D339" s="59"/>
      <c r="H339" s="59"/>
      <c r="I339" s="59"/>
    </row>
    <row r="340" ht="12.75" customHeight="1">
      <c r="A340" s="75"/>
      <c r="C340" s="59"/>
      <c r="D340" s="59"/>
      <c r="H340" s="59"/>
      <c r="I340" s="59"/>
    </row>
    <row r="341" ht="12.75" customHeight="1">
      <c r="A341" s="75"/>
      <c r="C341" s="59"/>
      <c r="D341" s="59"/>
      <c r="H341" s="59"/>
      <c r="I341" s="59"/>
    </row>
    <row r="342" ht="12.75" customHeight="1">
      <c r="A342" s="75"/>
      <c r="C342" s="59"/>
      <c r="D342" s="59"/>
      <c r="H342" s="59"/>
      <c r="I342" s="59"/>
    </row>
    <row r="343" ht="12.75" customHeight="1">
      <c r="A343" s="75"/>
      <c r="C343" s="59"/>
      <c r="D343" s="59"/>
      <c r="H343" s="59"/>
      <c r="I343" s="59"/>
    </row>
    <row r="344" ht="12.75" customHeight="1">
      <c r="A344" s="75"/>
      <c r="C344" s="59"/>
      <c r="D344" s="59"/>
      <c r="H344" s="59"/>
      <c r="I344" s="59"/>
    </row>
    <row r="345" ht="12.75" customHeight="1">
      <c r="A345" s="75"/>
      <c r="C345" s="59"/>
      <c r="D345" s="59"/>
      <c r="H345" s="59"/>
      <c r="I345" s="59"/>
    </row>
    <row r="346" ht="12.75" customHeight="1">
      <c r="A346" s="75"/>
      <c r="C346" s="59"/>
      <c r="D346" s="59"/>
      <c r="H346" s="59"/>
      <c r="I346" s="59"/>
    </row>
    <row r="347" ht="12.75" customHeight="1">
      <c r="A347" s="75"/>
      <c r="C347" s="59"/>
      <c r="D347" s="59"/>
      <c r="H347" s="59"/>
      <c r="I347" s="59"/>
    </row>
    <row r="348" ht="12.75" customHeight="1">
      <c r="A348" s="75"/>
      <c r="C348" s="59"/>
      <c r="D348" s="59"/>
      <c r="H348" s="59"/>
      <c r="I348" s="59"/>
    </row>
    <row r="349" ht="12.75" customHeight="1">
      <c r="A349" s="75"/>
      <c r="C349" s="59"/>
      <c r="D349" s="59"/>
      <c r="H349" s="59"/>
      <c r="I349" s="59"/>
    </row>
    <row r="350" ht="12.75" customHeight="1">
      <c r="A350" s="75"/>
      <c r="C350" s="59"/>
      <c r="D350" s="59"/>
      <c r="H350" s="59"/>
      <c r="I350" s="59"/>
    </row>
    <row r="351" ht="12.75" customHeight="1">
      <c r="A351" s="75"/>
      <c r="C351" s="59"/>
      <c r="D351" s="59"/>
      <c r="H351" s="59"/>
      <c r="I351" s="59"/>
    </row>
    <row r="352" ht="12.75" customHeight="1">
      <c r="A352" s="75"/>
      <c r="C352" s="59"/>
      <c r="D352" s="59"/>
      <c r="H352" s="59"/>
      <c r="I352" s="59"/>
    </row>
    <row r="353" ht="12.75" customHeight="1">
      <c r="A353" s="75"/>
      <c r="C353" s="59"/>
      <c r="D353" s="59"/>
      <c r="H353" s="59"/>
      <c r="I353" s="59"/>
    </row>
    <row r="354" ht="12.75" customHeight="1">
      <c r="A354" s="75"/>
      <c r="C354" s="59"/>
      <c r="D354" s="59"/>
      <c r="H354" s="59"/>
      <c r="I354" s="59"/>
    </row>
    <row r="355" ht="12.75" customHeight="1">
      <c r="A355" s="75"/>
      <c r="C355" s="59"/>
      <c r="D355" s="59"/>
      <c r="H355" s="59"/>
      <c r="I355" s="59"/>
    </row>
    <row r="356" ht="12.75" customHeight="1">
      <c r="A356" s="75"/>
      <c r="C356" s="59"/>
      <c r="D356" s="59"/>
      <c r="H356" s="59"/>
      <c r="I356" s="59"/>
    </row>
    <row r="357" ht="12.75" customHeight="1">
      <c r="A357" s="75"/>
      <c r="C357" s="59"/>
      <c r="D357" s="59"/>
      <c r="H357" s="59"/>
      <c r="I357" s="59"/>
    </row>
    <row r="358" ht="12.75" customHeight="1">
      <c r="A358" s="75"/>
      <c r="C358" s="59"/>
      <c r="D358" s="59"/>
      <c r="H358" s="59"/>
      <c r="I358" s="59"/>
    </row>
    <row r="359" ht="12.75" customHeight="1">
      <c r="A359" s="75"/>
      <c r="C359" s="59"/>
      <c r="D359" s="59"/>
      <c r="H359" s="59"/>
      <c r="I359" s="59"/>
    </row>
    <row r="360" ht="12.75" customHeight="1">
      <c r="A360" s="75"/>
      <c r="C360" s="59"/>
      <c r="D360" s="59"/>
      <c r="H360" s="59"/>
      <c r="I360" s="59"/>
    </row>
    <row r="361" ht="12.75" customHeight="1">
      <c r="A361" s="75"/>
      <c r="C361" s="59"/>
      <c r="D361" s="59"/>
      <c r="H361" s="59"/>
      <c r="I361" s="59"/>
    </row>
    <row r="362" ht="12.75" customHeight="1">
      <c r="A362" s="75"/>
      <c r="C362" s="59"/>
      <c r="D362" s="59"/>
      <c r="H362" s="59"/>
      <c r="I362" s="59"/>
    </row>
    <row r="363" ht="12.75" customHeight="1">
      <c r="A363" s="75"/>
      <c r="C363" s="59"/>
      <c r="D363" s="59"/>
      <c r="H363" s="59"/>
      <c r="I363" s="59"/>
    </row>
    <row r="364" ht="12.75" customHeight="1">
      <c r="A364" s="75"/>
      <c r="C364" s="59"/>
      <c r="D364" s="59"/>
      <c r="H364" s="59"/>
      <c r="I364" s="59"/>
    </row>
    <row r="365" ht="12.75" customHeight="1">
      <c r="A365" s="75"/>
      <c r="C365" s="59"/>
      <c r="D365" s="59"/>
      <c r="H365" s="59"/>
      <c r="I365" s="59"/>
    </row>
    <row r="366" ht="12.75" customHeight="1">
      <c r="A366" s="75"/>
      <c r="C366" s="59"/>
      <c r="D366" s="59"/>
      <c r="H366" s="59"/>
      <c r="I366" s="59"/>
    </row>
    <row r="367" ht="12.75" customHeight="1">
      <c r="A367" s="75"/>
      <c r="C367" s="59"/>
      <c r="D367" s="59"/>
      <c r="H367" s="59"/>
      <c r="I367" s="59"/>
    </row>
    <row r="368" ht="12.75" customHeight="1">
      <c r="A368" s="75"/>
      <c r="C368" s="59"/>
      <c r="D368" s="59"/>
      <c r="H368" s="59"/>
      <c r="I368" s="59"/>
    </row>
    <row r="369" ht="12.75" customHeight="1">
      <c r="A369" s="75"/>
      <c r="C369" s="59"/>
      <c r="D369" s="59"/>
      <c r="H369" s="59"/>
      <c r="I369" s="59"/>
    </row>
    <row r="370" ht="12.75" customHeight="1">
      <c r="A370" s="75"/>
      <c r="C370" s="59"/>
      <c r="D370" s="59"/>
      <c r="H370" s="59"/>
      <c r="I370" s="59"/>
    </row>
    <row r="371" ht="12.75" customHeight="1">
      <c r="A371" s="75"/>
      <c r="C371" s="59"/>
      <c r="D371" s="59"/>
      <c r="H371" s="59"/>
      <c r="I371" s="59"/>
    </row>
    <row r="372" ht="12.75" customHeight="1">
      <c r="A372" s="75"/>
      <c r="C372" s="59"/>
      <c r="D372" s="59"/>
      <c r="H372" s="59"/>
      <c r="I372" s="59"/>
    </row>
    <row r="373" ht="12.75" customHeight="1">
      <c r="A373" s="75"/>
      <c r="C373" s="59"/>
      <c r="D373" s="59"/>
      <c r="H373" s="59"/>
      <c r="I373" s="59"/>
    </row>
    <row r="374" ht="12.75" customHeight="1">
      <c r="A374" s="75"/>
      <c r="C374" s="59"/>
      <c r="D374" s="59"/>
      <c r="H374" s="59"/>
      <c r="I374" s="59"/>
    </row>
    <row r="375" ht="12.75" customHeight="1">
      <c r="A375" s="75"/>
      <c r="C375" s="59"/>
      <c r="D375" s="59"/>
      <c r="H375" s="59"/>
      <c r="I375" s="59"/>
    </row>
    <row r="376" ht="12.75" customHeight="1">
      <c r="A376" s="75"/>
      <c r="C376" s="59"/>
      <c r="D376" s="59"/>
      <c r="H376" s="59"/>
      <c r="I376" s="59"/>
    </row>
    <row r="377" ht="12.75" customHeight="1">
      <c r="A377" s="75"/>
      <c r="C377" s="59"/>
      <c r="D377" s="59"/>
      <c r="H377" s="59"/>
      <c r="I377" s="59"/>
    </row>
    <row r="378" ht="12.75" customHeight="1">
      <c r="A378" s="75"/>
      <c r="C378" s="59"/>
      <c r="D378" s="59"/>
      <c r="H378" s="59"/>
      <c r="I378" s="59"/>
    </row>
    <row r="379" ht="12.75" customHeight="1">
      <c r="A379" s="75"/>
      <c r="C379" s="59"/>
      <c r="D379" s="59"/>
      <c r="H379" s="59"/>
      <c r="I379" s="59"/>
    </row>
    <row r="380" ht="12.75" customHeight="1">
      <c r="A380" s="75"/>
      <c r="C380" s="59"/>
      <c r="D380" s="59"/>
      <c r="H380" s="59"/>
      <c r="I380" s="59"/>
    </row>
    <row r="381" ht="12.75" customHeight="1">
      <c r="A381" s="75"/>
      <c r="C381" s="59"/>
      <c r="D381" s="59"/>
      <c r="H381" s="59"/>
      <c r="I381" s="59"/>
    </row>
    <row r="382" ht="12.75" customHeight="1">
      <c r="A382" s="75"/>
      <c r="C382" s="59"/>
      <c r="D382" s="59"/>
      <c r="H382" s="59"/>
      <c r="I382" s="59"/>
    </row>
    <row r="383" ht="12.75" customHeight="1">
      <c r="A383" s="75"/>
      <c r="C383" s="59"/>
      <c r="D383" s="59"/>
      <c r="H383" s="59"/>
      <c r="I383" s="59"/>
    </row>
    <row r="384" ht="12.75" customHeight="1">
      <c r="A384" s="75"/>
      <c r="C384" s="59"/>
      <c r="D384" s="59"/>
      <c r="H384" s="59"/>
      <c r="I384" s="59"/>
    </row>
    <row r="385" ht="12.75" customHeight="1">
      <c r="A385" s="75"/>
      <c r="C385" s="59"/>
      <c r="D385" s="59"/>
      <c r="H385" s="59"/>
      <c r="I385" s="59"/>
    </row>
    <row r="386" ht="12.75" customHeight="1">
      <c r="A386" s="75"/>
      <c r="C386" s="59"/>
      <c r="D386" s="59"/>
      <c r="H386" s="59"/>
      <c r="I386" s="59"/>
    </row>
    <row r="387" ht="12.75" customHeight="1">
      <c r="A387" s="75"/>
      <c r="C387" s="59"/>
      <c r="D387" s="59"/>
      <c r="H387" s="59"/>
      <c r="I387" s="59"/>
    </row>
    <row r="388" ht="12.75" customHeight="1">
      <c r="A388" s="75"/>
      <c r="C388" s="59"/>
      <c r="D388" s="59"/>
      <c r="H388" s="59"/>
      <c r="I388" s="59"/>
    </row>
    <row r="389" ht="12.75" customHeight="1">
      <c r="A389" s="75"/>
      <c r="C389" s="59"/>
      <c r="D389" s="59"/>
      <c r="H389" s="59"/>
      <c r="I389" s="59"/>
    </row>
    <row r="390" ht="12.75" customHeight="1">
      <c r="A390" s="75"/>
      <c r="C390" s="59"/>
      <c r="D390" s="59"/>
      <c r="H390" s="59"/>
      <c r="I390" s="59"/>
    </row>
    <row r="391" ht="12.75" customHeight="1">
      <c r="A391" s="75"/>
      <c r="C391" s="59"/>
      <c r="D391" s="59"/>
      <c r="H391" s="59"/>
      <c r="I391" s="59"/>
    </row>
    <row r="392" ht="12.75" customHeight="1">
      <c r="A392" s="75"/>
      <c r="C392" s="59"/>
      <c r="D392" s="59"/>
      <c r="H392" s="59"/>
      <c r="I392" s="59"/>
    </row>
    <row r="393" ht="12.75" customHeight="1">
      <c r="A393" s="75"/>
      <c r="C393" s="59"/>
      <c r="D393" s="59"/>
      <c r="H393" s="59"/>
      <c r="I393" s="59"/>
    </row>
    <row r="394" ht="12.75" customHeight="1">
      <c r="A394" s="75"/>
      <c r="C394" s="59"/>
      <c r="D394" s="59"/>
      <c r="H394" s="59"/>
      <c r="I394" s="59"/>
    </row>
    <row r="395" ht="12.75" customHeight="1">
      <c r="A395" s="75"/>
      <c r="C395" s="59"/>
      <c r="D395" s="59"/>
      <c r="H395" s="59"/>
      <c r="I395" s="59"/>
    </row>
    <row r="396" ht="12.75" customHeight="1">
      <c r="A396" s="75"/>
      <c r="C396" s="59"/>
      <c r="D396" s="59"/>
      <c r="H396" s="59"/>
      <c r="I396" s="59"/>
    </row>
    <row r="397" ht="12.75" customHeight="1">
      <c r="A397" s="75"/>
      <c r="C397" s="59"/>
      <c r="D397" s="59"/>
      <c r="H397" s="59"/>
      <c r="I397" s="59"/>
    </row>
    <row r="398" ht="12.75" customHeight="1">
      <c r="A398" s="75"/>
      <c r="C398" s="59"/>
      <c r="D398" s="59"/>
      <c r="H398" s="59"/>
      <c r="I398" s="59"/>
    </row>
    <row r="399" ht="12.75" customHeight="1">
      <c r="A399" s="75"/>
      <c r="C399" s="59"/>
      <c r="D399" s="59"/>
      <c r="H399" s="59"/>
      <c r="I399" s="59"/>
    </row>
    <row r="400" ht="12.75" customHeight="1">
      <c r="A400" s="75"/>
      <c r="C400" s="59"/>
      <c r="D400" s="59"/>
      <c r="H400" s="59"/>
      <c r="I400" s="59"/>
    </row>
    <row r="401" ht="12.75" customHeight="1">
      <c r="A401" s="75"/>
      <c r="C401" s="59"/>
      <c r="D401" s="59"/>
      <c r="H401" s="59"/>
      <c r="I401" s="59"/>
    </row>
    <row r="402" ht="12.75" customHeight="1">
      <c r="A402" s="75"/>
      <c r="C402" s="59"/>
      <c r="D402" s="59"/>
      <c r="H402" s="59"/>
      <c r="I402" s="59"/>
    </row>
    <row r="403" ht="12.75" customHeight="1">
      <c r="A403" s="75"/>
      <c r="C403" s="59"/>
      <c r="D403" s="59"/>
      <c r="H403" s="59"/>
      <c r="I403" s="59"/>
    </row>
    <row r="404" ht="12.75" customHeight="1">
      <c r="A404" s="75"/>
      <c r="C404" s="59"/>
      <c r="D404" s="59"/>
      <c r="H404" s="59"/>
      <c r="I404" s="59"/>
    </row>
    <row r="405" ht="12.75" customHeight="1">
      <c r="A405" s="75"/>
      <c r="C405" s="59"/>
      <c r="D405" s="59"/>
      <c r="H405" s="59"/>
      <c r="I405" s="59"/>
    </row>
    <row r="406" ht="12.75" customHeight="1">
      <c r="A406" s="75"/>
      <c r="C406" s="59"/>
      <c r="D406" s="59"/>
      <c r="H406" s="59"/>
      <c r="I406" s="59"/>
    </row>
    <row r="407" ht="12.75" customHeight="1">
      <c r="A407" s="75"/>
      <c r="C407" s="59"/>
      <c r="D407" s="59"/>
      <c r="H407" s="59"/>
      <c r="I407" s="59"/>
    </row>
    <row r="408" ht="12.75" customHeight="1">
      <c r="A408" s="75"/>
      <c r="C408" s="59"/>
      <c r="D408" s="59"/>
      <c r="H408" s="59"/>
      <c r="I408" s="59"/>
    </row>
    <row r="409" ht="12.75" customHeight="1">
      <c r="A409" s="75"/>
      <c r="C409" s="59"/>
      <c r="D409" s="59"/>
      <c r="H409" s="59"/>
      <c r="I409" s="59"/>
    </row>
    <row r="410" ht="12.75" customHeight="1">
      <c r="A410" s="75"/>
      <c r="C410" s="59"/>
      <c r="D410" s="59"/>
      <c r="H410" s="59"/>
      <c r="I410" s="59"/>
    </row>
    <row r="411" ht="12.75" customHeight="1">
      <c r="A411" s="75"/>
      <c r="C411" s="59"/>
      <c r="D411" s="59"/>
      <c r="H411" s="59"/>
      <c r="I411" s="59"/>
    </row>
    <row r="412" ht="12.75" customHeight="1">
      <c r="A412" s="75"/>
      <c r="C412" s="59"/>
      <c r="D412" s="59"/>
      <c r="H412" s="59"/>
      <c r="I412" s="59"/>
    </row>
    <row r="413" ht="12.75" customHeight="1">
      <c r="A413" s="75"/>
      <c r="C413" s="59"/>
      <c r="D413" s="59"/>
      <c r="H413" s="59"/>
      <c r="I413" s="59"/>
    </row>
    <row r="414" ht="12.75" customHeight="1">
      <c r="A414" s="75"/>
      <c r="C414" s="59"/>
      <c r="D414" s="59"/>
      <c r="H414" s="59"/>
      <c r="I414" s="59"/>
    </row>
    <row r="415" ht="12.75" customHeight="1">
      <c r="A415" s="75"/>
      <c r="C415" s="59"/>
      <c r="D415" s="59"/>
      <c r="H415" s="59"/>
      <c r="I415" s="59"/>
    </row>
    <row r="416" ht="12.75" customHeight="1">
      <c r="A416" s="75"/>
      <c r="C416" s="59"/>
      <c r="D416" s="59"/>
      <c r="H416" s="59"/>
      <c r="I416" s="59"/>
    </row>
    <row r="417" ht="12.75" customHeight="1">
      <c r="A417" s="75"/>
      <c r="C417" s="59"/>
      <c r="D417" s="59"/>
      <c r="H417" s="59"/>
      <c r="I417" s="59"/>
    </row>
    <row r="418" ht="12.75" customHeight="1">
      <c r="A418" s="75"/>
      <c r="C418" s="59"/>
      <c r="D418" s="59"/>
      <c r="H418" s="59"/>
      <c r="I418" s="59"/>
    </row>
    <row r="419" ht="12.75" customHeight="1">
      <c r="A419" s="75"/>
      <c r="C419" s="59"/>
      <c r="D419" s="59"/>
      <c r="H419" s="59"/>
      <c r="I419" s="59"/>
    </row>
    <row r="420" ht="12.75" customHeight="1">
      <c r="A420" s="75"/>
      <c r="C420" s="59"/>
      <c r="D420" s="59"/>
      <c r="H420" s="59"/>
      <c r="I420" s="59"/>
    </row>
    <row r="421" ht="12.75" customHeight="1">
      <c r="A421" s="75"/>
      <c r="C421" s="59"/>
      <c r="D421" s="59"/>
      <c r="H421" s="59"/>
      <c r="I421" s="59"/>
    </row>
    <row r="422" ht="12.75" customHeight="1">
      <c r="A422" s="75"/>
      <c r="C422" s="59"/>
      <c r="D422" s="59"/>
      <c r="H422" s="59"/>
      <c r="I422" s="59"/>
    </row>
    <row r="423" ht="12.75" customHeight="1">
      <c r="A423" s="75"/>
      <c r="C423" s="59"/>
      <c r="D423" s="59"/>
      <c r="H423" s="59"/>
      <c r="I423" s="59"/>
    </row>
    <row r="424" ht="12.75" customHeight="1">
      <c r="A424" s="75"/>
      <c r="C424" s="59"/>
      <c r="D424" s="59"/>
      <c r="H424" s="59"/>
      <c r="I424" s="59"/>
    </row>
    <row r="425" ht="12.75" customHeight="1">
      <c r="A425" s="75"/>
      <c r="C425" s="59"/>
      <c r="D425" s="59"/>
      <c r="H425" s="59"/>
      <c r="I425" s="59"/>
    </row>
    <row r="426" ht="12.75" customHeight="1">
      <c r="A426" s="75"/>
      <c r="C426" s="59"/>
      <c r="D426" s="59"/>
      <c r="H426" s="59"/>
      <c r="I426" s="59"/>
    </row>
    <row r="427" ht="12.75" customHeight="1">
      <c r="A427" s="75"/>
      <c r="C427" s="59"/>
      <c r="D427" s="59"/>
      <c r="H427" s="59"/>
      <c r="I427" s="59"/>
    </row>
    <row r="428" ht="12.75" customHeight="1">
      <c r="A428" s="75"/>
      <c r="C428" s="59"/>
      <c r="D428" s="59"/>
      <c r="H428" s="59"/>
      <c r="I428" s="59"/>
    </row>
    <row r="429" ht="12.75" customHeight="1">
      <c r="A429" s="75"/>
      <c r="C429" s="59"/>
      <c r="D429" s="59"/>
      <c r="H429" s="59"/>
      <c r="I429" s="59"/>
    </row>
    <row r="430" ht="12.75" customHeight="1">
      <c r="A430" s="75"/>
      <c r="C430" s="59"/>
      <c r="D430" s="59"/>
      <c r="H430" s="59"/>
      <c r="I430" s="59"/>
    </row>
    <row r="431" ht="12.75" customHeight="1">
      <c r="A431" s="75"/>
      <c r="C431" s="59"/>
      <c r="D431" s="59"/>
      <c r="H431" s="59"/>
      <c r="I431" s="59"/>
    </row>
    <row r="432" ht="12.75" customHeight="1">
      <c r="A432" s="75"/>
      <c r="C432" s="59"/>
      <c r="D432" s="59"/>
      <c r="H432" s="59"/>
      <c r="I432" s="59"/>
    </row>
    <row r="433" ht="12.75" customHeight="1">
      <c r="A433" s="75"/>
      <c r="C433" s="59"/>
      <c r="D433" s="59"/>
      <c r="H433" s="59"/>
      <c r="I433" s="59"/>
    </row>
    <row r="434" ht="12.75" customHeight="1">
      <c r="A434" s="75"/>
      <c r="C434" s="59"/>
      <c r="D434" s="59"/>
      <c r="H434" s="59"/>
      <c r="I434" s="59"/>
    </row>
    <row r="435" ht="12.75" customHeight="1">
      <c r="A435" s="75"/>
      <c r="C435" s="59"/>
      <c r="D435" s="59"/>
      <c r="H435" s="59"/>
      <c r="I435" s="59"/>
    </row>
    <row r="436" ht="12.75" customHeight="1">
      <c r="A436" s="75"/>
      <c r="C436" s="59"/>
      <c r="D436" s="59"/>
      <c r="H436" s="59"/>
      <c r="I436" s="59"/>
    </row>
    <row r="437" ht="12.75" customHeight="1">
      <c r="A437" s="75"/>
      <c r="C437" s="59"/>
      <c r="D437" s="59"/>
      <c r="H437" s="59"/>
      <c r="I437" s="59"/>
    </row>
    <row r="438" ht="12.75" customHeight="1">
      <c r="A438" s="75"/>
      <c r="C438" s="59"/>
      <c r="D438" s="59"/>
      <c r="H438" s="59"/>
      <c r="I438" s="59"/>
    </row>
    <row r="439" ht="12.75" customHeight="1">
      <c r="A439" s="75"/>
      <c r="C439" s="59"/>
      <c r="D439" s="59"/>
      <c r="H439" s="59"/>
      <c r="I439" s="59"/>
    </row>
    <row r="440" ht="12.75" customHeight="1">
      <c r="A440" s="75"/>
      <c r="C440" s="59"/>
      <c r="D440" s="59"/>
      <c r="H440" s="59"/>
      <c r="I440" s="59"/>
    </row>
    <row r="441" ht="12.75" customHeight="1">
      <c r="A441" s="75"/>
      <c r="C441" s="59"/>
      <c r="D441" s="59"/>
      <c r="H441" s="59"/>
      <c r="I441" s="59"/>
    </row>
    <row r="442" ht="12.75" customHeight="1">
      <c r="A442" s="75"/>
      <c r="C442" s="59"/>
      <c r="D442" s="59"/>
      <c r="H442" s="59"/>
      <c r="I442" s="59"/>
    </row>
    <row r="443" ht="12.75" customHeight="1">
      <c r="A443" s="75"/>
      <c r="C443" s="59"/>
      <c r="D443" s="59"/>
      <c r="H443" s="59"/>
      <c r="I443" s="59"/>
    </row>
    <row r="444" ht="12.75" customHeight="1">
      <c r="A444" s="75"/>
      <c r="C444" s="59"/>
      <c r="D444" s="59"/>
      <c r="H444" s="59"/>
      <c r="I444" s="59"/>
    </row>
    <row r="445" ht="12.75" customHeight="1">
      <c r="A445" s="75"/>
      <c r="C445" s="59"/>
      <c r="D445" s="59"/>
      <c r="H445" s="59"/>
      <c r="I445" s="59"/>
    </row>
    <row r="446" ht="12.75" customHeight="1">
      <c r="A446" s="75"/>
      <c r="C446" s="59"/>
      <c r="D446" s="59"/>
      <c r="H446" s="59"/>
      <c r="I446" s="59"/>
    </row>
    <row r="447" ht="12.75" customHeight="1">
      <c r="A447" s="75"/>
      <c r="C447" s="59"/>
      <c r="D447" s="59"/>
      <c r="H447" s="59"/>
      <c r="I447" s="59"/>
    </row>
    <row r="448" ht="12.75" customHeight="1">
      <c r="A448" s="75"/>
      <c r="C448" s="59"/>
      <c r="D448" s="59"/>
      <c r="H448" s="59"/>
      <c r="I448" s="59"/>
    </row>
    <row r="449" ht="12.75" customHeight="1">
      <c r="A449" s="75"/>
      <c r="C449" s="59"/>
      <c r="D449" s="59"/>
      <c r="H449" s="59"/>
      <c r="I449" s="59"/>
    </row>
    <row r="450" ht="12.75" customHeight="1">
      <c r="A450" s="75"/>
      <c r="C450" s="59"/>
      <c r="D450" s="59"/>
      <c r="H450" s="59"/>
      <c r="I450" s="59"/>
    </row>
    <row r="451" ht="12.75" customHeight="1">
      <c r="A451" s="75"/>
      <c r="C451" s="59"/>
      <c r="D451" s="59"/>
      <c r="H451" s="59"/>
      <c r="I451" s="59"/>
    </row>
    <row r="452" ht="12.75" customHeight="1">
      <c r="A452" s="75"/>
      <c r="C452" s="59"/>
      <c r="D452" s="59"/>
      <c r="H452" s="59"/>
      <c r="I452" s="59"/>
    </row>
    <row r="453" ht="12.75" customHeight="1">
      <c r="A453" s="75"/>
      <c r="C453" s="59"/>
      <c r="D453" s="59"/>
      <c r="H453" s="59"/>
      <c r="I453" s="59"/>
    </row>
    <row r="454" ht="12.75" customHeight="1">
      <c r="A454" s="75"/>
      <c r="C454" s="59"/>
      <c r="D454" s="59"/>
      <c r="H454" s="59"/>
      <c r="I454" s="59"/>
    </row>
    <row r="455" ht="12.75" customHeight="1">
      <c r="A455" s="75"/>
      <c r="C455" s="59"/>
      <c r="D455" s="59"/>
      <c r="H455" s="59"/>
      <c r="I455" s="59"/>
    </row>
    <row r="456" ht="12.75" customHeight="1">
      <c r="A456" s="75"/>
      <c r="C456" s="59"/>
      <c r="D456" s="59"/>
      <c r="H456" s="59"/>
      <c r="I456" s="59"/>
    </row>
    <row r="457" ht="12.75" customHeight="1">
      <c r="A457" s="75"/>
      <c r="C457" s="59"/>
      <c r="D457" s="59"/>
      <c r="H457" s="59"/>
      <c r="I457" s="59"/>
    </row>
    <row r="458" ht="12.75" customHeight="1">
      <c r="A458" s="75"/>
      <c r="C458" s="59"/>
      <c r="D458" s="59"/>
      <c r="H458" s="59"/>
      <c r="I458" s="59"/>
    </row>
    <row r="459" ht="12.75" customHeight="1">
      <c r="A459" s="75"/>
      <c r="C459" s="59"/>
      <c r="D459" s="59"/>
      <c r="H459" s="59"/>
      <c r="I459" s="59"/>
    </row>
    <row r="460" ht="12.75" customHeight="1">
      <c r="A460" s="75"/>
      <c r="C460" s="59"/>
      <c r="D460" s="59"/>
      <c r="H460" s="59"/>
      <c r="I460" s="59"/>
    </row>
    <row r="461" ht="12.75" customHeight="1">
      <c r="A461" s="75"/>
      <c r="C461" s="59"/>
      <c r="D461" s="59"/>
      <c r="H461" s="59"/>
      <c r="I461" s="59"/>
    </row>
    <row r="462" ht="12.75" customHeight="1">
      <c r="A462" s="75"/>
      <c r="C462" s="59"/>
      <c r="D462" s="59"/>
      <c r="H462" s="59"/>
      <c r="I462" s="59"/>
    </row>
    <row r="463" ht="12.75" customHeight="1">
      <c r="A463" s="75"/>
      <c r="C463" s="59"/>
      <c r="D463" s="59"/>
      <c r="H463" s="59"/>
      <c r="I463" s="59"/>
    </row>
    <row r="464" ht="12.75" customHeight="1">
      <c r="A464" s="75"/>
      <c r="C464" s="59"/>
      <c r="D464" s="59"/>
      <c r="H464" s="59"/>
      <c r="I464" s="59"/>
    </row>
    <row r="465" ht="12.75" customHeight="1">
      <c r="A465" s="75"/>
      <c r="C465" s="59"/>
      <c r="D465" s="59"/>
      <c r="H465" s="59"/>
      <c r="I465" s="59"/>
    </row>
    <row r="466" ht="12.75" customHeight="1">
      <c r="A466" s="75"/>
      <c r="C466" s="59"/>
      <c r="D466" s="59"/>
      <c r="H466" s="59"/>
      <c r="I466" s="59"/>
    </row>
    <row r="467" ht="12.75" customHeight="1">
      <c r="A467" s="75"/>
      <c r="C467" s="59"/>
      <c r="D467" s="59"/>
      <c r="H467" s="59"/>
      <c r="I467" s="59"/>
    </row>
    <row r="468" ht="12.75" customHeight="1">
      <c r="A468" s="75"/>
      <c r="C468" s="59"/>
      <c r="D468" s="59"/>
      <c r="H468" s="59"/>
      <c r="I468" s="59"/>
    </row>
    <row r="469" ht="12.75" customHeight="1">
      <c r="A469" s="75"/>
      <c r="C469" s="59"/>
      <c r="D469" s="59"/>
      <c r="H469" s="59"/>
      <c r="I469" s="59"/>
    </row>
    <row r="470" ht="12.75" customHeight="1">
      <c r="A470" s="75"/>
      <c r="C470" s="59"/>
      <c r="D470" s="59"/>
      <c r="H470" s="59"/>
      <c r="I470" s="59"/>
    </row>
    <row r="471" ht="12.75" customHeight="1">
      <c r="A471" s="75"/>
      <c r="C471" s="59"/>
      <c r="D471" s="59"/>
      <c r="H471" s="59"/>
      <c r="I471" s="59"/>
    </row>
    <row r="472" ht="12.75" customHeight="1">
      <c r="A472" s="75"/>
      <c r="C472" s="59"/>
      <c r="D472" s="59"/>
      <c r="H472" s="59"/>
      <c r="I472" s="59"/>
    </row>
    <row r="473" ht="12.75" customHeight="1">
      <c r="A473" s="75"/>
      <c r="C473" s="59"/>
      <c r="D473" s="59"/>
      <c r="H473" s="59"/>
      <c r="I473" s="59"/>
    </row>
    <row r="474" ht="12.75" customHeight="1">
      <c r="A474" s="75"/>
      <c r="C474" s="59"/>
      <c r="D474" s="59"/>
      <c r="H474" s="59"/>
      <c r="I474" s="59"/>
    </row>
    <row r="475" ht="12.75" customHeight="1">
      <c r="A475" s="75"/>
      <c r="C475" s="59"/>
      <c r="D475" s="59"/>
      <c r="H475" s="59"/>
      <c r="I475" s="59"/>
    </row>
    <row r="476" ht="12.75" customHeight="1">
      <c r="A476" s="75"/>
      <c r="C476" s="59"/>
      <c r="D476" s="59"/>
      <c r="H476" s="59"/>
      <c r="I476" s="59"/>
    </row>
    <row r="477" ht="12.75" customHeight="1">
      <c r="A477" s="75"/>
      <c r="C477" s="59"/>
      <c r="D477" s="59"/>
      <c r="H477" s="59"/>
      <c r="I477" s="59"/>
    </row>
    <row r="478" ht="12.75" customHeight="1">
      <c r="A478" s="75"/>
      <c r="C478" s="59"/>
      <c r="D478" s="59"/>
      <c r="H478" s="59"/>
      <c r="I478" s="59"/>
    </row>
    <row r="479" ht="12.75" customHeight="1">
      <c r="A479" s="75"/>
      <c r="C479" s="59"/>
      <c r="D479" s="59"/>
      <c r="H479" s="59"/>
      <c r="I479" s="59"/>
    </row>
    <row r="480" ht="12.75" customHeight="1">
      <c r="A480" s="75"/>
      <c r="C480" s="59"/>
      <c r="D480" s="59"/>
      <c r="H480" s="59"/>
      <c r="I480" s="59"/>
    </row>
    <row r="481" ht="12.75" customHeight="1">
      <c r="A481" s="75"/>
      <c r="C481" s="59"/>
      <c r="D481" s="59"/>
      <c r="H481" s="59"/>
      <c r="I481" s="59"/>
    </row>
    <row r="482" ht="12.75" customHeight="1">
      <c r="A482" s="75"/>
      <c r="C482" s="59"/>
      <c r="D482" s="59"/>
      <c r="H482" s="59"/>
      <c r="I482" s="59"/>
    </row>
    <row r="483" ht="12.75" customHeight="1">
      <c r="A483" s="75"/>
      <c r="C483" s="59"/>
      <c r="D483" s="59"/>
      <c r="H483" s="59"/>
      <c r="I483" s="59"/>
    </row>
    <row r="484" ht="12.75" customHeight="1">
      <c r="A484" s="75"/>
      <c r="C484" s="59"/>
      <c r="D484" s="59"/>
      <c r="H484" s="59"/>
      <c r="I484" s="59"/>
    </row>
    <row r="485" ht="12.75" customHeight="1">
      <c r="A485" s="75"/>
      <c r="C485" s="59"/>
      <c r="D485" s="59"/>
      <c r="H485" s="59"/>
      <c r="I485" s="59"/>
    </row>
    <row r="486" ht="12.75" customHeight="1">
      <c r="A486" s="75"/>
      <c r="C486" s="59"/>
      <c r="D486" s="59"/>
      <c r="H486" s="59"/>
      <c r="I486" s="59"/>
    </row>
    <row r="487" ht="12.75" customHeight="1">
      <c r="A487" s="75"/>
      <c r="C487" s="59"/>
      <c r="D487" s="59"/>
      <c r="H487" s="59"/>
      <c r="I487" s="59"/>
    </row>
    <row r="488" ht="12.75" customHeight="1">
      <c r="A488" s="75"/>
      <c r="C488" s="59"/>
      <c r="D488" s="59"/>
      <c r="H488" s="59"/>
      <c r="I488" s="59"/>
    </row>
    <row r="489" ht="12.75" customHeight="1">
      <c r="A489" s="75"/>
      <c r="C489" s="59"/>
      <c r="D489" s="59"/>
      <c r="H489" s="59"/>
      <c r="I489" s="59"/>
    </row>
    <row r="490" ht="12.75" customHeight="1">
      <c r="A490" s="75"/>
      <c r="C490" s="59"/>
      <c r="D490" s="59"/>
      <c r="H490" s="59"/>
      <c r="I490" s="59"/>
    </row>
    <row r="491" ht="12.75" customHeight="1">
      <c r="A491" s="75"/>
      <c r="C491" s="59"/>
      <c r="D491" s="59"/>
      <c r="H491" s="59"/>
      <c r="I491" s="59"/>
    </row>
    <row r="492" ht="12.75" customHeight="1">
      <c r="A492" s="75"/>
      <c r="C492" s="59"/>
      <c r="D492" s="59"/>
      <c r="H492" s="59"/>
      <c r="I492" s="59"/>
    </row>
    <row r="493" ht="12.75" customHeight="1">
      <c r="A493" s="75"/>
      <c r="C493" s="59"/>
      <c r="D493" s="59"/>
      <c r="H493" s="59"/>
      <c r="I493" s="59"/>
    </row>
    <row r="494" ht="12.75" customHeight="1">
      <c r="A494" s="75"/>
      <c r="C494" s="59"/>
      <c r="D494" s="59"/>
      <c r="H494" s="59"/>
      <c r="I494" s="59"/>
    </row>
    <row r="495" ht="12.75" customHeight="1">
      <c r="A495" s="75"/>
      <c r="C495" s="59"/>
      <c r="D495" s="59"/>
      <c r="H495" s="59"/>
      <c r="I495" s="59"/>
    </row>
    <row r="496" ht="12.75" customHeight="1">
      <c r="A496" s="75"/>
      <c r="C496" s="59"/>
      <c r="D496" s="59"/>
      <c r="H496" s="59"/>
      <c r="I496" s="59"/>
    </row>
    <row r="497" ht="12.75" customHeight="1">
      <c r="A497" s="75"/>
      <c r="C497" s="59"/>
      <c r="D497" s="59"/>
      <c r="H497" s="59"/>
      <c r="I497" s="59"/>
    </row>
    <row r="498" ht="12.75" customHeight="1">
      <c r="A498" s="75"/>
      <c r="C498" s="59"/>
      <c r="D498" s="59"/>
      <c r="H498" s="59"/>
      <c r="I498" s="59"/>
    </row>
    <row r="499" ht="12.75" customHeight="1">
      <c r="A499" s="75"/>
      <c r="C499" s="59"/>
      <c r="D499" s="59"/>
      <c r="H499" s="59"/>
      <c r="I499" s="59"/>
    </row>
    <row r="500" ht="12.75" customHeight="1">
      <c r="A500" s="75"/>
      <c r="C500" s="59"/>
      <c r="D500" s="59"/>
      <c r="H500" s="59"/>
      <c r="I500" s="59"/>
    </row>
    <row r="501" ht="12.75" customHeight="1">
      <c r="A501" s="75"/>
      <c r="C501" s="59"/>
      <c r="D501" s="59"/>
      <c r="H501" s="59"/>
      <c r="I501" s="59"/>
    </row>
    <row r="502" ht="12.75" customHeight="1">
      <c r="A502" s="75"/>
      <c r="C502" s="59"/>
      <c r="D502" s="59"/>
      <c r="H502" s="59"/>
      <c r="I502" s="59"/>
    </row>
    <row r="503" ht="12.75" customHeight="1">
      <c r="A503" s="75"/>
      <c r="C503" s="59"/>
      <c r="D503" s="59"/>
      <c r="H503" s="59"/>
      <c r="I503" s="59"/>
    </row>
    <row r="504" ht="12.75" customHeight="1">
      <c r="A504" s="75"/>
      <c r="C504" s="59"/>
      <c r="D504" s="59"/>
      <c r="H504" s="59"/>
      <c r="I504" s="59"/>
    </row>
    <row r="505" ht="12.75" customHeight="1">
      <c r="A505" s="75"/>
      <c r="C505" s="59"/>
      <c r="D505" s="59"/>
      <c r="H505" s="59"/>
      <c r="I505" s="59"/>
    </row>
    <row r="506" ht="12.75" customHeight="1">
      <c r="A506" s="75"/>
      <c r="C506" s="59"/>
      <c r="D506" s="59"/>
      <c r="H506" s="59"/>
      <c r="I506" s="59"/>
    </row>
    <row r="507" ht="12.75" customHeight="1">
      <c r="A507" s="75"/>
      <c r="C507" s="59"/>
      <c r="D507" s="59"/>
      <c r="H507" s="59"/>
      <c r="I507" s="59"/>
    </row>
    <row r="508" ht="12.75" customHeight="1">
      <c r="A508" s="75"/>
      <c r="C508" s="59"/>
      <c r="D508" s="59"/>
      <c r="H508" s="59"/>
      <c r="I508" s="59"/>
    </row>
    <row r="509" ht="12.75" customHeight="1">
      <c r="A509" s="75"/>
      <c r="C509" s="59"/>
      <c r="D509" s="59"/>
      <c r="H509" s="59"/>
      <c r="I509" s="59"/>
    </row>
    <row r="510" ht="12.75" customHeight="1">
      <c r="A510" s="75"/>
      <c r="C510" s="59"/>
      <c r="D510" s="59"/>
      <c r="H510" s="59"/>
      <c r="I510" s="59"/>
    </row>
    <row r="511" ht="12.75" customHeight="1">
      <c r="A511" s="75"/>
      <c r="C511" s="59"/>
      <c r="D511" s="59"/>
      <c r="H511" s="59"/>
      <c r="I511" s="59"/>
    </row>
    <row r="512" ht="12.75" customHeight="1">
      <c r="A512" s="75"/>
      <c r="C512" s="59"/>
      <c r="D512" s="59"/>
      <c r="H512" s="59"/>
      <c r="I512" s="59"/>
    </row>
    <row r="513" ht="12.75" customHeight="1">
      <c r="A513" s="75"/>
      <c r="C513" s="59"/>
      <c r="D513" s="59"/>
      <c r="H513" s="59"/>
      <c r="I513" s="59"/>
    </row>
    <row r="514" ht="12.75" customHeight="1">
      <c r="A514" s="75"/>
      <c r="C514" s="59"/>
      <c r="D514" s="59"/>
      <c r="H514" s="59"/>
      <c r="I514" s="59"/>
    </row>
    <row r="515" ht="12.75" customHeight="1">
      <c r="A515" s="75"/>
      <c r="C515" s="59"/>
      <c r="D515" s="59"/>
      <c r="H515" s="59"/>
      <c r="I515" s="59"/>
    </row>
    <row r="516" ht="12.75" customHeight="1">
      <c r="A516" s="75"/>
      <c r="C516" s="59"/>
      <c r="D516" s="59"/>
      <c r="H516" s="59"/>
      <c r="I516" s="59"/>
    </row>
    <row r="517" ht="12.75" customHeight="1">
      <c r="A517" s="75"/>
      <c r="C517" s="59"/>
      <c r="D517" s="59"/>
      <c r="H517" s="59"/>
      <c r="I517" s="59"/>
    </row>
    <row r="518" ht="12.75" customHeight="1">
      <c r="A518" s="75"/>
      <c r="C518" s="59"/>
      <c r="D518" s="59"/>
      <c r="H518" s="59"/>
      <c r="I518" s="59"/>
    </row>
    <row r="519" ht="12.75" customHeight="1">
      <c r="A519" s="75"/>
      <c r="C519" s="59"/>
      <c r="D519" s="59"/>
      <c r="H519" s="59"/>
      <c r="I519" s="59"/>
    </row>
    <row r="520" ht="12.75" customHeight="1">
      <c r="A520" s="75"/>
      <c r="C520" s="59"/>
      <c r="D520" s="59"/>
      <c r="H520" s="59"/>
      <c r="I520" s="59"/>
    </row>
    <row r="521" ht="12.75" customHeight="1">
      <c r="A521" s="75"/>
      <c r="C521" s="59"/>
      <c r="D521" s="59"/>
      <c r="H521" s="59"/>
      <c r="I521" s="59"/>
    </row>
    <row r="522" ht="12.75" customHeight="1">
      <c r="A522" s="75"/>
      <c r="C522" s="59"/>
      <c r="D522" s="59"/>
      <c r="H522" s="59"/>
      <c r="I522" s="59"/>
    </row>
    <row r="523" ht="12.75" customHeight="1">
      <c r="A523" s="75"/>
      <c r="C523" s="59"/>
      <c r="D523" s="59"/>
      <c r="H523" s="59"/>
      <c r="I523" s="59"/>
    </row>
    <row r="524" ht="12.75" customHeight="1">
      <c r="A524" s="75"/>
      <c r="C524" s="59"/>
      <c r="D524" s="59"/>
      <c r="H524" s="59"/>
      <c r="I524" s="59"/>
    </row>
    <row r="525" ht="12.75" customHeight="1">
      <c r="A525" s="75"/>
      <c r="C525" s="59"/>
      <c r="D525" s="59"/>
      <c r="H525" s="59"/>
      <c r="I525" s="59"/>
    </row>
    <row r="526" ht="12.75" customHeight="1">
      <c r="A526" s="75"/>
      <c r="C526" s="59"/>
      <c r="D526" s="59"/>
      <c r="H526" s="59"/>
      <c r="I526" s="59"/>
    </row>
    <row r="527" ht="12.75" customHeight="1">
      <c r="A527" s="75"/>
      <c r="C527" s="59"/>
      <c r="D527" s="59"/>
      <c r="H527" s="59"/>
      <c r="I527" s="59"/>
    </row>
    <row r="528" ht="12.75" customHeight="1">
      <c r="A528" s="75"/>
      <c r="C528" s="59"/>
      <c r="D528" s="59"/>
      <c r="H528" s="59"/>
      <c r="I528" s="59"/>
    </row>
    <row r="529" ht="12.75" customHeight="1">
      <c r="A529" s="75"/>
      <c r="C529" s="59"/>
      <c r="D529" s="59"/>
      <c r="H529" s="59"/>
      <c r="I529" s="59"/>
    </row>
    <row r="530" ht="12.75" customHeight="1">
      <c r="A530" s="75"/>
      <c r="C530" s="59"/>
      <c r="D530" s="59"/>
      <c r="H530" s="59"/>
      <c r="I530" s="59"/>
    </row>
    <row r="531" ht="12.75" customHeight="1">
      <c r="A531" s="75"/>
      <c r="C531" s="59"/>
      <c r="D531" s="59"/>
      <c r="H531" s="59"/>
      <c r="I531" s="59"/>
    </row>
    <row r="532" ht="12.75" customHeight="1">
      <c r="A532" s="75"/>
      <c r="C532" s="59"/>
      <c r="D532" s="59"/>
      <c r="H532" s="59"/>
      <c r="I532" s="59"/>
    </row>
    <row r="533" ht="12.75" customHeight="1">
      <c r="A533" s="75"/>
      <c r="C533" s="59"/>
      <c r="D533" s="59"/>
      <c r="H533" s="59"/>
      <c r="I533" s="59"/>
    </row>
    <row r="534" ht="12.75" customHeight="1">
      <c r="A534" s="75"/>
      <c r="C534" s="59"/>
      <c r="D534" s="59"/>
      <c r="H534" s="59"/>
      <c r="I534" s="59"/>
    </row>
    <row r="535" ht="12.75" customHeight="1">
      <c r="A535" s="75"/>
      <c r="C535" s="59"/>
      <c r="D535" s="59"/>
      <c r="H535" s="59"/>
      <c r="I535" s="59"/>
    </row>
    <row r="536" ht="12.75" customHeight="1">
      <c r="A536" s="75"/>
      <c r="C536" s="59"/>
      <c r="D536" s="59"/>
      <c r="H536" s="59"/>
      <c r="I536" s="59"/>
    </row>
    <row r="537" ht="12.75" customHeight="1">
      <c r="A537" s="75"/>
      <c r="C537" s="59"/>
      <c r="D537" s="59"/>
      <c r="H537" s="59"/>
      <c r="I537" s="59"/>
    </row>
    <row r="538" ht="12.75" customHeight="1">
      <c r="A538" s="75"/>
      <c r="C538" s="59"/>
      <c r="D538" s="59"/>
      <c r="H538" s="59"/>
      <c r="I538" s="59"/>
    </row>
    <row r="539" ht="12.75" customHeight="1">
      <c r="A539" s="75"/>
      <c r="C539" s="59"/>
      <c r="D539" s="59"/>
      <c r="H539" s="59"/>
      <c r="I539" s="59"/>
    </row>
    <row r="540" ht="12.75" customHeight="1">
      <c r="A540" s="75"/>
      <c r="C540" s="59"/>
      <c r="D540" s="59"/>
      <c r="H540" s="59"/>
      <c r="I540" s="59"/>
    </row>
    <row r="541" ht="12.75" customHeight="1">
      <c r="A541" s="75"/>
      <c r="C541" s="59"/>
      <c r="D541" s="59"/>
      <c r="H541" s="59"/>
      <c r="I541" s="59"/>
    </row>
    <row r="542" ht="12.75" customHeight="1">
      <c r="A542" s="75"/>
      <c r="C542" s="59"/>
      <c r="D542" s="59"/>
      <c r="H542" s="59"/>
      <c r="I542" s="59"/>
    </row>
    <row r="543" ht="12.75" customHeight="1">
      <c r="A543" s="75"/>
      <c r="C543" s="59"/>
      <c r="D543" s="59"/>
      <c r="H543" s="59"/>
      <c r="I543" s="59"/>
    </row>
    <row r="544" ht="12.75" customHeight="1">
      <c r="A544" s="75"/>
      <c r="C544" s="59"/>
      <c r="D544" s="59"/>
      <c r="H544" s="59"/>
      <c r="I544" s="59"/>
    </row>
    <row r="545" ht="12.75" customHeight="1">
      <c r="A545" s="75"/>
      <c r="C545" s="59"/>
      <c r="D545" s="59"/>
      <c r="H545" s="59"/>
      <c r="I545" s="59"/>
    </row>
    <row r="546" ht="12.75" customHeight="1">
      <c r="A546" s="75"/>
      <c r="C546" s="59"/>
      <c r="D546" s="59"/>
      <c r="H546" s="59"/>
      <c r="I546" s="59"/>
    </row>
    <row r="547" ht="12.75" customHeight="1">
      <c r="A547" s="75"/>
      <c r="C547" s="59"/>
      <c r="D547" s="59"/>
      <c r="H547" s="59"/>
      <c r="I547" s="59"/>
    </row>
    <row r="548" ht="12.75" customHeight="1">
      <c r="A548" s="75"/>
      <c r="C548" s="59"/>
      <c r="D548" s="59"/>
      <c r="H548" s="59"/>
      <c r="I548" s="59"/>
    </row>
    <row r="549" ht="12.75" customHeight="1">
      <c r="A549" s="75"/>
      <c r="C549" s="59"/>
      <c r="D549" s="59"/>
      <c r="H549" s="59"/>
      <c r="I549" s="59"/>
    </row>
    <row r="550" ht="12.75" customHeight="1">
      <c r="A550" s="75"/>
      <c r="C550" s="59"/>
      <c r="D550" s="59"/>
      <c r="H550" s="59"/>
      <c r="I550" s="59"/>
    </row>
    <row r="551" ht="12.75" customHeight="1">
      <c r="A551" s="75"/>
      <c r="C551" s="59"/>
      <c r="D551" s="59"/>
      <c r="H551" s="59"/>
      <c r="I551" s="59"/>
    </row>
    <row r="552" ht="12.75" customHeight="1">
      <c r="A552" s="75"/>
      <c r="C552" s="59"/>
      <c r="D552" s="59"/>
      <c r="H552" s="59"/>
      <c r="I552" s="59"/>
    </row>
    <row r="553" ht="12.75" customHeight="1">
      <c r="A553" s="75"/>
      <c r="C553" s="59"/>
      <c r="D553" s="59"/>
      <c r="H553" s="59"/>
      <c r="I553" s="59"/>
    </row>
    <row r="554" ht="12.75" customHeight="1">
      <c r="A554" s="75"/>
      <c r="C554" s="59"/>
      <c r="D554" s="59"/>
      <c r="H554" s="59"/>
      <c r="I554" s="59"/>
    </row>
    <row r="555" ht="12.75" customHeight="1">
      <c r="A555" s="75"/>
      <c r="C555" s="59"/>
      <c r="D555" s="59"/>
      <c r="H555" s="59"/>
      <c r="I555" s="59"/>
    </row>
    <row r="556" ht="12.75" customHeight="1">
      <c r="A556" s="75"/>
      <c r="C556" s="59"/>
      <c r="D556" s="59"/>
      <c r="H556" s="59"/>
      <c r="I556" s="59"/>
    </row>
    <row r="557" ht="12.75" customHeight="1">
      <c r="A557" s="75"/>
      <c r="C557" s="59"/>
      <c r="D557" s="59"/>
      <c r="H557" s="59"/>
      <c r="I557" s="59"/>
    </row>
    <row r="558" ht="12.75" customHeight="1">
      <c r="A558" s="75"/>
      <c r="C558" s="59"/>
      <c r="D558" s="59"/>
      <c r="H558" s="59"/>
      <c r="I558" s="59"/>
    </row>
    <row r="559" ht="12.75" customHeight="1">
      <c r="A559" s="75"/>
      <c r="C559" s="59"/>
      <c r="D559" s="59"/>
      <c r="H559" s="59"/>
      <c r="I559" s="59"/>
    </row>
    <row r="560" ht="12.75" customHeight="1">
      <c r="A560" s="75"/>
      <c r="C560" s="59"/>
      <c r="D560" s="59"/>
      <c r="H560" s="59"/>
      <c r="I560" s="59"/>
    </row>
    <row r="561" ht="12.75" customHeight="1">
      <c r="A561" s="75"/>
      <c r="C561" s="59"/>
      <c r="D561" s="59"/>
      <c r="H561" s="59"/>
      <c r="I561" s="59"/>
    </row>
    <row r="562" ht="12.75" customHeight="1">
      <c r="A562" s="75"/>
      <c r="C562" s="59"/>
      <c r="D562" s="59"/>
      <c r="H562" s="59"/>
      <c r="I562" s="59"/>
    </row>
    <row r="563" ht="12.75" customHeight="1">
      <c r="A563" s="75"/>
      <c r="C563" s="59"/>
      <c r="D563" s="59"/>
      <c r="H563" s="59"/>
      <c r="I563" s="59"/>
    </row>
    <row r="564" ht="12.75" customHeight="1">
      <c r="A564" s="75"/>
      <c r="C564" s="59"/>
      <c r="D564" s="59"/>
      <c r="H564" s="59"/>
      <c r="I564" s="59"/>
    </row>
    <row r="565" ht="12.75" customHeight="1">
      <c r="A565" s="75"/>
      <c r="C565" s="59"/>
      <c r="D565" s="59"/>
      <c r="H565" s="59"/>
      <c r="I565" s="59"/>
    </row>
    <row r="566" ht="12.75" customHeight="1">
      <c r="A566" s="75"/>
      <c r="C566" s="59"/>
      <c r="D566" s="59"/>
      <c r="H566" s="59"/>
      <c r="I566" s="59"/>
    </row>
    <row r="567" ht="12.75" customHeight="1">
      <c r="A567" s="75"/>
      <c r="C567" s="59"/>
      <c r="D567" s="59"/>
      <c r="H567" s="59"/>
      <c r="I567" s="59"/>
    </row>
    <row r="568" ht="12.75" customHeight="1">
      <c r="A568" s="75"/>
      <c r="C568" s="59"/>
      <c r="D568" s="59"/>
      <c r="H568" s="59"/>
      <c r="I568" s="59"/>
    </row>
    <row r="569" ht="12.75" customHeight="1">
      <c r="A569" s="75"/>
      <c r="C569" s="59"/>
      <c r="D569" s="59"/>
      <c r="H569" s="59"/>
      <c r="I569" s="59"/>
    </row>
    <row r="570" ht="12.75" customHeight="1">
      <c r="A570" s="75"/>
      <c r="C570" s="59"/>
      <c r="D570" s="59"/>
      <c r="H570" s="59"/>
      <c r="I570" s="59"/>
    </row>
    <row r="571" ht="12.75" customHeight="1">
      <c r="A571" s="75"/>
      <c r="C571" s="59"/>
      <c r="D571" s="59"/>
      <c r="H571" s="59"/>
      <c r="I571" s="59"/>
    </row>
    <row r="572" ht="12.75" customHeight="1">
      <c r="A572" s="75"/>
      <c r="C572" s="59"/>
      <c r="D572" s="59"/>
      <c r="H572" s="59"/>
      <c r="I572" s="59"/>
    </row>
    <row r="573" ht="12.75" customHeight="1">
      <c r="A573" s="75"/>
      <c r="C573" s="59"/>
      <c r="D573" s="59"/>
      <c r="H573" s="59"/>
      <c r="I573" s="59"/>
    </row>
    <row r="574" ht="12.75" customHeight="1">
      <c r="A574" s="75"/>
      <c r="C574" s="59"/>
      <c r="D574" s="59"/>
      <c r="H574" s="59"/>
      <c r="I574" s="59"/>
    </row>
    <row r="575" ht="12.75" customHeight="1">
      <c r="A575" s="75"/>
      <c r="C575" s="59"/>
      <c r="D575" s="59"/>
      <c r="H575" s="59"/>
      <c r="I575" s="59"/>
    </row>
    <row r="576" ht="12.75" customHeight="1">
      <c r="A576" s="75"/>
      <c r="C576" s="59"/>
      <c r="D576" s="59"/>
      <c r="H576" s="59"/>
      <c r="I576" s="59"/>
    </row>
    <row r="577" ht="12.75" customHeight="1">
      <c r="A577" s="75"/>
      <c r="C577" s="59"/>
      <c r="D577" s="59"/>
      <c r="H577" s="59"/>
      <c r="I577" s="59"/>
    </row>
    <row r="578" ht="12.75" customHeight="1">
      <c r="A578" s="75"/>
      <c r="C578" s="59"/>
      <c r="D578" s="59"/>
      <c r="H578" s="59"/>
      <c r="I578" s="59"/>
    </row>
    <row r="579" ht="12.75" customHeight="1">
      <c r="A579" s="75"/>
      <c r="C579" s="59"/>
      <c r="D579" s="59"/>
      <c r="H579" s="59"/>
      <c r="I579" s="59"/>
    </row>
    <row r="580" ht="12.75" customHeight="1">
      <c r="A580" s="75"/>
      <c r="C580" s="59"/>
      <c r="D580" s="59"/>
      <c r="H580" s="59"/>
      <c r="I580" s="59"/>
    </row>
    <row r="581" ht="12.75" customHeight="1">
      <c r="A581" s="75"/>
      <c r="C581" s="59"/>
      <c r="D581" s="59"/>
      <c r="H581" s="59"/>
      <c r="I581" s="59"/>
    </row>
    <row r="582" ht="12.75" customHeight="1">
      <c r="A582" s="75"/>
      <c r="C582" s="59"/>
      <c r="D582" s="59"/>
      <c r="H582" s="59"/>
      <c r="I582" s="59"/>
    </row>
    <row r="583" ht="12.75" customHeight="1">
      <c r="A583" s="75"/>
      <c r="C583" s="59"/>
      <c r="D583" s="59"/>
      <c r="H583" s="59"/>
      <c r="I583" s="59"/>
    </row>
    <row r="584" ht="12.75" customHeight="1">
      <c r="A584" s="75"/>
      <c r="C584" s="59"/>
      <c r="D584" s="59"/>
      <c r="H584" s="59"/>
      <c r="I584" s="59"/>
    </row>
    <row r="585" ht="12.75" customHeight="1">
      <c r="A585" s="75"/>
      <c r="C585" s="59"/>
      <c r="D585" s="59"/>
      <c r="H585" s="59"/>
      <c r="I585" s="59"/>
    </row>
    <row r="586" ht="12.75" customHeight="1">
      <c r="A586" s="75"/>
      <c r="C586" s="59"/>
      <c r="D586" s="59"/>
      <c r="H586" s="59"/>
      <c r="I586" s="59"/>
    </row>
    <row r="587" ht="12.75" customHeight="1">
      <c r="A587" s="75"/>
      <c r="C587" s="59"/>
      <c r="D587" s="59"/>
      <c r="H587" s="59"/>
      <c r="I587" s="59"/>
    </row>
    <row r="588" ht="12.75" customHeight="1">
      <c r="A588" s="75"/>
      <c r="C588" s="59"/>
      <c r="D588" s="59"/>
      <c r="H588" s="59"/>
      <c r="I588" s="59"/>
    </row>
    <row r="589" ht="12.75" customHeight="1">
      <c r="A589" s="75"/>
      <c r="C589" s="59"/>
      <c r="D589" s="59"/>
      <c r="H589" s="59"/>
      <c r="I589" s="59"/>
    </row>
    <row r="590" ht="12.75" customHeight="1">
      <c r="A590" s="75"/>
      <c r="C590" s="59"/>
      <c r="D590" s="59"/>
      <c r="H590" s="59"/>
      <c r="I590" s="59"/>
    </row>
    <row r="591" ht="12.75" customHeight="1">
      <c r="A591" s="75"/>
      <c r="C591" s="59"/>
      <c r="D591" s="59"/>
      <c r="H591" s="59"/>
      <c r="I591" s="59"/>
    </row>
    <row r="592" ht="12.75" customHeight="1">
      <c r="A592" s="75"/>
      <c r="C592" s="59"/>
      <c r="D592" s="59"/>
      <c r="H592" s="59"/>
      <c r="I592" s="59"/>
    </row>
    <row r="593" ht="12.75" customHeight="1">
      <c r="A593" s="75"/>
      <c r="C593" s="59"/>
      <c r="D593" s="59"/>
      <c r="H593" s="59"/>
      <c r="I593" s="59"/>
    </row>
    <row r="594" ht="12.75" customHeight="1">
      <c r="A594" s="75"/>
      <c r="C594" s="59"/>
      <c r="D594" s="59"/>
      <c r="H594" s="59"/>
      <c r="I594" s="59"/>
    </row>
    <row r="595" ht="12.75" customHeight="1">
      <c r="A595" s="75"/>
      <c r="C595" s="59"/>
      <c r="D595" s="59"/>
      <c r="H595" s="59"/>
      <c r="I595" s="59"/>
    </row>
    <row r="596" ht="12.75" customHeight="1">
      <c r="A596" s="75"/>
      <c r="C596" s="59"/>
      <c r="D596" s="59"/>
      <c r="H596" s="59"/>
      <c r="I596" s="59"/>
    </row>
    <row r="597" ht="12.75" customHeight="1">
      <c r="A597" s="75"/>
      <c r="C597" s="59"/>
      <c r="D597" s="59"/>
      <c r="H597" s="59"/>
      <c r="I597" s="59"/>
    </row>
    <row r="598" ht="12.75" customHeight="1">
      <c r="A598" s="75"/>
      <c r="C598" s="59"/>
      <c r="D598" s="59"/>
      <c r="H598" s="59"/>
      <c r="I598" s="59"/>
    </row>
    <row r="599" ht="12.75" customHeight="1">
      <c r="A599" s="75"/>
      <c r="C599" s="59"/>
      <c r="D599" s="59"/>
      <c r="H599" s="59"/>
      <c r="I599" s="59"/>
    </row>
    <row r="600" ht="12.75" customHeight="1">
      <c r="A600" s="75"/>
      <c r="C600" s="59"/>
      <c r="D600" s="59"/>
      <c r="H600" s="59"/>
      <c r="I600" s="59"/>
    </row>
    <row r="601" ht="12.75" customHeight="1">
      <c r="A601" s="75"/>
      <c r="C601" s="59"/>
      <c r="D601" s="59"/>
      <c r="H601" s="59"/>
      <c r="I601" s="59"/>
    </row>
    <row r="602" ht="12.75" customHeight="1">
      <c r="A602" s="75"/>
      <c r="C602" s="59"/>
      <c r="D602" s="59"/>
      <c r="H602" s="59"/>
      <c r="I602" s="59"/>
    </row>
    <row r="603" ht="12.75" customHeight="1">
      <c r="A603" s="75"/>
      <c r="C603" s="59"/>
      <c r="D603" s="59"/>
      <c r="H603" s="59"/>
      <c r="I603" s="59"/>
    </row>
    <row r="604" ht="12.75" customHeight="1">
      <c r="A604" s="75"/>
      <c r="C604" s="59"/>
      <c r="D604" s="59"/>
      <c r="H604" s="59"/>
      <c r="I604" s="59"/>
    </row>
    <row r="605" ht="12.75" customHeight="1">
      <c r="A605" s="75"/>
      <c r="C605" s="59"/>
      <c r="D605" s="59"/>
      <c r="H605" s="59"/>
      <c r="I605" s="59"/>
    </row>
    <row r="606" ht="12.75" customHeight="1">
      <c r="A606" s="75"/>
      <c r="C606" s="59"/>
      <c r="D606" s="59"/>
      <c r="H606" s="59"/>
      <c r="I606" s="59"/>
    </row>
    <row r="607" ht="12.75" customHeight="1">
      <c r="A607" s="75"/>
      <c r="C607" s="59"/>
      <c r="D607" s="59"/>
      <c r="H607" s="59"/>
      <c r="I607" s="59"/>
    </row>
    <row r="608" ht="12.75" customHeight="1">
      <c r="A608" s="75"/>
      <c r="C608" s="59"/>
      <c r="D608" s="59"/>
      <c r="H608" s="59"/>
      <c r="I608" s="59"/>
    </row>
    <row r="609" ht="12.75" customHeight="1">
      <c r="A609" s="75"/>
      <c r="C609" s="59"/>
      <c r="D609" s="59"/>
      <c r="H609" s="59"/>
      <c r="I609" s="59"/>
    </row>
    <row r="610" ht="12.75" customHeight="1">
      <c r="A610" s="75"/>
      <c r="C610" s="59"/>
      <c r="D610" s="59"/>
      <c r="H610" s="59"/>
      <c r="I610" s="59"/>
    </row>
    <row r="611" ht="12.75" customHeight="1">
      <c r="A611" s="75"/>
      <c r="C611" s="59"/>
      <c r="D611" s="59"/>
      <c r="H611" s="59"/>
      <c r="I611" s="59"/>
    </row>
    <row r="612" ht="12.75" customHeight="1">
      <c r="A612" s="75"/>
      <c r="C612" s="59"/>
      <c r="D612" s="59"/>
      <c r="H612" s="59"/>
      <c r="I612" s="59"/>
    </row>
    <row r="613" ht="12.75" customHeight="1">
      <c r="A613" s="75"/>
      <c r="C613" s="59"/>
      <c r="D613" s="59"/>
      <c r="H613" s="59"/>
      <c r="I613" s="59"/>
    </row>
    <row r="614" ht="12.75" customHeight="1">
      <c r="A614" s="75"/>
      <c r="C614" s="59"/>
      <c r="D614" s="59"/>
      <c r="H614" s="59"/>
      <c r="I614" s="59"/>
    </row>
    <row r="615" ht="12.75" customHeight="1">
      <c r="A615" s="75"/>
      <c r="C615" s="59"/>
      <c r="D615" s="59"/>
      <c r="H615" s="59"/>
      <c r="I615" s="59"/>
    </row>
    <row r="616" ht="12.75" customHeight="1">
      <c r="A616" s="75"/>
      <c r="C616" s="59"/>
      <c r="D616" s="59"/>
      <c r="H616" s="59"/>
      <c r="I616" s="59"/>
    </row>
    <row r="617" ht="12.75" customHeight="1">
      <c r="A617" s="75"/>
      <c r="C617" s="59"/>
      <c r="D617" s="59"/>
      <c r="H617" s="59"/>
      <c r="I617" s="59"/>
    </row>
    <row r="618" ht="12.75" customHeight="1">
      <c r="A618" s="75"/>
      <c r="C618" s="59"/>
      <c r="D618" s="59"/>
      <c r="H618" s="59"/>
      <c r="I618" s="59"/>
    </row>
    <row r="619" ht="12.75" customHeight="1">
      <c r="A619" s="75"/>
      <c r="C619" s="59"/>
      <c r="D619" s="59"/>
      <c r="H619" s="59"/>
      <c r="I619" s="59"/>
    </row>
    <row r="620" ht="12.75" customHeight="1">
      <c r="A620" s="75"/>
      <c r="C620" s="59"/>
      <c r="D620" s="59"/>
      <c r="H620" s="59"/>
      <c r="I620" s="59"/>
    </row>
    <row r="621" ht="12.75" customHeight="1">
      <c r="A621" s="75"/>
      <c r="C621" s="59"/>
      <c r="D621" s="59"/>
      <c r="H621" s="59"/>
      <c r="I621" s="59"/>
    </row>
    <row r="622" ht="12.75" customHeight="1">
      <c r="A622" s="75"/>
      <c r="C622" s="59"/>
      <c r="D622" s="59"/>
      <c r="H622" s="59"/>
      <c r="I622" s="59"/>
    </row>
    <row r="623" ht="12.75" customHeight="1">
      <c r="A623" s="75"/>
      <c r="C623" s="59"/>
      <c r="D623" s="59"/>
      <c r="H623" s="59"/>
      <c r="I623" s="59"/>
    </row>
    <row r="624" ht="12.75" customHeight="1">
      <c r="A624" s="75"/>
      <c r="C624" s="59"/>
      <c r="D624" s="59"/>
      <c r="H624" s="59"/>
      <c r="I624" s="59"/>
    </row>
    <row r="625" ht="12.75" customHeight="1">
      <c r="A625" s="75"/>
      <c r="C625" s="59"/>
      <c r="D625" s="59"/>
      <c r="H625" s="59"/>
      <c r="I625" s="59"/>
    </row>
    <row r="626" ht="12.75" customHeight="1">
      <c r="A626" s="75"/>
      <c r="C626" s="59"/>
      <c r="D626" s="59"/>
      <c r="H626" s="59"/>
      <c r="I626" s="59"/>
    </row>
    <row r="627" ht="12.75" customHeight="1">
      <c r="A627" s="75"/>
      <c r="C627" s="59"/>
      <c r="D627" s="59"/>
      <c r="H627" s="59"/>
      <c r="I627" s="59"/>
    </row>
    <row r="628" ht="12.75" customHeight="1">
      <c r="A628" s="75"/>
      <c r="C628" s="59"/>
      <c r="D628" s="59"/>
      <c r="H628" s="59"/>
      <c r="I628" s="59"/>
    </row>
    <row r="629" ht="12.75" customHeight="1">
      <c r="A629" s="75"/>
      <c r="C629" s="59"/>
      <c r="D629" s="59"/>
      <c r="H629" s="59"/>
      <c r="I629" s="59"/>
    </row>
    <row r="630" ht="12.75" customHeight="1">
      <c r="A630" s="75"/>
      <c r="C630" s="59"/>
      <c r="D630" s="59"/>
      <c r="H630" s="59"/>
      <c r="I630" s="59"/>
    </row>
    <row r="631" ht="12.75" customHeight="1">
      <c r="A631" s="75"/>
      <c r="C631" s="59"/>
      <c r="D631" s="59"/>
      <c r="H631" s="59"/>
      <c r="I631" s="59"/>
    </row>
    <row r="632" ht="12.75" customHeight="1">
      <c r="A632" s="75"/>
      <c r="C632" s="59"/>
      <c r="D632" s="59"/>
      <c r="H632" s="59"/>
      <c r="I632" s="59"/>
    </row>
    <row r="633" ht="12.75" customHeight="1">
      <c r="A633" s="75"/>
      <c r="C633" s="59"/>
      <c r="D633" s="59"/>
      <c r="H633" s="59"/>
      <c r="I633" s="59"/>
    </row>
    <row r="634" ht="12.75" customHeight="1">
      <c r="A634" s="75"/>
      <c r="C634" s="59"/>
      <c r="D634" s="59"/>
      <c r="H634" s="59"/>
      <c r="I634" s="59"/>
    </row>
    <row r="635" ht="12.75" customHeight="1">
      <c r="A635" s="75"/>
      <c r="C635" s="59"/>
      <c r="D635" s="59"/>
      <c r="H635" s="59"/>
      <c r="I635" s="59"/>
    </row>
    <row r="636" ht="12.75" customHeight="1">
      <c r="A636" s="75"/>
      <c r="C636" s="59"/>
      <c r="D636" s="59"/>
      <c r="H636" s="59"/>
      <c r="I636" s="59"/>
    </row>
    <row r="637" ht="12.75" customHeight="1">
      <c r="A637" s="75"/>
      <c r="C637" s="59"/>
      <c r="D637" s="59"/>
      <c r="H637" s="59"/>
      <c r="I637" s="59"/>
    </row>
    <row r="638" ht="12.75" customHeight="1">
      <c r="A638" s="75"/>
      <c r="C638" s="59"/>
      <c r="D638" s="59"/>
      <c r="H638" s="59"/>
      <c r="I638" s="59"/>
    </row>
    <row r="639" ht="12.75" customHeight="1">
      <c r="A639" s="75"/>
      <c r="C639" s="59"/>
      <c r="D639" s="59"/>
      <c r="H639" s="59"/>
      <c r="I639" s="59"/>
    </row>
    <row r="640" ht="12.75" customHeight="1">
      <c r="A640" s="75"/>
      <c r="C640" s="59"/>
      <c r="D640" s="59"/>
      <c r="H640" s="59"/>
      <c r="I640" s="59"/>
    </row>
    <row r="641" ht="12.75" customHeight="1">
      <c r="A641" s="75"/>
      <c r="C641" s="59"/>
      <c r="D641" s="59"/>
      <c r="H641" s="59"/>
      <c r="I641" s="59"/>
    </row>
    <row r="642" ht="12.75" customHeight="1">
      <c r="A642" s="75"/>
      <c r="C642" s="59"/>
      <c r="D642" s="59"/>
      <c r="H642" s="59"/>
      <c r="I642" s="59"/>
    </row>
    <row r="643" ht="12.75" customHeight="1">
      <c r="A643" s="75"/>
      <c r="C643" s="59"/>
      <c r="D643" s="59"/>
      <c r="H643" s="59"/>
      <c r="I643" s="59"/>
    </row>
    <row r="644" ht="12.75" customHeight="1">
      <c r="A644" s="75"/>
      <c r="C644" s="59"/>
      <c r="D644" s="59"/>
      <c r="H644" s="59"/>
      <c r="I644" s="59"/>
    </row>
    <row r="645" ht="12.75" customHeight="1">
      <c r="A645" s="75"/>
      <c r="C645" s="59"/>
      <c r="D645" s="59"/>
      <c r="H645" s="59"/>
      <c r="I645" s="59"/>
    </row>
    <row r="646" ht="12.75" customHeight="1">
      <c r="A646" s="75"/>
      <c r="C646" s="59"/>
      <c r="D646" s="59"/>
      <c r="H646" s="59"/>
      <c r="I646" s="59"/>
    </row>
    <row r="647" ht="12.75" customHeight="1">
      <c r="A647" s="75"/>
      <c r="C647" s="59"/>
      <c r="D647" s="59"/>
      <c r="H647" s="59"/>
      <c r="I647" s="59"/>
    </row>
    <row r="648" ht="12.75" customHeight="1">
      <c r="A648" s="75"/>
      <c r="C648" s="59"/>
      <c r="D648" s="59"/>
      <c r="H648" s="59"/>
      <c r="I648" s="59"/>
    </row>
    <row r="649" ht="12.75" customHeight="1">
      <c r="A649" s="75"/>
      <c r="C649" s="59"/>
      <c r="D649" s="59"/>
      <c r="H649" s="59"/>
      <c r="I649" s="59"/>
    </row>
    <row r="650" ht="12.75" customHeight="1">
      <c r="A650" s="75"/>
      <c r="C650" s="59"/>
      <c r="D650" s="59"/>
      <c r="H650" s="59"/>
      <c r="I650" s="59"/>
    </row>
    <row r="651" ht="12.75" customHeight="1">
      <c r="A651" s="75"/>
      <c r="C651" s="59"/>
      <c r="D651" s="59"/>
      <c r="H651" s="59"/>
      <c r="I651" s="59"/>
    </row>
    <row r="652" ht="12.75" customHeight="1">
      <c r="A652" s="75"/>
      <c r="C652" s="59"/>
      <c r="D652" s="59"/>
      <c r="H652" s="59"/>
      <c r="I652" s="59"/>
    </row>
    <row r="653" ht="12.75" customHeight="1">
      <c r="A653" s="75"/>
      <c r="C653" s="59"/>
      <c r="D653" s="59"/>
      <c r="H653" s="59"/>
      <c r="I653" s="59"/>
    </row>
    <row r="654" ht="12.75" customHeight="1">
      <c r="A654" s="75"/>
      <c r="C654" s="59"/>
      <c r="D654" s="59"/>
      <c r="H654" s="59"/>
      <c r="I654" s="59"/>
    </row>
    <row r="655" ht="12.75" customHeight="1">
      <c r="A655" s="75"/>
      <c r="C655" s="59"/>
      <c r="D655" s="59"/>
      <c r="H655" s="59"/>
      <c r="I655" s="59"/>
    </row>
    <row r="656" ht="12.75" customHeight="1">
      <c r="A656" s="75"/>
      <c r="C656" s="59"/>
      <c r="D656" s="59"/>
      <c r="H656" s="59"/>
      <c r="I656" s="59"/>
    </row>
    <row r="657" ht="12.75" customHeight="1">
      <c r="A657" s="75"/>
      <c r="C657" s="59"/>
      <c r="D657" s="59"/>
      <c r="H657" s="59"/>
      <c r="I657" s="59"/>
    </row>
    <row r="658" ht="12.75" customHeight="1">
      <c r="A658" s="75"/>
      <c r="C658" s="59"/>
      <c r="D658" s="59"/>
      <c r="H658" s="59"/>
      <c r="I658" s="59"/>
    </row>
    <row r="659" ht="12.75" customHeight="1">
      <c r="A659" s="75"/>
      <c r="C659" s="59"/>
      <c r="D659" s="59"/>
      <c r="H659" s="59"/>
      <c r="I659" s="59"/>
    </row>
    <row r="660" ht="12.75" customHeight="1">
      <c r="A660" s="75"/>
      <c r="C660" s="59"/>
      <c r="D660" s="59"/>
      <c r="H660" s="59"/>
      <c r="I660" s="59"/>
    </row>
    <row r="661" ht="12.75" customHeight="1">
      <c r="A661" s="75"/>
      <c r="C661" s="59"/>
      <c r="D661" s="59"/>
      <c r="H661" s="59"/>
      <c r="I661" s="59"/>
    </row>
    <row r="662" ht="12.75" customHeight="1">
      <c r="A662" s="75"/>
      <c r="C662" s="59"/>
      <c r="D662" s="59"/>
      <c r="H662" s="59"/>
      <c r="I662" s="59"/>
    </row>
    <row r="663" ht="12.75" customHeight="1">
      <c r="A663" s="75"/>
      <c r="C663" s="59"/>
      <c r="D663" s="59"/>
      <c r="H663" s="59"/>
      <c r="I663" s="59"/>
    </row>
    <row r="664" ht="12.75" customHeight="1">
      <c r="A664" s="75"/>
      <c r="C664" s="59"/>
      <c r="D664" s="59"/>
      <c r="H664" s="59"/>
      <c r="I664" s="59"/>
    </row>
    <row r="665" ht="12.75" customHeight="1">
      <c r="A665" s="75"/>
      <c r="C665" s="59"/>
      <c r="D665" s="59"/>
      <c r="H665" s="59"/>
      <c r="I665" s="59"/>
    </row>
    <row r="666" ht="12.75" customHeight="1">
      <c r="A666" s="75"/>
      <c r="C666" s="59"/>
      <c r="D666" s="59"/>
      <c r="H666" s="59"/>
      <c r="I666" s="59"/>
    </row>
    <row r="667" ht="12.75" customHeight="1">
      <c r="A667" s="75"/>
      <c r="C667" s="59"/>
      <c r="D667" s="59"/>
      <c r="H667" s="59"/>
      <c r="I667" s="59"/>
    </row>
    <row r="668" ht="12.75" customHeight="1">
      <c r="A668" s="75"/>
      <c r="C668" s="59"/>
      <c r="D668" s="59"/>
      <c r="H668" s="59"/>
      <c r="I668" s="59"/>
    </row>
    <row r="669" ht="12.75" customHeight="1">
      <c r="A669" s="75"/>
      <c r="C669" s="59"/>
      <c r="D669" s="59"/>
      <c r="H669" s="59"/>
      <c r="I669" s="59"/>
    </row>
    <row r="670" ht="12.75" customHeight="1">
      <c r="A670" s="75"/>
      <c r="C670" s="59"/>
      <c r="D670" s="59"/>
      <c r="H670" s="59"/>
      <c r="I670" s="59"/>
    </row>
    <row r="671" ht="12.75" customHeight="1">
      <c r="A671" s="75"/>
      <c r="C671" s="59"/>
      <c r="D671" s="59"/>
      <c r="H671" s="59"/>
      <c r="I671" s="59"/>
    </row>
    <row r="672" ht="12.75" customHeight="1">
      <c r="A672" s="75"/>
      <c r="C672" s="59"/>
      <c r="D672" s="59"/>
      <c r="H672" s="59"/>
      <c r="I672" s="59"/>
    </row>
    <row r="673" ht="12.75" customHeight="1">
      <c r="A673" s="75"/>
      <c r="C673" s="59"/>
      <c r="D673" s="59"/>
      <c r="H673" s="59"/>
      <c r="I673" s="59"/>
    </row>
    <row r="674" ht="12.75" customHeight="1">
      <c r="A674" s="75"/>
      <c r="C674" s="59"/>
      <c r="D674" s="59"/>
      <c r="H674" s="59"/>
      <c r="I674" s="59"/>
    </row>
    <row r="675" ht="12.75" customHeight="1">
      <c r="A675" s="75"/>
      <c r="C675" s="59"/>
      <c r="D675" s="59"/>
      <c r="H675" s="59"/>
      <c r="I675" s="59"/>
    </row>
    <row r="676" ht="12.75" customHeight="1">
      <c r="A676" s="75"/>
      <c r="C676" s="59"/>
      <c r="D676" s="59"/>
      <c r="H676" s="59"/>
      <c r="I676" s="59"/>
    </row>
    <row r="677" ht="12.75" customHeight="1">
      <c r="A677" s="75"/>
      <c r="C677" s="59"/>
      <c r="D677" s="59"/>
      <c r="H677" s="59"/>
      <c r="I677" s="59"/>
    </row>
    <row r="678" ht="12.75" customHeight="1">
      <c r="A678" s="75"/>
      <c r="C678" s="59"/>
      <c r="D678" s="59"/>
      <c r="H678" s="59"/>
      <c r="I678" s="59"/>
    </row>
    <row r="679" ht="12.75" customHeight="1">
      <c r="A679" s="75"/>
      <c r="C679" s="59"/>
      <c r="D679" s="59"/>
      <c r="H679" s="59"/>
      <c r="I679" s="59"/>
    </row>
    <row r="680" ht="12.75" customHeight="1">
      <c r="A680" s="75"/>
      <c r="C680" s="59"/>
      <c r="D680" s="59"/>
      <c r="H680" s="59"/>
      <c r="I680" s="59"/>
    </row>
    <row r="681" ht="12.75" customHeight="1">
      <c r="A681" s="75"/>
      <c r="C681" s="59"/>
      <c r="D681" s="59"/>
      <c r="H681" s="59"/>
      <c r="I681" s="59"/>
    </row>
    <row r="682" ht="12.75" customHeight="1">
      <c r="A682" s="75"/>
      <c r="C682" s="59"/>
      <c r="D682" s="59"/>
      <c r="H682" s="59"/>
      <c r="I682" s="59"/>
    </row>
    <row r="683" ht="12.75" customHeight="1">
      <c r="A683" s="75"/>
      <c r="C683" s="59"/>
      <c r="D683" s="59"/>
      <c r="H683" s="59"/>
      <c r="I683" s="59"/>
    </row>
    <row r="684" ht="12.75" customHeight="1">
      <c r="A684" s="75"/>
      <c r="C684" s="59"/>
      <c r="D684" s="59"/>
      <c r="H684" s="59"/>
      <c r="I684" s="59"/>
    </row>
    <row r="685" ht="12.75" customHeight="1">
      <c r="A685" s="75"/>
      <c r="C685" s="59"/>
      <c r="D685" s="59"/>
      <c r="H685" s="59"/>
      <c r="I685" s="59"/>
    </row>
    <row r="686" ht="12.75" customHeight="1">
      <c r="A686" s="75"/>
      <c r="C686" s="59"/>
      <c r="D686" s="59"/>
      <c r="H686" s="59"/>
      <c r="I686" s="59"/>
    </row>
    <row r="687" ht="12.75" customHeight="1">
      <c r="A687" s="75"/>
      <c r="C687" s="59"/>
      <c r="D687" s="59"/>
      <c r="H687" s="59"/>
      <c r="I687" s="59"/>
    </row>
    <row r="688" ht="12.75" customHeight="1">
      <c r="A688" s="75"/>
      <c r="C688" s="59"/>
      <c r="D688" s="59"/>
      <c r="H688" s="59"/>
      <c r="I688" s="59"/>
    </row>
    <row r="689" ht="12.75" customHeight="1">
      <c r="A689" s="75"/>
      <c r="C689" s="59"/>
      <c r="D689" s="59"/>
      <c r="H689" s="59"/>
      <c r="I689" s="59"/>
    </row>
    <row r="690" ht="12.75" customHeight="1">
      <c r="A690" s="75"/>
      <c r="C690" s="59"/>
      <c r="D690" s="59"/>
      <c r="H690" s="59"/>
      <c r="I690" s="59"/>
    </row>
    <row r="691" ht="12.75" customHeight="1">
      <c r="A691" s="75"/>
      <c r="C691" s="59"/>
      <c r="D691" s="59"/>
      <c r="H691" s="59"/>
      <c r="I691" s="59"/>
    </row>
    <row r="692" ht="12.75" customHeight="1">
      <c r="A692" s="75"/>
      <c r="C692" s="59"/>
      <c r="D692" s="59"/>
      <c r="H692" s="59"/>
      <c r="I692" s="59"/>
    </row>
    <row r="693" ht="12.75" customHeight="1">
      <c r="A693" s="75"/>
      <c r="C693" s="59"/>
      <c r="D693" s="59"/>
      <c r="H693" s="59"/>
      <c r="I693" s="59"/>
    </row>
    <row r="694" ht="12.75" customHeight="1">
      <c r="A694" s="75"/>
      <c r="C694" s="59"/>
      <c r="D694" s="59"/>
      <c r="H694" s="59"/>
      <c r="I694" s="59"/>
    </row>
    <row r="695" ht="12.75" customHeight="1">
      <c r="A695" s="75"/>
      <c r="C695" s="59"/>
      <c r="D695" s="59"/>
      <c r="H695" s="59"/>
      <c r="I695" s="59"/>
    </row>
    <row r="696" ht="12.75" customHeight="1">
      <c r="A696" s="75"/>
      <c r="C696" s="59"/>
      <c r="D696" s="59"/>
      <c r="H696" s="59"/>
      <c r="I696" s="59"/>
    </row>
    <row r="697" ht="12.75" customHeight="1">
      <c r="A697" s="75"/>
      <c r="C697" s="59"/>
      <c r="D697" s="59"/>
      <c r="H697" s="59"/>
      <c r="I697" s="59"/>
    </row>
    <row r="698" ht="12.75" customHeight="1">
      <c r="A698" s="75"/>
      <c r="C698" s="59"/>
      <c r="D698" s="59"/>
      <c r="H698" s="59"/>
      <c r="I698" s="59"/>
    </row>
    <row r="699" ht="12.75" customHeight="1">
      <c r="A699" s="75"/>
      <c r="C699" s="59"/>
      <c r="D699" s="59"/>
      <c r="H699" s="59"/>
      <c r="I699" s="59"/>
    </row>
    <row r="700" ht="12.75" customHeight="1">
      <c r="A700" s="75"/>
      <c r="C700" s="59"/>
      <c r="D700" s="59"/>
      <c r="H700" s="59"/>
      <c r="I700" s="59"/>
    </row>
    <row r="701" ht="12.75" customHeight="1">
      <c r="A701" s="75"/>
      <c r="C701" s="59"/>
      <c r="D701" s="59"/>
      <c r="H701" s="59"/>
      <c r="I701" s="59"/>
    </row>
    <row r="702" ht="12.75" customHeight="1">
      <c r="A702" s="75"/>
      <c r="C702" s="59"/>
      <c r="D702" s="59"/>
      <c r="H702" s="59"/>
      <c r="I702" s="59"/>
    </row>
    <row r="703" ht="12.75" customHeight="1">
      <c r="A703" s="75"/>
      <c r="C703" s="59"/>
      <c r="D703" s="59"/>
      <c r="H703" s="59"/>
      <c r="I703" s="59"/>
    </row>
    <row r="704" ht="12.75" customHeight="1">
      <c r="A704" s="75"/>
      <c r="C704" s="59"/>
      <c r="D704" s="59"/>
      <c r="H704" s="59"/>
      <c r="I704" s="59"/>
    </row>
    <row r="705" ht="12.75" customHeight="1">
      <c r="A705" s="75"/>
      <c r="C705" s="59"/>
      <c r="D705" s="59"/>
      <c r="H705" s="59"/>
      <c r="I705" s="59"/>
    </row>
    <row r="706" ht="12.75" customHeight="1">
      <c r="A706" s="75"/>
      <c r="C706" s="59"/>
      <c r="D706" s="59"/>
      <c r="H706" s="59"/>
      <c r="I706" s="59"/>
    </row>
    <row r="707" ht="12.75" customHeight="1">
      <c r="A707" s="75"/>
      <c r="C707" s="59"/>
      <c r="D707" s="59"/>
      <c r="H707" s="59"/>
      <c r="I707" s="59"/>
    </row>
    <row r="708" ht="12.75" customHeight="1">
      <c r="A708" s="75"/>
      <c r="C708" s="59"/>
      <c r="D708" s="59"/>
      <c r="H708" s="59"/>
      <c r="I708" s="59"/>
    </row>
    <row r="709" ht="12.75" customHeight="1">
      <c r="A709" s="75"/>
      <c r="C709" s="59"/>
      <c r="D709" s="59"/>
      <c r="H709" s="59"/>
      <c r="I709" s="59"/>
    </row>
    <row r="710" ht="12.75" customHeight="1">
      <c r="A710" s="75"/>
      <c r="C710" s="59"/>
      <c r="D710" s="59"/>
      <c r="H710" s="59"/>
      <c r="I710" s="59"/>
    </row>
    <row r="711" ht="12.75" customHeight="1">
      <c r="A711" s="75"/>
      <c r="C711" s="59"/>
      <c r="D711" s="59"/>
      <c r="H711" s="59"/>
      <c r="I711" s="59"/>
    </row>
    <row r="712" ht="12.75" customHeight="1">
      <c r="A712" s="75"/>
      <c r="C712" s="59"/>
      <c r="D712" s="59"/>
      <c r="H712" s="59"/>
      <c r="I712" s="59"/>
    </row>
    <row r="713" ht="12.75" customHeight="1">
      <c r="A713" s="75"/>
      <c r="C713" s="59"/>
      <c r="D713" s="59"/>
      <c r="H713" s="59"/>
      <c r="I713" s="59"/>
    </row>
    <row r="714" ht="12.75" customHeight="1">
      <c r="A714" s="75"/>
      <c r="C714" s="59"/>
      <c r="D714" s="59"/>
      <c r="H714" s="59"/>
      <c r="I714" s="59"/>
    </row>
    <row r="715" ht="12.75" customHeight="1">
      <c r="A715" s="75"/>
      <c r="C715" s="59"/>
      <c r="D715" s="59"/>
      <c r="H715" s="59"/>
      <c r="I715" s="59"/>
    </row>
    <row r="716" ht="12.75" customHeight="1">
      <c r="A716" s="75"/>
      <c r="C716" s="59"/>
      <c r="D716" s="59"/>
      <c r="H716" s="59"/>
      <c r="I716" s="59"/>
    </row>
    <row r="717" ht="12.75" customHeight="1">
      <c r="A717" s="75"/>
      <c r="C717" s="59"/>
      <c r="D717" s="59"/>
      <c r="H717" s="59"/>
      <c r="I717" s="59"/>
    </row>
    <row r="718" ht="12.75" customHeight="1">
      <c r="A718" s="75"/>
      <c r="C718" s="59"/>
      <c r="D718" s="59"/>
      <c r="H718" s="59"/>
      <c r="I718" s="59"/>
    </row>
    <row r="719" ht="12.75" customHeight="1">
      <c r="A719" s="75"/>
      <c r="C719" s="59"/>
      <c r="D719" s="59"/>
      <c r="H719" s="59"/>
      <c r="I719" s="59"/>
    </row>
    <row r="720" ht="12.75" customHeight="1">
      <c r="A720" s="75"/>
      <c r="C720" s="59"/>
      <c r="D720" s="59"/>
      <c r="H720" s="59"/>
      <c r="I720" s="59"/>
    </row>
    <row r="721" ht="12.75" customHeight="1">
      <c r="A721" s="75"/>
      <c r="C721" s="59"/>
      <c r="D721" s="59"/>
      <c r="H721" s="59"/>
      <c r="I721" s="59"/>
    </row>
    <row r="722" ht="12.75" customHeight="1">
      <c r="A722" s="75"/>
      <c r="C722" s="59"/>
      <c r="D722" s="59"/>
      <c r="H722" s="59"/>
      <c r="I722" s="59"/>
    </row>
    <row r="723" ht="12.75" customHeight="1">
      <c r="A723" s="75"/>
      <c r="C723" s="59"/>
      <c r="D723" s="59"/>
      <c r="H723" s="59"/>
      <c r="I723" s="59"/>
    </row>
    <row r="724" ht="12.75" customHeight="1">
      <c r="A724" s="75"/>
      <c r="C724" s="59"/>
      <c r="D724" s="59"/>
      <c r="H724" s="59"/>
      <c r="I724" s="59"/>
    </row>
    <row r="725" ht="12.75" customHeight="1">
      <c r="A725" s="75"/>
      <c r="C725" s="59"/>
      <c r="D725" s="59"/>
      <c r="H725" s="59"/>
      <c r="I725" s="59"/>
    </row>
    <row r="726" ht="12.75" customHeight="1">
      <c r="A726" s="75"/>
      <c r="C726" s="59"/>
      <c r="D726" s="59"/>
      <c r="H726" s="59"/>
      <c r="I726" s="59"/>
    </row>
    <row r="727" ht="12.75" customHeight="1">
      <c r="A727" s="75"/>
      <c r="C727" s="59"/>
      <c r="D727" s="59"/>
      <c r="H727" s="59"/>
      <c r="I727" s="59"/>
    </row>
    <row r="728" ht="12.75" customHeight="1">
      <c r="A728" s="75"/>
      <c r="C728" s="59"/>
      <c r="D728" s="59"/>
      <c r="H728" s="59"/>
      <c r="I728" s="59"/>
    </row>
    <row r="729" ht="12.75" customHeight="1">
      <c r="A729" s="75"/>
      <c r="C729" s="59"/>
      <c r="D729" s="59"/>
      <c r="H729" s="59"/>
      <c r="I729" s="59"/>
    </row>
    <row r="730" ht="12.75" customHeight="1">
      <c r="A730" s="75"/>
      <c r="C730" s="59"/>
      <c r="D730" s="59"/>
      <c r="H730" s="59"/>
      <c r="I730" s="59"/>
    </row>
    <row r="731" ht="12.75" customHeight="1">
      <c r="A731" s="75"/>
      <c r="C731" s="59"/>
      <c r="D731" s="59"/>
      <c r="H731" s="59"/>
      <c r="I731" s="59"/>
    </row>
    <row r="732" ht="12.75" customHeight="1">
      <c r="A732" s="75"/>
      <c r="C732" s="59"/>
      <c r="D732" s="59"/>
      <c r="H732" s="59"/>
      <c r="I732" s="59"/>
    </row>
    <row r="733" ht="12.75" customHeight="1">
      <c r="A733" s="75"/>
      <c r="C733" s="59"/>
      <c r="D733" s="59"/>
      <c r="H733" s="59"/>
      <c r="I733" s="59"/>
    </row>
    <row r="734" ht="12.75" customHeight="1">
      <c r="A734" s="75"/>
      <c r="C734" s="59"/>
      <c r="D734" s="59"/>
      <c r="H734" s="59"/>
      <c r="I734" s="59"/>
    </row>
    <row r="735" ht="12.75" customHeight="1">
      <c r="A735" s="75"/>
      <c r="C735" s="59"/>
      <c r="D735" s="59"/>
      <c r="H735" s="59"/>
      <c r="I735" s="59"/>
    </row>
    <row r="736" ht="12.75" customHeight="1">
      <c r="A736" s="75"/>
      <c r="C736" s="59"/>
      <c r="D736" s="59"/>
      <c r="H736" s="59"/>
      <c r="I736" s="59"/>
    </row>
    <row r="737" ht="12.75" customHeight="1">
      <c r="A737" s="75"/>
      <c r="C737" s="59"/>
      <c r="D737" s="59"/>
      <c r="H737" s="59"/>
      <c r="I737" s="59"/>
    </row>
    <row r="738" ht="12.75" customHeight="1">
      <c r="A738" s="75"/>
      <c r="C738" s="59"/>
      <c r="D738" s="59"/>
      <c r="H738" s="59"/>
      <c r="I738" s="59"/>
    </row>
    <row r="739" ht="12.75" customHeight="1">
      <c r="A739" s="75"/>
      <c r="C739" s="59"/>
      <c r="D739" s="59"/>
      <c r="H739" s="59"/>
      <c r="I739" s="59"/>
    </row>
    <row r="740" ht="12.75" customHeight="1">
      <c r="A740" s="75"/>
      <c r="C740" s="59"/>
      <c r="D740" s="59"/>
      <c r="H740" s="59"/>
      <c r="I740" s="59"/>
    </row>
    <row r="741" ht="12.75" customHeight="1">
      <c r="A741" s="75"/>
      <c r="C741" s="59"/>
      <c r="D741" s="59"/>
      <c r="H741" s="59"/>
      <c r="I741" s="59"/>
    </row>
    <row r="742" ht="12.75" customHeight="1">
      <c r="A742" s="75"/>
      <c r="C742" s="59"/>
      <c r="D742" s="59"/>
      <c r="H742" s="59"/>
      <c r="I742" s="59"/>
    </row>
    <row r="743" ht="12.75" customHeight="1">
      <c r="A743" s="75"/>
      <c r="C743" s="59"/>
      <c r="D743" s="59"/>
      <c r="H743" s="59"/>
      <c r="I743" s="59"/>
    </row>
    <row r="744" ht="12.75" customHeight="1">
      <c r="A744" s="75"/>
      <c r="C744" s="59"/>
      <c r="D744" s="59"/>
      <c r="H744" s="59"/>
      <c r="I744" s="59"/>
    </row>
    <row r="745" ht="12.75" customHeight="1">
      <c r="A745" s="75"/>
      <c r="C745" s="59"/>
      <c r="D745" s="59"/>
      <c r="H745" s="59"/>
      <c r="I745" s="59"/>
    </row>
    <row r="746" ht="12.75" customHeight="1">
      <c r="A746" s="75"/>
      <c r="C746" s="59"/>
      <c r="D746" s="59"/>
      <c r="H746" s="59"/>
      <c r="I746" s="59"/>
    </row>
    <row r="747" ht="12.75" customHeight="1">
      <c r="A747" s="75"/>
      <c r="C747" s="59"/>
      <c r="D747" s="59"/>
      <c r="H747" s="59"/>
      <c r="I747" s="59"/>
    </row>
    <row r="748" ht="12.75" customHeight="1">
      <c r="A748" s="75"/>
      <c r="C748" s="59"/>
      <c r="D748" s="59"/>
      <c r="H748" s="59"/>
      <c r="I748" s="59"/>
    </row>
    <row r="749" ht="12.75" customHeight="1">
      <c r="A749" s="75"/>
      <c r="C749" s="59"/>
      <c r="D749" s="59"/>
      <c r="H749" s="59"/>
      <c r="I749" s="59"/>
    </row>
    <row r="750" ht="12.75" customHeight="1">
      <c r="A750" s="75"/>
      <c r="C750" s="59"/>
      <c r="D750" s="59"/>
      <c r="H750" s="59"/>
      <c r="I750" s="59"/>
    </row>
    <row r="751" ht="12.75" customHeight="1">
      <c r="A751" s="75"/>
      <c r="C751" s="59"/>
      <c r="D751" s="59"/>
      <c r="H751" s="59"/>
      <c r="I751" s="59"/>
    </row>
    <row r="752" ht="12.75" customHeight="1">
      <c r="A752" s="75"/>
      <c r="C752" s="59"/>
      <c r="D752" s="59"/>
      <c r="H752" s="59"/>
      <c r="I752" s="59"/>
    </row>
    <row r="753" ht="12.75" customHeight="1">
      <c r="A753" s="75"/>
      <c r="C753" s="59"/>
      <c r="D753" s="59"/>
      <c r="H753" s="59"/>
      <c r="I753" s="59"/>
    </row>
    <row r="754" ht="12.75" customHeight="1">
      <c r="A754" s="75"/>
      <c r="C754" s="59"/>
      <c r="D754" s="59"/>
      <c r="H754" s="59"/>
      <c r="I754" s="59"/>
    </row>
    <row r="755" ht="12.75" customHeight="1">
      <c r="A755" s="75"/>
      <c r="C755" s="59"/>
      <c r="D755" s="59"/>
      <c r="H755" s="59"/>
      <c r="I755" s="59"/>
    </row>
    <row r="756" ht="12.75" customHeight="1">
      <c r="A756" s="75"/>
      <c r="C756" s="59"/>
      <c r="D756" s="59"/>
      <c r="H756" s="59"/>
      <c r="I756" s="59"/>
    </row>
    <row r="757" ht="12.75" customHeight="1">
      <c r="A757" s="75"/>
      <c r="C757" s="59"/>
      <c r="D757" s="59"/>
      <c r="H757" s="59"/>
      <c r="I757" s="59"/>
    </row>
    <row r="758" ht="12.75" customHeight="1">
      <c r="A758" s="75"/>
      <c r="C758" s="59"/>
      <c r="D758" s="59"/>
      <c r="H758" s="59"/>
      <c r="I758" s="59"/>
    </row>
    <row r="759" ht="12.75" customHeight="1">
      <c r="A759" s="75"/>
      <c r="C759" s="59"/>
      <c r="D759" s="59"/>
      <c r="H759" s="59"/>
      <c r="I759" s="59"/>
    </row>
    <row r="760" ht="12.75" customHeight="1">
      <c r="A760" s="75"/>
      <c r="C760" s="59"/>
      <c r="D760" s="59"/>
      <c r="H760" s="59"/>
      <c r="I760" s="59"/>
    </row>
    <row r="761" ht="12.75" customHeight="1">
      <c r="A761" s="75"/>
      <c r="C761" s="59"/>
      <c r="D761" s="59"/>
      <c r="H761" s="59"/>
      <c r="I761" s="59"/>
    </row>
    <row r="762" ht="12.75" customHeight="1">
      <c r="A762" s="75"/>
      <c r="C762" s="59"/>
      <c r="D762" s="59"/>
      <c r="H762" s="59"/>
      <c r="I762" s="59"/>
    </row>
    <row r="763" ht="12.75" customHeight="1">
      <c r="A763" s="75"/>
      <c r="C763" s="59"/>
      <c r="D763" s="59"/>
      <c r="H763" s="59"/>
      <c r="I763" s="59"/>
    </row>
    <row r="764" ht="12.75" customHeight="1">
      <c r="A764" s="75"/>
      <c r="C764" s="59"/>
      <c r="D764" s="59"/>
      <c r="H764" s="59"/>
      <c r="I764" s="59"/>
    </row>
    <row r="765" ht="12.75" customHeight="1">
      <c r="A765" s="75"/>
      <c r="C765" s="59"/>
      <c r="D765" s="59"/>
      <c r="H765" s="59"/>
      <c r="I765" s="59"/>
    </row>
    <row r="766" ht="12.75" customHeight="1">
      <c r="A766" s="75"/>
      <c r="C766" s="59"/>
      <c r="D766" s="59"/>
      <c r="H766" s="59"/>
      <c r="I766" s="59"/>
    </row>
    <row r="767" ht="12.75" customHeight="1">
      <c r="A767" s="75"/>
      <c r="C767" s="59"/>
      <c r="D767" s="59"/>
      <c r="H767" s="59"/>
      <c r="I767" s="59"/>
    </row>
    <row r="768" ht="12.75" customHeight="1">
      <c r="A768" s="75"/>
      <c r="C768" s="59"/>
      <c r="D768" s="59"/>
      <c r="H768" s="59"/>
      <c r="I768" s="59"/>
    </row>
    <row r="769" ht="12.75" customHeight="1">
      <c r="A769" s="75"/>
      <c r="C769" s="59"/>
      <c r="D769" s="59"/>
      <c r="H769" s="59"/>
      <c r="I769" s="59"/>
    </row>
    <row r="770" ht="12.75" customHeight="1">
      <c r="A770" s="75"/>
      <c r="C770" s="59"/>
      <c r="D770" s="59"/>
      <c r="H770" s="59"/>
      <c r="I770" s="59"/>
    </row>
    <row r="771" ht="12.75" customHeight="1">
      <c r="A771" s="75"/>
      <c r="C771" s="59"/>
      <c r="D771" s="59"/>
      <c r="H771" s="59"/>
      <c r="I771" s="59"/>
    </row>
    <row r="772" ht="12.75" customHeight="1">
      <c r="A772" s="75"/>
      <c r="C772" s="59"/>
      <c r="D772" s="59"/>
      <c r="H772" s="59"/>
      <c r="I772" s="59"/>
    </row>
    <row r="773" ht="12.75" customHeight="1">
      <c r="A773" s="75"/>
      <c r="C773" s="59"/>
      <c r="D773" s="59"/>
      <c r="H773" s="59"/>
      <c r="I773" s="59"/>
    </row>
    <row r="774" ht="12.75" customHeight="1">
      <c r="A774" s="75"/>
      <c r="C774" s="59"/>
      <c r="D774" s="59"/>
      <c r="H774" s="59"/>
      <c r="I774" s="59"/>
    </row>
    <row r="775" ht="12.75" customHeight="1">
      <c r="A775" s="75"/>
      <c r="C775" s="59"/>
      <c r="D775" s="59"/>
      <c r="H775" s="59"/>
      <c r="I775" s="59"/>
    </row>
    <row r="776" ht="12.75" customHeight="1">
      <c r="A776" s="75"/>
      <c r="C776" s="59"/>
      <c r="D776" s="59"/>
      <c r="H776" s="59"/>
      <c r="I776" s="59"/>
    </row>
    <row r="777" ht="12.75" customHeight="1">
      <c r="A777" s="75"/>
      <c r="C777" s="59"/>
      <c r="D777" s="59"/>
      <c r="H777" s="59"/>
      <c r="I777" s="59"/>
    </row>
    <row r="778" ht="12.75" customHeight="1">
      <c r="A778" s="75"/>
      <c r="C778" s="59"/>
      <c r="D778" s="59"/>
      <c r="H778" s="59"/>
      <c r="I778" s="59"/>
    </row>
    <row r="779" ht="12.75" customHeight="1">
      <c r="A779" s="75"/>
      <c r="C779" s="59"/>
      <c r="D779" s="59"/>
      <c r="H779" s="59"/>
      <c r="I779" s="59"/>
    </row>
    <row r="780" ht="12.75" customHeight="1">
      <c r="A780" s="75"/>
      <c r="C780" s="59"/>
      <c r="D780" s="59"/>
      <c r="H780" s="59"/>
      <c r="I780" s="59"/>
    </row>
    <row r="781" ht="12.75" customHeight="1">
      <c r="A781" s="75"/>
      <c r="C781" s="59"/>
      <c r="D781" s="59"/>
      <c r="H781" s="59"/>
      <c r="I781" s="59"/>
    </row>
    <row r="782" ht="12.75" customHeight="1">
      <c r="A782" s="75"/>
      <c r="C782" s="59"/>
      <c r="D782" s="59"/>
      <c r="H782" s="59"/>
      <c r="I782" s="59"/>
    </row>
    <row r="783" ht="12.75" customHeight="1">
      <c r="A783" s="75"/>
      <c r="C783" s="59"/>
      <c r="D783" s="59"/>
      <c r="H783" s="59"/>
      <c r="I783" s="59"/>
    </row>
    <row r="784" ht="12.75" customHeight="1">
      <c r="A784" s="75"/>
      <c r="C784" s="59"/>
      <c r="D784" s="59"/>
      <c r="H784" s="59"/>
      <c r="I784" s="59"/>
    </row>
    <row r="785" ht="12.75" customHeight="1">
      <c r="A785" s="75"/>
      <c r="C785" s="59"/>
      <c r="D785" s="59"/>
      <c r="H785" s="59"/>
      <c r="I785" s="59"/>
    </row>
    <row r="786" ht="12.75" customHeight="1">
      <c r="A786" s="75"/>
      <c r="C786" s="59"/>
      <c r="D786" s="59"/>
      <c r="H786" s="59"/>
      <c r="I786" s="59"/>
    </row>
    <row r="787" ht="12.75" customHeight="1">
      <c r="A787" s="75"/>
      <c r="C787" s="59"/>
      <c r="D787" s="59"/>
      <c r="H787" s="59"/>
      <c r="I787" s="59"/>
    </row>
    <row r="788" ht="12.75" customHeight="1">
      <c r="A788" s="75"/>
      <c r="C788" s="59"/>
      <c r="D788" s="59"/>
      <c r="H788" s="59"/>
      <c r="I788" s="59"/>
    </row>
    <row r="789" ht="12.75" customHeight="1">
      <c r="A789" s="75"/>
      <c r="C789" s="59"/>
      <c r="D789" s="59"/>
      <c r="H789" s="59"/>
      <c r="I789" s="59"/>
    </row>
    <row r="790" ht="12.75" customHeight="1">
      <c r="A790" s="75"/>
      <c r="C790" s="59"/>
      <c r="D790" s="59"/>
      <c r="H790" s="59"/>
      <c r="I790" s="59"/>
    </row>
    <row r="791" ht="12.75" customHeight="1">
      <c r="A791" s="75"/>
      <c r="C791" s="59"/>
      <c r="D791" s="59"/>
      <c r="H791" s="59"/>
      <c r="I791" s="59"/>
    </row>
    <row r="792" ht="12.75" customHeight="1">
      <c r="A792" s="75"/>
      <c r="C792" s="59"/>
      <c r="D792" s="59"/>
      <c r="H792" s="59"/>
      <c r="I792" s="59"/>
    </row>
    <row r="793" ht="12.75" customHeight="1">
      <c r="A793" s="75"/>
      <c r="C793" s="59"/>
      <c r="D793" s="59"/>
      <c r="H793" s="59"/>
      <c r="I793" s="59"/>
    </row>
    <row r="794" ht="12.75" customHeight="1">
      <c r="A794" s="75"/>
      <c r="C794" s="59"/>
      <c r="D794" s="59"/>
      <c r="H794" s="59"/>
      <c r="I794" s="59"/>
    </row>
    <row r="795" ht="12.75" customHeight="1">
      <c r="A795" s="75"/>
      <c r="C795" s="59"/>
      <c r="D795" s="59"/>
      <c r="H795" s="59"/>
      <c r="I795" s="59"/>
    </row>
    <row r="796" ht="12.75" customHeight="1">
      <c r="A796" s="75"/>
      <c r="C796" s="59"/>
      <c r="D796" s="59"/>
      <c r="H796" s="59"/>
      <c r="I796" s="59"/>
    </row>
    <row r="797" ht="12.75" customHeight="1">
      <c r="A797" s="75"/>
      <c r="C797" s="59"/>
      <c r="D797" s="59"/>
      <c r="H797" s="59"/>
      <c r="I797" s="59"/>
    </row>
    <row r="798" ht="12.75" customHeight="1">
      <c r="A798" s="75"/>
      <c r="C798" s="59"/>
      <c r="D798" s="59"/>
      <c r="H798" s="59"/>
      <c r="I798" s="59"/>
    </row>
    <row r="799" ht="12.75" customHeight="1">
      <c r="A799" s="75"/>
      <c r="C799" s="59"/>
      <c r="D799" s="59"/>
      <c r="H799" s="59"/>
      <c r="I799" s="59"/>
    </row>
    <row r="800" ht="12.75" customHeight="1">
      <c r="A800" s="75"/>
      <c r="C800" s="59"/>
      <c r="D800" s="59"/>
      <c r="H800" s="59"/>
      <c r="I800" s="59"/>
    </row>
    <row r="801" ht="12.75" customHeight="1">
      <c r="A801" s="75"/>
      <c r="C801" s="59"/>
      <c r="D801" s="59"/>
      <c r="H801" s="59"/>
      <c r="I801" s="59"/>
    </row>
    <row r="802" ht="12.75" customHeight="1">
      <c r="A802" s="75"/>
      <c r="C802" s="59"/>
      <c r="D802" s="59"/>
      <c r="H802" s="59"/>
      <c r="I802" s="59"/>
    </row>
    <row r="803" ht="12.75" customHeight="1">
      <c r="A803" s="75"/>
      <c r="C803" s="59"/>
      <c r="D803" s="59"/>
      <c r="H803" s="59"/>
      <c r="I803" s="59"/>
    </row>
    <row r="804" ht="12.75" customHeight="1">
      <c r="A804" s="75"/>
      <c r="C804" s="59"/>
      <c r="D804" s="59"/>
      <c r="H804" s="59"/>
      <c r="I804" s="59"/>
    </row>
    <row r="805" ht="12.75" customHeight="1">
      <c r="A805" s="75"/>
      <c r="C805" s="59"/>
      <c r="D805" s="59"/>
      <c r="H805" s="59"/>
      <c r="I805" s="59"/>
    </row>
    <row r="806" ht="12.75" customHeight="1">
      <c r="A806" s="75"/>
      <c r="C806" s="59"/>
      <c r="D806" s="59"/>
      <c r="H806" s="59"/>
      <c r="I806" s="59"/>
    </row>
    <row r="807" ht="12.75" customHeight="1">
      <c r="A807" s="75"/>
      <c r="C807" s="59"/>
      <c r="D807" s="59"/>
      <c r="H807" s="59"/>
      <c r="I807" s="59"/>
    </row>
    <row r="808" ht="12.75" customHeight="1">
      <c r="A808" s="75"/>
      <c r="C808" s="59"/>
      <c r="D808" s="59"/>
      <c r="H808" s="59"/>
      <c r="I808" s="59"/>
    </row>
    <row r="809" ht="12.75" customHeight="1">
      <c r="A809" s="75"/>
      <c r="C809" s="59"/>
      <c r="D809" s="59"/>
      <c r="H809" s="59"/>
      <c r="I809" s="59"/>
    </row>
    <row r="810" ht="12.75" customHeight="1">
      <c r="A810" s="75"/>
      <c r="C810" s="59"/>
      <c r="D810" s="59"/>
      <c r="H810" s="59"/>
      <c r="I810" s="59"/>
    </row>
    <row r="811" ht="12.75" customHeight="1">
      <c r="A811" s="75"/>
      <c r="C811" s="59"/>
      <c r="D811" s="59"/>
      <c r="H811" s="59"/>
      <c r="I811" s="59"/>
    </row>
    <row r="812" ht="12.75" customHeight="1">
      <c r="A812" s="75"/>
      <c r="C812" s="59"/>
      <c r="D812" s="59"/>
      <c r="H812" s="59"/>
      <c r="I812" s="59"/>
    </row>
    <row r="813" ht="12.75" customHeight="1">
      <c r="A813" s="75"/>
      <c r="C813" s="59"/>
      <c r="D813" s="59"/>
      <c r="H813" s="59"/>
      <c r="I813" s="59"/>
    </row>
    <row r="814" ht="12.75" customHeight="1">
      <c r="A814" s="75"/>
      <c r="C814" s="59"/>
      <c r="D814" s="59"/>
      <c r="H814" s="59"/>
      <c r="I814" s="59"/>
    </row>
    <row r="815" ht="12.75" customHeight="1">
      <c r="A815" s="75"/>
      <c r="C815" s="59"/>
      <c r="D815" s="59"/>
      <c r="H815" s="59"/>
      <c r="I815" s="59"/>
    </row>
    <row r="816" ht="12.75" customHeight="1">
      <c r="A816" s="75"/>
      <c r="C816" s="59"/>
      <c r="D816" s="59"/>
      <c r="H816" s="59"/>
      <c r="I816" s="59"/>
    </row>
    <row r="817" ht="12.75" customHeight="1">
      <c r="A817" s="75"/>
      <c r="C817" s="59"/>
      <c r="D817" s="59"/>
      <c r="H817" s="59"/>
      <c r="I817" s="59"/>
    </row>
    <row r="818" ht="12.75" customHeight="1">
      <c r="A818" s="75"/>
      <c r="C818" s="59"/>
      <c r="D818" s="59"/>
      <c r="H818" s="59"/>
      <c r="I818" s="59"/>
    </row>
    <row r="819" ht="12.75" customHeight="1">
      <c r="A819" s="75"/>
      <c r="C819" s="59"/>
      <c r="D819" s="59"/>
      <c r="H819" s="59"/>
      <c r="I819" s="59"/>
    </row>
    <row r="820" ht="12.75" customHeight="1">
      <c r="A820" s="75"/>
      <c r="C820" s="59"/>
      <c r="D820" s="59"/>
      <c r="H820" s="59"/>
      <c r="I820" s="59"/>
    </row>
    <row r="821" ht="12.75" customHeight="1">
      <c r="A821" s="75"/>
      <c r="C821" s="59"/>
      <c r="D821" s="59"/>
      <c r="H821" s="59"/>
      <c r="I821" s="59"/>
    </row>
    <row r="822" ht="12.75" customHeight="1">
      <c r="A822" s="75"/>
      <c r="C822" s="59"/>
      <c r="D822" s="59"/>
      <c r="H822" s="59"/>
      <c r="I822" s="59"/>
    </row>
    <row r="823" ht="12.75" customHeight="1">
      <c r="A823" s="75"/>
      <c r="C823" s="59"/>
      <c r="D823" s="59"/>
      <c r="H823" s="59"/>
      <c r="I823" s="59"/>
    </row>
    <row r="824" ht="12.75" customHeight="1">
      <c r="A824" s="75"/>
      <c r="C824" s="59"/>
      <c r="D824" s="59"/>
      <c r="H824" s="59"/>
      <c r="I824" s="59"/>
    </row>
    <row r="825" ht="12.75" customHeight="1">
      <c r="A825" s="75"/>
      <c r="C825" s="59"/>
      <c r="D825" s="59"/>
      <c r="H825" s="59"/>
      <c r="I825" s="59"/>
    </row>
    <row r="826" ht="12.75" customHeight="1">
      <c r="A826" s="75"/>
      <c r="C826" s="59"/>
      <c r="D826" s="59"/>
      <c r="H826" s="59"/>
      <c r="I826" s="59"/>
    </row>
    <row r="827" ht="12.75" customHeight="1">
      <c r="A827" s="75"/>
      <c r="C827" s="59"/>
      <c r="D827" s="59"/>
      <c r="H827" s="59"/>
      <c r="I827" s="59"/>
    </row>
    <row r="828" ht="12.75" customHeight="1">
      <c r="A828" s="75"/>
      <c r="C828" s="59"/>
      <c r="D828" s="59"/>
      <c r="H828" s="59"/>
      <c r="I828" s="59"/>
    </row>
    <row r="829" ht="12.75" customHeight="1">
      <c r="A829" s="75"/>
      <c r="C829" s="59"/>
      <c r="D829" s="59"/>
      <c r="H829" s="59"/>
      <c r="I829" s="59"/>
    </row>
    <row r="830" ht="12.75" customHeight="1">
      <c r="A830" s="75"/>
      <c r="C830" s="59"/>
      <c r="D830" s="59"/>
      <c r="H830" s="59"/>
      <c r="I830" s="59"/>
    </row>
    <row r="831" ht="12.75" customHeight="1">
      <c r="A831" s="75"/>
      <c r="C831" s="59"/>
      <c r="D831" s="59"/>
      <c r="H831" s="59"/>
      <c r="I831" s="59"/>
    </row>
    <row r="832" ht="12.75" customHeight="1">
      <c r="A832" s="75"/>
      <c r="C832" s="59"/>
      <c r="D832" s="59"/>
      <c r="H832" s="59"/>
      <c r="I832" s="59"/>
    </row>
    <row r="833" ht="12.75" customHeight="1">
      <c r="A833" s="75"/>
      <c r="C833" s="59"/>
      <c r="D833" s="59"/>
      <c r="H833" s="59"/>
      <c r="I833" s="59"/>
    </row>
    <row r="834" ht="12.75" customHeight="1">
      <c r="A834" s="75"/>
      <c r="C834" s="59"/>
      <c r="D834" s="59"/>
      <c r="H834" s="59"/>
      <c r="I834" s="59"/>
    </row>
    <row r="835" ht="12.75" customHeight="1">
      <c r="A835" s="75"/>
      <c r="C835" s="59"/>
      <c r="D835" s="59"/>
      <c r="H835" s="59"/>
      <c r="I835" s="59"/>
    </row>
    <row r="836" ht="12.75" customHeight="1">
      <c r="A836" s="75"/>
      <c r="C836" s="59"/>
      <c r="D836" s="59"/>
      <c r="H836" s="59"/>
      <c r="I836" s="59"/>
    </row>
    <row r="837" ht="12.75" customHeight="1">
      <c r="A837" s="75"/>
      <c r="C837" s="59"/>
      <c r="D837" s="59"/>
      <c r="H837" s="59"/>
      <c r="I837" s="59"/>
    </row>
    <row r="838" ht="12.75" customHeight="1">
      <c r="A838" s="75"/>
      <c r="C838" s="59"/>
      <c r="D838" s="59"/>
      <c r="H838" s="59"/>
      <c r="I838" s="59"/>
    </row>
    <row r="839" ht="12.75" customHeight="1">
      <c r="A839" s="75"/>
      <c r="C839" s="59"/>
      <c r="D839" s="59"/>
      <c r="H839" s="59"/>
      <c r="I839" s="59"/>
    </row>
    <row r="840" ht="12.75" customHeight="1">
      <c r="A840" s="75"/>
      <c r="C840" s="59"/>
      <c r="D840" s="59"/>
      <c r="H840" s="59"/>
      <c r="I840" s="59"/>
    </row>
    <row r="841" ht="12.75" customHeight="1">
      <c r="A841" s="75"/>
      <c r="C841" s="59"/>
      <c r="D841" s="59"/>
      <c r="H841" s="59"/>
      <c r="I841" s="59"/>
    </row>
    <row r="842" ht="12.75" customHeight="1">
      <c r="A842" s="75"/>
      <c r="C842" s="59"/>
      <c r="D842" s="59"/>
      <c r="H842" s="59"/>
      <c r="I842" s="59"/>
    </row>
    <row r="843" ht="12.75" customHeight="1">
      <c r="A843" s="75"/>
      <c r="C843" s="59"/>
      <c r="D843" s="59"/>
      <c r="H843" s="59"/>
      <c r="I843" s="59"/>
    </row>
    <row r="844" ht="12.75" customHeight="1">
      <c r="A844" s="75"/>
      <c r="C844" s="59"/>
      <c r="D844" s="59"/>
      <c r="H844" s="59"/>
      <c r="I844" s="59"/>
    </row>
    <row r="845" ht="12.75" customHeight="1">
      <c r="A845" s="75"/>
      <c r="C845" s="59"/>
      <c r="D845" s="59"/>
      <c r="H845" s="59"/>
      <c r="I845" s="59"/>
    </row>
    <row r="846" ht="12.75" customHeight="1">
      <c r="A846" s="75"/>
      <c r="C846" s="59"/>
      <c r="D846" s="59"/>
      <c r="H846" s="59"/>
      <c r="I846" s="59"/>
    </row>
    <row r="847" ht="12.75" customHeight="1">
      <c r="A847" s="75"/>
      <c r="C847" s="59"/>
      <c r="D847" s="59"/>
      <c r="H847" s="59"/>
      <c r="I847" s="59"/>
    </row>
    <row r="848" ht="12.75" customHeight="1">
      <c r="A848" s="75"/>
      <c r="C848" s="59"/>
      <c r="D848" s="59"/>
      <c r="H848" s="59"/>
      <c r="I848" s="59"/>
    </row>
    <row r="849" ht="12.75" customHeight="1">
      <c r="A849" s="75"/>
      <c r="C849" s="59"/>
      <c r="D849" s="59"/>
      <c r="H849" s="59"/>
      <c r="I849" s="59"/>
    </row>
    <row r="850" ht="12.75" customHeight="1">
      <c r="A850" s="75"/>
      <c r="C850" s="59"/>
      <c r="D850" s="59"/>
      <c r="H850" s="59"/>
      <c r="I850" s="59"/>
    </row>
    <row r="851" ht="12.75" customHeight="1">
      <c r="A851" s="75"/>
      <c r="C851" s="59"/>
      <c r="D851" s="59"/>
      <c r="H851" s="59"/>
      <c r="I851" s="59"/>
    </row>
    <row r="852" ht="12.75" customHeight="1">
      <c r="A852" s="75"/>
      <c r="C852" s="59"/>
      <c r="D852" s="59"/>
      <c r="H852" s="59"/>
      <c r="I852" s="59"/>
    </row>
    <row r="853" ht="12.75" customHeight="1">
      <c r="A853" s="75"/>
      <c r="C853" s="59"/>
      <c r="D853" s="59"/>
      <c r="H853" s="59"/>
      <c r="I853" s="59"/>
    </row>
    <row r="854" ht="12.75" customHeight="1">
      <c r="A854" s="75"/>
      <c r="C854" s="59"/>
      <c r="D854" s="59"/>
      <c r="H854" s="59"/>
      <c r="I854" s="59"/>
    </row>
    <row r="855" ht="12.75" customHeight="1">
      <c r="A855" s="75"/>
      <c r="C855" s="59"/>
      <c r="D855" s="59"/>
      <c r="H855" s="59"/>
      <c r="I855" s="59"/>
    </row>
    <row r="856" ht="12.75" customHeight="1">
      <c r="A856" s="75"/>
      <c r="C856" s="59"/>
      <c r="D856" s="59"/>
      <c r="H856" s="59"/>
      <c r="I856" s="59"/>
    </row>
    <row r="857" ht="12.75" customHeight="1">
      <c r="A857" s="75"/>
      <c r="C857" s="59"/>
      <c r="D857" s="59"/>
      <c r="H857" s="59"/>
      <c r="I857" s="59"/>
    </row>
    <row r="858" ht="12.75" customHeight="1">
      <c r="A858" s="75"/>
      <c r="C858" s="59"/>
      <c r="D858" s="59"/>
      <c r="H858" s="59"/>
      <c r="I858" s="59"/>
    </row>
    <row r="859" ht="12.75" customHeight="1">
      <c r="A859" s="75"/>
      <c r="C859" s="59"/>
      <c r="D859" s="59"/>
      <c r="H859" s="59"/>
      <c r="I859" s="59"/>
    </row>
    <row r="860" ht="12.75" customHeight="1">
      <c r="A860" s="75"/>
      <c r="C860" s="59"/>
      <c r="D860" s="59"/>
      <c r="H860" s="59"/>
      <c r="I860" s="59"/>
    </row>
    <row r="861" ht="12.75" customHeight="1">
      <c r="A861" s="75"/>
      <c r="C861" s="59"/>
      <c r="D861" s="59"/>
      <c r="H861" s="59"/>
      <c r="I861" s="59"/>
    </row>
    <row r="862" ht="12.75" customHeight="1">
      <c r="A862" s="75"/>
      <c r="C862" s="59"/>
      <c r="D862" s="59"/>
      <c r="H862" s="59"/>
      <c r="I862" s="59"/>
    </row>
    <row r="863" ht="12.75" customHeight="1">
      <c r="A863" s="75"/>
      <c r="C863" s="59"/>
      <c r="D863" s="59"/>
      <c r="H863" s="59"/>
      <c r="I863" s="59"/>
    </row>
    <row r="864" ht="12.75" customHeight="1">
      <c r="A864" s="75"/>
      <c r="C864" s="59"/>
      <c r="D864" s="59"/>
      <c r="H864" s="59"/>
      <c r="I864" s="59"/>
    </row>
    <row r="865" ht="12.75" customHeight="1">
      <c r="A865" s="75"/>
      <c r="C865" s="59"/>
      <c r="D865" s="59"/>
      <c r="H865" s="59"/>
      <c r="I865" s="59"/>
    </row>
    <row r="866" ht="12.75" customHeight="1">
      <c r="A866" s="75"/>
      <c r="C866" s="59"/>
      <c r="D866" s="59"/>
      <c r="H866" s="59"/>
      <c r="I866" s="59"/>
    </row>
    <row r="867" ht="12.75" customHeight="1">
      <c r="A867" s="75"/>
      <c r="C867" s="59"/>
      <c r="D867" s="59"/>
      <c r="H867" s="59"/>
      <c r="I867" s="59"/>
    </row>
    <row r="868" ht="12.75" customHeight="1">
      <c r="A868" s="75"/>
      <c r="C868" s="59"/>
      <c r="D868" s="59"/>
      <c r="H868" s="59"/>
      <c r="I868" s="59"/>
    </row>
    <row r="869" ht="12.75" customHeight="1">
      <c r="A869" s="75"/>
      <c r="C869" s="59"/>
      <c r="D869" s="59"/>
      <c r="H869" s="59"/>
      <c r="I869" s="59"/>
    </row>
    <row r="870" ht="12.75" customHeight="1">
      <c r="A870" s="75"/>
      <c r="C870" s="59"/>
      <c r="D870" s="59"/>
      <c r="H870" s="59"/>
      <c r="I870" s="59"/>
    </row>
    <row r="871" ht="12.75" customHeight="1">
      <c r="A871" s="75"/>
      <c r="C871" s="59"/>
      <c r="D871" s="59"/>
      <c r="H871" s="59"/>
      <c r="I871" s="59"/>
    </row>
    <row r="872" ht="12.75" customHeight="1">
      <c r="A872" s="75"/>
      <c r="C872" s="59"/>
      <c r="D872" s="59"/>
      <c r="H872" s="59"/>
      <c r="I872" s="59"/>
    </row>
    <row r="873" ht="12.75" customHeight="1">
      <c r="A873" s="75"/>
      <c r="C873" s="59"/>
      <c r="D873" s="59"/>
      <c r="H873" s="59"/>
      <c r="I873" s="59"/>
    </row>
    <row r="874" ht="12.75" customHeight="1">
      <c r="A874" s="75"/>
      <c r="C874" s="59"/>
      <c r="D874" s="59"/>
      <c r="H874" s="59"/>
      <c r="I874" s="59"/>
    </row>
    <row r="875" ht="12.75" customHeight="1">
      <c r="A875" s="75"/>
      <c r="C875" s="59"/>
      <c r="D875" s="59"/>
      <c r="H875" s="59"/>
      <c r="I875" s="59"/>
    </row>
    <row r="876" ht="12.75" customHeight="1">
      <c r="A876" s="75"/>
      <c r="C876" s="59"/>
      <c r="D876" s="59"/>
      <c r="H876" s="59"/>
      <c r="I876" s="59"/>
    </row>
    <row r="877" ht="12.75" customHeight="1">
      <c r="A877" s="75"/>
      <c r="C877" s="59"/>
      <c r="D877" s="59"/>
      <c r="H877" s="59"/>
      <c r="I877" s="59"/>
    </row>
    <row r="878" ht="12.75" customHeight="1">
      <c r="A878" s="75"/>
      <c r="C878" s="59"/>
      <c r="D878" s="59"/>
      <c r="H878" s="59"/>
      <c r="I878" s="59"/>
    </row>
    <row r="879" ht="12.75" customHeight="1">
      <c r="A879" s="75"/>
      <c r="C879" s="59"/>
      <c r="D879" s="59"/>
      <c r="H879" s="59"/>
      <c r="I879" s="59"/>
    </row>
    <row r="880" ht="12.75" customHeight="1">
      <c r="A880" s="75"/>
      <c r="C880" s="59"/>
      <c r="D880" s="59"/>
      <c r="H880" s="59"/>
      <c r="I880" s="59"/>
    </row>
    <row r="881" ht="12.75" customHeight="1">
      <c r="A881" s="75"/>
      <c r="C881" s="59"/>
      <c r="D881" s="59"/>
      <c r="H881" s="59"/>
      <c r="I881" s="59"/>
    </row>
    <row r="882" ht="12.75" customHeight="1">
      <c r="A882" s="75"/>
      <c r="C882" s="59"/>
      <c r="D882" s="59"/>
      <c r="H882" s="59"/>
      <c r="I882" s="59"/>
    </row>
    <row r="883" ht="12.75" customHeight="1">
      <c r="A883" s="75"/>
      <c r="C883" s="59"/>
      <c r="D883" s="59"/>
      <c r="H883" s="59"/>
      <c r="I883" s="59"/>
    </row>
    <row r="884" ht="12.75" customHeight="1">
      <c r="A884" s="75"/>
      <c r="C884" s="59"/>
      <c r="D884" s="59"/>
      <c r="H884" s="59"/>
      <c r="I884" s="59"/>
    </row>
    <row r="885" ht="12.75" customHeight="1">
      <c r="A885" s="75"/>
      <c r="C885" s="59"/>
      <c r="D885" s="59"/>
      <c r="H885" s="59"/>
      <c r="I885" s="59"/>
    </row>
    <row r="886" ht="12.75" customHeight="1">
      <c r="A886" s="75"/>
      <c r="C886" s="59"/>
      <c r="D886" s="59"/>
      <c r="H886" s="59"/>
      <c r="I886" s="59"/>
    </row>
    <row r="887" ht="12.75" customHeight="1">
      <c r="A887" s="75"/>
      <c r="C887" s="59"/>
      <c r="D887" s="59"/>
      <c r="H887" s="59"/>
      <c r="I887" s="59"/>
    </row>
    <row r="888" ht="12.75" customHeight="1">
      <c r="A888" s="75"/>
      <c r="C888" s="59"/>
      <c r="D888" s="59"/>
      <c r="H888" s="59"/>
      <c r="I888" s="59"/>
    </row>
    <row r="889" ht="12.75" customHeight="1">
      <c r="A889" s="75"/>
      <c r="C889" s="59"/>
      <c r="D889" s="59"/>
      <c r="H889" s="59"/>
      <c r="I889" s="59"/>
    </row>
    <row r="890" ht="12.75" customHeight="1">
      <c r="A890" s="75"/>
      <c r="C890" s="59"/>
      <c r="D890" s="59"/>
      <c r="H890" s="59"/>
      <c r="I890" s="59"/>
    </row>
    <row r="891" ht="12.75" customHeight="1">
      <c r="A891" s="75"/>
      <c r="C891" s="59"/>
      <c r="D891" s="59"/>
      <c r="H891" s="59"/>
      <c r="I891" s="59"/>
    </row>
    <row r="892" ht="12.75" customHeight="1">
      <c r="A892" s="75"/>
      <c r="C892" s="59"/>
      <c r="D892" s="59"/>
      <c r="H892" s="59"/>
      <c r="I892" s="59"/>
    </row>
    <row r="893" ht="12.75" customHeight="1">
      <c r="A893" s="75"/>
      <c r="C893" s="59"/>
      <c r="D893" s="59"/>
      <c r="H893" s="59"/>
      <c r="I893" s="59"/>
    </row>
    <row r="894" ht="12.75" customHeight="1">
      <c r="A894" s="75"/>
      <c r="C894" s="59"/>
      <c r="D894" s="59"/>
      <c r="H894" s="59"/>
      <c r="I894" s="59"/>
    </row>
    <row r="895" ht="12.75" customHeight="1">
      <c r="A895" s="75"/>
      <c r="C895" s="59"/>
      <c r="D895" s="59"/>
      <c r="H895" s="59"/>
      <c r="I895" s="59"/>
    </row>
    <row r="896" ht="12.75" customHeight="1">
      <c r="A896" s="75"/>
      <c r="C896" s="59"/>
      <c r="D896" s="59"/>
      <c r="H896" s="59"/>
      <c r="I896" s="59"/>
    </row>
    <row r="897" ht="12.75" customHeight="1">
      <c r="A897" s="75"/>
      <c r="C897" s="59"/>
      <c r="D897" s="59"/>
      <c r="H897" s="59"/>
      <c r="I897" s="59"/>
    </row>
    <row r="898" ht="12.75" customHeight="1">
      <c r="A898" s="75"/>
      <c r="C898" s="59"/>
      <c r="D898" s="59"/>
      <c r="H898" s="59"/>
      <c r="I898" s="59"/>
    </row>
    <row r="899" ht="12.75" customHeight="1">
      <c r="A899" s="75"/>
      <c r="C899" s="59"/>
      <c r="D899" s="59"/>
      <c r="H899" s="59"/>
      <c r="I899" s="59"/>
    </row>
    <row r="900" ht="12.75" customHeight="1">
      <c r="A900" s="75"/>
      <c r="C900" s="59"/>
      <c r="D900" s="59"/>
      <c r="H900" s="59"/>
      <c r="I900" s="59"/>
    </row>
    <row r="901" ht="12.75" customHeight="1">
      <c r="A901" s="75"/>
      <c r="C901" s="59"/>
      <c r="D901" s="59"/>
      <c r="H901" s="59"/>
      <c r="I901" s="59"/>
    </row>
    <row r="902" ht="12.75" customHeight="1">
      <c r="A902" s="75"/>
      <c r="C902" s="59"/>
      <c r="D902" s="59"/>
      <c r="H902" s="59"/>
      <c r="I902" s="59"/>
    </row>
    <row r="903" ht="12.75" customHeight="1">
      <c r="A903" s="75"/>
      <c r="C903" s="59"/>
      <c r="D903" s="59"/>
      <c r="H903" s="59"/>
      <c r="I903" s="59"/>
    </row>
    <row r="904" ht="12.75" customHeight="1">
      <c r="A904" s="75"/>
      <c r="C904" s="59"/>
      <c r="D904" s="59"/>
      <c r="H904" s="59"/>
      <c r="I904" s="59"/>
    </row>
    <row r="905" ht="12.75" customHeight="1">
      <c r="A905" s="75"/>
      <c r="C905" s="59"/>
      <c r="D905" s="59"/>
      <c r="H905" s="59"/>
      <c r="I905" s="59"/>
    </row>
    <row r="906" ht="12.75" customHeight="1">
      <c r="A906" s="75"/>
      <c r="C906" s="59"/>
      <c r="D906" s="59"/>
      <c r="H906" s="59"/>
      <c r="I906" s="59"/>
    </row>
    <row r="907" ht="12.75" customHeight="1">
      <c r="A907" s="75"/>
      <c r="C907" s="59"/>
      <c r="D907" s="59"/>
      <c r="H907" s="59"/>
      <c r="I907" s="59"/>
    </row>
    <row r="908" ht="12.75" customHeight="1">
      <c r="A908" s="75"/>
      <c r="C908" s="59"/>
      <c r="D908" s="59"/>
      <c r="H908" s="59"/>
      <c r="I908" s="59"/>
    </row>
    <row r="909" ht="12.75" customHeight="1">
      <c r="A909" s="75"/>
      <c r="C909" s="59"/>
      <c r="D909" s="59"/>
      <c r="H909" s="59"/>
      <c r="I909" s="59"/>
    </row>
    <row r="910" ht="12.75" customHeight="1">
      <c r="A910" s="75"/>
      <c r="C910" s="59"/>
      <c r="D910" s="59"/>
      <c r="H910" s="59"/>
      <c r="I910" s="59"/>
    </row>
    <row r="911" ht="12.75" customHeight="1">
      <c r="A911" s="75"/>
      <c r="C911" s="59"/>
      <c r="D911" s="59"/>
      <c r="H911" s="59"/>
      <c r="I911" s="59"/>
    </row>
    <row r="912" ht="12.75" customHeight="1">
      <c r="A912" s="75"/>
      <c r="C912" s="59"/>
      <c r="D912" s="59"/>
      <c r="H912" s="59"/>
      <c r="I912" s="59"/>
    </row>
    <row r="913" ht="12.75" customHeight="1">
      <c r="A913" s="75"/>
      <c r="C913" s="59"/>
      <c r="D913" s="59"/>
      <c r="H913" s="59"/>
      <c r="I913" s="59"/>
    </row>
    <row r="914" ht="12.75" customHeight="1">
      <c r="A914" s="75"/>
      <c r="C914" s="59"/>
      <c r="D914" s="59"/>
      <c r="H914" s="59"/>
      <c r="I914" s="59"/>
    </row>
    <row r="915" ht="12.75" customHeight="1">
      <c r="A915" s="75"/>
      <c r="C915" s="59"/>
      <c r="D915" s="59"/>
      <c r="H915" s="59"/>
      <c r="I915" s="59"/>
    </row>
    <row r="916" ht="12.75" customHeight="1">
      <c r="A916" s="75"/>
      <c r="C916" s="59"/>
      <c r="D916" s="59"/>
      <c r="H916" s="59"/>
      <c r="I916" s="59"/>
    </row>
    <row r="917" ht="12.75" customHeight="1">
      <c r="A917" s="75"/>
      <c r="C917" s="59"/>
      <c r="D917" s="59"/>
      <c r="H917" s="59"/>
      <c r="I917" s="59"/>
    </row>
    <row r="918" ht="12.75" customHeight="1">
      <c r="A918" s="75"/>
      <c r="C918" s="59"/>
      <c r="D918" s="59"/>
      <c r="H918" s="59"/>
      <c r="I918" s="59"/>
    </row>
    <row r="919" ht="12.75" customHeight="1">
      <c r="A919" s="75"/>
      <c r="C919" s="59"/>
      <c r="D919" s="59"/>
      <c r="H919" s="59"/>
      <c r="I919" s="59"/>
    </row>
    <row r="920" ht="12.75" customHeight="1">
      <c r="A920" s="75"/>
      <c r="C920" s="59"/>
      <c r="D920" s="59"/>
      <c r="H920" s="59"/>
      <c r="I920" s="59"/>
    </row>
    <row r="921" ht="12.75" customHeight="1">
      <c r="A921" s="75"/>
      <c r="C921" s="59"/>
      <c r="D921" s="59"/>
      <c r="H921" s="59"/>
      <c r="I921" s="59"/>
    </row>
    <row r="922" ht="12.75" customHeight="1">
      <c r="A922" s="75"/>
      <c r="C922" s="59"/>
      <c r="D922" s="59"/>
      <c r="H922" s="59"/>
      <c r="I922" s="59"/>
    </row>
    <row r="923" ht="12.75" customHeight="1">
      <c r="A923" s="75"/>
      <c r="C923" s="59"/>
      <c r="D923" s="59"/>
      <c r="H923" s="59"/>
      <c r="I923" s="59"/>
    </row>
    <row r="924" ht="12.75" customHeight="1">
      <c r="A924" s="75"/>
      <c r="C924" s="59"/>
      <c r="D924" s="59"/>
      <c r="H924" s="59"/>
      <c r="I924" s="59"/>
    </row>
    <row r="925" ht="12.75" customHeight="1">
      <c r="A925" s="75"/>
      <c r="C925" s="59"/>
      <c r="D925" s="59"/>
      <c r="H925" s="59"/>
      <c r="I925" s="59"/>
    </row>
    <row r="926" ht="12.75" customHeight="1">
      <c r="A926" s="75"/>
      <c r="C926" s="59"/>
      <c r="D926" s="59"/>
      <c r="H926" s="59"/>
      <c r="I926" s="59"/>
    </row>
    <row r="927" ht="12.75" customHeight="1">
      <c r="A927" s="75"/>
      <c r="C927" s="59"/>
      <c r="D927" s="59"/>
      <c r="H927" s="59"/>
      <c r="I927" s="59"/>
    </row>
    <row r="928" ht="12.75" customHeight="1">
      <c r="A928" s="75"/>
      <c r="C928" s="59"/>
      <c r="D928" s="59"/>
      <c r="H928" s="59"/>
      <c r="I928" s="59"/>
    </row>
    <row r="929" ht="12.75" customHeight="1">
      <c r="A929" s="75"/>
      <c r="C929" s="59"/>
      <c r="D929" s="59"/>
      <c r="H929" s="59"/>
      <c r="I929" s="59"/>
    </row>
    <row r="930" ht="12.75" customHeight="1">
      <c r="A930" s="75"/>
      <c r="C930" s="59"/>
      <c r="D930" s="59"/>
      <c r="H930" s="59"/>
      <c r="I930" s="59"/>
    </row>
    <row r="931" ht="12.75" customHeight="1">
      <c r="A931" s="75"/>
      <c r="C931" s="59"/>
      <c r="D931" s="59"/>
      <c r="H931" s="59"/>
      <c r="I931" s="59"/>
    </row>
    <row r="932" ht="12.75" customHeight="1">
      <c r="A932" s="75"/>
      <c r="C932" s="59"/>
      <c r="D932" s="59"/>
      <c r="H932" s="59"/>
      <c r="I932" s="59"/>
    </row>
    <row r="933" ht="12.75" customHeight="1">
      <c r="A933" s="75"/>
      <c r="C933" s="59"/>
      <c r="D933" s="59"/>
      <c r="H933" s="59"/>
      <c r="I933" s="59"/>
    </row>
    <row r="934" ht="12.75" customHeight="1">
      <c r="A934" s="75"/>
      <c r="C934" s="59"/>
      <c r="D934" s="59"/>
      <c r="H934" s="59"/>
      <c r="I934" s="59"/>
    </row>
    <row r="935" ht="12.75" customHeight="1">
      <c r="A935" s="75"/>
      <c r="C935" s="59"/>
      <c r="D935" s="59"/>
      <c r="H935" s="59"/>
      <c r="I935" s="59"/>
    </row>
    <row r="936" ht="12.75" customHeight="1">
      <c r="A936" s="75"/>
      <c r="C936" s="59"/>
      <c r="D936" s="59"/>
      <c r="H936" s="59"/>
      <c r="I936" s="59"/>
    </row>
    <row r="937" ht="12.75" customHeight="1">
      <c r="A937" s="75"/>
      <c r="C937" s="59"/>
      <c r="D937" s="59"/>
      <c r="H937" s="59"/>
      <c r="I937" s="59"/>
    </row>
    <row r="938" ht="12.75" customHeight="1">
      <c r="A938" s="75"/>
      <c r="C938" s="59"/>
      <c r="D938" s="59"/>
      <c r="H938" s="59"/>
      <c r="I938" s="59"/>
    </row>
    <row r="939" ht="12.75" customHeight="1">
      <c r="A939" s="75"/>
      <c r="C939" s="59"/>
      <c r="D939" s="59"/>
      <c r="H939" s="59"/>
      <c r="I939" s="59"/>
    </row>
    <row r="940" ht="12.75" customHeight="1">
      <c r="A940" s="75"/>
      <c r="C940" s="59"/>
      <c r="D940" s="59"/>
      <c r="H940" s="59"/>
      <c r="I940" s="59"/>
    </row>
    <row r="941" ht="12.75" customHeight="1">
      <c r="A941" s="75"/>
      <c r="C941" s="59"/>
      <c r="D941" s="59"/>
      <c r="H941" s="59"/>
      <c r="I941" s="59"/>
    </row>
    <row r="942" ht="12.75" customHeight="1">
      <c r="A942" s="75"/>
      <c r="C942" s="59"/>
      <c r="D942" s="59"/>
      <c r="H942" s="59"/>
      <c r="I942" s="59"/>
    </row>
    <row r="943" ht="12.75" customHeight="1">
      <c r="A943" s="75"/>
      <c r="C943" s="59"/>
      <c r="D943" s="59"/>
      <c r="H943" s="59"/>
      <c r="I943" s="59"/>
    </row>
    <row r="944" ht="12.75" customHeight="1">
      <c r="A944" s="75"/>
      <c r="C944" s="59"/>
      <c r="D944" s="59"/>
      <c r="H944" s="59"/>
      <c r="I944" s="59"/>
    </row>
    <row r="945" ht="12.75" customHeight="1">
      <c r="A945" s="75"/>
      <c r="C945" s="59"/>
      <c r="D945" s="59"/>
      <c r="H945" s="59"/>
      <c r="I945" s="59"/>
    </row>
    <row r="946" ht="12.75" customHeight="1">
      <c r="A946" s="75"/>
      <c r="C946" s="59"/>
      <c r="D946" s="59"/>
      <c r="H946" s="59"/>
      <c r="I946" s="59"/>
    </row>
    <row r="947" ht="12.75" customHeight="1">
      <c r="A947" s="75"/>
      <c r="C947" s="59"/>
      <c r="D947" s="59"/>
      <c r="H947" s="59"/>
      <c r="I947" s="59"/>
    </row>
    <row r="948" ht="12.75" customHeight="1">
      <c r="A948" s="75"/>
      <c r="C948" s="59"/>
      <c r="D948" s="59"/>
      <c r="H948" s="59"/>
      <c r="I948" s="59"/>
    </row>
    <row r="949" ht="12.75" customHeight="1">
      <c r="A949" s="75"/>
      <c r="C949" s="59"/>
      <c r="D949" s="59"/>
      <c r="H949" s="59"/>
      <c r="I949" s="59"/>
    </row>
    <row r="950" ht="12.75" customHeight="1">
      <c r="A950" s="75"/>
      <c r="C950" s="59"/>
      <c r="D950" s="59"/>
      <c r="H950" s="59"/>
      <c r="I950" s="59"/>
    </row>
    <row r="951" ht="12.75" customHeight="1">
      <c r="A951" s="75"/>
      <c r="C951" s="59"/>
      <c r="D951" s="59"/>
      <c r="H951" s="59"/>
      <c r="I951" s="59"/>
    </row>
    <row r="952" ht="12.75" customHeight="1">
      <c r="A952" s="75"/>
      <c r="C952" s="59"/>
      <c r="D952" s="59"/>
      <c r="H952" s="59"/>
      <c r="I952" s="59"/>
    </row>
    <row r="953" ht="12.75" customHeight="1">
      <c r="A953" s="75"/>
      <c r="C953" s="59"/>
      <c r="D953" s="59"/>
      <c r="H953" s="59"/>
      <c r="I953" s="59"/>
    </row>
    <row r="954" ht="12.75" customHeight="1">
      <c r="A954" s="75"/>
      <c r="C954" s="59"/>
      <c r="D954" s="59"/>
      <c r="H954" s="59"/>
      <c r="I954" s="59"/>
    </row>
    <row r="955" ht="12.75" customHeight="1">
      <c r="A955" s="75"/>
      <c r="C955" s="59"/>
      <c r="D955" s="59"/>
      <c r="H955" s="59"/>
      <c r="I955" s="59"/>
    </row>
    <row r="956" ht="12.75" customHeight="1">
      <c r="A956" s="75"/>
      <c r="C956" s="59"/>
      <c r="D956" s="59"/>
      <c r="H956" s="59"/>
      <c r="I956" s="59"/>
    </row>
    <row r="957" ht="12.75" customHeight="1">
      <c r="A957" s="75"/>
      <c r="C957" s="59"/>
      <c r="D957" s="59"/>
      <c r="H957" s="59"/>
      <c r="I957" s="59"/>
    </row>
    <row r="958" ht="12.75" customHeight="1">
      <c r="A958" s="75"/>
      <c r="C958" s="59"/>
      <c r="D958" s="59"/>
      <c r="H958" s="59"/>
      <c r="I958" s="59"/>
    </row>
    <row r="959" ht="12.75" customHeight="1">
      <c r="A959" s="75"/>
      <c r="C959" s="59"/>
      <c r="D959" s="59"/>
      <c r="H959" s="59"/>
      <c r="I959" s="59"/>
    </row>
    <row r="960" ht="12.75" customHeight="1">
      <c r="A960" s="75"/>
      <c r="C960" s="59"/>
      <c r="D960" s="59"/>
      <c r="H960" s="59"/>
      <c r="I960" s="59"/>
    </row>
    <row r="961" ht="12.75" customHeight="1">
      <c r="A961" s="75"/>
      <c r="C961" s="59"/>
      <c r="D961" s="59"/>
      <c r="H961" s="59"/>
      <c r="I961" s="59"/>
    </row>
    <row r="962" ht="12.75" customHeight="1">
      <c r="A962" s="75"/>
      <c r="C962" s="59"/>
      <c r="D962" s="59"/>
      <c r="H962" s="59"/>
      <c r="I962" s="59"/>
    </row>
    <row r="963" ht="12.75" customHeight="1">
      <c r="A963" s="75"/>
      <c r="C963" s="59"/>
      <c r="D963" s="59"/>
      <c r="H963" s="59"/>
      <c r="I963" s="59"/>
    </row>
    <row r="964" ht="12.75" customHeight="1">
      <c r="A964" s="75"/>
      <c r="C964" s="59"/>
      <c r="D964" s="59"/>
      <c r="H964" s="59"/>
      <c r="I964" s="59"/>
    </row>
    <row r="965" ht="12.75" customHeight="1">
      <c r="A965" s="75"/>
      <c r="C965" s="59"/>
      <c r="D965" s="59"/>
      <c r="H965" s="59"/>
      <c r="I965" s="59"/>
    </row>
    <row r="966" ht="12.75" customHeight="1">
      <c r="A966" s="75"/>
      <c r="C966" s="59"/>
      <c r="D966" s="59"/>
      <c r="H966" s="59"/>
      <c r="I966" s="59"/>
    </row>
    <row r="967" ht="12.75" customHeight="1">
      <c r="A967" s="75"/>
      <c r="C967" s="59"/>
      <c r="D967" s="59"/>
      <c r="H967" s="59"/>
      <c r="I967" s="59"/>
    </row>
    <row r="968" ht="12.75" customHeight="1">
      <c r="A968" s="75"/>
      <c r="C968" s="59"/>
      <c r="D968" s="59"/>
      <c r="H968" s="59"/>
      <c r="I968" s="59"/>
    </row>
    <row r="969" ht="12.75" customHeight="1">
      <c r="A969" s="75"/>
      <c r="C969" s="59"/>
      <c r="D969" s="59"/>
      <c r="H969" s="59"/>
      <c r="I969" s="59"/>
    </row>
    <row r="970" ht="12.75" customHeight="1">
      <c r="A970" s="75"/>
      <c r="C970" s="59"/>
      <c r="D970" s="59"/>
      <c r="H970" s="59"/>
      <c r="I970" s="59"/>
    </row>
    <row r="971" ht="12.75" customHeight="1">
      <c r="A971" s="75"/>
      <c r="C971" s="59"/>
      <c r="D971" s="59"/>
      <c r="H971" s="59"/>
      <c r="I971" s="59"/>
    </row>
    <row r="972" ht="12.75" customHeight="1">
      <c r="A972" s="75"/>
      <c r="C972" s="59"/>
      <c r="D972" s="59"/>
      <c r="H972" s="59"/>
      <c r="I972" s="59"/>
    </row>
    <row r="973" ht="12.75" customHeight="1">
      <c r="A973" s="75"/>
      <c r="C973" s="59"/>
      <c r="D973" s="59"/>
      <c r="H973" s="59"/>
      <c r="I973" s="59"/>
    </row>
    <row r="974" ht="12.75" customHeight="1">
      <c r="A974" s="75"/>
      <c r="C974" s="59"/>
      <c r="D974" s="59"/>
      <c r="H974" s="59"/>
      <c r="I974" s="59"/>
    </row>
    <row r="975" ht="12.75" customHeight="1">
      <c r="A975" s="75"/>
      <c r="C975" s="59"/>
      <c r="D975" s="59"/>
      <c r="H975" s="59"/>
      <c r="I975" s="59"/>
    </row>
    <row r="976" ht="12.75" customHeight="1">
      <c r="A976" s="75"/>
      <c r="C976" s="59"/>
      <c r="D976" s="59"/>
      <c r="H976" s="59"/>
      <c r="I976" s="59"/>
    </row>
    <row r="977" ht="12.75" customHeight="1">
      <c r="A977" s="75"/>
      <c r="C977" s="59"/>
      <c r="D977" s="59"/>
      <c r="H977" s="59"/>
      <c r="I977" s="59"/>
    </row>
    <row r="978" ht="12.75" customHeight="1">
      <c r="A978" s="75"/>
      <c r="C978" s="59"/>
      <c r="D978" s="59"/>
      <c r="H978" s="59"/>
      <c r="I978" s="59"/>
    </row>
    <row r="979" ht="12.75" customHeight="1">
      <c r="A979" s="75"/>
      <c r="C979" s="59"/>
      <c r="D979" s="59"/>
      <c r="H979" s="59"/>
      <c r="I979" s="59"/>
    </row>
    <row r="980" ht="12.75" customHeight="1">
      <c r="A980" s="75"/>
      <c r="C980" s="59"/>
      <c r="D980" s="59"/>
      <c r="H980" s="59"/>
      <c r="I980" s="59"/>
    </row>
    <row r="981" ht="12.75" customHeight="1">
      <c r="A981" s="75"/>
      <c r="C981" s="59"/>
      <c r="D981" s="59"/>
      <c r="H981" s="59"/>
      <c r="I981" s="59"/>
    </row>
    <row r="982" ht="12.75" customHeight="1">
      <c r="A982" s="75"/>
      <c r="C982" s="59"/>
      <c r="D982" s="59"/>
      <c r="H982" s="59"/>
      <c r="I982" s="59"/>
    </row>
    <row r="983" ht="12.75" customHeight="1">
      <c r="A983" s="75"/>
      <c r="C983" s="59"/>
      <c r="D983" s="59"/>
      <c r="H983" s="59"/>
      <c r="I983" s="59"/>
    </row>
    <row r="984" ht="12.75" customHeight="1">
      <c r="A984" s="75"/>
      <c r="C984" s="59"/>
      <c r="D984" s="59"/>
      <c r="H984" s="59"/>
      <c r="I984" s="59"/>
    </row>
    <row r="985" ht="12.75" customHeight="1">
      <c r="A985" s="75"/>
      <c r="C985" s="59"/>
      <c r="D985" s="59"/>
      <c r="H985" s="59"/>
      <c r="I985" s="59"/>
    </row>
    <row r="986" ht="12.75" customHeight="1">
      <c r="A986" s="75"/>
      <c r="C986" s="59"/>
      <c r="D986" s="59"/>
      <c r="H986" s="59"/>
      <c r="I986" s="59"/>
    </row>
    <row r="987" ht="12.75" customHeight="1">
      <c r="A987" s="75"/>
      <c r="C987" s="59"/>
      <c r="D987" s="59"/>
      <c r="H987" s="59"/>
      <c r="I987" s="59"/>
    </row>
    <row r="988" ht="12.75" customHeight="1">
      <c r="A988" s="75"/>
      <c r="C988" s="59"/>
      <c r="D988" s="59"/>
      <c r="H988" s="59"/>
      <c r="I988" s="59"/>
    </row>
    <row r="989" ht="12.75" customHeight="1">
      <c r="A989" s="75"/>
      <c r="C989" s="59"/>
      <c r="D989" s="59"/>
      <c r="H989" s="59"/>
      <c r="I989" s="59"/>
    </row>
    <row r="990" ht="12.75" customHeight="1">
      <c r="A990" s="75"/>
      <c r="C990" s="59"/>
      <c r="D990" s="59"/>
      <c r="H990" s="59"/>
      <c r="I990" s="59"/>
    </row>
    <row r="991" ht="12.75" customHeight="1">
      <c r="A991" s="75"/>
      <c r="C991" s="59"/>
      <c r="D991" s="59"/>
      <c r="H991" s="59"/>
      <c r="I991" s="59"/>
    </row>
    <row r="992" ht="12.75" customHeight="1">
      <c r="A992" s="75"/>
      <c r="C992" s="59"/>
      <c r="D992" s="59"/>
      <c r="H992" s="59"/>
      <c r="I992" s="59"/>
    </row>
    <row r="993" ht="12.75" customHeight="1">
      <c r="A993" s="75"/>
      <c r="C993" s="59"/>
      <c r="D993" s="59"/>
      <c r="H993" s="59"/>
      <c r="I993" s="59"/>
    </row>
    <row r="994" ht="12.75" customHeight="1">
      <c r="A994" s="75"/>
      <c r="C994" s="59"/>
      <c r="D994" s="59"/>
      <c r="H994" s="59"/>
      <c r="I994" s="59"/>
    </row>
    <row r="995" ht="12.75" customHeight="1">
      <c r="A995" s="75"/>
      <c r="C995" s="59"/>
      <c r="D995" s="59"/>
      <c r="H995" s="59"/>
      <c r="I995" s="59"/>
    </row>
    <row r="996" ht="12.75" customHeight="1">
      <c r="A996" s="75"/>
      <c r="C996" s="59"/>
      <c r="D996" s="59"/>
      <c r="H996" s="59"/>
      <c r="I996" s="59"/>
    </row>
    <row r="997" ht="12.75" customHeight="1">
      <c r="A997" s="75"/>
      <c r="C997" s="59"/>
      <c r="D997" s="59"/>
      <c r="H997" s="59"/>
      <c r="I997" s="59"/>
    </row>
    <row r="998" ht="12.75" customHeight="1">
      <c r="A998" s="75"/>
      <c r="C998" s="59"/>
      <c r="D998" s="59"/>
      <c r="H998" s="59"/>
      <c r="I998" s="59"/>
    </row>
    <row r="999" ht="12.75" customHeight="1">
      <c r="A999" s="75"/>
      <c r="C999" s="59"/>
      <c r="D999" s="59"/>
      <c r="H999" s="59"/>
      <c r="I999" s="59"/>
    </row>
    <row r="1000" ht="12.75" customHeight="1">
      <c r="A1000" s="75"/>
      <c r="C1000" s="59"/>
      <c r="D1000" s="59"/>
      <c r="H1000" s="59"/>
      <c r="I1000" s="59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38"/>
    <col customWidth="1" min="3" max="3" width="13.75"/>
    <col customWidth="1" min="4" max="6" width="11.38"/>
    <col customWidth="1" min="7" max="7" width="10.63"/>
    <col customWidth="1" min="8" max="10" width="11.38"/>
    <col customWidth="1" min="11" max="26" width="10.63"/>
  </cols>
  <sheetData>
    <row r="1" ht="12.75" customHeight="1">
      <c r="A1" s="26">
        <v>10.0</v>
      </c>
      <c r="B1" s="59">
        <f t="shared" ref="B1:B31" si="1">D1-C1</f>
        <v>63572</v>
      </c>
      <c r="C1" s="59">
        <f>846+782+1389+479+479+160+319+623+6466+535</f>
        <v>12078</v>
      </c>
      <c r="D1" s="59">
        <f>5300+4900+8700+3000+3000+1000+2000+3900+40500+3350</f>
        <v>75650</v>
      </c>
      <c r="E1" s="59">
        <f t="shared" ref="E1:E31" si="2">D1*2.3681%</f>
        <v>1791.46765</v>
      </c>
      <c r="F1" s="59">
        <f t="shared" ref="F1:F31" si="3">D1-E1</f>
        <v>73858.53235</v>
      </c>
      <c r="G1" s="37" t="s">
        <v>3274</v>
      </c>
      <c r="H1" s="59"/>
      <c r="I1" s="59"/>
      <c r="J1" s="59"/>
    </row>
    <row r="2" ht="12.75" customHeight="1">
      <c r="A2" s="26">
        <v>6.0</v>
      </c>
      <c r="B2" s="59">
        <f t="shared" si="1"/>
        <v>42480</v>
      </c>
      <c r="C2" s="59">
        <f>798+639+1317+319+4183+814</f>
        <v>8070</v>
      </c>
      <c r="D2" s="59">
        <f>5000+4000+8250+2000+26200+5100</f>
        <v>50550</v>
      </c>
      <c r="E2" s="59">
        <f t="shared" si="2"/>
        <v>1197.07455</v>
      </c>
      <c r="F2" s="59">
        <f t="shared" si="3"/>
        <v>49352.92545</v>
      </c>
      <c r="G2" s="37" t="s">
        <v>3275</v>
      </c>
      <c r="H2" s="59">
        <v>45448.0</v>
      </c>
      <c r="I2" s="59">
        <v>49353.0</v>
      </c>
      <c r="J2" s="59">
        <f>I2-H2</f>
        <v>3905</v>
      </c>
      <c r="K2" s="59"/>
    </row>
    <row r="3" ht="12.75" customHeight="1">
      <c r="A3" s="26">
        <v>4.0</v>
      </c>
      <c r="B3" s="59">
        <f t="shared" si="1"/>
        <v>5462</v>
      </c>
      <c r="C3" s="59">
        <f>527+80+303+128</f>
        <v>1038</v>
      </c>
      <c r="D3" s="59">
        <f>3300+500+1900+800</f>
        <v>6500</v>
      </c>
      <c r="E3" s="59">
        <f t="shared" si="2"/>
        <v>153.9265</v>
      </c>
      <c r="F3" s="59">
        <f t="shared" si="3"/>
        <v>6346.0735</v>
      </c>
      <c r="G3" s="37" t="s">
        <v>3276</v>
      </c>
      <c r="H3" s="59"/>
      <c r="I3" s="59"/>
      <c r="J3" s="59"/>
    </row>
    <row r="4" ht="12.75" customHeight="1">
      <c r="A4" s="26">
        <v>3.0</v>
      </c>
      <c r="B4" s="59">
        <f t="shared" si="1"/>
        <v>16765</v>
      </c>
      <c r="C4" s="59">
        <f>1884+1014+287</f>
        <v>3185</v>
      </c>
      <c r="D4" s="59">
        <f>11800+6350+1800</f>
        <v>19950</v>
      </c>
      <c r="E4" s="59">
        <f t="shared" si="2"/>
        <v>472.43595</v>
      </c>
      <c r="F4" s="59">
        <f t="shared" si="3"/>
        <v>19477.56405</v>
      </c>
      <c r="H4" s="59"/>
      <c r="I4" s="59"/>
      <c r="J4" s="59"/>
    </row>
    <row r="5" ht="12.75" customHeight="1">
      <c r="A5" s="26">
        <v>3.0</v>
      </c>
      <c r="B5" s="59">
        <f t="shared" si="1"/>
        <v>13655</v>
      </c>
      <c r="C5" s="59">
        <f>1597+471+527</f>
        <v>2595</v>
      </c>
      <c r="D5" s="59">
        <f>10000+2950+3300</f>
        <v>16250</v>
      </c>
      <c r="E5" s="59">
        <f t="shared" si="2"/>
        <v>384.81625</v>
      </c>
      <c r="F5" s="59">
        <f t="shared" si="3"/>
        <v>15865.18375</v>
      </c>
      <c r="H5" s="59"/>
      <c r="I5" s="59"/>
      <c r="J5" s="59"/>
    </row>
    <row r="6" ht="12.75" customHeight="1">
      <c r="A6" s="26">
        <v>8.0</v>
      </c>
      <c r="B6" s="59">
        <f t="shared" si="1"/>
        <v>22523</v>
      </c>
      <c r="C6" s="59">
        <f>902+846+303+255+319+399+878+375</f>
        <v>4277</v>
      </c>
      <c r="D6" s="59">
        <f>5650+5300+1900+1600+2000+2500+5500+2350</f>
        <v>26800</v>
      </c>
      <c r="E6" s="59">
        <f t="shared" si="2"/>
        <v>634.6508</v>
      </c>
      <c r="F6" s="59">
        <f t="shared" si="3"/>
        <v>26165.3492</v>
      </c>
      <c r="G6" s="37" t="s">
        <v>3277</v>
      </c>
      <c r="H6" s="59"/>
      <c r="I6" s="59"/>
      <c r="J6" s="59"/>
    </row>
    <row r="7" ht="12.75" customHeight="1">
      <c r="A7" s="26">
        <v>7.0</v>
      </c>
      <c r="B7" s="59">
        <f t="shared" si="1"/>
        <v>26428</v>
      </c>
      <c r="C7" s="59">
        <f>255+591+1485+479+695+216+1301</f>
        <v>5022</v>
      </c>
      <c r="D7" s="59">
        <f>1600+3700+9300+3000+4350+1350+8150</f>
        <v>31450</v>
      </c>
      <c r="E7" s="59">
        <f t="shared" si="2"/>
        <v>744.76745</v>
      </c>
      <c r="F7" s="59">
        <f t="shared" si="3"/>
        <v>30705.23255</v>
      </c>
      <c r="G7" s="37" t="s">
        <v>3278</v>
      </c>
      <c r="H7" s="59"/>
      <c r="I7" s="59"/>
      <c r="J7" s="59"/>
    </row>
    <row r="8" ht="12.75" customHeight="1">
      <c r="A8" s="26">
        <v>6.0</v>
      </c>
      <c r="B8" s="59">
        <f t="shared" si="1"/>
        <v>11134</v>
      </c>
      <c r="C8" s="59">
        <f>88+295+479+224+152+878</f>
        <v>2116</v>
      </c>
      <c r="D8" s="59">
        <f>550+1850+3000+1400+950+5500</f>
        <v>13250</v>
      </c>
      <c r="E8" s="59">
        <f t="shared" si="2"/>
        <v>313.77325</v>
      </c>
      <c r="F8" s="59">
        <f t="shared" si="3"/>
        <v>12936.22675</v>
      </c>
      <c r="G8" s="37" t="s">
        <v>3279</v>
      </c>
      <c r="H8" s="59"/>
      <c r="I8" s="59"/>
      <c r="J8" s="59"/>
    </row>
    <row r="9" ht="12.75" customHeight="1">
      <c r="A9" s="26">
        <v>6.0</v>
      </c>
      <c r="B9" s="59">
        <f t="shared" si="1"/>
        <v>21555</v>
      </c>
      <c r="C9" s="59">
        <f>1261+359+679+607+399+790</f>
        <v>4095</v>
      </c>
      <c r="D9" s="59">
        <f>7900+2250+4250+3800+2500+4950</f>
        <v>25650</v>
      </c>
      <c r="E9" s="59">
        <f t="shared" si="2"/>
        <v>607.41765</v>
      </c>
      <c r="F9" s="59">
        <f t="shared" si="3"/>
        <v>25042.58235</v>
      </c>
      <c r="G9" s="37" t="s">
        <v>3280</v>
      </c>
      <c r="H9" s="59"/>
      <c r="I9" s="59"/>
      <c r="J9" s="59"/>
    </row>
    <row r="10" ht="12.75" customHeight="1">
      <c r="A10" s="26">
        <v>7.0</v>
      </c>
      <c r="B10" s="59">
        <f t="shared" si="1"/>
        <v>23781</v>
      </c>
      <c r="C10" s="59">
        <f>192+263+878+958+1070+1062+96</f>
        <v>4519</v>
      </c>
      <c r="D10" s="59">
        <f>1200+1650+5500+6000+6700+6650+600</f>
        <v>28300</v>
      </c>
      <c r="E10" s="59">
        <f t="shared" si="2"/>
        <v>670.1723</v>
      </c>
      <c r="F10" s="59">
        <f t="shared" si="3"/>
        <v>27629.8277</v>
      </c>
      <c r="G10" s="37" t="s">
        <v>3281</v>
      </c>
      <c r="H10" s="59"/>
      <c r="I10" s="59"/>
      <c r="J10" s="59"/>
    </row>
    <row r="11" ht="12.75" customHeight="1">
      <c r="A11" s="26">
        <v>5.0</v>
      </c>
      <c r="B11" s="59">
        <f t="shared" si="1"/>
        <v>16850</v>
      </c>
      <c r="C11" s="59">
        <f>479+742+1437+239+303</f>
        <v>3200</v>
      </c>
      <c r="D11" s="59">
        <f>3000+4650+9000+1500+1900</f>
        <v>20050</v>
      </c>
      <c r="E11" s="59">
        <f t="shared" si="2"/>
        <v>474.80405</v>
      </c>
      <c r="F11" s="59">
        <f t="shared" si="3"/>
        <v>19575.19595</v>
      </c>
      <c r="H11" s="59"/>
      <c r="I11" s="59"/>
      <c r="J11" s="59"/>
    </row>
    <row r="12" ht="12.75" customHeight="1">
      <c r="A12" s="26">
        <v>3.0</v>
      </c>
      <c r="B12" s="59">
        <f t="shared" si="1"/>
        <v>11891</v>
      </c>
      <c r="C12" s="59">
        <f>1006+902+351</f>
        <v>2259</v>
      </c>
      <c r="D12" s="59">
        <f>6300+5650+2200</f>
        <v>14150</v>
      </c>
      <c r="E12" s="59">
        <f t="shared" si="2"/>
        <v>335.08615</v>
      </c>
      <c r="F12" s="59">
        <f t="shared" si="3"/>
        <v>13814.91385</v>
      </c>
      <c r="H12" s="59"/>
      <c r="I12" s="59"/>
      <c r="J12" s="59"/>
    </row>
    <row r="13" ht="12.75" customHeight="1">
      <c r="A13" s="26">
        <v>9.0</v>
      </c>
      <c r="B13" s="59">
        <f t="shared" si="1"/>
        <v>30755</v>
      </c>
      <c r="C13" s="59">
        <f>639+479+192+910+1533+878+463+591+160</f>
        <v>5845</v>
      </c>
      <c r="D13" s="59">
        <f>4000+3000+1200+5700+9600+5500+2900+3700+1000</f>
        <v>36600</v>
      </c>
      <c r="E13" s="59">
        <f t="shared" si="2"/>
        <v>866.7246</v>
      </c>
      <c r="F13" s="59">
        <f t="shared" si="3"/>
        <v>35733.2754</v>
      </c>
      <c r="G13" s="41" t="s">
        <v>3282</v>
      </c>
      <c r="H13" s="59"/>
      <c r="I13" s="59"/>
      <c r="J13" s="59"/>
    </row>
    <row r="14" ht="12.75" customHeight="1">
      <c r="A14" s="26">
        <v>9.0</v>
      </c>
      <c r="B14" s="59">
        <f t="shared" si="1"/>
        <v>35857</v>
      </c>
      <c r="C14" s="59">
        <f>830+303+184+3832+479+216+439+243+287</f>
        <v>6813</v>
      </c>
      <c r="D14" s="59">
        <f>5200+1900+1150+24000+3000+1350+2750+1520+1800</f>
        <v>42670</v>
      </c>
      <c r="E14" s="59">
        <f t="shared" si="2"/>
        <v>1010.46827</v>
      </c>
      <c r="F14" s="59">
        <f t="shared" si="3"/>
        <v>41659.53173</v>
      </c>
      <c r="G14" s="41" t="s">
        <v>3283</v>
      </c>
      <c r="H14" s="59">
        <v>39902.0</v>
      </c>
      <c r="I14" s="59">
        <v>41660.0</v>
      </c>
      <c r="J14" s="59">
        <f t="shared" ref="J14:J16" si="4">I14-H14</f>
        <v>1758</v>
      </c>
    </row>
    <row r="15" ht="12.75" customHeight="1">
      <c r="A15" s="26">
        <v>10.0</v>
      </c>
      <c r="B15" s="59">
        <f t="shared" si="1"/>
        <v>54370</v>
      </c>
      <c r="C15" s="59">
        <f>335+319+239+782+1461+1661+1661+1964+1070+838</f>
        <v>10330</v>
      </c>
      <c r="D15" s="59">
        <f>2100+2000+1500+4900+9150+10400+10400+12300+6700+5250</f>
        <v>64700</v>
      </c>
      <c r="E15" s="59">
        <f t="shared" si="2"/>
        <v>1532.1607</v>
      </c>
      <c r="F15" s="59">
        <f t="shared" si="3"/>
        <v>63167.8393</v>
      </c>
      <c r="G15" s="41" t="s">
        <v>3284</v>
      </c>
      <c r="H15" s="59">
        <v>53012.0</v>
      </c>
      <c r="I15" s="59">
        <v>63168.0</v>
      </c>
      <c r="J15" s="59">
        <f t="shared" si="4"/>
        <v>10156</v>
      </c>
    </row>
    <row r="16" ht="12.75" customHeight="1">
      <c r="A16" s="26">
        <v>9.0</v>
      </c>
      <c r="B16" s="59">
        <f t="shared" si="1"/>
        <v>72899</v>
      </c>
      <c r="C16" s="59">
        <f>3992+718+966+303+319+1150+974+4471+958</f>
        <v>13851</v>
      </c>
      <c r="D16" s="59">
        <f>25000+4500+6050+1900+2000+7200+6100+28000+6000</f>
        <v>86750</v>
      </c>
      <c r="E16" s="59">
        <f t="shared" si="2"/>
        <v>2054.32675</v>
      </c>
      <c r="F16" s="59">
        <f t="shared" si="3"/>
        <v>84695.67325</v>
      </c>
      <c r="G16" s="41" t="s">
        <v>3285</v>
      </c>
      <c r="H16" s="59">
        <v>74395.0</v>
      </c>
      <c r="I16" s="59">
        <v>84696.0</v>
      </c>
      <c r="J16" s="59">
        <f t="shared" si="4"/>
        <v>10301</v>
      </c>
    </row>
    <row r="17" ht="12.75" customHeight="1">
      <c r="A17" s="26">
        <v>1.0</v>
      </c>
      <c r="B17" s="59">
        <f t="shared" si="1"/>
        <v>378</v>
      </c>
      <c r="C17" s="59">
        <v>72.0</v>
      </c>
      <c r="D17" s="59">
        <v>450.0</v>
      </c>
      <c r="E17" s="59">
        <f t="shared" si="2"/>
        <v>10.65645</v>
      </c>
      <c r="F17" s="59">
        <f t="shared" si="3"/>
        <v>439.34355</v>
      </c>
      <c r="G17" s="41" t="s">
        <v>3286</v>
      </c>
      <c r="H17" s="59"/>
      <c r="I17" s="59"/>
      <c r="J17" s="59"/>
    </row>
    <row r="18" ht="12.75" customHeight="1">
      <c r="A18" s="26">
        <v>2.0</v>
      </c>
      <c r="B18" s="59">
        <f t="shared" si="1"/>
        <v>3025</v>
      </c>
      <c r="C18" s="59">
        <f>112+463</f>
        <v>575</v>
      </c>
      <c r="D18" s="59">
        <f>700+2900</f>
        <v>3600</v>
      </c>
      <c r="E18" s="59">
        <f t="shared" si="2"/>
        <v>85.2516</v>
      </c>
      <c r="F18" s="59">
        <f t="shared" si="3"/>
        <v>3514.7484</v>
      </c>
      <c r="H18" s="59"/>
      <c r="I18" s="59"/>
      <c r="J18" s="59"/>
    </row>
    <row r="19" ht="12.75" customHeight="1">
      <c r="A19" s="26">
        <v>2.0</v>
      </c>
      <c r="B19" s="59">
        <f t="shared" si="1"/>
        <v>17101</v>
      </c>
      <c r="C19" s="59">
        <f>854+2395</f>
        <v>3249</v>
      </c>
      <c r="D19" s="59">
        <f>5350+15000</f>
        <v>20350</v>
      </c>
      <c r="E19" s="59">
        <f t="shared" si="2"/>
        <v>481.90835</v>
      </c>
      <c r="F19" s="59">
        <f t="shared" si="3"/>
        <v>19868.09165</v>
      </c>
      <c r="G19" s="37" t="s">
        <v>3287</v>
      </c>
      <c r="H19" s="59">
        <v>20552.0</v>
      </c>
      <c r="I19" s="59">
        <v>23383.0</v>
      </c>
      <c r="J19" s="59">
        <f>I19-H19</f>
        <v>2831</v>
      </c>
    </row>
    <row r="20" ht="12.75" customHeight="1">
      <c r="A20" s="26">
        <v>0.0</v>
      </c>
      <c r="B20" s="59">
        <f t="shared" si="1"/>
        <v>0</v>
      </c>
      <c r="C20" s="59">
        <v>0.0</v>
      </c>
      <c r="D20" s="59">
        <v>0.0</v>
      </c>
      <c r="E20" s="59">
        <f t="shared" si="2"/>
        <v>0</v>
      </c>
      <c r="F20" s="59">
        <f t="shared" si="3"/>
        <v>0</v>
      </c>
      <c r="H20" s="59"/>
      <c r="I20" s="59"/>
      <c r="J20" s="59"/>
    </row>
    <row r="21" ht="12.75" customHeight="1">
      <c r="A21" s="26">
        <v>1.0</v>
      </c>
      <c r="B21" s="59">
        <f t="shared" si="1"/>
        <v>4832</v>
      </c>
      <c r="C21" s="59">
        <v>918.0</v>
      </c>
      <c r="D21" s="59">
        <v>5750.0</v>
      </c>
      <c r="E21" s="59">
        <f t="shared" si="2"/>
        <v>136.16575</v>
      </c>
      <c r="F21" s="59">
        <f t="shared" si="3"/>
        <v>5613.83425</v>
      </c>
      <c r="G21" s="37" t="s">
        <v>3288</v>
      </c>
      <c r="H21" s="59"/>
      <c r="I21" s="59"/>
      <c r="J21" s="59"/>
    </row>
    <row r="22" ht="12.75" customHeight="1">
      <c r="A22" s="26">
        <v>2.0</v>
      </c>
      <c r="B22" s="59">
        <f t="shared" si="1"/>
        <v>5798</v>
      </c>
      <c r="C22" s="59">
        <f>80+1022</f>
        <v>1102</v>
      </c>
      <c r="D22" s="59">
        <f>500+6400</f>
        <v>6900</v>
      </c>
      <c r="E22" s="59">
        <f t="shared" si="2"/>
        <v>163.3989</v>
      </c>
      <c r="F22" s="59">
        <f t="shared" si="3"/>
        <v>6736.6011</v>
      </c>
      <c r="G22" s="37" t="s">
        <v>3289</v>
      </c>
      <c r="H22" s="59"/>
      <c r="I22" s="59"/>
      <c r="J22" s="59"/>
    </row>
    <row r="23" ht="12.75" customHeight="1">
      <c r="A23" s="26">
        <v>5.0</v>
      </c>
      <c r="B23" s="59">
        <f t="shared" si="1"/>
        <v>19412</v>
      </c>
      <c r="C23" s="59">
        <f>239+798+1517+160+974</f>
        <v>3688</v>
      </c>
      <c r="D23" s="59">
        <f>1500+5000+9500+1000+6100</f>
        <v>23100</v>
      </c>
      <c r="E23" s="59">
        <f t="shared" si="2"/>
        <v>547.0311</v>
      </c>
      <c r="F23" s="59">
        <f t="shared" si="3"/>
        <v>22552.9689</v>
      </c>
      <c r="G23" s="37" t="s">
        <v>3290</v>
      </c>
      <c r="H23" s="59"/>
      <c r="I23" s="59"/>
      <c r="J23" s="59"/>
    </row>
    <row r="24" ht="12.75" customHeight="1">
      <c r="A24" s="26">
        <v>2.0</v>
      </c>
      <c r="B24" s="59">
        <f t="shared" si="1"/>
        <v>4034</v>
      </c>
      <c r="C24" s="59">
        <f>287+479</f>
        <v>766</v>
      </c>
      <c r="D24" s="59">
        <f>1800+3000</f>
        <v>4800</v>
      </c>
      <c r="E24" s="59">
        <f t="shared" si="2"/>
        <v>113.6688</v>
      </c>
      <c r="F24" s="59">
        <f t="shared" si="3"/>
        <v>4686.3312</v>
      </c>
      <c r="G24" s="37" t="s">
        <v>3291</v>
      </c>
      <c r="H24" s="59"/>
      <c r="I24" s="59"/>
      <c r="J24" s="59"/>
    </row>
    <row r="25" ht="12.75" customHeight="1">
      <c r="A25" s="26">
        <v>3.0</v>
      </c>
      <c r="B25" s="59">
        <f t="shared" si="1"/>
        <v>37899</v>
      </c>
      <c r="C25" s="59">
        <f>1086+5269+846</f>
        <v>7201</v>
      </c>
      <c r="D25" s="59">
        <f>6800+33000+5300</f>
        <v>45100</v>
      </c>
      <c r="E25" s="59">
        <f t="shared" si="2"/>
        <v>1068.0131</v>
      </c>
      <c r="F25" s="59">
        <f t="shared" si="3"/>
        <v>44031.9869</v>
      </c>
      <c r="H25" s="59"/>
      <c r="I25" s="59"/>
      <c r="J25" s="59"/>
    </row>
    <row r="26" ht="12.75" customHeight="1">
      <c r="A26" s="26">
        <v>2.0</v>
      </c>
      <c r="B26" s="59">
        <f t="shared" si="1"/>
        <v>6723</v>
      </c>
      <c r="C26" s="59">
        <f>479+798</f>
        <v>1277</v>
      </c>
      <c r="D26" s="59">
        <f>3000+5000</f>
        <v>8000</v>
      </c>
      <c r="E26" s="59">
        <f t="shared" si="2"/>
        <v>189.448</v>
      </c>
      <c r="F26" s="59">
        <f t="shared" si="3"/>
        <v>7810.552</v>
      </c>
      <c r="H26" s="59"/>
      <c r="I26" s="59"/>
      <c r="J26" s="59"/>
    </row>
    <row r="27" ht="12.75" customHeight="1">
      <c r="A27" s="26">
        <v>3.0</v>
      </c>
      <c r="B27" s="59">
        <f t="shared" si="1"/>
        <v>7899</v>
      </c>
      <c r="C27" s="59">
        <f>511+790+200</f>
        <v>1501</v>
      </c>
      <c r="D27" s="59">
        <f>3200+4950+1250</f>
        <v>9400</v>
      </c>
      <c r="E27" s="59">
        <f t="shared" si="2"/>
        <v>222.6014</v>
      </c>
      <c r="F27" s="59">
        <f t="shared" si="3"/>
        <v>9177.3986</v>
      </c>
      <c r="G27" s="37" t="s">
        <v>3292</v>
      </c>
      <c r="H27" s="59"/>
      <c r="I27" s="59"/>
      <c r="J27" s="59"/>
    </row>
    <row r="28" ht="12.75" customHeight="1">
      <c r="A28" s="26">
        <v>5.0</v>
      </c>
      <c r="B28" s="59">
        <f t="shared" si="1"/>
        <v>21142</v>
      </c>
      <c r="C28" s="59">
        <f>1038+974+208+351+1447</f>
        <v>4018</v>
      </c>
      <c r="D28" s="59">
        <f>6500+6100+1300+2200+9060</f>
        <v>25160</v>
      </c>
      <c r="E28" s="59">
        <f t="shared" si="2"/>
        <v>595.81396</v>
      </c>
      <c r="F28" s="59">
        <f t="shared" si="3"/>
        <v>24564.18604</v>
      </c>
      <c r="G28" s="37" t="s">
        <v>3293</v>
      </c>
      <c r="H28" s="59">
        <v>18609.0</v>
      </c>
      <c r="I28" s="59">
        <v>24564.0</v>
      </c>
      <c r="J28" s="59">
        <f>I28-H28</f>
        <v>5955</v>
      </c>
    </row>
    <row r="29" ht="12.75" customHeight="1">
      <c r="A29" s="26">
        <v>0.0</v>
      </c>
      <c r="B29" s="59">
        <f t="shared" si="1"/>
        <v>0</v>
      </c>
      <c r="C29" s="59">
        <v>0.0</v>
      </c>
      <c r="D29" s="59">
        <v>0.0</v>
      </c>
      <c r="E29" s="59">
        <f t="shared" si="2"/>
        <v>0</v>
      </c>
      <c r="F29" s="59">
        <f t="shared" si="3"/>
        <v>0</v>
      </c>
      <c r="H29" s="59"/>
      <c r="I29" s="59"/>
      <c r="J29" s="59"/>
    </row>
    <row r="30" ht="12.75" customHeight="1">
      <c r="A30" s="26">
        <v>2.0</v>
      </c>
      <c r="B30" s="59">
        <f t="shared" si="1"/>
        <v>9202</v>
      </c>
      <c r="C30" s="59">
        <f>1397+351</f>
        <v>1748</v>
      </c>
      <c r="D30" s="59">
        <f>8750+2200</f>
        <v>10950</v>
      </c>
      <c r="E30" s="59">
        <f t="shared" si="2"/>
        <v>259.30695</v>
      </c>
      <c r="F30" s="59">
        <f t="shared" si="3"/>
        <v>10690.69305</v>
      </c>
      <c r="H30" s="59"/>
      <c r="I30" s="59"/>
      <c r="J30" s="59"/>
    </row>
    <row r="31" ht="12.75" customHeight="1">
      <c r="A31" s="26">
        <v>7.0</v>
      </c>
      <c r="B31" s="59">
        <f t="shared" si="1"/>
        <v>40757</v>
      </c>
      <c r="C31" s="59">
        <f>1916+1006+718+798+1740+160+1405</f>
        <v>7743</v>
      </c>
      <c r="D31" s="59">
        <f>12000+6300+4500+5000+10900+1000+8800</f>
        <v>48500</v>
      </c>
      <c r="E31" s="59">
        <f t="shared" si="2"/>
        <v>1148.5285</v>
      </c>
      <c r="F31" s="59">
        <f t="shared" si="3"/>
        <v>47351.4715</v>
      </c>
      <c r="G31" s="41" t="s">
        <v>3255</v>
      </c>
      <c r="H31" s="59"/>
      <c r="I31" s="59">
        <v>58042.0</v>
      </c>
      <c r="J31" s="59"/>
    </row>
    <row r="32" ht="12.75" customHeight="1">
      <c r="A32" s="77">
        <f t="shared" ref="A32:F32" si="5">SUM(A1:A31)</f>
        <v>142</v>
      </c>
      <c r="B32" s="66">
        <f t="shared" si="5"/>
        <v>648179</v>
      </c>
      <c r="C32" s="66">
        <f t="shared" si="5"/>
        <v>123151</v>
      </c>
      <c r="D32" s="66">
        <f t="shared" si="5"/>
        <v>771330</v>
      </c>
      <c r="E32" s="67">
        <f t="shared" si="5"/>
        <v>18265.86573</v>
      </c>
      <c r="F32" s="67">
        <f t="shared" si="5"/>
        <v>753064.1343</v>
      </c>
      <c r="H32" s="59"/>
      <c r="I32" s="59">
        <v>122537.0</v>
      </c>
      <c r="J32" s="66">
        <f>SUM(J1:J31)</f>
        <v>34906</v>
      </c>
    </row>
    <row r="33" ht="12.75" customHeight="1">
      <c r="A33" s="26"/>
      <c r="B33" s="59"/>
      <c r="C33" s="59"/>
      <c r="D33" s="59"/>
      <c r="E33" s="59"/>
      <c r="F33" s="59"/>
      <c r="H33" s="59"/>
      <c r="I33" s="59"/>
      <c r="J33" s="59"/>
    </row>
    <row r="34" ht="12.75" customHeight="1">
      <c r="A34" s="26"/>
      <c r="B34" s="59"/>
      <c r="C34" s="59"/>
      <c r="D34" s="59"/>
      <c r="E34" s="59"/>
      <c r="F34" s="59"/>
      <c r="H34" s="59"/>
      <c r="I34" s="59"/>
      <c r="J34" s="59"/>
    </row>
    <row r="35" ht="12.75" customHeight="1">
      <c r="A35" s="26"/>
      <c r="B35" s="59"/>
      <c r="C35" s="78" t="s">
        <v>3218</v>
      </c>
      <c r="D35" s="78">
        <f>D32*2.3681%</f>
        <v>18265.86573</v>
      </c>
      <c r="E35" s="59"/>
      <c r="F35" s="59"/>
      <c r="H35" s="59"/>
      <c r="I35" s="59"/>
      <c r="J35" s="59"/>
    </row>
    <row r="36" ht="12.75" customHeight="1">
      <c r="A36" s="26"/>
      <c r="B36" s="59"/>
      <c r="C36" s="59"/>
      <c r="D36" s="59"/>
      <c r="E36" s="59"/>
      <c r="F36" s="59"/>
      <c r="H36" s="59"/>
      <c r="I36" s="59"/>
      <c r="J36" s="59"/>
    </row>
    <row r="37" ht="12.75" customHeight="1">
      <c r="A37" s="26"/>
      <c r="B37" s="59"/>
      <c r="C37" s="59"/>
      <c r="D37" s="59"/>
      <c r="E37" s="59"/>
      <c r="F37" s="59"/>
      <c r="H37" s="59"/>
      <c r="I37" s="59"/>
      <c r="J37" s="59"/>
    </row>
    <row r="38" ht="12.75" customHeight="1">
      <c r="A38" s="26"/>
      <c r="B38" s="59"/>
      <c r="C38" s="59"/>
      <c r="D38" s="59"/>
      <c r="E38" s="59"/>
      <c r="F38" s="59"/>
      <c r="H38" s="59"/>
      <c r="I38" s="59"/>
      <c r="J38" s="59"/>
    </row>
    <row r="39" ht="12.75" customHeight="1">
      <c r="A39" s="26"/>
      <c r="B39" s="59"/>
      <c r="C39" s="59"/>
      <c r="D39" s="59"/>
      <c r="E39" s="59"/>
      <c r="F39" s="59"/>
      <c r="H39" s="59"/>
      <c r="I39" s="59"/>
      <c r="J39" s="59"/>
    </row>
    <row r="40" ht="12.75" customHeight="1">
      <c r="A40" s="26"/>
      <c r="B40" s="59"/>
      <c r="C40" s="59"/>
      <c r="D40" s="59"/>
      <c r="E40" s="59"/>
      <c r="F40" s="59"/>
      <c r="H40" s="59"/>
      <c r="I40" s="59"/>
      <c r="J40" s="59"/>
    </row>
    <row r="41" ht="12.75" customHeight="1">
      <c r="A41" s="26"/>
      <c r="B41" s="59"/>
      <c r="C41" s="59"/>
      <c r="D41" s="59"/>
      <c r="E41" s="59"/>
      <c r="F41" s="59"/>
      <c r="H41" s="59"/>
      <c r="I41" s="59"/>
      <c r="J41" s="59"/>
    </row>
    <row r="42" ht="12.75" customHeight="1">
      <c r="A42" s="26"/>
      <c r="B42" s="59"/>
      <c r="C42" s="59"/>
      <c r="D42" s="59"/>
      <c r="E42" s="59"/>
      <c r="F42" s="59"/>
      <c r="H42" s="59"/>
      <c r="I42" s="59"/>
      <c r="J42" s="59"/>
    </row>
    <row r="43" ht="12.75" customHeight="1">
      <c r="A43" s="26"/>
      <c r="B43" s="59"/>
      <c r="C43" s="59"/>
      <c r="D43" s="59"/>
      <c r="E43" s="59"/>
      <c r="F43" s="59"/>
      <c r="H43" s="59"/>
      <c r="I43" s="59"/>
      <c r="J43" s="59"/>
    </row>
    <row r="44" ht="12.75" customHeight="1">
      <c r="A44" s="26"/>
      <c r="B44" s="59"/>
      <c r="C44" s="59"/>
      <c r="D44" s="59"/>
      <c r="E44" s="59"/>
      <c r="F44" s="59"/>
      <c r="H44" s="59"/>
      <c r="I44" s="59"/>
      <c r="J44" s="59"/>
    </row>
    <row r="45" ht="12.75" customHeight="1">
      <c r="A45" s="26"/>
      <c r="B45" s="59"/>
      <c r="C45" s="59"/>
      <c r="D45" s="59"/>
      <c r="E45" s="59"/>
      <c r="F45" s="59"/>
      <c r="H45" s="59"/>
      <c r="I45" s="59"/>
      <c r="J45" s="59"/>
    </row>
    <row r="46" ht="12.75" customHeight="1">
      <c r="A46" s="26"/>
      <c r="B46" s="59"/>
      <c r="C46" s="59"/>
      <c r="D46" s="59"/>
      <c r="E46" s="59"/>
      <c r="F46" s="59"/>
      <c r="H46" s="59"/>
      <c r="I46" s="59"/>
      <c r="J46" s="59"/>
    </row>
    <row r="47" ht="12.75" customHeight="1">
      <c r="A47" s="26"/>
      <c r="B47" s="59"/>
      <c r="C47" s="59"/>
      <c r="D47" s="59"/>
      <c r="E47" s="59"/>
      <c r="F47" s="59"/>
      <c r="H47" s="59"/>
      <c r="I47" s="59"/>
      <c r="J47" s="59"/>
    </row>
    <row r="48" ht="12.75" customHeight="1">
      <c r="A48" s="26"/>
      <c r="B48" s="59"/>
      <c r="C48" s="59"/>
      <c r="D48" s="59"/>
      <c r="E48" s="59"/>
      <c r="F48" s="59"/>
      <c r="H48" s="59"/>
      <c r="I48" s="59"/>
      <c r="J48" s="59"/>
    </row>
    <row r="49" ht="12.75" customHeight="1">
      <c r="A49" s="26"/>
      <c r="B49" s="59"/>
      <c r="C49" s="59"/>
      <c r="D49" s="59"/>
      <c r="E49" s="59"/>
      <c r="F49" s="59"/>
      <c r="H49" s="59"/>
      <c r="I49" s="59"/>
      <c r="J49" s="59"/>
    </row>
    <row r="50" ht="12.75" customHeight="1">
      <c r="A50" s="26"/>
      <c r="B50" s="59"/>
      <c r="C50" s="59"/>
      <c r="D50" s="59"/>
      <c r="E50" s="59"/>
      <c r="F50" s="59"/>
      <c r="H50" s="59"/>
      <c r="I50" s="59"/>
      <c r="J50" s="59"/>
    </row>
    <row r="51" ht="12.75" customHeight="1">
      <c r="A51" s="26"/>
      <c r="B51" s="59"/>
      <c r="C51" s="59"/>
      <c r="D51" s="59"/>
      <c r="E51" s="59"/>
      <c r="F51" s="59"/>
      <c r="H51" s="59"/>
      <c r="I51" s="59"/>
      <c r="J51" s="59"/>
    </row>
    <row r="52" ht="12.75" customHeight="1">
      <c r="A52" s="26"/>
      <c r="B52" s="59"/>
      <c r="C52" s="59"/>
      <c r="D52" s="59"/>
      <c r="E52" s="59"/>
      <c r="F52" s="59"/>
      <c r="H52" s="59"/>
      <c r="I52" s="59"/>
      <c r="J52" s="59"/>
    </row>
    <row r="53" ht="12.75" customHeight="1">
      <c r="A53" s="26"/>
      <c r="B53" s="59"/>
      <c r="C53" s="59"/>
      <c r="D53" s="59"/>
      <c r="E53" s="59"/>
      <c r="F53" s="59"/>
      <c r="H53" s="59"/>
      <c r="I53" s="59"/>
      <c r="J53" s="59"/>
    </row>
    <row r="54" ht="12.75" customHeight="1">
      <c r="A54" s="26"/>
      <c r="B54" s="59"/>
      <c r="C54" s="59"/>
      <c r="D54" s="59"/>
      <c r="E54" s="59"/>
      <c r="F54" s="59"/>
      <c r="H54" s="59"/>
      <c r="I54" s="59"/>
      <c r="J54" s="59"/>
    </row>
    <row r="55" ht="12.75" customHeight="1">
      <c r="A55" s="26"/>
      <c r="B55" s="59"/>
      <c r="C55" s="59"/>
      <c r="D55" s="59"/>
      <c r="E55" s="59"/>
      <c r="F55" s="59"/>
      <c r="H55" s="59"/>
      <c r="I55" s="59"/>
      <c r="J55" s="59"/>
    </row>
    <row r="56" ht="12.75" customHeight="1">
      <c r="A56" s="26"/>
      <c r="B56" s="59"/>
      <c r="C56" s="59"/>
      <c r="D56" s="59"/>
      <c r="E56" s="59"/>
      <c r="F56" s="59"/>
      <c r="H56" s="59"/>
      <c r="I56" s="59"/>
      <c r="J56" s="59"/>
    </row>
    <row r="57" ht="12.75" customHeight="1">
      <c r="A57" s="26"/>
      <c r="B57" s="59"/>
      <c r="C57" s="59"/>
      <c r="D57" s="59"/>
      <c r="E57" s="59"/>
      <c r="F57" s="59"/>
      <c r="H57" s="59"/>
      <c r="I57" s="59"/>
      <c r="J57" s="59"/>
    </row>
    <row r="58" ht="12.75" customHeight="1">
      <c r="A58" s="26"/>
      <c r="B58" s="59"/>
      <c r="C58" s="59"/>
      <c r="D58" s="59"/>
      <c r="E58" s="59"/>
      <c r="F58" s="59"/>
      <c r="H58" s="59"/>
      <c r="I58" s="59"/>
      <c r="J58" s="59"/>
    </row>
    <row r="59" ht="12.75" customHeight="1">
      <c r="A59" s="26"/>
      <c r="B59" s="59"/>
      <c r="C59" s="59"/>
      <c r="D59" s="59"/>
      <c r="E59" s="59"/>
      <c r="F59" s="59"/>
      <c r="H59" s="59"/>
      <c r="I59" s="59"/>
      <c r="J59" s="59"/>
    </row>
    <row r="60" ht="12.75" customHeight="1">
      <c r="A60" s="26"/>
      <c r="B60" s="59"/>
      <c r="C60" s="59"/>
      <c r="D60" s="59"/>
      <c r="E60" s="59"/>
      <c r="F60" s="59"/>
      <c r="H60" s="59"/>
      <c r="I60" s="59"/>
      <c r="J60" s="59"/>
    </row>
    <row r="61" ht="12.75" customHeight="1">
      <c r="A61" s="26"/>
      <c r="B61" s="59"/>
      <c r="C61" s="59"/>
      <c r="D61" s="59"/>
      <c r="E61" s="59"/>
      <c r="F61" s="59"/>
      <c r="H61" s="59"/>
      <c r="I61" s="59"/>
      <c r="J61" s="59"/>
    </row>
    <row r="62" ht="12.75" customHeight="1">
      <c r="A62" s="26"/>
      <c r="B62" s="59"/>
      <c r="C62" s="59"/>
      <c r="D62" s="59"/>
      <c r="E62" s="59"/>
      <c r="F62" s="59"/>
      <c r="H62" s="59"/>
      <c r="I62" s="59"/>
      <c r="J62" s="59"/>
    </row>
    <row r="63" ht="12.75" customHeight="1">
      <c r="A63" s="26"/>
      <c r="B63" s="59"/>
      <c r="C63" s="59"/>
      <c r="D63" s="59"/>
      <c r="E63" s="59"/>
      <c r="F63" s="59"/>
      <c r="H63" s="59"/>
      <c r="I63" s="59"/>
      <c r="J63" s="59"/>
    </row>
    <row r="64" ht="12.75" customHeight="1">
      <c r="A64" s="26"/>
      <c r="B64" s="59"/>
      <c r="C64" s="59"/>
      <c r="D64" s="59"/>
      <c r="E64" s="59"/>
      <c r="F64" s="59"/>
      <c r="H64" s="59"/>
      <c r="I64" s="59"/>
      <c r="J64" s="59"/>
    </row>
    <row r="65" ht="12.75" customHeight="1">
      <c r="A65" s="26"/>
      <c r="B65" s="59"/>
      <c r="C65" s="59"/>
      <c r="D65" s="59"/>
      <c r="E65" s="59"/>
      <c r="F65" s="59"/>
      <c r="H65" s="59"/>
      <c r="I65" s="59"/>
      <c r="J65" s="59"/>
    </row>
    <row r="66" ht="12.75" customHeight="1">
      <c r="A66" s="26"/>
      <c r="B66" s="59"/>
      <c r="C66" s="59"/>
      <c r="D66" s="59"/>
      <c r="E66" s="59"/>
      <c r="F66" s="59"/>
      <c r="H66" s="59"/>
      <c r="I66" s="59"/>
      <c r="J66" s="59"/>
    </row>
    <row r="67" ht="12.75" customHeight="1">
      <c r="A67" s="26"/>
      <c r="B67" s="59"/>
      <c r="C67" s="59"/>
      <c r="D67" s="59"/>
      <c r="E67" s="59"/>
      <c r="F67" s="59"/>
      <c r="H67" s="59"/>
      <c r="I67" s="59"/>
      <c r="J67" s="59"/>
    </row>
    <row r="68" ht="12.75" customHeight="1">
      <c r="A68" s="26"/>
      <c r="B68" s="59"/>
      <c r="C68" s="59"/>
      <c r="D68" s="59"/>
      <c r="E68" s="59"/>
      <c r="F68" s="59"/>
      <c r="H68" s="59"/>
      <c r="I68" s="59"/>
      <c r="J68" s="59"/>
    </row>
    <row r="69" ht="12.75" customHeight="1">
      <c r="A69" s="26"/>
      <c r="B69" s="59"/>
      <c r="C69" s="59"/>
      <c r="D69" s="59"/>
      <c r="E69" s="59"/>
      <c r="F69" s="59"/>
      <c r="H69" s="59"/>
      <c r="I69" s="59"/>
      <c r="J69" s="59"/>
    </row>
    <row r="70" ht="12.75" customHeight="1">
      <c r="A70" s="26"/>
      <c r="B70" s="59"/>
      <c r="C70" s="59"/>
      <c r="D70" s="59"/>
      <c r="E70" s="59"/>
      <c r="F70" s="59"/>
      <c r="H70" s="59"/>
      <c r="I70" s="59"/>
      <c r="J70" s="59"/>
    </row>
    <row r="71" ht="12.75" customHeight="1">
      <c r="A71" s="26"/>
      <c r="B71" s="59"/>
      <c r="C71" s="59"/>
      <c r="D71" s="59"/>
      <c r="E71" s="59"/>
      <c r="F71" s="59"/>
      <c r="H71" s="59"/>
      <c r="I71" s="59"/>
      <c r="J71" s="59"/>
    </row>
    <row r="72" ht="12.75" customHeight="1">
      <c r="A72" s="26"/>
      <c r="B72" s="59"/>
      <c r="C72" s="59"/>
      <c r="D72" s="59"/>
      <c r="E72" s="59"/>
      <c r="F72" s="59"/>
      <c r="H72" s="59"/>
      <c r="I72" s="59"/>
      <c r="J72" s="59"/>
    </row>
    <row r="73" ht="12.75" customHeight="1">
      <c r="A73" s="26"/>
      <c r="B73" s="59"/>
      <c r="C73" s="59"/>
      <c r="D73" s="59"/>
      <c r="E73" s="59"/>
      <c r="F73" s="59"/>
      <c r="H73" s="59"/>
      <c r="I73" s="59"/>
      <c r="J73" s="59"/>
    </row>
    <row r="74" ht="12.75" customHeight="1">
      <c r="A74" s="26"/>
      <c r="B74" s="59"/>
      <c r="C74" s="59"/>
      <c r="D74" s="59"/>
      <c r="E74" s="59"/>
      <c r="F74" s="59"/>
      <c r="H74" s="59"/>
      <c r="I74" s="59"/>
      <c r="J74" s="59"/>
    </row>
    <row r="75" ht="12.75" customHeight="1">
      <c r="A75" s="26"/>
      <c r="B75" s="59"/>
      <c r="C75" s="59"/>
      <c r="D75" s="59"/>
      <c r="E75" s="59"/>
      <c r="F75" s="59"/>
      <c r="H75" s="59"/>
      <c r="I75" s="59"/>
      <c r="J75" s="59"/>
    </row>
    <row r="76" ht="12.75" customHeight="1">
      <c r="A76" s="26"/>
      <c r="B76" s="59"/>
      <c r="C76" s="59"/>
      <c r="D76" s="59"/>
      <c r="E76" s="59"/>
      <c r="F76" s="59"/>
      <c r="H76" s="59"/>
      <c r="I76" s="59"/>
      <c r="J76" s="59"/>
    </row>
    <row r="77" ht="12.75" customHeight="1">
      <c r="A77" s="26"/>
      <c r="B77" s="59"/>
      <c r="C77" s="59"/>
      <c r="D77" s="59"/>
      <c r="E77" s="59"/>
      <c r="F77" s="59"/>
      <c r="H77" s="59"/>
      <c r="I77" s="59"/>
      <c r="J77" s="59"/>
    </row>
    <row r="78" ht="12.75" customHeight="1">
      <c r="A78" s="26"/>
      <c r="B78" s="59"/>
      <c r="C78" s="59"/>
      <c r="D78" s="59"/>
      <c r="E78" s="59"/>
      <c r="F78" s="59"/>
      <c r="H78" s="59"/>
      <c r="I78" s="59"/>
      <c r="J78" s="59"/>
    </row>
    <row r="79" ht="12.75" customHeight="1">
      <c r="A79" s="26"/>
      <c r="B79" s="59"/>
      <c r="C79" s="59"/>
      <c r="D79" s="59"/>
      <c r="E79" s="59"/>
      <c r="F79" s="59"/>
      <c r="H79" s="59"/>
      <c r="I79" s="59"/>
      <c r="J79" s="59"/>
    </row>
    <row r="80" ht="12.75" customHeight="1">
      <c r="A80" s="26"/>
      <c r="B80" s="59"/>
      <c r="C80" s="59"/>
      <c r="D80" s="59"/>
      <c r="E80" s="59"/>
      <c r="F80" s="59"/>
      <c r="H80" s="59"/>
      <c r="I80" s="59"/>
      <c r="J80" s="59"/>
    </row>
    <row r="81" ht="12.75" customHeight="1">
      <c r="A81" s="26"/>
      <c r="B81" s="59"/>
      <c r="C81" s="59"/>
      <c r="D81" s="59"/>
      <c r="E81" s="59"/>
      <c r="F81" s="59"/>
      <c r="H81" s="59"/>
      <c r="I81" s="59"/>
      <c r="J81" s="59"/>
    </row>
    <row r="82" ht="12.75" customHeight="1">
      <c r="A82" s="26"/>
      <c r="B82" s="59"/>
      <c r="C82" s="59"/>
      <c r="D82" s="59"/>
      <c r="E82" s="59"/>
      <c r="F82" s="59"/>
      <c r="H82" s="59"/>
      <c r="I82" s="59"/>
      <c r="J82" s="59"/>
    </row>
    <row r="83" ht="12.75" customHeight="1">
      <c r="A83" s="26"/>
      <c r="B83" s="59"/>
      <c r="C83" s="59"/>
      <c r="D83" s="59"/>
      <c r="E83" s="59"/>
      <c r="F83" s="59"/>
      <c r="H83" s="59"/>
      <c r="I83" s="59"/>
      <c r="J83" s="59"/>
    </row>
    <row r="84" ht="12.75" customHeight="1">
      <c r="A84" s="26"/>
      <c r="B84" s="59"/>
      <c r="C84" s="59"/>
      <c r="D84" s="59"/>
      <c r="E84" s="59"/>
      <c r="F84" s="59"/>
      <c r="H84" s="59"/>
      <c r="I84" s="59"/>
      <c r="J84" s="59"/>
    </row>
    <row r="85" ht="12.75" customHeight="1">
      <c r="A85" s="26"/>
      <c r="B85" s="59"/>
      <c r="C85" s="59"/>
      <c r="D85" s="59"/>
      <c r="E85" s="59"/>
      <c r="F85" s="59"/>
      <c r="H85" s="59"/>
      <c r="I85" s="59"/>
      <c r="J85" s="59"/>
    </row>
    <row r="86" ht="12.75" customHeight="1">
      <c r="A86" s="26"/>
      <c r="B86" s="59"/>
      <c r="C86" s="59"/>
      <c r="D86" s="59"/>
      <c r="E86" s="59"/>
      <c r="F86" s="59"/>
      <c r="H86" s="59"/>
      <c r="I86" s="59"/>
      <c r="J86" s="59"/>
    </row>
    <row r="87" ht="12.75" customHeight="1">
      <c r="A87" s="26"/>
      <c r="B87" s="59"/>
      <c r="C87" s="59"/>
      <c r="D87" s="59"/>
      <c r="E87" s="59"/>
      <c r="F87" s="59"/>
      <c r="H87" s="59"/>
      <c r="I87" s="59"/>
      <c r="J87" s="59"/>
    </row>
    <row r="88" ht="12.75" customHeight="1">
      <c r="A88" s="26"/>
      <c r="B88" s="59"/>
      <c r="C88" s="59"/>
      <c r="D88" s="59"/>
      <c r="E88" s="59"/>
      <c r="F88" s="59"/>
      <c r="H88" s="59"/>
      <c r="I88" s="59"/>
      <c r="J88" s="59"/>
    </row>
    <row r="89" ht="12.75" customHeight="1">
      <c r="A89" s="26"/>
      <c r="B89" s="59"/>
      <c r="C89" s="59"/>
      <c r="D89" s="59"/>
      <c r="E89" s="59"/>
      <c r="F89" s="59"/>
      <c r="H89" s="59"/>
      <c r="I89" s="59"/>
      <c r="J89" s="59"/>
    </row>
    <row r="90" ht="12.75" customHeight="1">
      <c r="A90" s="26"/>
      <c r="B90" s="59"/>
      <c r="C90" s="59"/>
      <c r="D90" s="59"/>
      <c r="E90" s="59"/>
      <c r="F90" s="59"/>
      <c r="H90" s="59"/>
      <c r="I90" s="59"/>
      <c r="J90" s="59"/>
    </row>
    <row r="91" ht="12.75" customHeight="1">
      <c r="A91" s="26"/>
      <c r="B91" s="59"/>
      <c r="C91" s="59"/>
      <c r="D91" s="59"/>
      <c r="E91" s="59"/>
      <c r="F91" s="59"/>
      <c r="H91" s="59"/>
      <c r="I91" s="59"/>
      <c r="J91" s="59"/>
    </row>
    <row r="92" ht="12.75" customHeight="1">
      <c r="A92" s="26"/>
      <c r="B92" s="59"/>
      <c r="C92" s="59"/>
      <c r="D92" s="59"/>
      <c r="E92" s="59"/>
      <c r="F92" s="59"/>
      <c r="H92" s="59"/>
      <c r="I92" s="59"/>
      <c r="J92" s="59"/>
    </row>
    <row r="93" ht="12.75" customHeight="1">
      <c r="A93" s="26"/>
      <c r="B93" s="59"/>
      <c r="C93" s="59"/>
      <c r="D93" s="59"/>
      <c r="E93" s="59"/>
      <c r="F93" s="59"/>
      <c r="H93" s="59"/>
      <c r="I93" s="59"/>
      <c r="J93" s="59"/>
    </row>
    <row r="94" ht="12.75" customHeight="1">
      <c r="A94" s="26"/>
      <c r="B94" s="59"/>
      <c r="C94" s="59"/>
      <c r="D94" s="59"/>
      <c r="E94" s="59"/>
      <c r="F94" s="59"/>
      <c r="H94" s="59"/>
      <c r="I94" s="59"/>
      <c r="J94" s="59"/>
    </row>
    <row r="95" ht="12.75" customHeight="1">
      <c r="A95" s="26"/>
      <c r="B95" s="59"/>
      <c r="C95" s="59"/>
      <c r="D95" s="59"/>
      <c r="E95" s="59"/>
      <c r="F95" s="59"/>
      <c r="H95" s="59"/>
      <c r="I95" s="59"/>
      <c r="J95" s="59"/>
    </row>
    <row r="96" ht="12.75" customHeight="1">
      <c r="A96" s="26"/>
      <c r="B96" s="59"/>
      <c r="C96" s="59"/>
      <c r="D96" s="59"/>
      <c r="E96" s="59"/>
      <c r="F96" s="59"/>
      <c r="H96" s="59"/>
      <c r="I96" s="59"/>
      <c r="J96" s="59"/>
    </row>
    <row r="97" ht="12.75" customHeight="1">
      <c r="A97" s="26"/>
      <c r="B97" s="59"/>
      <c r="C97" s="59"/>
      <c r="D97" s="59"/>
      <c r="E97" s="59"/>
      <c r="F97" s="59"/>
      <c r="H97" s="59"/>
      <c r="I97" s="59"/>
      <c r="J97" s="59"/>
    </row>
    <row r="98" ht="12.75" customHeight="1">
      <c r="A98" s="26"/>
      <c r="B98" s="59"/>
      <c r="C98" s="59"/>
      <c r="D98" s="59"/>
      <c r="E98" s="59"/>
      <c r="F98" s="59"/>
      <c r="H98" s="59"/>
      <c r="I98" s="59"/>
      <c r="J98" s="59"/>
    </row>
    <row r="99" ht="12.75" customHeight="1">
      <c r="A99" s="26"/>
      <c r="B99" s="59"/>
      <c r="C99" s="59"/>
      <c r="D99" s="59"/>
      <c r="E99" s="59"/>
      <c r="F99" s="59"/>
      <c r="H99" s="59"/>
      <c r="I99" s="59"/>
      <c r="J99" s="59"/>
    </row>
    <row r="100" ht="12.75" customHeight="1">
      <c r="A100" s="26"/>
      <c r="B100" s="59"/>
      <c r="C100" s="59"/>
      <c r="D100" s="59"/>
      <c r="E100" s="59"/>
      <c r="F100" s="59"/>
      <c r="H100" s="59"/>
      <c r="I100" s="59"/>
      <c r="J100" s="59"/>
    </row>
    <row r="101" ht="12.75" customHeight="1">
      <c r="A101" s="26"/>
      <c r="B101" s="59"/>
      <c r="C101" s="59"/>
      <c r="D101" s="59"/>
      <c r="E101" s="59"/>
      <c r="F101" s="59"/>
      <c r="H101" s="59"/>
      <c r="I101" s="59"/>
      <c r="J101" s="59"/>
    </row>
    <row r="102" ht="12.75" customHeight="1">
      <c r="A102" s="26"/>
      <c r="B102" s="59"/>
      <c r="C102" s="59"/>
      <c r="D102" s="59"/>
      <c r="E102" s="59"/>
      <c r="F102" s="59"/>
      <c r="H102" s="59"/>
      <c r="I102" s="59"/>
      <c r="J102" s="59"/>
    </row>
    <row r="103" ht="12.75" customHeight="1">
      <c r="A103" s="26"/>
      <c r="B103" s="59"/>
      <c r="C103" s="59"/>
      <c r="D103" s="59"/>
      <c r="E103" s="59"/>
      <c r="F103" s="59"/>
      <c r="H103" s="59"/>
      <c r="I103" s="59"/>
      <c r="J103" s="59"/>
    </row>
    <row r="104" ht="12.75" customHeight="1">
      <c r="A104" s="26"/>
      <c r="B104" s="59"/>
      <c r="C104" s="59"/>
      <c r="D104" s="59"/>
      <c r="E104" s="59"/>
      <c r="F104" s="59"/>
      <c r="H104" s="59"/>
      <c r="I104" s="59"/>
      <c r="J104" s="59"/>
    </row>
    <row r="105" ht="12.75" customHeight="1">
      <c r="A105" s="26"/>
      <c r="B105" s="59"/>
      <c r="C105" s="59"/>
      <c r="D105" s="59"/>
      <c r="E105" s="59"/>
      <c r="F105" s="59"/>
      <c r="H105" s="59"/>
      <c r="I105" s="59"/>
      <c r="J105" s="59"/>
    </row>
    <row r="106" ht="12.75" customHeight="1">
      <c r="A106" s="26"/>
      <c r="B106" s="59"/>
      <c r="C106" s="59"/>
      <c r="D106" s="59"/>
      <c r="E106" s="59"/>
      <c r="F106" s="59"/>
      <c r="H106" s="59"/>
      <c r="I106" s="59"/>
      <c r="J106" s="59"/>
    </row>
    <row r="107" ht="12.75" customHeight="1">
      <c r="A107" s="26"/>
      <c r="B107" s="59"/>
      <c r="C107" s="59"/>
      <c r="D107" s="59"/>
      <c r="E107" s="59"/>
      <c r="F107" s="59"/>
      <c r="H107" s="59"/>
      <c r="I107" s="59"/>
      <c r="J107" s="59"/>
    </row>
    <row r="108" ht="12.75" customHeight="1">
      <c r="A108" s="26"/>
      <c r="B108" s="59"/>
      <c r="C108" s="59"/>
      <c r="D108" s="59"/>
      <c r="E108" s="59"/>
      <c r="F108" s="59"/>
      <c r="H108" s="59"/>
      <c r="I108" s="59"/>
      <c r="J108" s="59"/>
    </row>
    <row r="109" ht="12.75" customHeight="1">
      <c r="A109" s="26"/>
      <c r="B109" s="59"/>
      <c r="C109" s="59"/>
      <c r="D109" s="59"/>
      <c r="E109" s="59"/>
      <c r="F109" s="59"/>
      <c r="H109" s="59"/>
      <c r="I109" s="59"/>
      <c r="J109" s="59"/>
    </row>
    <row r="110" ht="12.75" customHeight="1">
      <c r="A110" s="26"/>
      <c r="B110" s="59"/>
      <c r="C110" s="59"/>
      <c r="D110" s="59"/>
      <c r="E110" s="59"/>
      <c r="F110" s="59"/>
      <c r="H110" s="59"/>
      <c r="I110" s="59"/>
      <c r="J110" s="59"/>
    </row>
    <row r="111" ht="12.75" customHeight="1">
      <c r="A111" s="26"/>
      <c r="B111" s="59"/>
      <c r="C111" s="59"/>
      <c r="D111" s="59"/>
      <c r="E111" s="59"/>
      <c r="F111" s="59"/>
      <c r="H111" s="59"/>
      <c r="I111" s="59"/>
      <c r="J111" s="59"/>
    </row>
    <row r="112" ht="12.75" customHeight="1">
      <c r="A112" s="26"/>
      <c r="B112" s="59"/>
      <c r="C112" s="59"/>
      <c r="D112" s="59"/>
      <c r="E112" s="59"/>
      <c r="F112" s="59"/>
      <c r="H112" s="59"/>
      <c r="I112" s="59"/>
      <c r="J112" s="59"/>
    </row>
    <row r="113" ht="12.75" customHeight="1">
      <c r="A113" s="26"/>
      <c r="B113" s="59"/>
      <c r="C113" s="59"/>
      <c r="D113" s="59"/>
      <c r="E113" s="59"/>
      <c r="F113" s="59"/>
      <c r="H113" s="59"/>
      <c r="I113" s="59"/>
      <c r="J113" s="59"/>
    </row>
    <row r="114" ht="12.75" customHeight="1">
      <c r="A114" s="26"/>
      <c r="B114" s="59"/>
      <c r="C114" s="59"/>
      <c r="D114" s="59"/>
      <c r="E114" s="59"/>
      <c r="F114" s="59"/>
      <c r="H114" s="59"/>
      <c r="I114" s="59"/>
      <c r="J114" s="59"/>
    </row>
    <row r="115" ht="12.75" customHeight="1">
      <c r="A115" s="26"/>
      <c r="B115" s="59"/>
      <c r="C115" s="59"/>
      <c r="D115" s="59"/>
      <c r="E115" s="59"/>
      <c r="F115" s="59"/>
      <c r="H115" s="59"/>
      <c r="I115" s="59"/>
      <c r="J115" s="59"/>
    </row>
    <row r="116" ht="12.75" customHeight="1">
      <c r="A116" s="26"/>
      <c r="B116" s="59"/>
      <c r="C116" s="59"/>
      <c r="D116" s="59"/>
      <c r="E116" s="59"/>
      <c r="F116" s="59"/>
      <c r="H116" s="59"/>
      <c r="I116" s="59"/>
      <c r="J116" s="59"/>
    </row>
    <row r="117" ht="12.75" customHeight="1">
      <c r="A117" s="26"/>
      <c r="B117" s="59"/>
      <c r="C117" s="59"/>
      <c r="D117" s="59"/>
      <c r="E117" s="59"/>
      <c r="F117" s="59"/>
      <c r="H117" s="59"/>
      <c r="I117" s="59"/>
      <c r="J117" s="59"/>
    </row>
    <row r="118" ht="12.75" customHeight="1">
      <c r="A118" s="26"/>
      <c r="B118" s="59"/>
      <c r="C118" s="59"/>
      <c r="D118" s="59"/>
      <c r="E118" s="59"/>
      <c r="F118" s="59"/>
      <c r="H118" s="59"/>
      <c r="I118" s="59"/>
      <c r="J118" s="59"/>
    </row>
    <row r="119" ht="12.75" customHeight="1">
      <c r="A119" s="26"/>
      <c r="B119" s="59"/>
      <c r="C119" s="59"/>
      <c r="D119" s="59"/>
      <c r="E119" s="59"/>
      <c r="F119" s="59"/>
      <c r="H119" s="59"/>
      <c r="I119" s="59"/>
      <c r="J119" s="59"/>
    </row>
    <row r="120" ht="12.75" customHeight="1">
      <c r="A120" s="26"/>
      <c r="B120" s="59"/>
      <c r="C120" s="59"/>
      <c r="D120" s="59"/>
      <c r="E120" s="59"/>
      <c r="F120" s="59"/>
      <c r="H120" s="59"/>
      <c r="I120" s="59"/>
      <c r="J120" s="59"/>
    </row>
    <row r="121" ht="12.75" customHeight="1">
      <c r="A121" s="26"/>
      <c r="B121" s="59"/>
      <c r="C121" s="59"/>
      <c r="D121" s="59"/>
      <c r="E121" s="59"/>
      <c r="F121" s="59"/>
      <c r="H121" s="59"/>
      <c r="I121" s="59"/>
      <c r="J121" s="59"/>
    </row>
    <row r="122" ht="12.75" customHeight="1">
      <c r="A122" s="26"/>
      <c r="B122" s="59"/>
      <c r="C122" s="59"/>
      <c r="D122" s="59"/>
      <c r="E122" s="59"/>
      <c r="F122" s="59"/>
      <c r="H122" s="59"/>
      <c r="I122" s="59"/>
      <c r="J122" s="59"/>
    </row>
    <row r="123" ht="12.75" customHeight="1">
      <c r="A123" s="26"/>
      <c r="B123" s="59"/>
      <c r="C123" s="59"/>
      <c r="D123" s="59"/>
      <c r="E123" s="59"/>
      <c r="F123" s="59"/>
      <c r="H123" s="59"/>
      <c r="I123" s="59"/>
      <c r="J123" s="59"/>
    </row>
    <row r="124" ht="12.75" customHeight="1">
      <c r="A124" s="26"/>
      <c r="B124" s="59"/>
      <c r="C124" s="59"/>
      <c r="D124" s="59"/>
      <c r="E124" s="59"/>
      <c r="F124" s="59"/>
      <c r="H124" s="59"/>
      <c r="I124" s="59"/>
      <c r="J124" s="59"/>
    </row>
    <row r="125" ht="12.75" customHeight="1">
      <c r="A125" s="26"/>
      <c r="B125" s="59"/>
      <c r="C125" s="59"/>
      <c r="D125" s="59"/>
      <c r="E125" s="59"/>
      <c r="F125" s="59"/>
      <c r="H125" s="59"/>
      <c r="I125" s="59"/>
      <c r="J125" s="59"/>
    </row>
    <row r="126" ht="12.75" customHeight="1">
      <c r="A126" s="26"/>
      <c r="B126" s="59"/>
      <c r="C126" s="59"/>
      <c r="D126" s="59"/>
      <c r="E126" s="59"/>
      <c r="F126" s="59"/>
      <c r="H126" s="59"/>
      <c r="I126" s="59"/>
      <c r="J126" s="59"/>
    </row>
    <row r="127" ht="12.75" customHeight="1">
      <c r="A127" s="26"/>
      <c r="B127" s="59"/>
      <c r="C127" s="59"/>
      <c r="D127" s="59"/>
      <c r="E127" s="59"/>
      <c r="F127" s="59"/>
      <c r="H127" s="59"/>
      <c r="I127" s="59"/>
      <c r="J127" s="59"/>
    </row>
    <row r="128" ht="12.75" customHeight="1">
      <c r="A128" s="26"/>
      <c r="B128" s="59"/>
      <c r="C128" s="59"/>
      <c r="D128" s="59"/>
      <c r="E128" s="59"/>
      <c r="F128" s="59"/>
      <c r="H128" s="59"/>
      <c r="I128" s="59"/>
      <c r="J128" s="59"/>
    </row>
    <row r="129" ht="12.75" customHeight="1">
      <c r="A129" s="26"/>
      <c r="B129" s="59"/>
      <c r="C129" s="59"/>
      <c r="D129" s="59"/>
      <c r="E129" s="59"/>
      <c r="F129" s="59"/>
      <c r="H129" s="59"/>
      <c r="I129" s="59"/>
      <c r="J129" s="59"/>
    </row>
    <row r="130" ht="12.75" customHeight="1">
      <c r="A130" s="26"/>
      <c r="B130" s="59"/>
      <c r="C130" s="59"/>
      <c r="D130" s="59"/>
      <c r="E130" s="59"/>
      <c r="F130" s="59"/>
      <c r="H130" s="59"/>
      <c r="I130" s="59"/>
      <c r="J130" s="59"/>
    </row>
    <row r="131" ht="12.75" customHeight="1">
      <c r="A131" s="26"/>
      <c r="B131" s="59"/>
      <c r="C131" s="59"/>
      <c r="D131" s="59"/>
      <c r="E131" s="59"/>
      <c r="F131" s="59"/>
      <c r="H131" s="59"/>
      <c r="I131" s="59"/>
      <c r="J131" s="59"/>
    </row>
    <row r="132" ht="12.75" customHeight="1">
      <c r="A132" s="26"/>
      <c r="B132" s="59"/>
      <c r="C132" s="59"/>
      <c r="D132" s="59"/>
      <c r="E132" s="59"/>
      <c r="F132" s="59"/>
      <c r="H132" s="59"/>
      <c r="I132" s="59"/>
      <c r="J132" s="59"/>
    </row>
    <row r="133" ht="12.75" customHeight="1">
      <c r="A133" s="26"/>
      <c r="B133" s="59"/>
      <c r="C133" s="59"/>
      <c r="D133" s="59"/>
      <c r="E133" s="59"/>
      <c r="F133" s="59"/>
      <c r="H133" s="59"/>
      <c r="I133" s="59"/>
      <c r="J133" s="59"/>
    </row>
    <row r="134" ht="12.75" customHeight="1">
      <c r="A134" s="26"/>
      <c r="B134" s="59"/>
      <c r="C134" s="59"/>
      <c r="D134" s="59"/>
      <c r="E134" s="59"/>
      <c r="F134" s="59"/>
      <c r="H134" s="59"/>
      <c r="I134" s="59"/>
      <c r="J134" s="59"/>
    </row>
    <row r="135" ht="12.75" customHeight="1">
      <c r="A135" s="26"/>
      <c r="B135" s="59"/>
      <c r="C135" s="59"/>
      <c r="D135" s="59"/>
      <c r="E135" s="59"/>
      <c r="F135" s="59"/>
      <c r="H135" s="59"/>
      <c r="I135" s="59"/>
      <c r="J135" s="59"/>
    </row>
    <row r="136" ht="12.75" customHeight="1">
      <c r="A136" s="26"/>
      <c r="B136" s="59"/>
      <c r="C136" s="59"/>
      <c r="D136" s="59"/>
      <c r="E136" s="59"/>
      <c r="F136" s="59"/>
      <c r="H136" s="59"/>
      <c r="I136" s="59"/>
      <c r="J136" s="59"/>
    </row>
    <row r="137" ht="12.75" customHeight="1">
      <c r="A137" s="26"/>
      <c r="B137" s="59"/>
      <c r="C137" s="59"/>
      <c r="D137" s="59"/>
      <c r="E137" s="59"/>
      <c r="F137" s="59"/>
      <c r="H137" s="59"/>
      <c r="I137" s="59"/>
      <c r="J137" s="59"/>
    </row>
    <row r="138" ht="12.75" customHeight="1">
      <c r="A138" s="26"/>
      <c r="B138" s="59"/>
      <c r="C138" s="59"/>
      <c r="D138" s="59"/>
      <c r="E138" s="59"/>
      <c r="F138" s="59"/>
      <c r="H138" s="59"/>
      <c r="I138" s="59"/>
      <c r="J138" s="59"/>
    </row>
    <row r="139" ht="12.75" customHeight="1">
      <c r="A139" s="26"/>
      <c r="B139" s="59"/>
      <c r="C139" s="59"/>
      <c r="D139" s="59"/>
      <c r="E139" s="59"/>
      <c r="F139" s="59"/>
      <c r="H139" s="59"/>
      <c r="I139" s="59"/>
      <c r="J139" s="59"/>
    </row>
    <row r="140" ht="12.75" customHeight="1">
      <c r="A140" s="26"/>
      <c r="B140" s="59"/>
      <c r="C140" s="59"/>
      <c r="D140" s="59"/>
      <c r="E140" s="59"/>
      <c r="F140" s="59"/>
      <c r="H140" s="59"/>
      <c r="I140" s="59"/>
      <c r="J140" s="59"/>
    </row>
    <row r="141" ht="12.75" customHeight="1">
      <c r="A141" s="26"/>
      <c r="B141" s="59"/>
      <c r="C141" s="59"/>
      <c r="D141" s="59"/>
      <c r="E141" s="59"/>
      <c r="F141" s="59"/>
      <c r="H141" s="59"/>
      <c r="I141" s="59"/>
      <c r="J141" s="59"/>
    </row>
    <row r="142" ht="12.75" customHeight="1">
      <c r="A142" s="26"/>
      <c r="B142" s="59"/>
      <c r="C142" s="59"/>
      <c r="D142" s="59"/>
      <c r="E142" s="59"/>
      <c r="F142" s="59"/>
      <c r="H142" s="59"/>
      <c r="I142" s="59"/>
      <c r="J142" s="59"/>
    </row>
    <row r="143" ht="12.75" customHeight="1">
      <c r="A143" s="26"/>
      <c r="B143" s="59"/>
      <c r="C143" s="59"/>
      <c r="D143" s="59"/>
      <c r="E143" s="59"/>
      <c r="F143" s="59"/>
      <c r="H143" s="59"/>
      <c r="I143" s="59"/>
      <c r="J143" s="59"/>
    </row>
    <row r="144" ht="12.75" customHeight="1">
      <c r="A144" s="26"/>
      <c r="B144" s="59"/>
      <c r="C144" s="59"/>
      <c r="D144" s="59"/>
      <c r="E144" s="59"/>
      <c r="F144" s="59"/>
      <c r="H144" s="59"/>
      <c r="I144" s="59"/>
      <c r="J144" s="59"/>
    </row>
    <row r="145" ht="12.75" customHeight="1">
      <c r="A145" s="26"/>
      <c r="B145" s="59"/>
      <c r="C145" s="59"/>
      <c r="D145" s="59"/>
      <c r="E145" s="59"/>
      <c r="F145" s="59"/>
      <c r="H145" s="59"/>
      <c r="I145" s="59"/>
      <c r="J145" s="59"/>
    </row>
    <row r="146" ht="12.75" customHeight="1">
      <c r="A146" s="26"/>
      <c r="B146" s="59"/>
      <c r="C146" s="59"/>
      <c r="D146" s="59"/>
      <c r="E146" s="59"/>
      <c r="F146" s="59"/>
      <c r="H146" s="59"/>
      <c r="I146" s="59"/>
      <c r="J146" s="59"/>
    </row>
    <row r="147" ht="12.75" customHeight="1">
      <c r="A147" s="26"/>
      <c r="B147" s="59"/>
      <c r="C147" s="59"/>
      <c r="D147" s="59"/>
      <c r="E147" s="59"/>
      <c r="F147" s="59"/>
      <c r="H147" s="59"/>
      <c r="I147" s="59"/>
      <c r="J147" s="59"/>
    </row>
    <row r="148" ht="12.75" customHeight="1">
      <c r="A148" s="26"/>
      <c r="B148" s="59"/>
      <c r="C148" s="59"/>
      <c r="D148" s="59"/>
      <c r="E148" s="59"/>
      <c r="F148" s="59"/>
      <c r="H148" s="59"/>
      <c r="I148" s="59"/>
      <c r="J148" s="59"/>
    </row>
    <row r="149" ht="12.75" customHeight="1">
      <c r="A149" s="26"/>
      <c r="B149" s="59"/>
      <c r="C149" s="59"/>
      <c r="D149" s="59"/>
      <c r="E149" s="59"/>
      <c r="F149" s="59"/>
      <c r="H149" s="59"/>
      <c r="I149" s="59"/>
      <c r="J149" s="59"/>
    </row>
    <row r="150" ht="12.75" customHeight="1">
      <c r="A150" s="26"/>
      <c r="B150" s="59"/>
      <c r="C150" s="59"/>
      <c r="D150" s="59"/>
      <c r="E150" s="59"/>
      <c r="F150" s="59"/>
      <c r="H150" s="59"/>
      <c r="I150" s="59"/>
      <c r="J150" s="59"/>
    </row>
    <row r="151" ht="12.75" customHeight="1">
      <c r="A151" s="26"/>
      <c r="B151" s="59"/>
      <c r="C151" s="59"/>
      <c r="D151" s="59"/>
      <c r="E151" s="59"/>
      <c r="F151" s="59"/>
      <c r="H151" s="59"/>
      <c r="I151" s="59"/>
      <c r="J151" s="59"/>
    </row>
    <row r="152" ht="12.75" customHeight="1">
      <c r="A152" s="26"/>
      <c r="B152" s="59"/>
      <c r="C152" s="59"/>
      <c r="D152" s="59"/>
      <c r="E152" s="59"/>
      <c r="F152" s="59"/>
      <c r="H152" s="59"/>
      <c r="I152" s="59"/>
      <c r="J152" s="59"/>
    </row>
    <row r="153" ht="12.75" customHeight="1">
      <c r="A153" s="26"/>
      <c r="B153" s="59"/>
      <c r="C153" s="59"/>
      <c r="D153" s="59"/>
      <c r="E153" s="59"/>
      <c r="F153" s="59"/>
      <c r="H153" s="59"/>
      <c r="I153" s="59"/>
      <c r="J153" s="59"/>
    </row>
    <row r="154" ht="12.75" customHeight="1">
      <c r="A154" s="26"/>
      <c r="B154" s="59"/>
      <c r="C154" s="59"/>
      <c r="D154" s="59"/>
      <c r="E154" s="59"/>
      <c r="F154" s="59"/>
      <c r="H154" s="59"/>
      <c r="I154" s="59"/>
      <c r="J154" s="59"/>
    </row>
    <row r="155" ht="12.75" customHeight="1">
      <c r="A155" s="26"/>
      <c r="B155" s="59"/>
      <c r="C155" s="59"/>
      <c r="D155" s="59"/>
      <c r="E155" s="59"/>
      <c r="F155" s="59"/>
      <c r="H155" s="59"/>
      <c r="I155" s="59"/>
      <c r="J155" s="59"/>
    </row>
    <row r="156" ht="12.75" customHeight="1">
      <c r="A156" s="26"/>
      <c r="B156" s="59"/>
      <c r="C156" s="59"/>
      <c r="D156" s="59"/>
      <c r="E156" s="59"/>
      <c r="F156" s="59"/>
      <c r="H156" s="59"/>
      <c r="I156" s="59"/>
      <c r="J156" s="59"/>
    </row>
    <row r="157" ht="12.75" customHeight="1">
      <c r="A157" s="26"/>
      <c r="B157" s="59"/>
      <c r="C157" s="59"/>
      <c r="D157" s="59"/>
      <c r="E157" s="59"/>
      <c r="F157" s="59"/>
      <c r="H157" s="59"/>
      <c r="I157" s="59"/>
      <c r="J157" s="59"/>
    </row>
    <row r="158" ht="12.75" customHeight="1">
      <c r="A158" s="26"/>
      <c r="B158" s="59"/>
      <c r="C158" s="59"/>
      <c r="D158" s="59"/>
      <c r="E158" s="59"/>
      <c r="F158" s="59"/>
      <c r="H158" s="59"/>
      <c r="I158" s="59"/>
      <c r="J158" s="59"/>
    </row>
    <row r="159" ht="12.75" customHeight="1">
      <c r="A159" s="26"/>
      <c r="B159" s="59"/>
      <c r="C159" s="59"/>
      <c r="D159" s="59"/>
      <c r="E159" s="59"/>
      <c r="F159" s="59"/>
      <c r="H159" s="59"/>
      <c r="I159" s="59"/>
      <c r="J159" s="59"/>
    </row>
    <row r="160" ht="12.75" customHeight="1">
      <c r="A160" s="26"/>
      <c r="B160" s="59"/>
      <c r="C160" s="59"/>
      <c r="D160" s="59"/>
      <c r="E160" s="59"/>
      <c r="F160" s="59"/>
      <c r="H160" s="59"/>
      <c r="I160" s="59"/>
      <c r="J160" s="59"/>
    </row>
    <row r="161" ht="12.75" customHeight="1">
      <c r="A161" s="26"/>
      <c r="B161" s="59"/>
      <c r="C161" s="59"/>
      <c r="D161" s="59"/>
      <c r="E161" s="59"/>
      <c r="F161" s="59"/>
      <c r="H161" s="59"/>
      <c r="I161" s="59"/>
      <c r="J161" s="59"/>
    </row>
    <row r="162" ht="12.75" customHeight="1">
      <c r="A162" s="26"/>
      <c r="B162" s="59"/>
      <c r="C162" s="59"/>
      <c r="D162" s="59"/>
      <c r="E162" s="59"/>
      <c r="F162" s="59"/>
      <c r="H162" s="59"/>
      <c r="I162" s="59"/>
      <c r="J162" s="59"/>
    </row>
    <row r="163" ht="12.75" customHeight="1">
      <c r="A163" s="26"/>
      <c r="B163" s="59"/>
      <c r="C163" s="59"/>
      <c r="D163" s="59"/>
      <c r="E163" s="59"/>
      <c r="F163" s="59"/>
      <c r="H163" s="59"/>
      <c r="I163" s="59"/>
      <c r="J163" s="59"/>
    </row>
    <row r="164" ht="12.75" customHeight="1">
      <c r="A164" s="26"/>
      <c r="B164" s="59"/>
      <c r="C164" s="59"/>
      <c r="D164" s="59"/>
      <c r="E164" s="59"/>
      <c r="F164" s="59"/>
      <c r="H164" s="59"/>
      <c r="I164" s="59"/>
      <c r="J164" s="59"/>
    </row>
    <row r="165" ht="12.75" customHeight="1">
      <c r="A165" s="26"/>
      <c r="B165" s="59"/>
      <c r="C165" s="59"/>
      <c r="D165" s="59"/>
      <c r="E165" s="59"/>
      <c r="F165" s="59"/>
      <c r="H165" s="59"/>
      <c r="I165" s="59"/>
      <c r="J165" s="59"/>
    </row>
    <row r="166" ht="12.75" customHeight="1">
      <c r="A166" s="26"/>
      <c r="B166" s="59"/>
      <c r="C166" s="59"/>
      <c r="D166" s="59"/>
      <c r="E166" s="59"/>
      <c r="F166" s="59"/>
      <c r="H166" s="59"/>
      <c r="I166" s="59"/>
      <c r="J166" s="59"/>
    </row>
    <row r="167" ht="12.75" customHeight="1">
      <c r="A167" s="26"/>
      <c r="B167" s="59"/>
      <c r="C167" s="59"/>
      <c r="D167" s="59"/>
      <c r="E167" s="59"/>
      <c r="F167" s="59"/>
      <c r="H167" s="59"/>
      <c r="I167" s="59"/>
      <c r="J167" s="59"/>
    </row>
    <row r="168" ht="12.75" customHeight="1">
      <c r="A168" s="26"/>
      <c r="B168" s="59"/>
      <c r="C168" s="59"/>
      <c r="D168" s="59"/>
      <c r="E168" s="59"/>
      <c r="F168" s="59"/>
      <c r="H168" s="59"/>
      <c r="I168" s="59"/>
      <c r="J168" s="59"/>
    </row>
    <row r="169" ht="12.75" customHeight="1">
      <c r="A169" s="26"/>
      <c r="B169" s="59"/>
      <c r="C169" s="59"/>
      <c r="D169" s="59"/>
      <c r="E169" s="59"/>
      <c r="F169" s="59"/>
      <c r="H169" s="59"/>
      <c r="I169" s="59"/>
      <c r="J169" s="59"/>
    </row>
    <row r="170" ht="12.75" customHeight="1">
      <c r="A170" s="26"/>
      <c r="B170" s="59"/>
      <c r="C170" s="59"/>
      <c r="D170" s="59"/>
      <c r="E170" s="59"/>
      <c r="F170" s="59"/>
      <c r="H170" s="59"/>
      <c r="I170" s="59"/>
      <c r="J170" s="59"/>
    </row>
    <row r="171" ht="12.75" customHeight="1">
      <c r="A171" s="26"/>
      <c r="B171" s="59"/>
      <c r="C171" s="59"/>
      <c r="D171" s="59"/>
      <c r="E171" s="59"/>
      <c r="F171" s="59"/>
      <c r="H171" s="59"/>
      <c r="I171" s="59"/>
      <c r="J171" s="59"/>
    </row>
    <row r="172" ht="12.75" customHeight="1">
      <c r="A172" s="26"/>
      <c r="B172" s="59"/>
      <c r="C172" s="59"/>
      <c r="D172" s="59"/>
      <c r="E172" s="59"/>
      <c r="F172" s="59"/>
      <c r="H172" s="59"/>
      <c r="I172" s="59"/>
      <c r="J172" s="59"/>
    </row>
    <row r="173" ht="12.75" customHeight="1">
      <c r="A173" s="26"/>
      <c r="B173" s="59"/>
      <c r="C173" s="59"/>
      <c r="D173" s="59"/>
      <c r="E173" s="59"/>
      <c r="F173" s="59"/>
      <c r="H173" s="59"/>
      <c r="I173" s="59"/>
      <c r="J173" s="59"/>
    </row>
    <row r="174" ht="12.75" customHeight="1">
      <c r="A174" s="26"/>
      <c r="B174" s="59"/>
      <c r="C174" s="59"/>
      <c r="D174" s="59"/>
      <c r="E174" s="59"/>
      <c r="F174" s="59"/>
      <c r="H174" s="59"/>
      <c r="I174" s="59"/>
      <c r="J174" s="59"/>
    </row>
    <row r="175" ht="12.75" customHeight="1">
      <c r="A175" s="26"/>
      <c r="B175" s="59"/>
      <c r="C175" s="59"/>
      <c r="D175" s="59"/>
      <c r="E175" s="59"/>
      <c r="F175" s="59"/>
      <c r="H175" s="59"/>
      <c r="I175" s="59"/>
      <c r="J175" s="59"/>
    </row>
    <row r="176" ht="12.75" customHeight="1">
      <c r="A176" s="26"/>
      <c r="B176" s="59"/>
      <c r="C176" s="59"/>
      <c r="D176" s="59"/>
      <c r="E176" s="59"/>
      <c r="F176" s="59"/>
      <c r="H176" s="59"/>
      <c r="I176" s="59"/>
      <c r="J176" s="59"/>
    </row>
    <row r="177" ht="12.75" customHeight="1">
      <c r="A177" s="26"/>
      <c r="B177" s="59"/>
      <c r="C177" s="59"/>
      <c r="D177" s="59"/>
      <c r="E177" s="59"/>
      <c r="F177" s="59"/>
      <c r="H177" s="59"/>
      <c r="I177" s="59"/>
      <c r="J177" s="59"/>
    </row>
    <row r="178" ht="12.75" customHeight="1">
      <c r="A178" s="26"/>
      <c r="B178" s="59"/>
      <c r="C178" s="59"/>
      <c r="D178" s="59"/>
      <c r="E178" s="59"/>
      <c r="F178" s="59"/>
      <c r="H178" s="59"/>
      <c r="I178" s="59"/>
      <c r="J178" s="59"/>
    </row>
    <row r="179" ht="12.75" customHeight="1">
      <c r="A179" s="26"/>
      <c r="B179" s="59"/>
      <c r="C179" s="59"/>
      <c r="D179" s="59"/>
      <c r="E179" s="59"/>
      <c r="F179" s="59"/>
      <c r="H179" s="59"/>
      <c r="I179" s="59"/>
      <c r="J179" s="59"/>
    </row>
    <row r="180" ht="12.75" customHeight="1">
      <c r="A180" s="26"/>
      <c r="B180" s="59"/>
      <c r="C180" s="59"/>
      <c r="D180" s="59"/>
      <c r="E180" s="59"/>
      <c r="F180" s="59"/>
      <c r="H180" s="59"/>
      <c r="I180" s="59"/>
      <c r="J180" s="59"/>
    </row>
    <row r="181" ht="12.75" customHeight="1">
      <c r="A181" s="26"/>
      <c r="B181" s="59"/>
      <c r="C181" s="59"/>
      <c r="D181" s="59"/>
      <c r="E181" s="59"/>
      <c r="F181" s="59"/>
      <c r="H181" s="59"/>
      <c r="I181" s="59"/>
      <c r="J181" s="59"/>
    </row>
    <row r="182" ht="12.75" customHeight="1">
      <c r="A182" s="26"/>
      <c r="B182" s="59"/>
      <c r="C182" s="59"/>
      <c r="D182" s="59"/>
      <c r="E182" s="59"/>
      <c r="F182" s="59"/>
      <c r="H182" s="59"/>
      <c r="I182" s="59"/>
      <c r="J182" s="59"/>
    </row>
    <row r="183" ht="12.75" customHeight="1">
      <c r="A183" s="26"/>
      <c r="B183" s="59"/>
      <c r="C183" s="59"/>
      <c r="D183" s="59"/>
      <c r="E183" s="59"/>
      <c r="F183" s="59"/>
      <c r="H183" s="59"/>
      <c r="I183" s="59"/>
      <c r="J183" s="59"/>
    </row>
    <row r="184" ht="12.75" customHeight="1">
      <c r="A184" s="26"/>
      <c r="B184" s="59"/>
      <c r="C184" s="59"/>
      <c r="D184" s="59"/>
      <c r="E184" s="59"/>
      <c r="F184" s="59"/>
      <c r="H184" s="59"/>
      <c r="I184" s="59"/>
      <c r="J184" s="59"/>
    </row>
    <row r="185" ht="12.75" customHeight="1">
      <c r="A185" s="26"/>
      <c r="B185" s="59"/>
      <c r="C185" s="59"/>
      <c r="D185" s="59"/>
      <c r="E185" s="59"/>
      <c r="F185" s="59"/>
      <c r="H185" s="59"/>
      <c r="I185" s="59"/>
      <c r="J185" s="59"/>
    </row>
    <row r="186" ht="12.75" customHeight="1">
      <c r="A186" s="26"/>
      <c r="B186" s="59"/>
      <c r="C186" s="59"/>
      <c r="D186" s="59"/>
      <c r="E186" s="59"/>
      <c r="F186" s="59"/>
      <c r="H186" s="59"/>
      <c r="I186" s="59"/>
      <c r="J186" s="59"/>
    </row>
    <row r="187" ht="12.75" customHeight="1">
      <c r="A187" s="26"/>
      <c r="B187" s="59"/>
      <c r="C187" s="59"/>
      <c r="D187" s="59"/>
      <c r="E187" s="59"/>
      <c r="F187" s="59"/>
      <c r="H187" s="59"/>
      <c r="I187" s="59"/>
      <c r="J187" s="59"/>
    </row>
    <row r="188" ht="12.75" customHeight="1">
      <c r="A188" s="26"/>
      <c r="B188" s="59"/>
      <c r="C188" s="59"/>
      <c r="D188" s="59"/>
      <c r="E188" s="59"/>
      <c r="F188" s="59"/>
      <c r="H188" s="59"/>
      <c r="I188" s="59"/>
      <c r="J188" s="59"/>
    </row>
    <row r="189" ht="12.75" customHeight="1">
      <c r="A189" s="26"/>
      <c r="B189" s="59"/>
      <c r="C189" s="59"/>
      <c r="D189" s="59"/>
      <c r="E189" s="59"/>
      <c r="F189" s="59"/>
      <c r="H189" s="59"/>
      <c r="I189" s="59"/>
      <c r="J189" s="59"/>
    </row>
    <row r="190" ht="12.75" customHeight="1">
      <c r="A190" s="26"/>
      <c r="B190" s="59"/>
      <c r="C190" s="59"/>
      <c r="D190" s="59"/>
      <c r="E190" s="59"/>
      <c r="F190" s="59"/>
      <c r="H190" s="59"/>
      <c r="I190" s="59"/>
      <c r="J190" s="59"/>
    </row>
    <row r="191" ht="12.75" customHeight="1">
      <c r="A191" s="26"/>
      <c r="B191" s="59"/>
      <c r="C191" s="59"/>
      <c r="D191" s="59"/>
      <c r="E191" s="59"/>
      <c r="F191" s="59"/>
      <c r="H191" s="59"/>
      <c r="I191" s="59"/>
      <c r="J191" s="59"/>
    </row>
    <row r="192" ht="12.75" customHeight="1">
      <c r="A192" s="26"/>
      <c r="B192" s="59"/>
      <c r="C192" s="59"/>
      <c r="D192" s="59"/>
      <c r="E192" s="59"/>
      <c r="F192" s="59"/>
      <c r="H192" s="59"/>
      <c r="I192" s="59"/>
      <c r="J192" s="59"/>
    </row>
    <row r="193" ht="12.75" customHeight="1">
      <c r="A193" s="26"/>
      <c r="B193" s="59"/>
      <c r="C193" s="59"/>
      <c r="D193" s="59"/>
      <c r="E193" s="59"/>
      <c r="F193" s="59"/>
      <c r="H193" s="59"/>
      <c r="I193" s="59"/>
      <c r="J193" s="59"/>
    </row>
    <row r="194" ht="12.75" customHeight="1">
      <c r="A194" s="26"/>
      <c r="B194" s="59"/>
      <c r="C194" s="59"/>
      <c r="D194" s="59"/>
      <c r="E194" s="59"/>
      <c r="F194" s="59"/>
      <c r="H194" s="59"/>
      <c r="I194" s="59"/>
      <c r="J194" s="59"/>
    </row>
    <row r="195" ht="12.75" customHeight="1">
      <c r="A195" s="26"/>
      <c r="B195" s="59"/>
      <c r="C195" s="59"/>
      <c r="D195" s="59"/>
      <c r="E195" s="59"/>
      <c r="F195" s="59"/>
      <c r="H195" s="59"/>
      <c r="I195" s="59"/>
      <c r="J195" s="59"/>
    </row>
    <row r="196" ht="12.75" customHeight="1">
      <c r="A196" s="26"/>
      <c r="B196" s="59"/>
      <c r="C196" s="59"/>
      <c r="D196" s="59"/>
      <c r="E196" s="59"/>
      <c r="F196" s="59"/>
      <c r="H196" s="59"/>
      <c r="I196" s="59"/>
      <c r="J196" s="59"/>
    </row>
    <row r="197" ht="12.75" customHeight="1">
      <c r="A197" s="26"/>
      <c r="B197" s="59"/>
      <c r="C197" s="59"/>
      <c r="D197" s="59"/>
      <c r="E197" s="59"/>
      <c r="F197" s="59"/>
      <c r="H197" s="59"/>
      <c r="I197" s="59"/>
      <c r="J197" s="59"/>
    </row>
    <row r="198" ht="12.75" customHeight="1">
      <c r="A198" s="26"/>
      <c r="B198" s="59"/>
      <c r="C198" s="59"/>
      <c r="D198" s="59"/>
      <c r="E198" s="59"/>
      <c r="F198" s="59"/>
      <c r="H198" s="59"/>
      <c r="I198" s="59"/>
      <c r="J198" s="59"/>
    </row>
    <row r="199" ht="12.75" customHeight="1">
      <c r="A199" s="26"/>
      <c r="B199" s="59"/>
      <c r="C199" s="59"/>
      <c r="D199" s="59"/>
      <c r="E199" s="59"/>
      <c r="F199" s="59"/>
      <c r="H199" s="59"/>
      <c r="I199" s="59"/>
      <c r="J199" s="59"/>
    </row>
    <row r="200" ht="12.75" customHeight="1">
      <c r="A200" s="26"/>
      <c r="B200" s="59"/>
      <c r="C200" s="59"/>
      <c r="D200" s="59"/>
      <c r="E200" s="59"/>
      <c r="F200" s="59"/>
      <c r="H200" s="59"/>
      <c r="I200" s="59"/>
      <c r="J200" s="59"/>
    </row>
    <row r="201" ht="12.75" customHeight="1">
      <c r="A201" s="26"/>
      <c r="B201" s="59"/>
      <c r="C201" s="59"/>
      <c r="D201" s="59"/>
      <c r="E201" s="59"/>
      <c r="F201" s="59"/>
      <c r="H201" s="59"/>
      <c r="I201" s="59"/>
      <c r="J201" s="59"/>
    </row>
    <row r="202" ht="12.75" customHeight="1">
      <c r="A202" s="26"/>
      <c r="B202" s="59"/>
      <c r="C202" s="59"/>
      <c r="D202" s="59"/>
      <c r="E202" s="59"/>
      <c r="F202" s="59"/>
      <c r="H202" s="59"/>
      <c r="I202" s="59"/>
      <c r="J202" s="59"/>
    </row>
    <row r="203" ht="12.75" customHeight="1">
      <c r="A203" s="26"/>
      <c r="B203" s="59"/>
      <c r="C203" s="59"/>
      <c r="D203" s="59"/>
      <c r="E203" s="59"/>
      <c r="F203" s="59"/>
      <c r="H203" s="59"/>
      <c r="I203" s="59"/>
      <c r="J203" s="59"/>
    </row>
    <row r="204" ht="12.75" customHeight="1">
      <c r="A204" s="26"/>
      <c r="B204" s="59"/>
      <c r="C204" s="59"/>
      <c r="D204" s="59"/>
      <c r="E204" s="59"/>
      <c r="F204" s="59"/>
      <c r="H204" s="59"/>
      <c r="I204" s="59"/>
      <c r="J204" s="59"/>
    </row>
    <row r="205" ht="12.75" customHeight="1">
      <c r="A205" s="26"/>
      <c r="B205" s="59"/>
      <c r="C205" s="59"/>
      <c r="D205" s="59"/>
      <c r="E205" s="59"/>
      <c r="F205" s="59"/>
      <c r="H205" s="59"/>
      <c r="I205" s="59"/>
      <c r="J205" s="59"/>
    </row>
    <row r="206" ht="12.75" customHeight="1">
      <c r="A206" s="26"/>
      <c r="B206" s="59"/>
      <c r="C206" s="59"/>
      <c r="D206" s="59"/>
      <c r="E206" s="59"/>
      <c r="F206" s="59"/>
      <c r="H206" s="59"/>
      <c r="I206" s="59"/>
      <c r="J206" s="59"/>
    </row>
    <row r="207" ht="12.75" customHeight="1">
      <c r="A207" s="26"/>
      <c r="B207" s="59"/>
      <c r="C207" s="59"/>
      <c r="D207" s="59"/>
      <c r="E207" s="59"/>
      <c r="F207" s="59"/>
      <c r="H207" s="59"/>
      <c r="I207" s="59"/>
      <c r="J207" s="59"/>
    </row>
    <row r="208" ht="12.75" customHeight="1">
      <c r="A208" s="26"/>
      <c r="B208" s="59"/>
      <c r="C208" s="59"/>
      <c r="D208" s="59"/>
      <c r="E208" s="59"/>
      <c r="F208" s="59"/>
      <c r="H208" s="59"/>
      <c r="I208" s="59"/>
      <c r="J208" s="59"/>
    </row>
    <row r="209" ht="12.75" customHeight="1">
      <c r="A209" s="26"/>
      <c r="B209" s="59"/>
      <c r="C209" s="59"/>
      <c r="D209" s="59"/>
      <c r="E209" s="59"/>
      <c r="F209" s="59"/>
      <c r="H209" s="59"/>
      <c r="I209" s="59"/>
      <c r="J209" s="59"/>
    </row>
    <row r="210" ht="12.75" customHeight="1">
      <c r="A210" s="26"/>
      <c r="B210" s="59"/>
      <c r="C210" s="59"/>
      <c r="D210" s="59"/>
      <c r="E210" s="59"/>
      <c r="F210" s="59"/>
      <c r="H210" s="59"/>
      <c r="I210" s="59"/>
      <c r="J210" s="59"/>
    </row>
    <row r="211" ht="12.75" customHeight="1">
      <c r="A211" s="26"/>
      <c r="B211" s="59"/>
      <c r="C211" s="59"/>
      <c r="D211" s="59"/>
      <c r="E211" s="59"/>
      <c r="F211" s="59"/>
      <c r="H211" s="59"/>
      <c r="I211" s="59"/>
      <c r="J211" s="59"/>
    </row>
    <row r="212" ht="12.75" customHeight="1">
      <c r="A212" s="26"/>
      <c r="B212" s="59"/>
      <c r="C212" s="59"/>
      <c r="D212" s="59"/>
      <c r="E212" s="59"/>
      <c r="F212" s="59"/>
      <c r="H212" s="59"/>
      <c r="I212" s="59"/>
      <c r="J212" s="59"/>
    </row>
    <row r="213" ht="12.75" customHeight="1">
      <c r="A213" s="26"/>
      <c r="B213" s="59"/>
      <c r="C213" s="59"/>
      <c r="D213" s="59"/>
      <c r="E213" s="59"/>
      <c r="F213" s="59"/>
      <c r="H213" s="59"/>
      <c r="I213" s="59"/>
      <c r="J213" s="59"/>
    </row>
    <row r="214" ht="12.75" customHeight="1">
      <c r="A214" s="26"/>
      <c r="B214" s="59"/>
      <c r="C214" s="59"/>
      <c r="D214" s="59"/>
      <c r="E214" s="59"/>
      <c r="F214" s="59"/>
      <c r="H214" s="59"/>
      <c r="I214" s="59"/>
      <c r="J214" s="59"/>
    </row>
    <row r="215" ht="12.75" customHeight="1">
      <c r="A215" s="26"/>
      <c r="B215" s="59"/>
      <c r="C215" s="59"/>
      <c r="D215" s="59"/>
      <c r="E215" s="59"/>
      <c r="F215" s="59"/>
      <c r="H215" s="59"/>
      <c r="I215" s="59"/>
      <c r="J215" s="59"/>
    </row>
    <row r="216" ht="12.75" customHeight="1">
      <c r="A216" s="26"/>
      <c r="B216" s="59"/>
      <c r="C216" s="59"/>
      <c r="D216" s="59"/>
      <c r="E216" s="59"/>
      <c r="F216" s="59"/>
      <c r="H216" s="59"/>
      <c r="I216" s="59"/>
      <c r="J216" s="59"/>
    </row>
    <row r="217" ht="12.75" customHeight="1">
      <c r="A217" s="26"/>
      <c r="B217" s="59"/>
      <c r="C217" s="59"/>
      <c r="D217" s="59"/>
      <c r="E217" s="59"/>
      <c r="F217" s="59"/>
      <c r="H217" s="59"/>
      <c r="I217" s="59"/>
      <c r="J217" s="59"/>
    </row>
    <row r="218" ht="12.75" customHeight="1">
      <c r="A218" s="26"/>
      <c r="B218" s="59"/>
      <c r="C218" s="59"/>
      <c r="D218" s="59"/>
      <c r="E218" s="59"/>
      <c r="F218" s="59"/>
      <c r="H218" s="59"/>
      <c r="I218" s="59"/>
      <c r="J218" s="59"/>
    </row>
    <row r="219" ht="12.75" customHeight="1">
      <c r="A219" s="26"/>
      <c r="B219" s="59"/>
      <c r="C219" s="59"/>
      <c r="D219" s="59"/>
      <c r="E219" s="59"/>
      <c r="F219" s="59"/>
      <c r="H219" s="59"/>
      <c r="I219" s="59"/>
      <c r="J219" s="59"/>
    </row>
    <row r="220" ht="12.75" customHeight="1">
      <c r="A220" s="26"/>
      <c r="B220" s="59"/>
      <c r="C220" s="59"/>
      <c r="D220" s="59"/>
      <c r="E220" s="59"/>
      <c r="F220" s="59"/>
      <c r="H220" s="59"/>
      <c r="I220" s="59"/>
      <c r="J220" s="59"/>
    </row>
    <row r="221" ht="12.75" customHeight="1">
      <c r="A221" s="26"/>
      <c r="B221" s="59"/>
      <c r="C221" s="59"/>
      <c r="D221" s="59"/>
      <c r="E221" s="59"/>
      <c r="F221" s="59"/>
      <c r="H221" s="59"/>
      <c r="I221" s="59"/>
      <c r="J221" s="59"/>
    </row>
    <row r="222" ht="12.75" customHeight="1">
      <c r="A222" s="26"/>
      <c r="B222" s="59"/>
      <c r="C222" s="59"/>
      <c r="D222" s="59"/>
      <c r="E222" s="59"/>
      <c r="F222" s="59"/>
      <c r="H222" s="59"/>
      <c r="I222" s="59"/>
      <c r="J222" s="59"/>
    </row>
    <row r="223" ht="12.75" customHeight="1">
      <c r="A223" s="26"/>
      <c r="B223" s="59"/>
      <c r="C223" s="59"/>
      <c r="D223" s="59"/>
      <c r="E223" s="59"/>
      <c r="F223" s="59"/>
      <c r="H223" s="59"/>
      <c r="I223" s="59"/>
      <c r="J223" s="59"/>
    </row>
    <row r="224" ht="12.75" customHeight="1">
      <c r="A224" s="26"/>
      <c r="B224" s="59"/>
      <c r="C224" s="59"/>
      <c r="D224" s="59"/>
      <c r="E224" s="59"/>
      <c r="F224" s="59"/>
      <c r="H224" s="59"/>
      <c r="I224" s="59"/>
      <c r="J224" s="59"/>
    </row>
    <row r="225" ht="12.75" customHeight="1">
      <c r="A225" s="26"/>
      <c r="B225" s="59"/>
      <c r="C225" s="59"/>
      <c r="D225" s="59"/>
      <c r="E225" s="59"/>
      <c r="F225" s="59"/>
      <c r="H225" s="59"/>
      <c r="I225" s="59"/>
      <c r="J225" s="59"/>
    </row>
    <row r="226" ht="12.75" customHeight="1">
      <c r="A226" s="26"/>
      <c r="B226" s="59"/>
      <c r="C226" s="59"/>
      <c r="D226" s="59"/>
      <c r="E226" s="59"/>
      <c r="F226" s="59"/>
      <c r="H226" s="59"/>
      <c r="I226" s="59"/>
      <c r="J226" s="59"/>
    </row>
    <row r="227" ht="12.75" customHeight="1">
      <c r="A227" s="26"/>
      <c r="B227" s="59"/>
      <c r="C227" s="59"/>
      <c r="D227" s="59"/>
      <c r="E227" s="59"/>
      <c r="F227" s="59"/>
      <c r="H227" s="59"/>
      <c r="I227" s="59"/>
      <c r="J227" s="59"/>
    </row>
    <row r="228" ht="12.75" customHeight="1">
      <c r="A228" s="26"/>
      <c r="B228" s="59"/>
      <c r="C228" s="59"/>
      <c r="D228" s="59"/>
      <c r="E228" s="59"/>
      <c r="F228" s="59"/>
      <c r="H228" s="59"/>
      <c r="I228" s="59"/>
      <c r="J228" s="59"/>
    </row>
    <row r="229" ht="12.75" customHeight="1">
      <c r="A229" s="26"/>
      <c r="B229" s="59"/>
      <c r="C229" s="59"/>
      <c r="D229" s="59"/>
      <c r="E229" s="59"/>
      <c r="F229" s="59"/>
      <c r="H229" s="59"/>
      <c r="I229" s="59"/>
      <c r="J229" s="59"/>
    </row>
    <row r="230" ht="12.75" customHeight="1">
      <c r="A230" s="26"/>
      <c r="B230" s="59"/>
      <c r="C230" s="59"/>
      <c r="D230" s="59"/>
      <c r="E230" s="59"/>
      <c r="F230" s="59"/>
      <c r="H230" s="59"/>
      <c r="I230" s="59"/>
      <c r="J230" s="59"/>
    </row>
    <row r="231" ht="12.75" customHeight="1">
      <c r="A231" s="26"/>
      <c r="B231" s="59"/>
      <c r="C231" s="59"/>
      <c r="D231" s="59"/>
      <c r="E231" s="59"/>
      <c r="F231" s="59"/>
      <c r="H231" s="59"/>
      <c r="I231" s="59"/>
      <c r="J231" s="59"/>
    </row>
    <row r="232" ht="12.75" customHeight="1">
      <c r="A232" s="26"/>
      <c r="B232" s="59"/>
      <c r="C232" s="59"/>
      <c r="D232" s="59"/>
      <c r="E232" s="59"/>
      <c r="F232" s="59"/>
      <c r="H232" s="59"/>
      <c r="I232" s="59"/>
      <c r="J232" s="59"/>
    </row>
    <row r="233" ht="12.75" customHeight="1">
      <c r="A233" s="26"/>
      <c r="B233" s="59"/>
      <c r="C233" s="59"/>
      <c r="D233" s="59"/>
      <c r="E233" s="59"/>
      <c r="F233" s="59"/>
      <c r="H233" s="59"/>
      <c r="I233" s="59"/>
      <c r="J233" s="59"/>
    </row>
    <row r="234" ht="12.75" customHeight="1">
      <c r="A234" s="26"/>
      <c r="B234" s="59"/>
      <c r="C234" s="59"/>
      <c r="D234" s="59"/>
      <c r="E234" s="59"/>
      <c r="F234" s="59"/>
      <c r="H234" s="59"/>
      <c r="I234" s="59"/>
      <c r="J234" s="59"/>
    </row>
    <row r="235" ht="12.75" customHeight="1">
      <c r="A235" s="26"/>
      <c r="B235" s="59"/>
      <c r="C235" s="59"/>
      <c r="D235" s="59"/>
      <c r="E235" s="59"/>
      <c r="F235" s="59"/>
      <c r="H235" s="59"/>
      <c r="I235" s="59"/>
      <c r="J235" s="59"/>
    </row>
    <row r="236" ht="12.75" customHeight="1">
      <c r="A236" s="26"/>
      <c r="B236" s="59"/>
      <c r="C236" s="59"/>
      <c r="D236" s="59"/>
      <c r="E236" s="59"/>
      <c r="F236" s="59"/>
      <c r="H236" s="59"/>
      <c r="I236" s="59"/>
      <c r="J236" s="59"/>
    </row>
    <row r="237" ht="12.75" customHeight="1">
      <c r="A237" s="26"/>
      <c r="B237" s="59"/>
      <c r="C237" s="59"/>
      <c r="D237" s="59"/>
      <c r="E237" s="59"/>
      <c r="F237" s="59"/>
      <c r="H237" s="59"/>
      <c r="I237" s="59"/>
      <c r="J237" s="59"/>
    </row>
    <row r="238" ht="12.75" customHeight="1">
      <c r="A238" s="26"/>
      <c r="B238" s="59"/>
      <c r="C238" s="59"/>
      <c r="D238" s="59"/>
      <c r="E238" s="59"/>
      <c r="F238" s="59"/>
      <c r="H238" s="59"/>
      <c r="I238" s="59"/>
      <c r="J238" s="59"/>
    </row>
    <row r="239" ht="12.75" customHeight="1">
      <c r="A239" s="26"/>
      <c r="B239" s="59"/>
      <c r="C239" s="59"/>
      <c r="D239" s="59"/>
      <c r="E239" s="59"/>
      <c r="F239" s="59"/>
      <c r="H239" s="59"/>
      <c r="I239" s="59"/>
      <c r="J239" s="59"/>
    </row>
    <row r="240" ht="12.75" customHeight="1">
      <c r="A240" s="26"/>
      <c r="B240" s="59"/>
      <c r="C240" s="59"/>
      <c r="D240" s="59"/>
      <c r="E240" s="59"/>
      <c r="F240" s="59"/>
      <c r="H240" s="59"/>
      <c r="I240" s="59"/>
      <c r="J240" s="59"/>
    </row>
    <row r="241" ht="12.75" customHeight="1">
      <c r="A241" s="26"/>
      <c r="B241" s="59"/>
      <c r="C241" s="59"/>
      <c r="D241" s="59"/>
      <c r="E241" s="59"/>
      <c r="F241" s="59"/>
      <c r="H241" s="59"/>
      <c r="I241" s="59"/>
      <c r="J241" s="59"/>
    </row>
    <row r="242" ht="12.75" customHeight="1">
      <c r="A242" s="26"/>
      <c r="B242" s="59"/>
      <c r="C242" s="59"/>
      <c r="D242" s="59"/>
      <c r="E242" s="59"/>
      <c r="F242" s="59"/>
      <c r="H242" s="59"/>
      <c r="I242" s="59"/>
      <c r="J242" s="59"/>
    </row>
    <row r="243" ht="12.75" customHeight="1">
      <c r="A243" s="26"/>
      <c r="B243" s="59"/>
      <c r="C243" s="59"/>
      <c r="D243" s="59"/>
      <c r="E243" s="59"/>
      <c r="F243" s="59"/>
      <c r="H243" s="59"/>
      <c r="I243" s="59"/>
      <c r="J243" s="59"/>
    </row>
    <row r="244" ht="12.75" customHeight="1">
      <c r="A244" s="26"/>
      <c r="B244" s="59"/>
      <c r="C244" s="59"/>
      <c r="D244" s="59"/>
      <c r="E244" s="59"/>
      <c r="F244" s="59"/>
      <c r="H244" s="59"/>
      <c r="I244" s="59"/>
      <c r="J244" s="59"/>
    </row>
    <row r="245" ht="12.75" customHeight="1">
      <c r="A245" s="26"/>
      <c r="B245" s="59"/>
      <c r="C245" s="59"/>
      <c r="D245" s="59"/>
      <c r="E245" s="59"/>
      <c r="F245" s="59"/>
      <c r="H245" s="59"/>
      <c r="I245" s="59"/>
      <c r="J245" s="59"/>
    </row>
    <row r="246" ht="12.75" customHeight="1">
      <c r="A246" s="26"/>
      <c r="B246" s="59"/>
      <c r="C246" s="59"/>
      <c r="D246" s="59"/>
      <c r="E246" s="59"/>
      <c r="F246" s="59"/>
      <c r="H246" s="59"/>
      <c r="I246" s="59"/>
      <c r="J246" s="59"/>
    </row>
    <row r="247" ht="12.75" customHeight="1">
      <c r="A247" s="26"/>
      <c r="B247" s="59"/>
      <c r="C247" s="59"/>
      <c r="D247" s="59"/>
      <c r="E247" s="59"/>
      <c r="F247" s="59"/>
      <c r="H247" s="59"/>
      <c r="I247" s="59"/>
      <c r="J247" s="59"/>
    </row>
    <row r="248" ht="12.75" customHeight="1">
      <c r="A248" s="26"/>
      <c r="B248" s="59"/>
      <c r="C248" s="59"/>
      <c r="D248" s="59"/>
      <c r="E248" s="59"/>
      <c r="F248" s="59"/>
      <c r="H248" s="59"/>
      <c r="I248" s="59"/>
      <c r="J248" s="59"/>
    </row>
    <row r="249" ht="12.75" customHeight="1">
      <c r="A249" s="26"/>
      <c r="B249" s="59"/>
      <c r="C249" s="59"/>
      <c r="D249" s="59"/>
      <c r="E249" s="59"/>
      <c r="F249" s="59"/>
      <c r="H249" s="59"/>
      <c r="I249" s="59"/>
      <c r="J249" s="59"/>
    </row>
    <row r="250" ht="12.75" customHeight="1">
      <c r="A250" s="26"/>
      <c r="B250" s="59"/>
      <c r="C250" s="59"/>
      <c r="D250" s="59"/>
      <c r="E250" s="59"/>
      <c r="F250" s="59"/>
      <c r="H250" s="59"/>
      <c r="I250" s="59"/>
      <c r="J250" s="59"/>
    </row>
    <row r="251" ht="12.75" customHeight="1">
      <c r="A251" s="26"/>
      <c r="B251" s="59"/>
      <c r="C251" s="59"/>
      <c r="D251" s="59"/>
      <c r="E251" s="59"/>
      <c r="F251" s="59"/>
      <c r="H251" s="59"/>
      <c r="I251" s="59"/>
      <c r="J251" s="59"/>
    </row>
    <row r="252" ht="12.75" customHeight="1">
      <c r="A252" s="26"/>
      <c r="B252" s="59"/>
      <c r="C252" s="59"/>
      <c r="D252" s="59"/>
      <c r="E252" s="59"/>
      <c r="F252" s="59"/>
      <c r="H252" s="59"/>
      <c r="I252" s="59"/>
      <c r="J252" s="59"/>
    </row>
    <row r="253" ht="12.75" customHeight="1">
      <c r="A253" s="26"/>
      <c r="B253" s="59"/>
      <c r="C253" s="59"/>
      <c r="D253" s="59"/>
      <c r="E253" s="59"/>
      <c r="F253" s="59"/>
      <c r="H253" s="59"/>
      <c r="I253" s="59"/>
      <c r="J253" s="59"/>
    </row>
    <row r="254" ht="12.75" customHeight="1">
      <c r="A254" s="26"/>
      <c r="B254" s="59"/>
      <c r="C254" s="59"/>
      <c r="D254" s="59"/>
      <c r="E254" s="59"/>
      <c r="F254" s="59"/>
      <c r="H254" s="59"/>
      <c r="I254" s="59"/>
      <c r="J254" s="59"/>
    </row>
    <row r="255" ht="12.75" customHeight="1">
      <c r="A255" s="26"/>
      <c r="B255" s="59"/>
      <c r="C255" s="59"/>
      <c r="D255" s="59"/>
      <c r="E255" s="59"/>
      <c r="F255" s="59"/>
      <c r="H255" s="59"/>
      <c r="I255" s="59"/>
      <c r="J255" s="59"/>
    </row>
    <row r="256" ht="12.75" customHeight="1">
      <c r="A256" s="26"/>
      <c r="B256" s="59"/>
      <c r="C256" s="59"/>
      <c r="D256" s="59"/>
      <c r="E256" s="59"/>
      <c r="F256" s="59"/>
      <c r="H256" s="59"/>
      <c r="I256" s="59"/>
      <c r="J256" s="59"/>
    </row>
    <row r="257" ht="12.75" customHeight="1">
      <c r="A257" s="26"/>
      <c r="B257" s="59"/>
      <c r="C257" s="59"/>
      <c r="D257" s="59"/>
      <c r="E257" s="59"/>
      <c r="F257" s="59"/>
      <c r="H257" s="59"/>
      <c r="I257" s="59"/>
      <c r="J257" s="59"/>
    </row>
    <row r="258" ht="12.75" customHeight="1">
      <c r="A258" s="26"/>
      <c r="B258" s="59"/>
      <c r="C258" s="59"/>
      <c r="D258" s="59"/>
      <c r="E258" s="59"/>
      <c r="F258" s="59"/>
      <c r="H258" s="59"/>
      <c r="I258" s="59"/>
      <c r="J258" s="59"/>
    </row>
    <row r="259" ht="12.75" customHeight="1">
      <c r="A259" s="26"/>
      <c r="B259" s="59"/>
      <c r="C259" s="59"/>
      <c r="D259" s="59"/>
      <c r="E259" s="59"/>
      <c r="F259" s="59"/>
      <c r="H259" s="59"/>
      <c r="I259" s="59"/>
      <c r="J259" s="59"/>
    </row>
    <row r="260" ht="12.75" customHeight="1">
      <c r="A260" s="26"/>
      <c r="B260" s="59"/>
      <c r="C260" s="59"/>
      <c r="D260" s="59"/>
      <c r="E260" s="59"/>
      <c r="F260" s="59"/>
      <c r="H260" s="59"/>
      <c r="I260" s="59"/>
      <c r="J260" s="59"/>
    </row>
    <row r="261" ht="12.75" customHeight="1">
      <c r="A261" s="26"/>
      <c r="B261" s="59"/>
      <c r="C261" s="59"/>
      <c r="D261" s="59"/>
      <c r="E261" s="59"/>
      <c r="F261" s="59"/>
      <c r="H261" s="59"/>
      <c r="I261" s="59"/>
      <c r="J261" s="59"/>
    </row>
    <row r="262" ht="12.75" customHeight="1">
      <c r="A262" s="26"/>
      <c r="B262" s="59"/>
      <c r="C262" s="59"/>
      <c r="D262" s="59"/>
      <c r="E262" s="59"/>
      <c r="F262" s="59"/>
      <c r="H262" s="59"/>
      <c r="I262" s="59"/>
      <c r="J262" s="59"/>
    </row>
    <row r="263" ht="12.75" customHeight="1">
      <c r="A263" s="26"/>
      <c r="B263" s="59"/>
      <c r="C263" s="59"/>
      <c r="D263" s="59"/>
      <c r="E263" s="59"/>
      <c r="F263" s="59"/>
      <c r="H263" s="59"/>
      <c r="I263" s="59"/>
      <c r="J263" s="59"/>
    </row>
    <row r="264" ht="12.75" customHeight="1">
      <c r="A264" s="26"/>
      <c r="B264" s="59"/>
      <c r="C264" s="59"/>
      <c r="D264" s="59"/>
      <c r="E264" s="59"/>
      <c r="F264" s="59"/>
      <c r="H264" s="59"/>
      <c r="I264" s="59"/>
      <c r="J264" s="59"/>
    </row>
    <row r="265" ht="12.75" customHeight="1">
      <c r="A265" s="26"/>
      <c r="B265" s="59"/>
      <c r="C265" s="59"/>
      <c r="D265" s="59"/>
      <c r="E265" s="59"/>
      <c r="F265" s="59"/>
      <c r="H265" s="59"/>
      <c r="I265" s="59"/>
      <c r="J265" s="59"/>
    </row>
    <row r="266" ht="12.75" customHeight="1">
      <c r="A266" s="26"/>
      <c r="B266" s="59"/>
      <c r="C266" s="59"/>
      <c r="D266" s="59"/>
      <c r="E266" s="59"/>
      <c r="F266" s="59"/>
      <c r="H266" s="59"/>
      <c r="I266" s="59"/>
      <c r="J266" s="59"/>
    </row>
    <row r="267" ht="12.75" customHeight="1">
      <c r="A267" s="26"/>
      <c r="B267" s="59"/>
      <c r="C267" s="59"/>
      <c r="D267" s="59"/>
      <c r="E267" s="59"/>
      <c r="F267" s="59"/>
      <c r="H267" s="59"/>
      <c r="I267" s="59"/>
      <c r="J267" s="59"/>
    </row>
    <row r="268" ht="12.75" customHeight="1">
      <c r="A268" s="26"/>
      <c r="B268" s="59"/>
      <c r="C268" s="59"/>
      <c r="D268" s="59"/>
      <c r="E268" s="59"/>
      <c r="F268" s="59"/>
      <c r="H268" s="59"/>
      <c r="I268" s="59"/>
      <c r="J268" s="59"/>
    </row>
    <row r="269" ht="12.75" customHeight="1">
      <c r="A269" s="26"/>
      <c r="B269" s="59"/>
      <c r="C269" s="59"/>
      <c r="D269" s="59"/>
      <c r="E269" s="59"/>
      <c r="F269" s="59"/>
      <c r="H269" s="59"/>
      <c r="I269" s="59"/>
      <c r="J269" s="59"/>
    </row>
    <row r="270" ht="12.75" customHeight="1">
      <c r="A270" s="26"/>
      <c r="B270" s="59"/>
      <c r="C270" s="59"/>
      <c r="D270" s="59"/>
      <c r="E270" s="59"/>
      <c r="F270" s="59"/>
      <c r="H270" s="59"/>
      <c r="I270" s="59"/>
      <c r="J270" s="59"/>
    </row>
    <row r="271" ht="12.75" customHeight="1">
      <c r="A271" s="26"/>
      <c r="B271" s="59"/>
      <c r="C271" s="59"/>
      <c r="D271" s="59"/>
      <c r="E271" s="59"/>
      <c r="F271" s="59"/>
      <c r="H271" s="59"/>
      <c r="I271" s="59"/>
      <c r="J271" s="59"/>
    </row>
    <row r="272" ht="12.75" customHeight="1">
      <c r="A272" s="26"/>
      <c r="B272" s="59"/>
      <c r="C272" s="59"/>
      <c r="D272" s="59"/>
      <c r="E272" s="59"/>
      <c r="F272" s="59"/>
      <c r="H272" s="59"/>
      <c r="I272" s="59"/>
      <c r="J272" s="59"/>
    </row>
    <row r="273" ht="12.75" customHeight="1">
      <c r="A273" s="26"/>
      <c r="B273" s="59"/>
      <c r="C273" s="59"/>
      <c r="D273" s="59"/>
      <c r="E273" s="59"/>
      <c r="F273" s="59"/>
      <c r="H273" s="59"/>
      <c r="I273" s="59"/>
      <c r="J273" s="59"/>
    </row>
    <row r="274" ht="12.75" customHeight="1">
      <c r="A274" s="26"/>
      <c r="B274" s="59"/>
      <c r="C274" s="59"/>
      <c r="D274" s="59"/>
      <c r="E274" s="59"/>
      <c r="F274" s="59"/>
      <c r="H274" s="59"/>
      <c r="I274" s="59"/>
      <c r="J274" s="59"/>
    </row>
    <row r="275" ht="12.75" customHeight="1">
      <c r="A275" s="26"/>
      <c r="B275" s="59"/>
      <c r="C275" s="59"/>
      <c r="D275" s="59"/>
      <c r="E275" s="59"/>
      <c r="F275" s="59"/>
      <c r="H275" s="59"/>
      <c r="I275" s="59"/>
      <c r="J275" s="59"/>
    </row>
    <row r="276" ht="12.75" customHeight="1">
      <c r="A276" s="26"/>
      <c r="B276" s="59"/>
      <c r="C276" s="59"/>
      <c r="D276" s="59"/>
      <c r="E276" s="59"/>
      <c r="F276" s="59"/>
      <c r="H276" s="59"/>
      <c r="I276" s="59"/>
      <c r="J276" s="59"/>
    </row>
    <row r="277" ht="12.75" customHeight="1">
      <c r="A277" s="26"/>
      <c r="B277" s="59"/>
      <c r="C277" s="59"/>
      <c r="D277" s="59"/>
      <c r="E277" s="59"/>
      <c r="F277" s="59"/>
      <c r="H277" s="59"/>
      <c r="I277" s="59"/>
      <c r="J277" s="59"/>
    </row>
    <row r="278" ht="12.75" customHeight="1">
      <c r="A278" s="26"/>
      <c r="B278" s="59"/>
      <c r="C278" s="59"/>
      <c r="D278" s="59"/>
      <c r="E278" s="59"/>
      <c r="F278" s="59"/>
      <c r="H278" s="59"/>
      <c r="I278" s="59"/>
      <c r="J278" s="59"/>
    </row>
    <row r="279" ht="12.75" customHeight="1">
      <c r="A279" s="26"/>
      <c r="B279" s="59"/>
      <c r="C279" s="59"/>
      <c r="D279" s="59"/>
      <c r="E279" s="59"/>
      <c r="F279" s="59"/>
      <c r="H279" s="59"/>
      <c r="I279" s="59"/>
      <c r="J279" s="59"/>
    </row>
    <row r="280" ht="12.75" customHeight="1">
      <c r="A280" s="26"/>
      <c r="B280" s="59"/>
      <c r="C280" s="59"/>
      <c r="D280" s="59"/>
      <c r="E280" s="59"/>
      <c r="F280" s="59"/>
      <c r="H280" s="59"/>
      <c r="I280" s="59"/>
      <c r="J280" s="59"/>
    </row>
    <row r="281" ht="12.75" customHeight="1">
      <c r="A281" s="26"/>
      <c r="B281" s="59"/>
      <c r="C281" s="59"/>
      <c r="D281" s="59"/>
      <c r="E281" s="59"/>
      <c r="F281" s="59"/>
      <c r="H281" s="59"/>
      <c r="I281" s="59"/>
      <c r="J281" s="59"/>
    </row>
    <row r="282" ht="12.75" customHeight="1">
      <c r="A282" s="26"/>
      <c r="B282" s="59"/>
      <c r="C282" s="59"/>
      <c r="D282" s="59"/>
      <c r="E282" s="59"/>
      <c r="F282" s="59"/>
      <c r="H282" s="59"/>
      <c r="I282" s="59"/>
      <c r="J282" s="59"/>
    </row>
    <row r="283" ht="12.75" customHeight="1">
      <c r="A283" s="26"/>
      <c r="B283" s="59"/>
      <c r="C283" s="59"/>
      <c r="D283" s="59"/>
      <c r="E283" s="59"/>
      <c r="F283" s="59"/>
      <c r="H283" s="59"/>
      <c r="I283" s="59"/>
      <c r="J283" s="59"/>
    </row>
    <row r="284" ht="12.75" customHeight="1">
      <c r="A284" s="26"/>
      <c r="B284" s="59"/>
      <c r="C284" s="59"/>
      <c r="D284" s="59"/>
      <c r="E284" s="59"/>
      <c r="F284" s="59"/>
      <c r="H284" s="59"/>
      <c r="I284" s="59"/>
      <c r="J284" s="59"/>
    </row>
    <row r="285" ht="12.75" customHeight="1">
      <c r="A285" s="26"/>
      <c r="B285" s="59"/>
      <c r="C285" s="59"/>
      <c r="D285" s="59"/>
      <c r="E285" s="59"/>
      <c r="F285" s="59"/>
      <c r="H285" s="59"/>
      <c r="I285" s="59"/>
      <c r="J285" s="59"/>
    </row>
    <row r="286" ht="12.75" customHeight="1">
      <c r="A286" s="26"/>
      <c r="B286" s="59"/>
      <c r="C286" s="59"/>
      <c r="D286" s="59"/>
      <c r="E286" s="59"/>
      <c r="F286" s="59"/>
      <c r="H286" s="59"/>
      <c r="I286" s="59"/>
      <c r="J286" s="59"/>
    </row>
    <row r="287" ht="12.75" customHeight="1">
      <c r="A287" s="26"/>
      <c r="B287" s="59"/>
      <c r="C287" s="59"/>
      <c r="D287" s="59"/>
      <c r="E287" s="59"/>
      <c r="F287" s="59"/>
      <c r="H287" s="59"/>
      <c r="I287" s="59"/>
      <c r="J287" s="59"/>
    </row>
    <row r="288" ht="12.75" customHeight="1">
      <c r="A288" s="26"/>
      <c r="B288" s="59"/>
      <c r="C288" s="59"/>
      <c r="D288" s="59"/>
      <c r="E288" s="59"/>
      <c r="F288" s="59"/>
      <c r="H288" s="59"/>
      <c r="I288" s="59"/>
      <c r="J288" s="59"/>
    </row>
    <row r="289" ht="12.75" customHeight="1">
      <c r="A289" s="26"/>
      <c r="B289" s="59"/>
      <c r="C289" s="59"/>
      <c r="D289" s="59"/>
      <c r="E289" s="59"/>
      <c r="F289" s="59"/>
      <c r="H289" s="59"/>
      <c r="I289" s="59"/>
      <c r="J289" s="59"/>
    </row>
    <row r="290" ht="12.75" customHeight="1">
      <c r="A290" s="26"/>
      <c r="B290" s="59"/>
      <c r="C290" s="59"/>
      <c r="D290" s="59"/>
      <c r="E290" s="59"/>
      <c r="F290" s="59"/>
      <c r="H290" s="59"/>
      <c r="I290" s="59"/>
      <c r="J290" s="59"/>
    </row>
    <row r="291" ht="12.75" customHeight="1">
      <c r="A291" s="26"/>
      <c r="B291" s="59"/>
      <c r="C291" s="59"/>
      <c r="D291" s="59"/>
      <c r="E291" s="59"/>
      <c r="F291" s="59"/>
      <c r="H291" s="59"/>
      <c r="I291" s="59"/>
      <c r="J291" s="59"/>
    </row>
    <row r="292" ht="12.75" customHeight="1">
      <c r="A292" s="26"/>
      <c r="B292" s="59"/>
      <c r="C292" s="59"/>
      <c r="D292" s="59"/>
      <c r="E292" s="59"/>
      <c r="F292" s="59"/>
      <c r="H292" s="59"/>
      <c r="I292" s="59"/>
      <c r="J292" s="59"/>
    </row>
    <row r="293" ht="12.75" customHeight="1">
      <c r="A293" s="26"/>
      <c r="B293" s="59"/>
      <c r="C293" s="59"/>
      <c r="D293" s="59"/>
      <c r="E293" s="59"/>
      <c r="F293" s="59"/>
      <c r="H293" s="59"/>
      <c r="I293" s="59"/>
      <c r="J293" s="59"/>
    </row>
    <row r="294" ht="12.75" customHeight="1">
      <c r="A294" s="26"/>
      <c r="B294" s="59"/>
      <c r="C294" s="59"/>
      <c r="D294" s="59"/>
      <c r="E294" s="59"/>
      <c r="F294" s="59"/>
      <c r="H294" s="59"/>
      <c r="I294" s="59"/>
      <c r="J294" s="59"/>
    </row>
    <row r="295" ht="12.75" customHeight="1">
      <c r="A295" s="26"/>
      <c r="B295" s="59"/>
      <c r="C295" s="59"/>
      <c r="D295" s="59"/>
      <c r="E295" s="59"/>
      <c r="F295" s="59"/>
      <c r="H295" s="59"/>
      <c r="I295" s="59"/>
      <c r="J295" s="59"/>
    </row>
    <row r="296" ht="12.75" customHeight="1">
      <c r="A296" s="26"/>
      <c r="B296" s="59"/>
      <c r="C296" s="59"/>
      <c r="D296" s="59"/>
      <c r="E296" s="59"/>
      <c r="F296" s="59"/>
      <c r="H296" s="59"/>
      <c r="I296" s="59"/>
      <c r="J296" s="59"/>
    </row>
    <row r="297" ht="12.75" customHeight="1">
      <c r="A297" s="26"/>
      <c r="B297" s="59"/>
      <c r="C297" s="59"/>
      <c r="D297" s="59"/>
      <c r="E297" s="59"/>
      <c r="F297" s="59"/>
      <c r="H297" s="59"/>
      <c r="I297" s="59"/>
      <c r="J297" s="59"/>
    </row>
    <row r="298" ht="12.75" customHeight="1">
      <c r="A298" s="26"/>
      <c r="B298" s="59"/>
      <c r="C298" s="59"/>
      <c r="D298" s="59"/>
      <c r="E298" s="59"/>
      <c r="F298" s="59"/>
      <c r="H298" s="59"/>
      <c r="I298" s="59"/>
      <c r="J298" s="59"/>
    </row>
    <row r="299" ht="12.75" customHeight="1">
      <c r="A299" s="26"/>
      <c r="B299" s="59"/>
      <c r="C299" s="59"/>
      <c r="D299" s="59"/>
      <c r="E299" s="59"/>
      <c r="F299" s="59"/>
      <c r="H299" s="59"/>
      <c r="I299" s="59"/>
      <c r="J299" s="59"/>
    </row>
    <row r="300" ht="12.75" customHeight="1">
      <c r="A300" s="26"/>
      <c r="B300" s="59"/>
      <c r="C300" s="59"/>
      <c r="D300" s="59"/>
      <c r="E300" s="59"/>
      <c r="F300" s="59"/>
      <c r="H300" s="59"/>
      <c r="I300" s="59"/>
      <c r="J300" s="59"/>
    </row>
    <row r="301" ht="12.75" customHeight="1">
      <c r="A301" s="26"/>
      <c r="B301" s="59"/>
      <c r="C301" s="59"/>
      <c r="D301" s="59"/>
      <c r="E301" s="59"/>
      <c r="F301" s="59"/>
      <c r="H301" s="59"/>
      <c r="I301" s="59"/>
      <c r="J301" s="59"/>
    </row>
    <row r="302" ht="12.75" customHeight="1">
      <c r="A302" s="26"/>
      <c r="B302" s="59"/>
      <c r="C302" s="59"/>
      <c r="D302" s="59"/>
      <c r="E302" s="59"/>
      <c r="F302" s="59"/>
      <c r="H302" s="59"/>
      <c r="I302" s="59"/>
      <c r="J302" s="59"/>
    </row>
    <row r="303" ht="12.75" customHeight="1">
      <c r="A303" s="26"/>
      <c r="B303" s="59"/>
      <c r="C303" s="59"/>
      <c r="D303" s="59"/>
      <c r="E303" s="59"/>
      <c r="F303" s="59"/>
      <c r="H303" s="59"/>
      <c r="I303" s="59"/>
      <c r="J303" s="59"/>
    </row>
    <row r="304" ht="12.75" customHeight="1">
      <c r="A304" s="26"/>
      <c r="B304" s="59"/>
      <c r="C304" s="59"/>
      <c r="D304" s="59"/>
      <c r="E304" s="59"/>
      <c r="F304" s="59"/>
      <c r="H304" s="59"/>
      <c r="I304" s="59"/>
      <c r="J304" s="59"/>
    </row>
    <row r="305" ht="12.75" customHeight="1">
      <c r="A305" s="26"/>
      <c r="B305" s="59"/>
      <c r="C305" s="59"/>
      <c r="D305" s="59"/>
      <c r="E305" s="59"/>
      <c r="F305" s="59"/>
      <c r="H305" s="59"/>
      <c r="I305" s="59"/>
      <c r="J305" s="59"/>
    </row>
    <row r="306" ht="12.75" customHeight="1">
      <c r="A306" s="26"/>
      <c r="B306" s="59"/>
      <c r="C306" s="59"/>
      <c r="D306" s="59"/>
      <c r="E306" s="59"/>
      <c r="F306" s="59"/>
      <c r="H306" s="59"/>
      <c r="I306" s="59"/>
      <c r="J306" s="59"/>
    </row>
    <row r="307" ht="12.75" customHeight="1">
      <c r="A307" s="26"/>
      <c r="B307" s="59"/>
      <c r="C307" s="59"/>
      <c r="D307" s="59"/>
      <c r="E307" s="59"/>
      <c r="F307" s="59"/>
      <c r="H307" s="59"/>
      <c r="I307" s="59"/>
      <c r="J307" s="59"/>
    </row>
    <row r="308" ht="12.75" customHeight="1">
      <c r="A308" s="26"/>
      <c r="B308" s="59"/>
      <c r="C308" s="59"/>
      <c r="D308" s="59"/>
      <c r="E308" s="59"/>
      <c r="F308" s="59"/>
      <c r="H308" s="59"/>
      <c r="I308" s="59"/>
      <c r="J308" s="59"/>
    </row>
    <row r="309" ht="12.75" customHeight="1">
      <c r="A309" s="26"/>
      <c r="B309" s="59"/>
      <c r="C309" s="59"/>
      <c r="D309" s="59"/>
      <c r="E309" s="59"/>
      <c r="F309" s="59"/>
      <c r="H309" s="59"/>
      <c r="I309" s="59"/>
      <c r="J309" s="59"/>
    </row>
    <row r="310" ht="12.75" customHeight="1">
      <c r="A310" s="26"/>
      <c r="B310" s="59"/>
      <c r="C310" s="59"/>
      <c r="D310" s="59"/>
      <c r="E310" s="59"/>
      <c r="F310" s="59"/>
      <c r="H310" s="59"/>
      <c r="I310" s="59"/>
      <c r="J310" s="59"/>
    </row>
    <row r="311" ht="12.75" customHeight="1">
      <c r="A311" s="26"/>
      <c r="B311" s="59"/>
      <c r="C311" s="59"/>
      <c r="D311" s="59"/>
      <c r="E311" s="59"/>
      <c r="F311" s="59"/>
      <c r="H311" s="59"/>
      <c r="I311" s="59"/>
      <c r="J311" s="59"/>
    </row>
    <row r="312" ht="12.75" customHeight="1">
      <c r="A312" s="26"/>
      <c r="B312" s="59"/>
      <c r="C312" s="59"/>
      <c r="D312" s="59"/>
      <c r="E312" s="59"/>
      <c r="F312" s="59"/>
      <c r="H312" s="59"/>
      <c r="I312" s="59"/>
      <c r="J312" s="59"/>
    </row>
    <row r="313" ht="12.75" customHeight="1">
      <c r="A313" s="26"/>
      <c r="B313" s="59"/>
      <c r="C313" s="59"/>
      <c r="D313" s="59"/>
      <c r="E313" s="59"/>
      <c r="F313" s="59"/>
      <c r="H313" s="59"/>
      <c r="I313" s="59"/>
      <c r="J313" s="59"/>
    </row>
    <row r="314" ht="12.75" customHeight="1">
      <c r="A314" s="26"/>
      <c r="B314" s="59"/>
      <c r="C314" s="59"/>
      <c r="D314" s="59"/>
      <c r="E314" s="59"/>
      <c r="F314" s="59"/>
      <c r="H314" s="59"/>
      <c r="I314" s="59"/>
      <c r="J314" s="59"/>
    </row>
    <row r="315" ht="12.75" customHeight="1">
      <c r="A315" s="26"/>
      <c r="B315" s="59"/>
      <c r="C315" s="59"/>
      <c r="D315" s="59"/>
      <c r="E315" s="59"/>
      <c r="F315" s="59"/>
      <c r="H315" s="59"/>
      <c r="I315" s="59"/>
      <c r="J315" s="59"/>
    </row>
    <row r="316" ht="12.75" customHeight="1">
      <c r="A316" s="26"/>
      <c r="B316" s="59"/>
      <c r="C316" s="59"/>
      <c r="D316" s="59"/>
      <c r="E316" s="59"/>
      <c r="F316" s="59"/>
      <c r="H316" s="59"/>
      <c r="I316" s="59"/>
      <c r="J316" s="59"/>
    </row>
    <row r="317" ht="12.75" customHeight="1">
      <c r="A317" s="26"/>
      <c r="B317" s="59"/>
      <c r="C317" s="59"/>
      <c r="D317" s="59"/>
      <c r="E317" s="59"/>
      <c r="F317" s="59"/>
      <c r="H317" s="59"/>
      <c r="I317" s="59"/>
      <c r="J317" s="59"/>
    </row>
    <row r="318" ht="12.75" customHeight="1">
      <c r="A318" s="26"/>
      <c r="B318" s="59"/>
      <c r="C318" s="59"/>
      <c r="D318" s="59"/>
      <c r="E318" s="59"/>
      <c r="F318" s="59"/>
      <c r="H318" s="59"/>
      <c r="I318" s="59"/>
      <c r="J318" s="59"/>
    </row>
    <row r="319" ht="12.75" customHeight="1">
      <c r="A319" s="26"/>
      <c r="B319" s="59"/>
      <c r="C319" s="59"/>
      <c r="D319" s="59"/>
      <c r="E319" s="59"/>
      <c r="F319" s="59"/>
      <c r="H319" s="59"/>
      <c r="I319" s="59"/>
      <c r="J319" s="59"/>
    </row>
    <row r="320" ht="12.75" customHeight="1">
      <c r="A320" s="26"/>
      <c r="B320" s="59"/>
      <c r="C320" s="59"/>
      <c r="D320" s="59"/>
      <c r="E320" s="59"/>
      <c r="F320" s="59"/>
      <c r="H320" s="59"/>
      <c r="I320" s="59"/>
      <c r="J320" s="59"/>
    </row>
    <row r="321" ht="12.75" customHeight="1">
      <c r="A321" s="26"/>
      <c r="B321" s="59"/>
      <c r="C321" s="59"/>
      <c r="D321" s="59"/>
      <c r="E321" s="59"/>
      <c r="F321" s="59"/>
      <c r="H321" s="59"/>
      <c r="I321" s="59"/>
      <c r="J321" s="59"/>
    </row>
    <row r="322" ht="12.75" customHeight="1">
      <c r="A322" s="26"/>
      <c r="B322" s="59"/>
      <c r="C322" s="59"/>
      <c r="D322" s="59"/>
      <c r="E322" s="59"/>
      <c r="F322" s="59"/>
      <c r="H322" s="59"/>
      <c r="I322" s="59"/>
      <c r="J322" s="59"/>
    </row>
    <row r="323" ht="12.75" customHeight="1">
      <c r="A323" s="26"/>
      <c r="B323" s="59"/>
      <c r="C323" s="59"/>
      <c r="D323" s="59"/>
      <c r="E323" s="59"/>
      <c r="F323" s="59"/>
      <c r="H323" s="59"/>
      <c r="I323" s="59"/>
      <c r="J323" s="59"/>
    </row>
    <row r="324" ht="12.75" customHeight="1">
      <c r="A324" s="26"/>
      <c r="B324" s="59"/>
      <c r="C324" s="59"/>
      <c r="D324" s="59"/>
      <c r="E324" s="59"/>
      <c r="F324" s="59"/>
      <c r="H324" s="59"/>
      <c r="I324" s="59"/>
      <c r="J324" s="59"/>
    </row>
    <row r="325" ht="12.75" customHeight="1">
      <c r="A325" s="26"/>
      <c r="B325" s="59"/>
      <c r="C325" s="59"/>
      <c r="D325" s="59"/>
      <c r="E325" s="59"/>
      <c r="F325" s="59"/>
      <c r="H325" s="59"/>
      <c r="I325" s="59"/>
      <c r="J325" s="59"/>
    </row>
    <row r="326" ht="12.75" customHeight="1">
      <c r="A326" s="26"/>
      <c r="B326" s="59"/>
      <c r="C326" s="59"/>
      <c r="D326" s="59"/>
      <c r="E326" s="59"/>
      <c r="F326" s="59"/>
      <c r="H326" s="59"/>
      <c r="I326" s="59"/>
      <c r="J326" s="59"/>
    </row>
    <row r="327" ht="12.75" customHeight="1">
      <c r="A327" s="26"/>
      <c r="B327" s="59"/>
      <c r="C327" s="59"/>
      <c r="D327" s="59"/>
      <c r="E327" s="59"/>
      <c r="F327" s="59"/>
      <c r="H327" s="59"/>
      <c r="I327" s="59"/>
      <c r="J327" s="59"/>
    </row>
    <row r="328" ht="12.75" customHeight="1">
      <c r="A328" s="26"/>
      <c r="B328" s="59"/>
      <c r="C328" s="59"/>
      <c r="D328" s="59"/>
      <c r="E328" s="59"/>
      <c r="F328" s="59"/>
      <c r="H328" s="59"/>
      <c r="I328" s="59"/>
      <c r="J328" s="59"/>
    </row>
    <row r="329" ht="12.75" customHeight="1">
      <c r="A329" s="26"/>
      <c r="B329" s="59"/>
      <c r="C329" s="59"/>
      <c r="D329" s="59"/>
      <c r="E329" s="59"/>
      <c r="F329" s="59"/>
      <c r="H329" s="59"/>
      <c r="I329" s="59"/>
      <c r="J329" s="59"/>
    </row>
    <row r="330" ht="12.75" customHeight="1">
      <c r="A330" s="26"/>
      <c r="B330" s="59"/>
      <c r="C330" s="59"/>
      <c r="D330" s="59"/>
      <c r="E330" s="59"/>
      <c r="F330" s="59"/>
      <c r="H330" s="59"/>
      <c r="I330" s="59"/>
      <c r="J330" s="59"/>
    </row>
    <row r="331" ht="12.75" customHeight="1">
      <c r="A331" s="26"/>
      <c r="B331" s="59"/>
      <c r="C331" s="59"/>
      <c r="D331" s="59"/>
      <c r="E331" s="59"/>
      <c r="F331" s="59"/>
      <c r="H331" s="59"/>
      <c r="I331" s="59"/>
      <c r="J331" s="59"/>
    </row>
    <row r="332" ht="12.75" customHeight="1">
      <c r="A332" s="26"/>
      <c r="B332" s="59"/>
      <c r="C332" s="59"/>
      <c r="D332" s="59"/>
      <c r="E332" s="59"/>
      <c r="F332" s="59"/>
      <c r="H332" s="59"/>
      <c r="I332" s="59"/>
      <c r="J332" s="59"/>
    </row>
    <row r="333" ht="12.75" customHeight="1">
      <c r="A333" s="26"/>
      <c r="B333" s="59"/>
      <c r="C333" s="59"/>
      <c r="D333" s="59"/>
      <c r="E333" s="59"/>
      <c r="F333" s="59"/>
      <c r="H333" s="59"/>
      <c r="I333" s="59"/>
      <c r="J333" s="59"/>
    </row>
    <row r="334" ht="12.75" customHeight="1">
      <c r="A334" s="26"/>
      <c r="B334" s="59"/>
      <c r="C334" s="59"/>
      <c r="D334" s="59"/>
      <c r="E334" s="59"/>
      <c r="F334" s="59"/>
      <c r="H334" s="59"/>
      <c r="I334" s="59"/>
      <c r="J334" s="59"/>
    </row>
    <row r="335" ht="12.75" customHeight="1">
      <c r="A335" s="26"/>
      <c r="B335" s="59"/>
      <c r="C335" s="59"/>
      <c r="D335" s="59"/>
      <c r="E335" s="59"/>
      <c r="F335" s="59"/>
      <c r="H335" s="59"/>
      <c r="I335" s="59"/>
      <c r="J335" s="59"/>
    </row>
    <row r="336" ht="12.75" customHeight="1">
      <c r="A336" s="26"/>
      <c r="B336" s="59"/>
      <c r="C336" s="59"/>
      <c r="D336" s="59"/>
      <c r="E336" s="59"/>
      <c r="F336" s="59"/>
      <c r="H336" s="59"/>
      <c r="I336" s="59"/>
      <c r="J336" s="59"/>
    </row>
    <row r="337" ht="12.75" customHeight="1">
      <c r="A337" s="26"/>
      <c r="B337" s="59"/>
      <c r="C337" s="59"/>
      <c r="D337" s="59"/>
      <c r="E337" s="59"/>
      <c r="F337" s="59"/>
      <c r="H337" s="59"/>
      <c r="I337" s="59"/>
      <c r="J337" s="59"/>
    </row>
    <row r="338" ht="12.75" customHeight="1">
      <c r="A338" s="26"/>
      <c r="B338" s="59"/>
      <c r="C338" s="59"/>
      <c r="D338" s="59"/>
      <c r="E338" s="59"/>
      <c r="F338" s="59"/>
      <c r="H338" s="59"/>
      <c r="I338" s="59"/>
      <c r="J338" s="59"/>
    </row>
    <row r="339" ht="12.75" customHeight="1">
      <c r="A339" s="26"/>
      <c r="B339" s="59"/>
      <c r="C339" s="59"/>
      <c r="D339" s="59"/>
      <c r="E339" s="59"/>
      <c r="F339" s="59"/>
      <c r="H339" s="59"/>
      <c r="I339" s="59"/>
      <c r="J339" s="59"/>
    </row>
    <row r="340" ht="12.75" customHeight="1">
      <c r="A340" s="26"/>
      <c r="B340" s="59"/>
      <c r="C340" s="59"/>
      <c r="D340" s="59"/>
      <c r="E340" s="59"/>
      <c r="F340" s="59"/>
      <c r="H340" s="59"/>
      <c r="I340" s="59"/>
      <c r="J340" s="59"/>
    </row>
    <row r="341" ht="12.75" customHeight="1">
      <c r="A341" s="26"/>
      <c r="B341" s="59"/>
      <c r="C341" s="59"/>
      <c r="D341" s="59"/>
      <c r="E341" s="59"/>
      <c r="F341" s="59"/>
      <c r="H341" s="59"/>
      <c r="I341" s="59"/>
      <c r="J341" s="59"/>
    </row>
    <row r="342" ht="12.75" customHeight="1">
      <c r="A342" s="26"/>
      <c r="B342" s="59"/>
      <c r="C342" s="59"/>
      <c r="D342" s="59"/>
      <c r="E342" s="59"/>
      <c r="F342" s="59"/>
      <c r="H342" s="59"/>
      <c r="I342" s="59"/>
      <c r="J342" s="59"/>
    </row>
    <row r="343" ht="12.75" customHeight="1">
      <c r="A343" s="26"/>
      <c r="B343" s="59"/>
      <c r="C343" s="59"/>
      <c r="D343" s="59"/>
      <c r="E343" s="59"/>
      <c r="F343" s="59"/>
      <c r="H343" s="59"/>
      <c r="I343" s="59"/>
      <c r="J343" s="59"/>
    </row>
    <row r="344" ht="12.75" customHeight="1">
      <c r="A344" s="26"/>
      <c r="B344" s="59"/>
      <c r="C344" s="59"/>
      <c r="D344" s="59"/>
      <c r="E344" s="59"/>
      <c r="F344" s="59"/>
      <c r="H344" s="59"/>
      <c r="I344" s="59"/>
      <c r="J344" s="59"/>
    </row>
    <row r="345" ht="12.75" customHeight="1">
      <c r="A345" s="26"/>
      <c r="B345" s="59"/>
      <c r="C345" s="59"/>
      <c r="D345" s="59"/>
      <c r="E345" s="59"/>
      <c r="F345" s="59"/>
      <c r="H345" s="59"/>
      <c r="I345" s="59"/>
      <c r="J345" s="59"/>
    </row>
    <row r="346" ht="12.75" customHeight="1">
      <c r="A346" s="26"/>
      <c r="B346" s="59"/>
      <c r="C346" s="59"/>
      <c r="D346" s="59"/>
      <c r="E346" s="59"/>
      <c r="F346" s="59"/>
      <c r="H346" s="59"/>
      <c r="I346" s="59"/>
      <c r="J346" s="59"/>
    </row>
    <row r="347" ht="12.75" customHeight="1">
      <c r="A347" s="26"/>
      <c r="B347" s="59"/>
      <c r="C347" s="59"/>
      <c r="D347" s="59"/>
      <c r="E347" s="59"/>
      <c r="F347" s="59"/>
      <c r="H347" s="59"/>
      <c r="I347" s="59"/>
      <c r="J347" s="59"/>
    </row>
    <row r="348" ht="12.75" customHeight="1">
      <c r="A348" s="26"/>
      <c r="B348" s="59"/>
      <c r="C348" s="59"/>
      <c r="D348" s="59"/>
      <c r="E348" s="59"/>
      <c r="F348" s="59"/>
      <c r="H348" s="59"/>
      <c r="I348" s="59"/>
      <c r="J348" s="59"/>
    </row>
    <row r="349" ht="12.75" customHeight="1">
      <c r="A349" s="26"/>
      <c r="B349" s="59"/>
      <c r="C349" s="59"/>
      <c r="D349" s="59"/>
      <c r="E349" s="59"/>
      <c r="F349" s="59"/>
      <c r="H349" s="59"/>
      <c r="I349" s="59"/>
      <c r="J349" s="59"/>
    </row>
    <row r="350" ht="12.75" customHeight="1">
      <c r="A350" s="26"/>
      <c r="B350" s="59"/>
      <c r="C350" s="59"/>
      <c r="D350" s="59"/>
      <c r="E350" s="59"/>
      <c r="F350" s="59"/>
      <c r="H350" s="59"/>
      <c r="I350" s="59"/>
      <c r="J350" s="59"/>
    </row>
    <row r="351" ht="12.75" customHeight="1">
      <c r="A351" s="26"/>
      <c r="B351" s="59"/>
      <c r="C351" s="59"/>
      <c r="D351" s="59"/>
      <c r="E351" s="59"/>
      <c r="F351" s="59"/>
      <c r="H351" s="59"/>
      <c r="I351" s="59"/>
      <c r="J351" s="59"/>
    </row>
    <row r="352" ht="12.75" customHeight="1">
      <c r="A352" s="26"/>
      <c r="B352" s="59"/>
      <c r="C352" s="59"/>
      <c r="D352" s="59"/>
      <c r="E352" s="59"/>
      <c r="F352" s="59"/>
      <c r="H352" s="59"/>
      <c r="I352" s="59"/>
      <c r="J352" s="59"/>
    </row>
    <row r="353" ht="12.75" customHeight="1">
      <c r="A353" s="26"/>
      <c r="B353" s="59"/>
      <c r="C353" s="59"/>
      <c r="D353" s="59"/>
      <c r="E353" s="59"/>
      <c r="F353" s="59"/>
      <c r="H353" s="59"/>
      <c r="I353" s="59"/>
      <c r="J353" s="59"/>
    </row>
    <row r="354" ht="12.75" customHeight="1">
      <c r="A354" s="26"/>
      <c r="B354" s="59"/>
      <c r="C354" s="59"/>
      <c r="D354" s="59"/>
      <c r="E354" s="59"/>
      <c r="F354" s="59"/>
      <c r="H354" s="59"/>
      <c r="I354" s="59"/>
      <c r="J354" s="59"/>
    </row>
    <row r="355" ht="12.75" customHeight="1">
      <c r="A355" s="26"/>
      <c r="B355" s="59"/>
      <c r="C355" s="59"/>
      <c r="D355" s="59"/>
      <c r="E355" s="59"/>
      <c r="F355" s="59"/>
      <c r="H355" s="59"/>
      <c r="I355" s="59"/>
      <c r="J355" s="59"/>
    </row>
    <row r="356" ht="12.75" customHeight="1">
      <c r="A356" s="26"/>
      <c r="B356" s="59"/>
      <c r="C356" s="59"/>
      <c r="D356" s="59"/>
      <c r="E356" s="59"/>
      <c r="F356" s="59"/>
      <c r="H356" s="59"/>
      <c r="I356" s="59"/>
      <c r="J356" s="59"/>
    </row>
    <row r="357" ht="12.75" customHeight="1">
      <c r="A357" s="26"/>
      <c r="B357" s="59"/>
      <c r="C357" s="59"/>
      <c r="D357" s="59"/>
      <c r="E357" s="59"/>
      <c r="F357" s="59"/>
      <c r="H357" s="59"/>
      <c r="I357" s="59"/>
      <c r="J357" s="59"/>
    </row>
    <row r="358" ht="12.75" customHeight="1">
      <c r="A358" s="26"/>
      <c r="B358" s="59"/>
      <c r="C358" s="59"/>
      <c r="D358" s="59"/>
      <c r="E358" s="59"/>
      <c r="F358" s="59"/>
      <c r="H358" s="59"/>
      <c r="I358" s="59"/>
      <c r="J358" s="59"/>
    </row>
    <row r="359" ht="12.75" customHeight="1">
      <c r="A359" s="26"/>
      <c r="B359" s="59"/>
      <c r="C359" s="59"/>
      <c r="D359" s="59"/>
      <c r="E359" s="59"/>
      <c r="F359" s="59"/>
      <c r="H359" s="59"/>
      <c r="I359" s="59"/>
      <c r="J359" s="59"/>
    </row>
    <row r="360" ht="12.75" customHeight="1">
      <c r="A360" s="26"/>
      <c r="B360" s="59"/>
      <c r="C360" s="59"/>
      <c r="D360" s="59"/>
      <c r="E360" s="59"/>
      <c r="F360" s="59"/>
      <c r="H360" s="59"/>
      <c r="I360" s="59"/>
      <c r="J360" s="59"/>
    </row>
    <row r="361" ht="12.75" customHeight="1">
      <c r="A361" s="26"/>
      <c r="B361" s="59"/>
      <c r="C361" s="59"/>
      <c r="D361" s="59"/>
      <c r="E361" s="59"/>
      <c r="F361" s="59"/>
      <c r="H361" s="59"/>
      <c r="I361" s="59"/>
      <c r="J361" s="59"/>
    </row>
    <row r="362" ht="12.75" customHeight="1">
      <c r="A362" s="26"/>
      <c r="B362" s="59"/>
      <c r="C362" s="59"/>
      <c r="D362" s="59"/>
      <c r="E362" s="59"/>
      <c r="F362" s="59"/>
      <c r="H362" s="59"/>
      <c r="I362" s="59"/>
      <c r="J362" s="59"/>
    </row>
    <row r="363" ht="12.75" customHeight="1">
      <c r="A363" s="26"/>
      <c r="B363" s="59"/>
      <c r="C363" s="59"/>
      <c r="D363" s="59"/>
      <c r="E363" s="59"/>
      <c r="F363" s="59"/>
      <c r="H363" s="59"/>
      <c r="I363" s="59"/>
      <c r="J363" s="59"/>
    </row>
    <row r="364" ht="12.75" customHeight="1">
      <c r="A364" s="26"/>
      <c r="B364" s="59"/>
      <c r="C364" s="59"/>
      <c r="D364" s="59"/>
      <c r="E364" s="59"/>
      <c r="F364" s="59"/>
      <c r="H364" s="59"/>
      <c r="I364" s="59"/>
      <c r="J364" s="59"/>
    </row>
    <row r="365" ht="12.75" customHeight="1">
      <c r="A365" s="26"/>
      <c r="B365" s="59"/>
      <c r="C365" s="59"/>
      <c r="D365" s="59"/>
      <c r="E365" s="59"/>
      <c r="F365" s="59"/>
      <c r="H365" s="59"/>
      <c r="I365" s="59"/>
      <c r="J365" s="59"/>
    </row>
    <row r="366" ht="12.75" customHeight="1">
      <c r="A366" s="26"/>
      <c r="B366" s="59"/>
      <c r="C366" s="59"/>
      <c r="D366" s="59"/>
      <c r="E366" s="59"/>
      <c r="F366" s="59"/>
      <c r="H366" s="59"/>
      <c r="I366" s="59"/>
      <c r="J366" s="59"/>
    </row>
    <row r="367" ht="12.75" customHeight="1">
      <c r="A367" s="26"/>
      <c r="B367" s="59"/>
      <c r="C367" s="59"/>
      <c r="D367" s="59"/>
      <c r="E367" s="59"/>
      <c r="F367" s="59"/>
      <c r="H367" s="59"/>
      <c r="I367" s="59"/>
      <c r="J367" s="59"/>
    </row>
    <row r="368" ht="12.75" customHeight="1">
      <c r="A368" s="26"/>
      <c r="B368" s="59"/>
      <c r="C368" s="59"/>
      <c r="D368" s="59"/>
      <c r="E368" s="59"/>
      <c r="F368" s="59"/>
      <c r="H368" s="59"/>
      <c r="I368" s="59"/>
      <c r="J368" s="59"/>
    </row>
    <row r="369" ht="12.75" customHeight="1">
      <c r="A369" s="26"/>
      <c r="B369" s="59"/>
      <c r="C369" s="59"/>
      <c r="D369" s="59"/>
      <c r="E369" s="59"/>
      <c r="F369" s="59"/>
      <c r="H369" s="59"/>
      <c r="I369" s="59"/>
      <c r="J369" s="59"/>
    </row>
    <row r="370" ht="12.75" customHeight="1">
      <c r="A370" s="26"/>
      <c r="B370" s="59"/>
      <c r="C370" s="59"/>
      <c r="D370" s="59"/>
      <c r="E370" s="59"/>
      <c r="F370" s="59"/>
      <c r="H370" s="59"/>
      <c r="I370" s="59"/>
      <c r="J370" s="59"/>
    </row>
    <row r="371" ht="12.75" customHeight="1">
      <c r="A371" s="26"/>
      <c r="B371" s="59"/>
      <c r="C371" s="59"/>
      <c r="D371" s="59"/>
      <c r="E371" s="59"/>
      <c r="F371" s="59"/>
      <c r="H371" s="59"/>
      <c r="I371" s="59"/>
      <c r="J371" s="59"/>
    </row>
    <row r="372" ht="12.75" customHeight="1">
      <c r="A372" s="26"/>
      <c r="B372" s="59"/>
      <c r="C372" s="59"/>
      <c r="D372" s="59"/>
      <c r="E372" s="59"/>
      <c r="F372" s="59"/>
      <c r="H372" s="59"/>
      <c r="I372" s="59"/>
      <c r="J372" s="59"/>
    </row>
    <row r="373" ht="12.75" customHeight="1">
      <c r="A373" s="26"/>
      <c r="B373" s="59"/>
      <c r="C373" s="59"/>
      <c r="D373" s="59"/>
      <c r="E373" s="59"/>
      <c r="F373" s="59"/>
      <c r="H373" s="59"/>
      <c r="I373" s="59"/>
      <c r="J373" s="59"/>
    </row>
    <row r="374" ht="12.75" customHeight="1">
      <c r="A374" s="26"/>
      <c r="B374" s="59"/>
      <c r="C374" s="59"/>
      <c r="D374" s="59"/>
      <c r="E374" s="59"/>
      <c r="F374" s="59"/>
      <c r="H374" s="59"/>
      <c r="I374" s="59"/>
      <c r="J374" s="59"/>
    </row>
    <row r="375" ht="12.75" customHeight="1">
      <c r="A375" s="26"/>
      <c r="B375" s="59"/>
      <c r="C375" s="59"/>
      <c r="D375" s="59"/>
      <c r="E375" s="59"/>
      <c r="F375" s="59"/>
      <c r="H375" s="59"/>
      <c r="I375" s="59"/>
      <c r="J375" s="59"/>
    </row>
    <row r="376" ht="12.75" customHeight="1">
      <c r="A376" s="26"/>
      <c r="B376" s="59"/>
      <c r="C376" s="59"/>
      <c r="D376" s="59"/>
      <c r="E376" s="59"/>
      <c r="F376" s="59"/>
      <c r="H376" s="59"/>
      <c r="I376" s="59"/>
      <c r="J376" s="59"/>
    </row>
    <row r="377" ht="12.75" customHeight="1">
      <c r="A377" s="26"/>
      <c r="B377" s="59"/>
      <c r="C377" s="59"/>
      <c r="D377" s="59"/>
      <c r="E377" s="59"/>
      <c r="F377" s="59"/>
      <c r="H377" s="59"/>
      <c r="I377" s="59"/>
      <c r="J377" s="59"/>
    </row>
    <row r="378" ht="12.75" customHeight="1">
      <c r="A378" s="26"/>
      <c r="B378" s="59"/>
      <c r="C378" s="59"/>
      <c r="D378" s="59"/>
      <c r="E378" s="59"/>
      <c r="F378" s="59"/>
      <c r="H378" s="59"/>
      <c r="I378" s="59"/>
      <c r="J378" s="59"/>
    </row>
    <row r="379" ht="12.75" customHeight="1">
      <c r="A379" s="26"/>
      <c r="B379" s="59"/>
      <c r="C379" s="59"/>
      <c r="D379" s="59"/>
      <c r="E379" s="59"/>
      <c r="F379" s="59"/>
      <c r="H379" s="59"/>
      <c r="I379" s="59"/>
      <c r="J379" s="59"/>
    </row>
    <row r="380" ht="12.75" customHeight="1">
      <c r="A380" s="26"/>
      <c r="B380" s="59"/>
      <c r="C380" s="59"/>
      <c r="D380" s="59"/>
      <c r="E380" s="59"/>
      <c r="F380" s="59"/>
      <c r="H380" s="59"/>
      <c r="I380" s="59"/>
      <c r="J380" s="59"/>
    </row>
    <row r="381" ht="12.75" customHeight="1">
      <c r="A381" s="26"/>
      <c r="B381" s="59"/>
      <c r="C381" s="59"/>
      <c r="D381" s="59"/>
      <c r="E381" s="59"/>
      <c r="F381" s="59"/>
      <c r="H381" s="59"/>
      <c r="I381" s="59"/>
      <c r="J381" s="59"/>
    </row>
    <row r="382" ht="12.75" customHeight="1">
      <c r="A382" s="26"/>
      <c r="B382" s="59"/>
      <c r="C382" s="59"/>
      <c r="D382" s="59"/>
      <c r="E382" s="59"/>
      <c r="F382" s="59"/>
      <c r="H382" s="59"/>
      <c r="I382" s="59"/>
      <c r="J382" s="59"/>
    </row>
    <row r="383" ht="12.75" customHeight="1">
      <c r="A383" s="26"/>
      <c r="B383" s="59"/>
      <c r="C383" s="59"/>
      <c r="D383" s="59"/>
      <c r="E383" s="59"/>
      <c r="F383" s="59"/>
      <c r="H383" s="59"/>
      <c r="I383" s="59"/>
      <c r="J383" s="59"/>
    </row>
    <row r="384" ht="12.75" customHeight="1">
      <c r="A384" s="26"/>
      <c r="B384" s="59"/>
      <c r="C384" s="59"/>
      <c r="D384" s="59"/>
      <c r="E384" s="59"/>
      <c r="F384" s="59"/>
      <c r="H384" s="59"/>
      <c r="I384" s="59"/>
      <c r="J384" s="59"/>
    </row>
    <row r="385" ht="12.75" customHeight="1">
      <c r="A385" s="26"/>
      <c r="B385" s="59"/>
      <c r="C385" s="59"/>
      <c r="D385" s="59"/>
      <c r="E385" s="59"/>
      <c r="F385" s="59"/>
      <c r="H385" s="59"/>
      <c r="I385" s="59"/>
      <c r="J385" s="59"/>
    </row>
    <row r="386" ht="12.75" customHeight="1">
      <c r="A386" s="26"/>
      <c r="B386" s="59"/>
      <c r="C386" s="59"/>
      <c r="D386" s="59"/>
      <c r="E386" s="59"/>
      <c r="F386" s="59"/>
      <c r="H386" s="59"/>
      <c r="I386" s="59"/>
      <c r="J386" s="59"/>
    </row>
    <row r="387" ht="12.75" customHeight="1">
      <c r="A387" s="26"/>
      <c r="B387" s="59"/>
      <c r="C387" s="59"/>
      <c r="D387" s="59"/>
      <c r="E387" s="59"/>
      <c r="F387" s="59"/>
      <c r="H387" s="59"/>
      <c r="I387" s="59"/>
      <c r="J387" s="59"/>
    </row>
    <row r="388" ht="12.75" customHeight="1">
      <c r="A388" s="26"/>
      <c r="B388" s="59"/>
      <c r="C388" s="59"/>
      <c r="D388" s="59"/>
      <c r="E388" s="59"/>
      <c r="F388" s="59"/>
      <c r="H388" s="59"/>
      <c r="I388" s="59"/>
      <c r="J388" s="59"/>
    </row>
    <row r="389" ht="12.75" customHeight="1">
      <c r="A389" s="26"/>
      <c r="B389" s="59"/>
      <c r="C389" s="59"/>
      <c r="D389" s="59"/>
      <c r="E389" s="59"/>
      <c r="F389" s="59"/>
      <c r="H389" s="59"/>
      <c r="I389" s="59"/>
      <c r="J389" s="59"/>
    </row>
    <row r="390" ht="12.75" customHeight="1">
      <c r="A390" s="26"/>
      <c r="B390" s="59"/>
      <c r="C390" s="59"/>
      <c r="D390" s="59"/>
      <c r="E390" s="59"/>
      <c r="F390" s="59"/>
      <c r="H390" s="59"/>
      <c r="I390" s="59"/>
      <c r="J390" s="59"/>
    </row>
    <row r="391" ht="12.75" customHeight="1">
      <c r="A391" s="26"/>
      <c r="B391" s="59"/>
      <c r="C391" s="59"/>
      <c r="D391" s="59"/>
      <c r="E391" s="59"/>
      <c r="F391" s="59"/>
      <c r="H391" s="59"/>
      <c r="I391" s="59"/>
      <c r="J391" s="59"/>
    </row>
    <row r="392" ht="12.75" customHeight="1">
      <c r="A392" s="26"/>
      <c r="B392" s="59"/>
      <c r="C392" s="59"/>
      <c r="D392" s="59"/>
      <c r="E392" s="59"/>
      <c r="F392" s="59"/>
      <c r="H392" s="59"/>
      <c r="I392" s="59"/>
      <c r="J392" s="59"/>
    </row>
    <row r="393" ht="12.75" customHeight="1">
      <c r="A393" s="26"/>
      <c r="B393" s="59"/>
      <c r="C393" s="59"/>
      <c r="D393" s="59"/>
      <c r="E393" s="59"/>
      <c r="F393" s="59"/>
      <c r="H393" s="59"/>
      <c r="I393" s="59"/>
      <c r="J393" s="59"/>
    </row>
    <row r="394" ht="12.75" customHeight="1">
      <c r="A394" s="26"/>
      <c r="B394" s="59"/>
      <c r="C394" s="59"/>
      <c r="D394" s="59"/>
      <c r="E394" s="59"/>
      <c r="F394" s="59"/>
      <c r="H394" s="59"/>
      <c r="I394" s="59"/>
      <c r="J394" s="59"/>
    </row>
    <row r="395" ht="12.75" customHeight="1">
      <c r="A395" s="26"/>
      <c r="B395" s="59"/>
      <c r="C395" s="59"/>
      <c r="D395" s="59"/>
      <c r="E395" s="59"/>
      <c r="F395" s="59"/>
      <c r="H395" s="59"/>
      <c r="I395" s="59"/>
      <c r="J395" s="59"/>
    </row>
    <row r="396" ht="12.75" customHeight="1">
      <c r="A396" s="26"/>
      <c r="B396" s="59"/>
      <c r="C396" s="59"/>
      <c r="D396" s="59"/>
      <c r="E396" s="59"/>
      <c r="F396" s="59"/>
      <c r="H396" s="59"/>
      <c r="I396" s="59"/>
      <c r="J396" s="59"/>
    </row>
    <row r="397" ht="12.75" customHeight="1">
      <c r="A397" s="26"/>
      <c r="B397" s="59"/>
      <c r="C397" s="59"/>
      <c r="D397" s="59"/>
      <c r="E397" s="59"/>
      <c r="F397" s="59"/>
      <c r="H397" s="59"/>
      <c r="I397" s="59"/>
      <c r="J397" s="59"/>
    </row>
    <row r="398" ht="12.75" customHeight="1">
      <c r="A398" s="26"/>
      <c r="B398" s="59"/>
      <c r="C398" s="59"/>
      <c r="D398" s="59"/>
      <c r="E398" s="59"/>
      <c r="F398" s="59"/>
      <c r="H398" s="59"/>
      <c r="I398" s="59"/>
      <c r="J398" s="59"/>
    </row>
    <row r="399" ht="12.75" customHeight="1">
      <c r="A399" s="26"/>
      <c r="B399" s="59"/>
      <c r="C399" s="59"/>
      <c r="D399" s="59"/>
      <c r="E399" s="59"/>
      <c r="F399" s="59"/>
      <c r="H399" s="59"/>
      <c r="I399" s="59"/>
      <c r="J399" s="59"/>
    </row>
    <row r="400" ht="12.75" customHeight="1">
      <c r="A400" s="26"/>
      <c r="B400" s="59"/>
      <c r="C400" s="59"/>
      <c r="D400" s="59"/>
      <c r="E400" s="59"/>
      <c r="F400" s="59"/>
      <c r="H400" s="59"/>
      <c r="I400" s="59"/>
      <c r="J400" s="59"/>
    </row>
    <row r="401" ht="12.75" customHeight="1">
      <c r="A401" s="26"/>
      <c r="B401" s="59"/>
      <c r="C401" s="59"/>
      <c r="D401" s="59"/>
      <c r="E401" s="59"/>
      <c r="F401" s="59"/>
      <c r="H401" s="59"/>
      <c r="I401" s="59"/>
      <c r="J401" s="59"/>
    </row>
    <row r="402" ht="12.75" customHeight="1">
      <c r="A402" s="26"/>
      <c r="B402" s="59"/>
      <c r="C402" s="59"/>
      <c r="D402" s="59"/>
      <c r="E402" s="59"/>
      <c r="F402" s="59"/>
      <c r="H402" s="59"/>
      <c r="I402" s="59"/>
      <c r="J402" s="59"/>
    </row>
    <row r="403" ht="12.75" customHeight="1">
      <c r="A403" s="26"/>
      <c r="B403" s="59"/>
      <c r="C403" s="59"/>
      <c r="D403" s="59"/>
      <c r="E403" s="59"/>
      <c r="F403" s="59"/>
      <c r="H403" s="59"/>
      <c r="I403" s="59"/>
      <c r="J403" s="59"/>
    </row>
    <row r="404" ht="12.75" customHeight="1">
      <c r="A404" s="26"/>
      <c r="B404" s="59"/>
      <c r="C404" s="59"/>
      <c r="D404" s="59"/>
      <c r="E404" s="59"/>
      <c r="F404" s="59"/>
      <c r="H404" s="59"/>
      <c r="I404" s="59"/>
      <c r="J404" s="59"/>
    </row>
    <row r="405" ht="12.75" customHeight="1">
      <c r="A405" s="26"/>
      <c r="B405" s="59"/>
      <c r="C405" s="59"/>
      <c r="D405" s="59"/>
      <c r="E405" s="59"/>
      <c r="F405" s="59"/>
      <c r="H405" s="59"/>
      <c r="I405" s="59"/>
      <c r="J405" s="59"/>
    </row>
    <row r="406" ht="12.75" customHeight="1">
      <c r="A406" s="26"/>
      <c r="B406" s="59"/>
      <c r="C406" s="59"/>
      <c r="D406" s="59"/>
      <c r="E406" s="59"/>
      <c r="F406" s="59"/>
      <c r="H406" s="59"/>
      <c r="I406" s="59"/>
      <c r="J406" s="59"/>
    </row>
    <row r="407" ht="12.75" customHeight="1">
      <c r="A407" s="26"/>
      <c r="B407" s="59"/>
      <c r="C407" s="59"/>
      <c r="D407" s="59"/>
      <c r="E407" s="59"/>
      <c r="F407" s="59"/>
      <c r="H407" s="59"/>
      <c r="I407" s="59"/>
      <c r="J407" s="59"/>
    </row>
    <row r="408" ht="12.75" customHeight="1">
      <c r="A408" s="26"/>
      <c r="B408" s="59"/>
      <c r="C408" s="59"/>
      <c r="D408" s="59"/>
      <c r="E408" s="59"/>
      <c r="F408" s="59"/>
      <c r="H408" s="59"/>
      <c r="I408" s="59"/>
      <c r="J408" s="59"/>
    </row>
    <row r="409" ht="12.75" customHeight="1">
      <c r="A409" s="26"/>
      <c r="B409" s="59"/>
      <c r="C409" s="59"/>
      <c r="D409" s="59"/>
      <c r="E409" s="59"/>
      <c r="F409" s="59"/>
      <c r="H409" s="59"/>
      <c r="I409" s="59"/>
      <c r="J409" s="59"/>
    </row>
    <row r="410" ht="12.75" customHeight="1">
      <c r="A410" s="26"/>
      <c r="B410" s="59"/>
      <c r="C410" s="59"/>
      <c r="D410" s="59"/>
      <c r="E410" s="59"/>
      <c r="F410" s="59"/>
      <c r="H410" s="59"/>
      <c r="I410" s="59"/>
      <c r="J410" s="59"/>
    </row>
    <row r="411" ht="12.75" customHeight="1">
      <c r="A411" s="26"/>
      <c r="B411" s="59"/>
      <c r="C411" s="59"/>
      <c r="D411" s="59"/>
      <c r="E411" s="59"/>
      <c r="F411" s="59"/>
      <c r="H411" s="59"/>
      <c r="I411" s="59"/>
      <c r="J411" s="59"/>
    </row>
    <row r="412" ht="12.75" customHeight="1">
      <c r="A412" s="26"/>
      <c r="B412" s="59"/>
      <c r="C412" s="59"/>
      <c r="D412" s="59"/>
      <c r="E412" s="59"/>
      <c r="F412" s="59"/>
      <c r="H412" s="59"/>
      <c r="I412" s="59"/>
      <c r="J412" s="59"/>
    </row>
    <row r="413" ht="12.75" customHeight="1">
      <c r="A413" s="26"/>
      <c r="B413" s="59"/>
      <c r="C413" s="59"/>
      <c r="D413" s="59"/>
      <c r="E413" s="59"/>
      <c r="F413" s="59"/>
      <c r="H413" s="59"/>
      <c r="I413" s="59"/>
      <c r="J413" s="59"/>
    </row>
    <row r="414" ht="12.75" customHeight="1">
      <c r="A414" s="26"/>
      <c r="B414" s="59"/>
      <c r="C414" s="59"/>
      <c r="D414" s="59"/>
      <c r="E414" s="59"/>
      <c r="F414" s="59"/>
      <c r="H414" s="59"/>
      <c r="I414" s="59"/>
      <c r="J414" s="59"/>
    </row>
    <row r="415" ht="12.75" customHeight="1">
      <c r="A415" s="26"/>
      <c r="B415" s="59"/>
      <c r="C415" s="59"/>
      <c r="D415" s="59"/>
      <c r="E415" s="59"/>
      <c r="F415" s="59"/>
      <c r="H415" s="59"/>
      <c r="I415" s="59"/>
      <c r="J415" s="59"/>
    </row>
    <row r="416" ht="12.75" customHeight="1">
      <c r="A416" s="26"/>
      <c r="B416" s="59"/>
      <c r="C416" s="59"/>
      <c r="D416" s="59"/>
      <c r="E416" s="59"/>
      <c r="F416" s="59"/>
      <c r="H416" s="59"/>
      <c r="I416" s="59"/>
      <c r="J416" s="59"/>
    </row>
    <row r="417" ht="12.75" customHeight="1">
      <c r="A417" s="26"/>
      <c r="B417" s="59"/>
      <c r="C417" s="59"/>
      <c r="D417" s="59"/>
      <c r="E417" s="59"/>
      <c r="F417" s="59"/>
      <c r="H417" s="59"/>
      <c r="I417" s="59"/>
      <c r="J417" s="59"/>
    </row>
    <row r="418" ht="12.75" customHeight="1">
      <c r="A418" s="26"/>
      <c r="B418" s="59"/>
      <c r="C418" s="59"/>
      <c r="D418" s="59"/>
      <c r="E418" s="59"/>
      <c r="F418" s="59"/>
      <c r="H418" s="59"/>
      <c r="I418" s="59"/>
      <c r="J418" s="59"/>
    </row>
    <row r="419" ht="12.75" customHeight="1">
      <c r="A419" s="26"/>
      <c r="B419" s="59"/>
      <c r="C419" s="59"/>
      <c r="D419" s="59"/>
      <c r="E419" s="59"/>
      <c r="F419" s="59"/>
      <c r="H419" s="59"/>
      <c r="I419" s="59"/>
      <c r="J419" s="59"/>
    </row>
    <row r="420" ht="12.75" customHeight="1">
      <c r="A420" s="26"/>
      <c r="B420" s="59"/>
      <c r="C420" s="59"/>
      <c r="D420" s="59"/>
      <c r="E420" s="59"/>
      <c r="F420" s="59"/>
      <c r="H420" s="59"/>
      <c r="I420" s="59"/>
      <c r="J420" s="59"/>
    </row>
    <row r="421" ht="12.75" customHeight="1">
      <c r="A421" s="26"/>
      <c r="B421" s="59"/>
      <c r="C421" s="59"/>
      <c r="D421" s="59"/>
      <c r="E421" s="59"/>
      <c r="F421" s="59"/>
      <c r="H421" s="59"/>
      <c r="I421" s="59"/>
      <c r="J421" s="59"/>
    </row>
    <row r="422" ht="12.75" customHeight="1">
      <c r="A422" s="26"/>
      <c r="B422" s="59"/>
      <c r="C422" s="59"/>
      <c r="D422" s="59"/>
      <c r="E422" s="59"/>
      <c r="F422" s="59"/>
      <c r="H422" s="59"/>
      <c r="I422" s="59"/>
      <c r="J422" s="59"/>
    </row>
    <row r="423" ht="12.75" customHeight="1">
      <c r="A423" s="26"/>
      <c r="B423" s="59"/>
      <c r="C423" s="59"/>
      <c r="D423" s="59"/>
      <c r="E423" s="59"/>
      <c r="F423" s="59"/>
      <c r="H423" s="59"/>
      <c r="I423" s="59"/>
      <c r="J423" s="59"/>
    </row>
    <row r="424" ht="12.75" customHeight="1">
      <c r="A424" s="26"/>
      <c r="B424" s="59"/>
      <c r="C424" s="59"/>
      <c r="D424" s="59"/>
      <c r="E424" s="59"/>
      <c r="F424" s="59"/>
      <c r="H424" s="59"/>
      <c r="I424" s="59"/>
      <c r="J424" s="59"/>
    </row>
    <row r="425" ht="12.75" customHeight="1">
      <c r="A425" s="26"/>
      <c r="B425" s="59"/>
      <c r="C425" s="59"/>
      <c r="D425" s="59"/>
      <c r="E425" s="59"/>
      <c r="F425" s="59"/>
      <c r="H425" s="59"/>
      <c r="I425" s="59"/>
      <c r="J425" s="59"/>
    </row>
    <row r="426" ht="12.75" customHeight="1">
      <c r="A426" s="26"/>
      <c r="B426" s="59"/>
      <c r="C426" s="59"/>
      <c r="D426" s="59"/>
      <c r="E426" s="59"/>
      <c r="F426" s="59"/>
      <c r="H426" s="59"/>
      <c r="I426" s="59"/>
      <c r="J426" s="59"/>
    </row>
    <row r="427" ht="12.75" customHeight="1">
      <c r="A427" s="26"/>
      <c r="B427" s="59"/>
      <c r="C427" s="59"/>
      <c r="D427" s="59"/>
      <c r="E427" s="59"/>
      <c r="F427" s="59"/>
      <c r="H427" s="59"/>
      <c r="I427" s="59"/>
      <c r="J427" s="59"/>
    </row>
    <row r="428" ht="12.75" customHeight="1">
      <c r="A428" s="26"/>
      <c r="B428" s="59"/>
      <c r="C428" s="59"/>
      <c r="D428" s="59"/>
      <c r="E428" s="59"/>
      <c r="F428" s="59"/>
      <c r="H428" s="59"/>
      <c r="I428" s="59"/>
      <c r="J428" s="59"/>
    </row>
    <row r="429" ht="12.75" customHeight="1">
      <c r="A429" s="26"/>
      <c r="B429" s="59"/>
      <c r="C429" s="59"/>
      <c r="D429" s="59"/>
      <c r="E429" s="59"/>
      <c r="F429" s="59"/>
      <c r="H429" s="59"/>
      <c r="I429" s="59"/>
      <c r="J429" s="59"/>
    </row>
    <row r="430" ht="12.75" customHeight="1">
      <c r="A430" s="26"/>
      <c r="B430" s="59"/>
      <c r="C430" s="59"/>
      <c r="D430" s="59"/>
      <c r="E430" s="59"/>
      <c r="F430" s="59"/>
      <c r="H430" s="59"/>
      <c r="I430" s="59"/>
      <c r="J430" s="59"/>
    </row>
    <row r="431" ht="12.75" customHeight="1">
      <c r="A431" s="26"/>
      <c r="B431" s="59"/>
      <c r="C431" s="59"/>
      <c r="D431" s="59"/>
      <c r="E431" s="59"/>
      <c r="F431" s="59"/>
      <c r="H431" s="59"/>
      <c r="I431" s="59"/>
      <c r="J431" s="59"/>
    </row>
    <row r="432" ht="12.75" customHeight="1">
      <c r="A432" s="26"/>
      <c r="B432" s="59"/>
      <c r="C432" s="59"/>
      <c r="D432" s="59"/>
      <c r="E432" s="59"/>
      <c r="F432" s="59"/>
      <c r="H432" s="59"/>
      <c r="I432" s="59"/>
      <c r="J432" s="59"/>
    </row>
    <row r="433" ht="12.75" customHeight="1">
      <c r="A433" s="26"/>
      <c r="B433" s="59"/>
      <c r="C433" s="59"/>
      <c r="D433" s="59"/>
      <c r="E433" s="59"/>
      <c r="F433" s="59"/>
      <c r="H433" s="59"/>
      <c r="I433" s="59"/>
      <c r="J433" s="59"/>
    </row>
    <row r="434" ht="12.75" customHeight="1">
      <c r="A434" s="26"/>
      <c r="B434" s="59"/>
      <c r="C434" s="59"/>
      <c r="D434" s="59"/>
      <c r="E434" s="59"/>
      <c r="F434" s="59"/>
      <c r="H434" s="59"/>
      <c r="I434" s="59"/>
      <c r="J434" s="59"/>
    </row>
    <row r="435" ht="12.75" customHeight="1">
      <c r="A435" s="26"/>
      <c r="B435" s="59"/>
      <c r="C435" s="59"/>
      <c r="D435" s="59"/>
      <c r="E435" s="59"/>
      <c r="F435" s="59"/>
      <c r="H435" s="59"/>
      <c r="I435" s="59"/>
      <c r="J435" s="59"/>
    </row>
    <row r="436" ht="12.75" customHeight="1">
      <c r="A436" s="26"/>
      <c r="B436" s="59"/>
      <c r="C436" s="59"/>
      <c r="D436" s="59"/>
      <c r="E436" s="59"/>
      <c r="F436" s="59"/>
      <c r="H436" s="59"/>
      <c r="I436" s="59"/>
      <c r="J436" s="59"/>
    </row>
    <row r="437" ht="12.75" customHeight="1">
      <c r="A437" s="26"/>
      <c r="B437" s="59"/>
      <c r="C437" s="59"/>
      <c r="D437" s="59"/>
      <c r="E437" s="59"/>
      <c r="F437" s="59"/>
      <c r="H437" s="59"/>
      <c r="I437" s="59"/>
      <c r="J437" s="59"/>
    </row>
    <row r="438" ht="12.75" customHeight="1">
      <c r="A438" s="26"/>
      <c r="B438" s="59"/>
      <c r="C438" s="59"/>
      <c r="D438" s="59"/>
      <c r="E438" s="59"/>
      <c r="F438" s="59"/>
      <c r="H438" s="59"/>
      <c r="I438" s="59"/>
      <c r="J438" s="59"/>
    </row>
    <row r="439" ht="12.75" customHeight="1">
      <c r="A439" s="26"/>
      <c r="B439" s="59"/>
      <c r="C439" s="59"/>
      <c r="D439" s="59"/>
      <c r="E439" s="59"/>
      <c r="F439" s="59"/>
      <c r="H439" s="59"/>
      <c r="I439" s="59"/>
      <c r="J439" s="59"/>
    </row>
    <row r="440" ht="12.75" customHeight="1">
      <c r="A440" s="26"/>
      <c r="B440" s="59"/>
      <c r="C440" s="59"/>
      <c r="D440" s="59"/>
      <c r="E440" s="59"/>
      <c r="F440" s="59"/>
      <c r="H440" s="59"/>
      <c r="I440" s="59"/>
      <c r="J440" s="59"/>
    </row>
    <row r="441" ht="12.75" customHeight="1">
      <c r="A441" s="26"/>
      <c r="B441" s="59"/>
      <c r="C441" s="59"/>
      <c r="D441" s="59"/>
      <c r="E441" s="59"/>
      <c r="F441" s="59"/>
      <c r="H441" s="59"/>
      <c r="I441" s="59"/>
      <c r="J441" s="59"/>
    </row>
    <row r="442" ht="12.75" customHeight="1">
      <c r="A442" s="26"/>
      <c r="B442" s="59"/>
      <c r="C442" s="59"/>
      <c r="D442" s="59"/>
      <c r="E442" s="59"/>
      <c r="F442" s="59"/>
      <c r="H442" s="59"/>
      <c r="I442" s="59"/>
      <c r="J442" s="59"/>
    </row>
    <row r="443" ht="12.75" customHeight="1">
      <c r="A443" s="26"/>
      <c r="B443" s="59"/>
      <c r="C443" s="59"/>
      <c r="D443" s="59"/>
      <c r="E443" s="59"/>
      <c r="F443" s="59"/>
      <c r="H443" s="59"/>
      <c r="I443" s="59"/>
      <c r="J443" s="59"/>
    </row>
    <row r="444" ht="12.75" customHeight="1">
      <c r="A444" s="26"/>
      <c r="B444" s="59"/>
      <c r="C444" s="59"/>
      <c r="D444" s="59"/>
      <c r="E444" s="59"/>
      <c r="F444" s="59"/>
      <c r="H444" s="59"/>
      <c r="I444" s="59"/>
      <c r="J444" s="59"/>
    </row>
    <row r="445" ht="12.75" customHeight="1">
      <c r="A445" s="26"/>
      <c r="B445" s="59"/>
      <c r="C445" s="59"/>
      <c r="D445" s="59"/>
      <c r="E445" s="59"/>
      <c r="F445" s="59"/>
      <c r="H445" s="59"/>
      <c r="I445" s="59"/>
      <c r="J445" s="59"/>
    </row>
    <row r="446" ht="12.75" customHeight="1">
      <c r="A446" s="26"/>
      <c r="B446" s="59"/>
      <c r="C446" s="59"/>
      <c r="D446" s="59"/>
      <c r="E446" s="59"/>
      <c r="F446" s="59"/>
      <c r="H446" s="59"/>
      <c r="I446" s="59"/>
      <c r="J446" s="59"/>
    </row>
    <row r="447" ht="12.75" customHeight="1">
      <c r="A447" s="26"/>
      <c r="B447" s="59"/>
      <c r="C447" s="59"/>
      <c r="D447" s="59"/>
      <c r="E447" s="59"/>
      <c r="F447" s="59"/>
      <c r="H447" s="59"/>
      <c r="I447" s="59"/>
      <c r="J447" s="59"/>
    </row>
    <row r="448" ht="12.75" customHeight="1">
      <c r="A448" s="26"/>
      <c r="B448" s="59"/>
      <c r="C448" s="59"/>
      <c r="D448" s="59"/>
      <c r="E448" s="59"/>
      <c r="F448" s="59"/>
      <c r="H448" s="59"/>
      <c r="I448" s="59"/>
      <c r="J448" s="59"/>
    </row>
    <row r="449" ht="12.75" customHeight="1">
      <c r="A449" s="26"/>
      <c r="B449" s="59"/>
      <c r="C449" s="59"/>
      <c r="D449" s="59"/>
      <c r="E449" s="59"/>
      <c r="F449" s="59"/>
      <c r="H449" s="59"/>
      <c r="I449" s="59"/>
      <c r="J449" s="59"/>
    </row>
    <row r="450" ht="12.75" customHeight="1">
      <c r="A450" s="26"/>
      <c r="B450" s="59"/>
      <c r="C450" s="59"/>
      <c r="D450" s="59"/>
      <c r="E450" s="59"/>
      <c r="F450" s="59"/>
      <c r="H450" s="59"/>
      <c r="I450" s="59"/>
      <c r="J450" s="59"/>
    </row>
    <row r="451" ht="12.75" customHeight="1">
      <c r="A451" s="26"/>
      <c r="B451" s="59"/>
      <c r="C451" s="59"/>
      <c r="D451" s="59"/>
      <c r="E451" s="59"/>
      <c r="F451" s="59"/>
      <c r="H451" s="59"/>
      <c r="I451" s="59"/>
      <c r="J451" s="59"/>
    </row>
    <row r="452" ht="12.75" customHeight="1">
      <c r="A452" s="26"/>
      <c r="B452" s="59"/>
      <c r="C452" s="59"/>
      <c r="D452" s="59"/>
      <c r="E452" s="59"/>
      <c r="F452" s="59"/>
      <c r="H452" s="59"/>
      <c r="I452" s="59"/>
      <c r="J452" s="59"/>
    </row>
    <row r="453" ht="12.75" customHeight="1">
      <c r="A453" s="26"/>
      <c r="B453" s="59"/>
      <c r="C453" s="59"/>
      <c r="D453" s="59"/>
      <c r="E453" s="59"/>
      <c r="F453" s="59"/>
      <c r="H453" s="59"/>
      <c r="I453" s="59"/>
      <c r="J453" s="59"/>
    </row>
    <row r="454" ht="12.75" customHeight="1">
      <c r="A454" s="26"/>
      <c r="B454" s="59"/>
      <c r="C454" s="59"/>
      <c r="D454" s="59"/>
      <c r="E454" s="59"/>
      <c r="F454" s="59"/>
      <c r="H454" s="59"/>
      <c r="I454" s="59"/>
      <c r="J454" s="59"/>
    </row>
    <row r="455" ht="12.75" customHeight="1">
      <c r="A455" s="26"/>
      <c r="B455" s="59"/>
      <c r="C455" s="59"/>
      <c r="D455" s="59"/>
      <c r="E455" s="59"/>
      <c r="F455" s="59"/>
      <c r="H455" s="59"/>
      <c r="I455" s="59"/>
      <c r="J455" s="59"/>
    </row>
    <row r="456" ht="12.75" customHeight="1">
      <c r="A456" s="26"/>
      <c r="B456" s="59"/>
      <c r="C456" s="59"/>
      <c r="D456" s="59"/>
      <c r="E456" s="59"/>
      <c r="F456" s="59"/>
      <c r="H456" s="59"/>
      <c r="I456" s="59"/>
      <c r="J456" s="59"/>
    </row>
    <row r="457" ht="12.75" customHeight="1">
      <c r="A457" s="26"/>
      <c r="B457" s="59"/>
      <c r="C457" s="59"/>
      <c r="D457" s="59"/>
      <c r="E457" s="59"/>
      <c r="F457" s="59"/>
      <c r="H457" s="59"/>
      <c r="I457" s="59"/>
      <c r="J457" s="59"/>
    </row>
    <row r="458" ht="12.75" customHeight="1">
      <c r="A458" s="26"/>
      <c r="B458" s="59"/>
      <c r="C458" s="59"/>
      <c r="D458" s="59"/>
      <c r="E458" s="59"/>
      <c r="F458" s="59"/>
      <c r="H458" s="59"/>
      <c r="I458" s="59"/>
      <c r="J458" s="59"/>
    </row>
    <row r="459" ht="12.75" customHeight="1">
      <c r="A459" s="26"/>
      <c r="B459" s="59"/>
      <c r="C459" s="59"/>
      <c r="D459" s="59"/>
      <c r="E459" s="59"/>
      <c r="F459" s="59"/>
      <c r="H459" s="59"/>
      <c r="I459" s="59"/>
      <c r="J459" s="59"/>
    </row>
    <row r="460" ht="12.75" customHeight="1">
      <c r="A460" s="26"/>
      <c r="B460" s="59"/>
      <c r="C460" s="59"/>
      <c r="D460" s="59"/>
      <c r="E460" s="59"/>
      <c r="F460" s="59"/>
      <c r="H460" s="59"/>
      <c r="I460" s="59"/>
      <c r="J460" s="59"/>
    </row>
    <row r="461" ht="12.75" customHeight="1">
      <c r="A461" s="26"/>
      <c r="B461" s="59"/>
      <c r="C461" s="59"/>
      <c r="D461" s="59"/>
      <c r="E461" s="59"/>
      <c r="F461" s="59"/>
      <c r="H461" s="59"/>
      <c r="I461" s="59"/>
      <c r="J461" s="59"/>
    </row>
    <row r="462" ht="12.75" customHeight="1">
      <c r="A462" s="26"/>
      <c r="B462" s="59"/>
      <c r="C462" s="59"/>
      <c r="D462" s="59"/>
      <c r="E462" s="59"/>
      <c r="F462" s="59"/>
      <c r="H462" s="59"/>
      <c r="I462" s="59"/>
      <c r="J462" s="59"/>
    </row>
    <row r="463" ht="12.75" customHeight="1">
      <c r="A463" s="26"/>
      <c r="B463" s="59"/>
      <c r="C463" s="59"/>
      <c r="D463" s="59"/>
      <c r="E463" s="59"/>
      <c r="F463" s="59"/>
      <c r="H463" s="59"/>
      <c r="I463" s="59"/>
      <c r="J463" s="59"/>
    </row>
    <row r="464" ht="12.75" customHeight="1">
      <c r="A464" s="26"/>
      <c r="B464" s="59"/>
      <c r="C464" s="59"/>
      <c r="D464" s="59"/>
      <c r="E464" s="59"/>
      <c r="F464" s="59"/>
      <c r="H464" s="59"/>
      <c r="I464" s="59"/>
      <c r="J464" s="59"/>
    </row>
    <row r="465" ht="12.75" customHeight="1">
      <c r="A465" s="26"/>
      <c r="B465" s="59"/>
      <c r="C465" s="59"/>
      <c r="D465" s="59"/>
      <c r="E465" s="59"/>
      <c r="F465" s="59"/>
      <c r="H465" s="59"/>
      <c r="I465" s="59"/>
      <c r="J465" s="59"/>
    </row>
    <row r="466" ht="12.75" customHeight="1">
      <c r="A466" s="26"/>
      <c r="B466" s="59"/>
      <c r="C466" s="59"/>
      <c r="D466" s="59"/>
      <c r="E466" s="59"/>
      <c r="F466" s="59"/>
      <c r="H466" s="59"/>
      <c r="I466" s="59"/>
      <c r="J466" s="59"/>
    </row>
    <row r="467" ht="12.75" customHeight="1">
      <c r="A467" s="26"/>
      <c r="B467" s="59"/>
      <c r="C467" s="59"/>
      <c r="D467" s="59"/>
      <c r="E467" s="59"/>
      <c r="F467" s="59"/>
      <c r="H467" s="59"/>
      <c r="I467" s="59"/>
      <c r="J467" s="59"/>
    </row>
    <row r="468" ht="12.75" customHeight="1">
      <c r="A468" s="26"/>
      <c r="B468" s="59"/>
      <c r="C468" s="59"/>
      <c r="D468" s="59"/>
      <c r="E468" s="59"/>
      <c r="F468" s="59"/>
      <c r="H468" s="59"/>
      <c r="I468" s="59"/>
      <c r="J468" s="59"/>
    </row>
    <row r="469" ht="12.75" customHeight="1">
      <c r="A469" s="26"/>
      <c r="B469" s="59"/>
      <c r="C469" s="59"/>
      <c r="D469" s="59"/>
      <c r="E469" s="59"/>
      <c r="F469" s="59"/>
      <c r="H469" s="59"/>
      <c r="I469" s="59"/>
      <c r="J469" s="59"/>
    </row>
    <row r="470" ht="12.75" customHeight="1">
      <c r="A470" s="26"/>
      <c r="B470" s="59"/>
      <c r="C470" s="59"/>
      <c r="D470" s="59"/>
      <c r="E470" s="59"/>
      <c r="F470" s="59"/>
      <c r="H470" s="59"/>
      <c r="I470" s="59"/>
      <c r="J470" s="59"/>
    </row>
    <row r="471" ht="12.75" customHeight="1">
      <c r="A471" s="26"/>
      <c r="B471" s="59"/>
      <c r="C471" s="59"/>
      <c r="D471" s="59"/>
      <c r="E471" s="59"/>
      <c r="F471" s="59"/>
      <c r="H471" s="59"/>
      <c r="I471" s="59"/>
      <c r="J471" s="59"/>
    </row>
    <row r="472" ht="12.75" customHeight="1">
      <c r="A472" s="26"/>
      <c r="B472" s="59"/>
      <c r="C472" s="59"/>
      <c r="D472" s="59"/>
      <c r="E472" s="59"/>
      <c r="F472" s="59"/>
      <c r="H472" s="59"/>
      <c r="I472" s="59"/>
      <c r="J472" s="59"/>
    </row>
    <row r="473" ht="12.75" customHeight="1">
      <c r="A473" s="26"/>
      <c r="B473" s="59"/>
      <c r="C473" s="59"/>
      <c r="D473" s="59"/>
      <c r="E473" s="59"/>
      <c r="F473" s="59"/>
      <c r="H473" s="59"/>
      <c r="I473" s="59"/>
      <c r="J473" s="59"/>
    </row>
    <row r="474" ht="12.75" customHeight="1">
      <c r="A474" s="26"/>
      <c r="B474" s="59"/>
      <c r="C474" s="59"/>
      <c r="D474" s="59"/>
      <c r="E474" s="59"/>
      <c r="F474" s="59"/>
      <c r="H474" s="59"/>
      <c r="I474" s="59"/>
      <c r="J474" s="59"/>
    </row>
    <row r="475" ht="12.75" customHeight="1">
      <c r="A475" s="26"/>
      <c r="B475" s="59"/>
      <c r="C475" s="59"/>
      <c r="D475" s="59"/>
      <c r="E475" s="59"/>
      <c r="F475" s="59"/>
      <c r="H475" s="59"/>
      <c r="I475" s="59"/>
      <c r="J475" s="59"/>
    </row>
    <row r="476" ht="12.75" customHeight="1">
      <c r="A476" s="26"/>
      <c r="B476" s="59"/>
      <c r="C476" s="59"/>
      <c r="D476" s="59"/>
      <c r="E476" s="59"/>
      <c r="F476" s="59"/>
      <c r="H476" s="59"/>
      <c r="I476" s="59"/>
      <c r="J476" s="59"/>
    </row>
    <row r="477" ht="12.75" customHeight="1">
      <c r="A477" s="26"/>
      <c r="B477" s="59"/>
      <c r="C477" s="59"/>
      <c r="D477" s="59"/>
      <c r="E477" s="59"/>
      <c r="F477" s="59"/>
      <c r="H477" s="59"/>
      <c r="I477" s="59"/>
      <c r="J477" s="59"/>
    </row>
    <row r="478" ht="12.75" customHeight="1">
      <c r="A478" s="26"/>
      <c r="B478" s="59"/>
      <c r="C478" s="59"/>
      <c r="D478" s="59"/>
      <c r="E478" s="59"/>
      <c r="F478" s="59"/>
      <c r="H478" s="59"/>
      <c r="I478" s="59"/>
      <c r="J478" s="59"/>
    </row>
    <row r="479" ht="12.75" customHeight="1">
      <c r="A479" s="26"/>
      <c r="B479" s="59"/>
      <c r="C479" s="59"/>
      <c r="D479" s="59"/>
      <c r="E479" s="59"/>
      <c r="F479" s="59"/>
      <c r="H479" s="59"/>
      <c r="I479" s="59"/>
      <c r="J479" s="59"/>
    </row>
    <row r="480" ht="12.75" customHeight="1">
      <c r="A480" s="26"/>
      <c r="B480" s="59"/>
      <c r="C480" s="59"/>
      <c r="D480" s="59"/>
      <c r="E480" s="59"/>
      <c r="F480" s="59"/>
      <c r="H480" s="59"/>
      <c r="I480" s="59"/>
      <c r="J480" s="59"/>
    </row>
    <row r="481" ht="12.75" customHeight="1">
      <c r="A481" s="26"/>
      <c r="B481" s="59"/>
      <c r="C481" s="59"/>
      <c r="D481" s="59"/>
      <c r="E481" s="59"/>
      <c r="F481" s="59"/>
      <c r="H481" s="59"/>
      <c r="I481" s="59"/>
      <c r="J481" s="59"/>
    </row>
    <row r="482" ht="12.75" customHeight="1">
      <c r="A482" s="26"/>
      <c r="B482" s="59"/>
      <c r="C482" s="59"/>
      <c r="D482" s="59"/>
      <c r="E482" s="59"/>
      <c r="F482" s="59"/>
      <c r="H482" s="59"/>
      <c r="I482" s="59"/>
      <c r="J482" s="59"/>
    </row>
    <row r="483" ht="12.75" customHeight="1">
      <c r="A483" s="26"/>
      <c r="B483" s="59"/>
      <c r="C483" s="59"/>
      <c r="D483" s="59"/>
      <c r="E483" s="59"/>
      <c r="F483" s="59"/>
      <c r="H483" s="59"/>
      <c r="I483" s="59"/>
      <c r="J483" s="59"/>
    </row>
    <row r="484" ht="12.75" customHeight="1">
      <c r="A484" s="26"/>
      <c r="B484" s="59"/>
      <c r="C484" s="59"/>
      <c r="D484" s="59"/>
      <c r="E484" s="59"/>
      <c r="F484" s="59"/>
      <c r="H484" s="59"/>
      <c r="I484" s="59"/>
      <c r="J484" s="59"/>
    </row>
    <row r="485" ht="12.75" customHeight="1">
      <c r="A485" s="26"/>
      <c r="B485" s="59"/>
      <c r="C485" s="59"/>
      <c r="D485" s="59"/>
      <c r="E485" s="59"/>
      <c r="F485" s="59"/>
      <c r="H485" s="59"/>
      <c r="I485" s="59"/>
      <c r="J485" s="59"/>
    </row>
    <row r="486" ht="12.75" customHeight="1">
      <c r="A486" s="26"/>
      <c r="B486" s="59"/>
      <c r="C486" s="59"/>
      <c r="D486" s="59"/>
      <c r="E486" s="59"/>
      <c r="F486" s="59"/>
      <c r="H486" s="59"/>
      <c r="I486" s="59"/>
      <c r="J486" s="59"/>
    </row>
    <row r="487" ht="12.75" customHeight="1">
      <c r="A487" s="26"/>
      <c r="B487" s="59"/>
      <c r="C487" s="59"/>
      <c r="D487" s="59"/>
      <c r="E487" s="59"/>
      <c r="F487" s="59"/>
      <c r="H487" s="59"/>
      <c r="I487" s="59"/>
      <c r="J487" s="59"/>
    </row>
    <row r="488" ht="12.75" customHeight="1">
      <c r="A488" s="26"/>
      <c r="B488" s="59"/>
      <c r="C488" s="59"/>
      <c r="D488" s="59"/>
      <c r="E488" s="59"/>
      <c r="F488" s="59"/>
      <c r="H488" s="59"/>
      <c r="I488" s="59"/>
      <c r="J488" s="59"/>
    </row>
    <row r="489" ht="12.75" customHeight="1">
      <c r="A489" s="26"/>
      <c r="B489" s="59"/>
      <c r="C489" s="59"/>
      <c r="D489" s="59"/>
      <c r="E489" s="59"/>
      <c r="F489" s="59"/>
      <c r="H489" s="59"/>
      <c r="I489" s="59"/>
      <c r="J489" s="59"/>
    </row>
    <row r="490" ht="12.75" customHeight="1">
      <c r="A490" s="26"/>
      <c r="B490" s="59"/>
      <c r="C490" s="59"/>
      <c r="D490" s="59"/>
      <c r="E490" s="59"/>
      <c r="F490" s="59"/>
      <c r="H490" s="59"/>
      <c r="I490" s="59"/>
      <c r="J490" s="59"/>
    </row>
    <row r="491" ht="12.75" customHeight="1">
      <c r="A491" s="26"/>
      <c r="B491" s="59"/>
      <c r="C491" s="59"/>
      <c r="D491" s="59"/>
      <c r="E491" s="59"/>
      <c r="F491" s="59"/>
      <c r="H491" s="59"/>
      <c r="I491" s="59"/>
      <c r="J491" s="59"/>
    </row>
    <row r="492" ht="12.75" customHeight="1">
      <c r="A492" s="26"/>
      <c r="B492" s="59"/>
      <c r="C492" s="59"/>
      <c r="D492" s="59"/>
      <c r="E492" s="59"/>
      <c r="F492" s="59"/>
      <c r="H492" s="59"/>
      <c r="I492" s="59"/>
      <c r="J492" s="59"/>
    </row>
    <row r="493" ht="12.75" customHeight="1">
      <c r="A493" s="26"/>
      <c r="B493" s="59"/>
      <c r="C493" s="59"/>
      <c r="D493" s="59"/>
      <c r="E493" s="59"/>
      <c r="F493" s="59"/>
      <c r="H493" s="59"/>
      <c r="I493" s="59"/>
      <c r="J493" s="59"/>
    </row>
    <row r="494" ht="12.75" customHeight="1">
      <c r="A494" s="26"/>
      <c r="B494" s="59"/>
      <c r="C494" s="59"/>
      <c r="D494" s="59"/>
      <c r="E494" s="59"/>
      <c r="F494" s="59"/>
      <c r="H494" s="59"/>
      <c r="I494" s="59"/>
      <c r="J494" s="59"/>
    </row>
    <row r="495" ht="12.75" customHeight="1">
      <c r="A495" s="26"/>
      <c r="B495" s="59"/>
      <c r="C495" s="59"/>
      <c r="D495" s="59"/>
      <c r="E495" s="59"/>
      <c r="F495" s="59"/>
      <c r="H495" s="59"/>
      <c r="I495" s="59"/>
      <c r="J495" s="59"/>
    </row>
    <row r="496" ht="12.75" customHeight="1">
      <c r="A496" s="26"/>
      <c r="B496" s="59"/>
      <c r="C496" s="59"/>
      <c r="D496" s="59"/>
      <c r="E496" s="59"/>
      <c r="F496" s="59"/>
      <c r="H496" s="59"/>
      <c r="I496" s="59"/>
      <c r="J496" s="59"/>
    </row>
    <row r="497" ht="12.75" customHeight="1">
      <c r="A497" s="26"/>
      <c r="B497" s="59"/>
      <c r="C497" s="59"/>
      <c r="D497" s="59"/>
      <c r="E497" s="59"/>
      <c r="F497" s="59"/>
      <c r="H497" s="59"/>
      <c r="I497" s="59"/>
      <c r="J497" s="59"/>
    </row>
    <row r="498" ht="12.75" customHeight="1">
      <c r="A498" s="26"/>
      <c r="B498" s="59"/>
      <c r="C498" s="59"/>
      <c r="D498" s="59"/>
      <c r="E498" s="59"/>
      <c r="F498" s="59"/>
      <c r="H498" s="59"/>
      <c r="I498" s="59"/>
      <c r="J498" s="59"/>
    </row>
    <row r="499" ht="12.75" customHeight="1">
      <c r="A499" s="26"/>
      <c r="B499" s="59"/>
      <c r="C499" s="59"/>
      <c r="D499" s="59"/>
      <c r="E499" s="59"/>
      <c r="F499" s="59"/>
      <c r="H499" s="59"/>
      <c r="I499" s="59"/>
      <c r="J499" s="59"/>
    </row>
    <row r="500" ht="12.75" customHeight="1">
      <c r="A500" s="26"/>
      <c r="B500" s="59"/>
      <c r="C500" s="59"/>
      <c r="D500" s="59"/>
      <c r="E500" s="59"/>
      <c r="F500" s="59"/>
      <c r="H500" s="59"/>
      <c r="I500" s="59"/>
      <c r="J500" s="59"/>
    </row>
    <row r="501" ht="12.75" customHeight="1">
      <c r="A501" s="26"/>
      <c r="B501" s="59"/>
      <c r="C501" s="59"/>
      <c r="D501" s="59"/>
      <c r="E501" s="59"/>
      <c r="F501" s="59"/>
      <c r="H501" s="59"/>
      <c r="I501" s="59"/>
      <c r="J501" s="59"/>
    </row>
    <row r="502" ht="12.75" customHeight="1">
      <c r="A502" s="26"/>
      <c r="B502" s="59"/>
      <c r="C502" s="59"/>
      <c r="D502" s="59"/>
      <c r="E502" s="59"/>
      <c r="F502" s="59"/>
      <c r="H502" s="59"/>
      <c r="I502" s="59"/>
      <c r="J502" s="59"/>
    </row>
    <row r="503" ht="12.75" customHeight="1">
      <c r="A503" s="26"/>
      <c r="B503" s="59"/>
      <c r="C503" s="59"/>
      <c r="D503" s="59"/>
      <c r="E503" s="59"/>
      <c r="F503" s="59"/>
      <c r="H503" s="59"/>
      <c r="I503" s="59"/>
      <c r="J503" s="59"/>
    </row>
    <row r="504" ht="12.75" customHeight="1">
      <c r="A504" s="26"/>
      <c r="B504" s="59"/>
      <c r="C504" s="59"/>
      <c r="D504" s="59"/>
      <c r="E504" s="59"/>
      <c r="F504" s="59"/>
      <c r="H504" s="59"/>
      <c r="I504" s="59"/>
      <c r="J504" s="59"/>
    </row>
    <row r="505" ht="12.75" customHeight="1">
      <c r="A505" s="26"/>
      <c r="B505" s="59"/>
      <c r="C505" s="59"/>
      <c r="D505" s="59"/>
      <c r="E505" s="59"/>
      <c r="F505" s="59"/>
      <c r="H505" s="59"/>
      <c r="I505" s="59"/>
      <c r="J505" s="59"/>
    </row>
    <row r="506" ht="12.75" customHeight="1">
      <c r="A506" s="26"/>
      <c r="B506" s="59"/>
      <c r="C506" s="59"/>
      <c r="D506" s="59"/>
      <c r="E506" s="59"/>
      <c r="F506" s="59"/>
      <c r="H506" s="59"/>
      <c r="I506" s="59"/>
      <c r="J506" s="59"/>
    </row>
    <row r="507" ht="12.75" customHeight="1">
      <c r="A507" s="26"/>
      <c r="B507" s="59"/>
      <c r="C507" s="59"/>
      <c r="D507" s="59"/>
      <c r="E507" s="59"/>
      <c r="F507" s="59"/>
      <c r="H507" s="59"/>
      <c r="I507" s="59"/>
      <c r="J507" s="59"/>
    </row>
    <row r="508" ht="12.75" customHeight="1">
      <c r="A508" s="26"/>
      <c r="B508" s="59"/>
      <c r="C508" s="59"/>
      <c r="D508" s="59"/>
      <c r="E508" s="59"/>
      <c r="F508" s="59"/>
      <c r="H508" s="59"/>
      <c r="I508" s="59"/>
      <c r="J508" s="59"/>
    </row>
    <row r="509" ht="12.75" customHeight="1">
      <c r="A509" s="26"/>
      <c r="B509" s="59"/>
      <c r="C509" s="59"/>
      <c r="D509" s="59"/>
      <c r="E509" s="59"/>
      <c r="F509" s="59"/>
      <c r="H509" s="59"/>
      <c r="I509" s="59"/>
      <c r="J509" s="59"/>
    </row>
    <row r="510" ht="12.75" customHeight="1">
      <c r="A510" s="26"/>
      <c r="B510" s="59"/>
      <c r="C510" s="59"/>
      <c r="D510" s="59"/>
      <c r="E510" s="59"/>
      <c r="F510" s="59"/>
      <c r="H510" s="59"/>
      <c r="I510" s="59"/>
      <c r="J510" s="59"/>
    </row>
    <row r="511" ht="12.75" customHeight="1">
      <c r="A511" s="26"/>
      <c r="B511" s="59"/>
      <c r="C511" s="59"/>
      <c r="D511" s="59"/>
      <c r="E511" s="59"/>
      <c r="F511" s="59"/>
      <c r="H511" s="59"/>
      <c r="I511" s="59"/>
      <c r="J511" s="59"/>
    </row>
    <row r="512" ht="12.75" customHeight="1">
      <c r="A512" s="26"/>
      <c r="B512" s="59"/>
      <c r="C512" s="59"/>
      <c r="D512" s="59"/>
      <c r="E512" s="59"/>
      <c r="F512" s="59"/>
      <c r="H512" s="59"/>
      <c r="I512" s="59"/>
      <c r="J512" s="59"/>
    </row>
    <row r="513" ht="12.75" customHeight="1">
      <c r="A513" s="26"/>
      <c r="B513" s="59"/>
      <c r="C513" s="59"/>
      <c r="D513" s="59"/>
      <c r="E513" s="59"/>
      <c r="F513" s="59"/>
      <c r="H513" s="59"/>
      <c r="I513" s="59"/>
      <c r="J513" s="59"/>
    </row>
    <row r="514" ht="12.75" customHeight="1">
      <c r="A514" s="26"/>
      <c r="B514" s="59"/>
      <c r="C514" s="59"/>
      <c r="D514" s="59"/>
      <c r="E514" s="59"/>
      <c r="F514" s="59"/>
      <c r="H514" s="59"/>
      <c r="I514" s="59"/>
      <c r="J514" s="59"/>
    </row>
    <row r="515" ht="12.75" customHeight="1">
      <c r="A515" s="26"/>
      <c r="B515" s="59"/>
      <c r="C515" s="59"/>
      <c r="D515" s="59"/>
      <c r="E515" s="59"/>
      <c r="F515" s="59"/>
      <c r="H515" s="59"/>
      <c r="I515" s="59"/>
      <c r="J515" s="59"/>
    </row>
    <row r="516" ht="12.75" customHeight="1">
      <c r="A516" s="26"/>
      <c r="B516" s="59"/>
      <c r="C516" s="59"/>
      <c r="D516" s="59"/>
      <c r="E516" s="59"/>
      <c r="F516" s="59"/>
      <c r="H516" s="59"/>
      <c r="I516" s="59"/>
      <c r="J516" s="59"/>
    </row>
    <row r="517" ht="12.75" customHeight="1">
      <c r="A517" s="26"/>
      <c r="B517" s="59"/>
      <c r="C517" s="59"/>
      <c r="D517" s="59"/>
      <c r="E517" s="59"/>
      <c r="F517" s="59"/>
      <c r="H517" s="59"/>
      <c r="I517" s="59"/>
      <c r="J517" s="59"/>
    </row>
    <row r="518" ht="12.75" customHeight="1">
      <c r="A518" s="26"/>
      <c r="B518" s="59"/>
      <c r="C518" s="59"/>
      <c r="D518" s="59"/>
      <c r="E518" s="59"/>
      <c r="F518" s="59"/>
      <c r="H518" s="59"/>
      <c r="I518" s="59"/>
      <c r="J518" s="59"/>
    </row>
    <row r="519" ht="12.75" customHeight="1">
      <c r="A519" s="26"/>
      <c r="B519" s="59"/>
      <c r="C519" s="59"/>
      <c r="D519" s="59"/>
      <c r="E519" s="59"/>
      <c r="F519" s="59"/>
      <c r="H519" s="59"/>
      <c r="I519" s="59"/>
      <c r="J519" s="59"/>
    </row>
    <row r="520" ht="12.75" customHeight="1">
      <c r="A520" s="26"/>
      <c r="B520" s="59"/>
      <c r="C520" s="59"/>
      <c r="D520" s="59"/>
      <c r="E520" s="59"/>
      <c r="F520" s="59"/>
      <c r="H520" s="59"/>
      <c r="I520" s="59"/>
      <c r="J520" s="59"/>
    </row>
    <row r="521" ht="12.75" customHeight="1">
      <c r="A521" s="26"/>
      <c r="B521" s="59"/>
      <c r="C521" s="59"/>
      <c r="D521" s="59"/>
      <c r="E521" s="59"/>
      <c r="F521" s="59"/>
      <c r="H521" s="59"/>
      <c r="I521" s="59"/>
      <c r="J521" s="59"/>
    </row>
    <row r="522" ht="12.75" customHeight="1">
      <c r="A522" s="26"/>
      <c r="B522" s="59"/>
      <c r="C522" s="59"/>
      <c r="D522" s="59"/>
      <c r="E522" s="59"/>
      <c r="F522" s="59"/>
      <c r="H522" s="59"/>
      <c r="I522" s="59"/>
      <c r="J522" s="59"/>
    </row>
    <row r="523" ht="12.75" customHeight="1">
      <c r="A523" s="26"/>
      <c r="B523" s="59"/>
      <c r="C523" s="59"/>
      <c r="D523" s="59"/>
      <c r="E523" s="59"/>
      <c r="F523" s="59"/>
      <c r="H523" s="59"/>
      <c r="I523" s="59"/>
      <c r="J523" s="59"/>
    </row>
    <row r="524" ht="12.75" customHeight="1">
      <c r="A524" s="26"/>
      <c r="B524" s="59"/>
      <c r="C524" s="59"/>
      <c r="D524" s="59"/>
      <c r="E524" s="59"/>
      <c r="F524" s="59"/>
      <c r="H524" s="59"/>
      <c r="I524" s="59"/>
      <c r="J524" s="59"/>
    </row>
    <row r="525" ht="12.75" customHeight="1">
      <c r="A525" s="26"/>
      <c r="B525" s="59"/>
      <c r="C525" s="59"/>
      <c r="D525" s="59"/>
      <c r="E525" s="59"/>
      <c r="F525" s="59"/>
      <c r="H525" s="59"/>
      <c r="I525" s="59"/>
      <c r="J525" s="59"/>
    </row>
    <row r="526" ht="12.75" customHeight="1">
      <c r="A526" s="26"/>
      <c r="B526" s="59"/>
      <c r="C526" s="59"/>
      <c r="D526" s="59"/>
      <c r="E526" s="59"/>
      <c r="F526" s="59"/>
      <c r="H526" s="59"/>
      <c r="I526" s="59"/>
      <c r="J526" s="59"/>
    </row>
    <row r="527" ht="12.75" customHeight="1">
      <c r="A527" s="26"/>
      <c r="B527" s="59"/>
      <c r="C527" s="59"/>
      <c r="D527" s="59"/>
      <c r="E527" s="59"/>
      <c r="F527" s="59"/>
      <c r="H527" s="59"/>
      <c r="I527" s="59"/>
      <c r="J527" s="59"/>
    </row>
    <row r="528" ht="12.75" customHeight="1">
      <c r="A528" s="26"/>
      <c r="B528" s="59"/>
      <c r="C528" s="59"/>
      <c r="D528" s="59"/>
      <c r="E528" s="59"/>
      <c r="F528" s="59"/>
      <c r="H528" s="59"/>
      <c r="I528" s="59"/>
      <c r="J528" s="59"/>
    </row>
    <row r="529" ht="12.75" customHeight="1">
      <c r="A529" s="26"/>
      <c r="B529" s="59"/>
      <c r="C529" s="59"/>
      <c r="D529" s="59"/>
      <c r="E529" s="59"/>
      <c r="F529" s="59"/>
      <c r="H529" s="59"/>
      <c r="I529" s="59"/>
      <c r="J529" s="59"/>
    </row>
    <row r="530" ht="12.75" customHeight="1">
      <c r="A530" s="26"/>
      <c r="B530" s="59"/>
      <c r="C530" s="59"/>
      <c r="D530" s="59"/>
      <c r="E530" s="59"/>
      <c r="F530" s="59"/>
      <c r="H530" s="59"/>
      <c r="I530" s="59"/>
      <c r="J530" s="59"/>
    </row>
    <row r="531" ht="12.75" customHeight="1">
      <c r="A531" s="26"/>
      <c r="B531" s="59"/>
      <c r="C531" s="59"/>
      <c r="D531" s="59"/>
      <c r="E531" s="59"/>
      <c r="F531" s="59"/>
      <c r="H531" s="59"/>
      <c r="I531" s="59"/>
      <c r="J531" s="59"/>
    </row>
    <row r="532" ht="12.75" customHeight="1">
      <c r="A532" s="26"/>
      <c r="B532" s="59"/>
      <c r="C532" s="59"/>
      <c r="D532" s="59"/>
      <c r="E532" s="59"/>
      <c r="F532" s="59"/>
      <c r="H532" s="59"/>
      <c r="I532" s="59"/>
      <c r="J532" s="59"/>
    </row>
    <row r="533" ht="12.75" customHeight="1">
      <c r="A533" s="26"/>
      <c r="B533" s="59"/>
      <c r="C533" s="59"/>
      <c r="D533" s="59"/>
      <c r="E533" s="59"/>
      <c r="F533" s="59"/>
      <c r="H533" s="59"/>
      <c r="I533" s="59"/>
      <c r="J533" s="59"/>
    </row>
    <row r="534" ht="12.75" customHeight="1">
      <c r="A534" s="26"/>
      <c r="B534" s="59"/>
      <c r="C534" s="59"/>
      <c r="D534" s="59"/>
      <c r="E534" s="59"/>
      <c r="F534" s="59"/>
      <c r="H534" s="59"/>
      <c r="I534" s="59"/>
      <c r="J534" s="59"/>
    </row>
    <row r="535" ht="12.75" customHeight="1">
      <c r="A535" s="26"/>
      <c r="B535" s="59"/>
      <c r="C535" s="59"/>
      <c r="D535" s="59"/>
      <c r="E535" s="59"/>
      <c r="F535" s="59"/>
      <c r="H535" s="59"/>
      <c r="I535" s="59"/>
      <c r="J535" s="59"/>
    </row>
    <row r="536" ht="12.75" customHeight="1">
      <c r="A536" s="26"/>
      <c r="B536" s="59"/>
      <c r="C536" s="59"/>
      <c r="D536" s="59"/>
      <c r="E536" s="59"/>
      <c r="F536" s="59"/>
      <c r="H536" s="59"/>
      <c r="I536" s="59"/>
      <c r="J536" s="59"/>
    </row>
    <row r="537" ht="12.75" customHeight="1">
      <c r="A537" s="26"/>
      <c r="B537" s="59"/>
      <c r="C537" s="59"/>
      <c r="D537" s="59"/>
      <c r="E537" s="59"/>
      <c r="F537" s="59"/>
      <c r="H537" s="59"/>
      <c r="I537" s="59"/>
      <c r="J537" s="59"/>
    </row>
    <row r="538" ht="12.75" customHeight="1">
      <c r="A538" s="26"/>
      <c r="B538" s="59"/>
      <c r="C538" s="59"/>
      <c r="D538" s="59"/>
      <c r="E538" s="59"/>
      <c r="F538" s="59"/>
      <c r="H538" s="59"/>
      <c r="I538" s="59"/>
      <c r="J538" s="59"/>
    </row>
    <row r="539" ht="12.75" customHeight="1">
      <c r="A539" s="26"/>
      <c r="B539" s="59"/>
      <c r="C539" s="59"/>
      <c r="D539" s="59"/>
      <c r="E539" s="59"/>
      <c r="F539" s="59"/>
      <c r="H539" s="59"/>
      <c r="I539" s="59"/>
      <c r="J539" s="59"/>
    </row>
    <row r="540" ht="12.75" customHeight="1">
      <c r="A540" s="26"/>
      <c r="B540" s="59"/>
      <c r="C540" s="59"/>
      <c r="D540" s="59"/>
      <c r="E540" s="59"/>
      <c r="F540" s="59"/>
      <c r="H540" s="59"/>
      <c r="I540" s="59"/>
      <c r="J540" s="59"/>
    </row>
    <row r="541" ht="12.75" customHeight="1">
      <c r="A541" s="26"/>
      <c r="B541" s="59"/>
      <c r="C541" s="59"/>
      <c r="D541" s="59"/>
      <c r="E541" s="59"/>
      <c r="F541" s="59"/>
      <c r="H541" s="59"/>
      <c r="I541" s="59"/>
      <c r="J541" s="59"/>
    </row>
    <row r="542" ht="12.75" customHeight="1">
      <c r="A542" s="26"/>
      <c r="B542" s="59"/>
      <c r="C542" s="59"/>
      <c r="D542" s="59"/>
      <c r="E542" s="59"/>
      <c r="F542" s="59"/>
      <c r="H542" s="59"/>
      <c r="I542" s="59"/>
      <c r="J542" s="59"/>
    </row>
    <row r="543" ht="12.75" customHeight="1">
      <c r="A543" s="26"/>
      <c r="B543" s="59"/>
      <c r="C543" s="59"/>
      <c r="D543" s="59"/>
      <c r="E543" s="59"/>
      <c r="F543" s="59"/>
      <c r="H543" s="59"/>
      <c r="I543" s="59"/>
      <c r="J543" s="59"/>
    </row>
    <row r="544" ht="12.75" customHeight="1">
      <c r="A544" s="26"/>
      <c r="B544" s="59"/>
      <c r="C544" s="59"/>
      <c r="D544" s="59"/>
      <c r="E544" s="59"/>
      <c r="F544" s="59"/>
      <c r="H544" s="59"/>
      <c r="I544" s="59"/>
      <c r="J544" s="59"/>
    </row>
    <row r="545" ht="12.75" customHeight="1">
      <c r="A545" s="26"/>
      <c r="B545" s="59"/>
      <c r="C545" s="59"/>
      <c r="D545" s="59"/>
      <c r="E545" s="59"/>
      <c r="F545" s="59"/>
      <c r="H545" s="59"/>
      <c r="I545" s="59"/>
      <c r="J545" s="59"/>
    </row>
    <row r="546" ht="12.75" customHeight="1">
      <c r="A546" s="26"/>
      <c r="B546" s="59"/>
      <c r="C546" s="59"/>
      <c r="D546" s="59"/>
      <c r="E546" s="59"/>
      <c r="F546" s="59"/>
      <c r="H546" s="59"/>
      <c r="I546" s="59"/>
      <c r="J546" s="59"/>
    </row>
    <row r="547" ht="12.75" customHeight="1">
      <c r="A547" s="26"/>
      <c r="B547" s="59"/>
      <c r="C547" s="59"/>
      <c r="D547" s="59"/>
      <c r="E547" s="59"/>
      <c r="F547" s="59"/>
      <c r="H547" s="59"/>
      <c r="I547" s="59"/>
      <c r="J547" s="59"/>
    </row>
    <row r="548" ht="12.75" customHeight="1">
      <c r="A548" s="26"/>
      <c r="B548" s="59"/>
      <c r="C548" s="59"/>
      <c r="D548" s="59"/>
      <c r="E548" s="59"/>
      <c r="F548" s="59"/>
      <c r="H548" s="59"/>
      <c r="I548" s="59"/>
      <c r="J548" s="59"/>
    </row>
    <row r="549" ht="12.75" customHeight="1">
      <c r="A549" s="26"/>
      <c r="B549" s="59"/>
      <c r="C549" s="59"/>
      <c r="D549" s="59"/>
      <c r="E549" s="59"/>
      <c r="F549" s="59"/>
      <c r="H549" s="59"/>
      <c r="I549" s="59"/>
      <c r="J549" s="59"/>
    </row>
    <row r="550" ht="12.75" customHeight="1">
      <c r="A550" s="26"/>
      <c r="B550" s="59"/>
      <c r="C550" s="59"/>
      <c r="D550" s="59"/>
      <c r="E550" s="59"/>
      <c r="F550" s="59"/>
      <c r="H550" s="59"/>
      <c r="I550" s="59"/>
      <c r="J550" s="59"/>
    </row>
    <row r="551" ht="12.75" customHeight="1">
      <c r="A551" s="26"/>
      <c r="B551" s="59"/>
      <c r="C551" s="59"/>
      <c r="D551" s="59"/>
      <c r="E551" s="59"/>
      <c r="F551" s="59"/>
      <c r="H551" s="59"/>
      <c r="I551" s="59"/>
      <c r="J551" s="59"/>
    </row>
    <row r="552" ht="12.75" customHeight="1">
      <c r="A552" s="26"/>
      <c r="B552" s="59"/>
      <c r="C552" s="59"/>
      <c r="D552" s="59"/>
      <c r="E552" s="59"/>
      <c r="F552" s="59"/>
      <c r="H552" s="59"/>
      <c r="I552" s="59"/>
      <c r="J552" s="59"/>
    </row>
    <row r="553" ht="12.75" customHeight="1">
      <c r="A553" s="26"/>
      <c r="B553" s="59"/>
      <c r="C553" s="59"/>
      <c r="D553" s="59"/>
      <c r="E553" s="59"/>
      <c r="F553" s="59"/>
      <c r="H553" s="59"/>
      <c r="I553" s="59"/>
      <c r="J553" s="59"/>
    </row>
    <row r="554" ht="12.75" customHeight="1">
      <c r="A554" s="26"/>
      <c r="B554" s="59"/>
      <c r="C554" s="59"/>
      <c r="D554" s="59"/>
      <c r="E554" s="59"/>
      <c r="F554" s="59"/>
      <c r="H554" s="59"/>
      <c r="I554" s="59"/>
      <c r="J554" s="59"/>
    </row>
    <row r="555" ht="12.75" customHeight="1">
      <c r="A555" s="26"/>
      <c r="B555" s="59"/>
      <c r="C555" s="59"/>
      <c r="D555" s="59"/>
      <c r="E555" s="59"/>
      <c r="F555" s="59"/>
      <c r="H555" s="59"/>
      <c r="I555" s="59"/>
      <c r="J555" s="59"/>
    </row>
    <row r="556" ht="12.75" customHeight="1">
      <c r="A556" s="26"/>
      <c r="B556" s="59"/>
      <c r="C556" s="59"/>
      <c r="D556" s="59"/>
      <c r="E556" s="59"/>
      <c r="F556" s="59"/>
      <c r="H556" s="59"/>
      <c r="I556" s="59"/>
      <c r="J556" s="59"/>
    </row>
    <row r="557" ht="12.75" customHeight="1">
      <c r="A557" s="26"/>
      <c r="B557" s="59"/>
      <c r="C557" s="59"/>
      <c r="D557" s="59"/>
      <c r="E557" s="59"/>
      <c r="F557" s="59"/>
      <c r="H557" s="59"/>
      <c r="I557" s="59"/>
      <c r="J557" s="59"/>
    </row>
    <row r="558" ht="12.75" customHeight="1">
      <c r="A558" s="26"/>
      <c r="B558" s="59"/>
      <c r="C558" s="59"/>
      <c r="D558" s="59"/>
      <c r="E558" s="59"/>
      <c r="F558" s="59"/>
      <c r="H558" s="59"/>
      <c r="I558" s="59"/>
      <c r="J558" s="59"/>
    </row>
    <row r="559" ht="12.75" customHeight="1">
      <c r="A559" s="26"/>
      <c r="B559" s="59"/>
      <c r="C559" s="59"/>
      <c r="D559" s="59"/>
      <c r="E559" s="59"/>
      <c r="F559" s="59"/>
      <c r="H559" s="59"/>
      <c r="I559" s="59"/>
      <c r="J559" s="59"/>
    </row>
    <row r="560" ht="12.75" customHeight="1">
      <c r="A560" s="26"/>
      <c r="B560" s="59"/>
      <c r="C560" s="59"/>
      <c r="D560" s="59"/>
      <c r="E560" s="59"/>
      <c r="F560" s="59"/>
      <c r="H560" s="59"/>
      <c r="I560" s="59"/>
      <c r="J560" s="59"/>
    </row>
    <row r="561" ht="12.75" customHeight="1">
      <c r="A561" s="26"/>
      <c r="B561" s="59"/>
      <c r="C561" s="59"/>
      <c r="D561" s="59"/>
      <c r="E561" s="59"/>
      <c r="F561" s="59"/>
      <c r="H561" s="59"/>
      <c r="I561" s="59"/>
      <c r="J561" s="59"/>
    </row>
    <row r="562" ht="12.75" customHeight="1">
      <c r="A562" s="26"/>
      <c r="B562" s="59"/>
      <c r="C562" s="59"/>
      <c r="D562" s="59"/>
      <c r="E562" s="59"/>
      <c r="F562" s="59"/>
      <c r="H562" s="59"/>
      <c r="I562" s="59"/>
      <c r="J562" s="59"/>
    </row>
    <row r="563" ht="12.75" customHeight="1">
      <c r="A563" s="26"/>
      <c r="B563" s="59"/>
      <c r="C563" s="59"/>
      <c r="D563" s="59"/>
      <c r="E563" s="59"/>
      <c r="F563" s="59"/>
      <c r="H563" s="59"/>
      <c r="I563" s="59"/>
      <c r="J563" s="59"/>
    </row>
    <row r="564" ht="12.75" customHeight="1">
      <c r="A564" s="26"/>
      <c r="B564" s="59"/>
      <c r="C564" s="59"/>
      <c r="D564" s="59"/>
      <c r="E564" s="59"/>
      <c r="F564" s="59"/>
      <c r="H564" s="59"/>
      <c r="I564" s="59"/>
      <c r="J564" s="59"/>
    </row>
    <row r="565" ht="12.75" customHeight="1">
      <c r="A565" s="26"/>
      <c r="B565" s="59"/>
      <c r="C565" s="59"/>
      <c r="D565" s="59"/>
      <c r="E565" s="59"/>
      <c r="F565" s="59"/>
      <c r="H565" s="59"/>
      <c r="I565" s="59"/>
      <c r="J565" s="59"/>
    </row>
    <row r="566" ht="12.75" customHeight="1">
      <c r="A566" s="26"/>
      <c r="B566" s="59"/>
      <c r="C566" s="59"/>
      <c r="D566" s="59"/>
      <c r="E566" s="59"/>
      <c r="F566" s="59"/>
      <c r="H566" s="59"/>
      <c r="I566" s="59"/>
      <c r="J566" s="59"/>
    </row>
    <row r="567" ht="12.75" customHeight="1">
      <c r="A567" s="26"/>
      <c r="B567" s="59"/>
      <c r="C567" s="59"/>
      <c r="D567" s="59"/>
      <c r="E567" s="59"/>
      <c r="F567" s="59"/>
      <c r="H567" s="59"/>
      <c r="I567" s="59"/>
      <c r="J567" s="59"/>
    </row>
    <row r="568" ht="12.75" customHeight="1">
      <c r="A568" s="26"/>
      <c r="B568" s="59"/>
      <c r="C568" s="59"/>
      <c r="D568" s="59"/>
      <c r="E568" s="59"/>
      <c r="F568" s="59"/>
      <c r="H568" s="59"/>
      <c r="I568" s="59"/>
      <c r="J568" s="59"/>
    </row>
    <row r="569" ht="12.75" customHeight="1">
      <c r="A569" s="26"/>
      <c r="B569" s="59"/>
      <c r="C569" s="59"/>
      <c r="D569" s="59"/>
      <c r="E569" s="59"/>
      <c r="F569" s="59"/>
      <c r="H569" s="59"/>
      <c r="I569" s="59"/>
      <c r="J569" s="59"/>
    </row>
    <row r="570" ht="12.75" customHeight="1">
      <c r="A570" s="26"/>
      <c r="B570" s="59"/>
      <c r="C570" s="59"/>
      <c r="D570" s="59"/>
      <c r="E570" s="59"/>
      <c r="F570" s="59"/>
      <c r="H570" s="59"/>
      <c r="I570" s="59"/>
      <c r="J570" s="59"/>
    </row>
    <row r="571" ht="12.75" customHeight="1">
      <c r="A571" s="26"/>
      <c r="B571" s="59"/>
      <c r="C571" s="59"/>
      <c r="D571" s="59"/>
      <c r="E571" s="59"/>
      <c r="F571" s="59"/>
      <c r="H571" s="59"/>
      <c r="I571" s="59"/>
      <c r="J571" s="59"/>
    </row>
    <row r="572" ht="12.75" customHeight="1">
      <c r="A572" s="26"/>
      <c r="B572" s="59"/>
      <c r="C572" s="59"/>
      <c r="D572" s="59"/>
      <c r="E572" s="59"/>
      <c r="F572" s="59"/>
      <c r="H572" s="59"/>
      <c r="I572" s="59"/>
      <c r="J572" s="59"/>
    </row>
    <row r="573" ht="12.75" customHeight="1">
      <c r="A573" s="26"/>
      <c r="B573" s="59"/>
      <c r="C573" s="59"/>
      <c r="D573" s="59"/>
      <c r="E573" s="59"/>
      <c r="F573" s="59"/>
      <c r="H573" s="59"/>
      <c r="I573" s="59"/>
      <c r="J573" s="59"/>
    </row>
    <row r="574" ht="12.75" customHeight="1">
      <c r="A574" s="26"/>
      <c r="B574" s="59"/>
      <c r="C574" s="59"/>
      <c r="D574" s="59"/>
      <c r="E574" s="59"/>
      <c r="F574" s="59"/>
      <c r="H574" s="59"/>
      <c r="I574" s="59"/>
      <c r="J574" s="59"/>
    </row>
    <row r="575" ht="12.75" customHeight="1">
      <c r="A575" s="26"/>
      <c r="B575" s="59"/>
      <c r="C575" s="59"/>
      <c r="D575" s="59"/>
      <c r="E575" s="59"/>
      <c r="F575" s="59"/>
      <c r="H575" s="59"/>
      <c r="I575" s="59"/>
      <c r="J575" s="59"/>
    </row>
    <row r="576" ht="12.75" customHeight="1">
      <c r="A576" s="26"/>
      <c r="B576" s="59"/>
      <c r="C576" s="59"/>
      <c r="D576" s="59"/>
      <c r="E576" s="59"/>
      <c r="F576" s="59"/>
      <c r="H576" s="59"/>
      <c r="I576" s="59"/>
      <c r="J576" s="59"/>
    </row>
    <row r="577" ht="12.75" customHeight="1">
      <c r="A577" s="26"/>
      <c r="B577" s="59"/>
      <c r="C577" s="59"/>
      <c r="D577" s="59"/>
      <c r="E577" s="59"/>
      <c r="F577" s="59"/>
      <c r="H577" s="59"/>
      <c r="I577" s="59"/>
      <c r="J577" s="59"/>
    </row>
    <row r="578" ht="12.75" customHeight="1">
      <c r="A578" s="26"/>
      <c r="B578" s="59"/>
      <c r="C578" s="59"/>
      <c r="D578" s="59"/>
      <c r="E578" s="59"/>
      <c r="F578" s="59"/>
      <c r="H578" s="59"/>
      <c r="I578" s="59"/>
      <c r="J578" s="59"/>
    </row>
    <row r="579" ht="12.75" customHeight="1">
      <c r="A579" s="26"/>
      <c r="B579" s="59"/>
      <c r="C579" s="59"/>
      <c r="D579" s="59"/>
      <c r="E579" s="59"/>
      <c r="F579" s="59"/>
      <c r="H579" s="59"/>
      <c r="I579" s="59"/>
      <c r="J579" s="59"/>
    </row>
    <row r="580" ht="12.75" customHeight="1">
      <c r="A580" s="26"/>
      <c r="B580" s="59"/>
      <c r="C580" s="59"/>
      <c r="D580" s="59"/>
      <c r="E580" s="59"/>
      <c r="F580" s="59"/>
      <c r="H580" s="59"/>
      <c r="I580" s="59"/>
      <c r="J580" s="59"/>
    </row>
    <row r="581" ht="12.75" customHeight="1">
      <c r="A581" s="26"/>
      <c r="B581" s="59"/>
      <c r="C581" s="59"/>
      <c r="D581" s="59"/>
      <c r="E581" s="59"/>
      <c r="F581" s="59"/>
      <c r="H581" s="59"/>
      <c r="I581" s="59"/>
      <c r="J581" s="59"/>
    </row>
    <row r="582" ht="12.75" customHeight="1">
      <c r="A582" s="26"/>
      <c r="B582" s="59"/>
      <c r="C582" s="59"/>
      <c r="D582" s="59"/>
      <c r="E582" s="59"/>
      <c r="F582" s="59"/>
      <c r="H582" s="59"/>
      <c r="I582" s="59"/>
      <c r="J582" s="59"/>
    </row>
    <row r="583" ht="12.75" customHeight="1">
      <c r="A583" s="26"/>
      <c r="B583" s="59"/>
      <c r="C583" s="59"/>
      <c r="D583" s="59"/>
      <c r="E583" s="59"/>
      <c r="F583" s="59"/>
      <c r="H583" s="59"/>
      <c r="I583" s="59"/>
      <c r="J583" s="59"/>
    </row>
    <row r="584" ht="12.75" customHeight="1">
      <c r="A584" s="26"/>
      <c r="B584" s="59"/>
      <c r="C584" s="59"/>
      <c r="D584" s="59"/>
      <c r="E584" s="59"/>
      <c r="F584" s="59"/>
      <c r="H584" s="59"/>
      <c r="I584" s="59"/>
      <c r="J584" s="59"/>
    </row>
    <row r="585" ht="12.75" customHeight="1">
      <c r="A585" s="26"/>
      <c r="B585" s="59"/>
      <c r="C585" s="59"/>
      <c r="D585" s="59"/>
      <c r="E585" s="59"/>
      <c r="F585" s="59"/>
      <c r="H585" s="59"/>
      <c r="I585" s="59"/>
      <c r="J585" s="59"/>
    </row>
    <row r="586" ht="12.75" customHeight="1">
      <c r="A586" s="26"/>
      <c r="B586" s="59"/>
      <c r="C586" s="59"/>
      <c r="D586" s="59"/>
      <c r="E586" s="59"/>
      <c r="F586" s="59"/>
      <c r="H586" s="59"/>
      <c r="I586" s="59"/>
      <c r="J586" s="59"/>
    </row>
    <row r="587" ht="12.75" customHeight="1">
      <c r="A587" s="26"/>
      <c r="B587" s="59"/>
      <c r="C587" s="59"/>
      <c r="D587" s="59"/>
      <c r="E587" s="59"/>
      <c r="F587" s="59"/>
      <c r="H587" s="59"/>
      <c r="I587" s="59"/>
      <c r="J587" s="59"/>
    </row>
    <row r="588" ht="12.75" customHeight="1">
      <c r="A588" s="26"/>
      <c r="B588" s="59"/>
      <c r="C588" s="59"/>
      <c r="D588" s="59"/>
      <c r="E588" s="59"/>
      <c r="F588" s="59"/>
      <c r="H588" s="59"/>
      <c r="I588" s="59"/>
      <c r="J588" s="59"/>
    </row>
    <row r="589" ht="12.75" customHeight="1">
      <c r="A589" s="26"/>
      <c r="B589" s="59"/>
      <c r="C589" s="59"/>
      <c r="D589" s="59"/>
      <c r="E589" s="59"/>
      <c r="F589" s="59"/>
      <c r="H589" s="59"/>
      <c r="I589" s="59"/>
      <c r="J589" s="59"/>
    </row>
    <row r="590" ht="12.75" customHeight="1">
      <c r="A590" s="26"/>
      <c r="B590" s="59"/>
      <c r="C590" s="59"/>
      <c r="D590" s="59"/>
      <c r="E590" s="59"/>
      <c r="F590" s="59"/>
      <c r="H590" s="59"/>
      <c r="I590" s="59"/>
      <c r="J590" s="59"/>
    </row>
    <row r="591" ht="12.75" customHeight="1">
      <c r="A591" s="26"/>
      <c r="B591" s="59"/>
      <c r="C591" s="59"/>
      <c r="D591" s="59"/>
      <c r="E591" s="59"/>
      <c r="F591" s="59"/>
      <c r="H591" s="59"/>
      <c r="I591" s="59"/>
      <c r="J591" s="59"/>
    </row>
    <row r="592" ht="12.75" customHeight="1">
      <c r="A592" s="26"/>
      <c r="B592" s="59"/>
      <c r="C592" s="59"/>
      <c r="D592" s="59"/>
      <c r="E592" s="59"/>
      <c r="F592" s="59"/>
      <c r="H592" s="59"/>
      <c r="I592" s="59"/>
      <c r="J592" s="59"/>
    </row>
    <row r="593" ht="12.75" customHeight="1">
      <c r="A593" s="26"/>
      <c r="B593" s="59"/>
      <c r="C593" s="59"/>
      <c r="D593" s="59"/>
      <c r="E593" s="59"/>
      <c r="F593" s="59"/>
      <c r="H593" s="59"/>
      <c r="I593" s="59"/>
      <c r="J593" s="59"/>
    </row>
    <row r="594" ht="12.75" customHeight="1">
      <c r="A594" s="26"/>
      <c r="B594" s="59"/>
      <c r="C594" s="59"/>
      <c r="D594" s="59"/>
      <c r="E594" s="59"/>
      <c r="F594" s="59"/>
      <c r="H594" s="59"/>
      <c r="I594" s="59"/>
      <c r="J594" s="59"/>
    </row>
    <row r="595" ht="12.75" customHeight="1">
      <c r="A595" s="26"/>
      <c r="B595" s="59"/>
      <c r="C595" s="59"/>
      <c r="D595" s="59"/>
      <c r="E595" s="59"/>
      <c r="F595" s="59"/>
      <c r="H595" s="59"/>
      <c r="I595" s="59"/>
      <c r="J595" s="59"/>
    </row>
    <row r="596" ht="12.75" customHeight="1">
      <c r="A596" s="26"/>
      <c r="B596" s="59"/>
      <c r="C596" s="59"/>
      <c r="D596" s="59"/>
      <c r="E596" s="59"/>
      <c r="F596" s="59"/>
      <c r="H596" s="59"/>
      <c r="I596" s="59"/>
      <c r="J596" s="59"/>
    </row>
    <row r="597" ht="12.75" customHeight="1">
      <c r="A597" s="26"/>
      <c r="B597" s="59"/>
      <c r="C597" s="59"/>
      <c r="D597" s="59"/>
      <c r="E597" s="59"/>
      <c r="F597" s="59"/>
      <c r="H597" s="59"/>
      <c r="I597" s="59"/>
      <c r="J597" s="59"/>
    </row>
    <row r="598" ht="12.75" customHeight="1">
      <c r="A598" s="26"/>
      <c r="B598" s="59"/>
      <c r="C598" s="59"/>
      <c r="D598" s="59"/>
      <c r="E598" s="59"/>
      <c r="F598" s="59"/>
      <c r="H598" s="59"/>
      <c r="I598" s="59"/>
      <c r="J598" s="59"/>
    </row>
    <row r="599" ht="12.75" customHeight="1">
      <c r="A599" s="26"/>
      <c r="B599" s="59"/>
      <c r="C599" s="59"/>
      <c r="D599" s="59"/>
      <c r="E599" s="59"/>
      <c r="F599" s="59"/>
      <c r="H599" s="59"/>
      <c r="I599" s="59"/>
      <c r="J599" s="59"/>
    </row>
    <row r="600" ht="12.75" customHeight="1">
      <c r="A600" s="26"/>
      <c r="B600" s="59"/>
      <c r="C600" s="59"/>
      <c r="D600" s="59"/>
      <c r="E600" s="59"/>
      <c r="F600" s="59"/>
      <c r="H600" s="59"/>
      <c r="I600" s="59"/>
      <c r="J600" s="59"/>
    </row>
    <row r="601" ht="12.75" customHeight="1">
      <c r="A601" s="26"/>
      <c r="B601" s="59"/>
      <c r="C601" s="59"/>
      <c r="D601" s="59"/>
      <c r="E601" s="59"/>
      <c r="F601" s="59"/>
      <c r="H601" s="59"/>
      <c r="I601" s="59"/>
      <c r="J601" s="59"/>
    </row>
    <row r="602" ht="12.75" customHeight="1">
      <c r="A602" s="26"/>
      <c r="B602" s="59"/>
      <c r="C602" s="59"/>
      <c r="D602" s="59"/>
      <c r="E602" s="59"/>
      <c r="F602" s="59"/>
      <c r="H602" s="59"/>
      <c r="I602" s="59"/>
      <c r="J602" s="59"/>
    </row>
    <row r="603" ht="12.75" customHeight="1">
      <c r="A603" s="26"/>
      <c r="B603" s="59"/>
      <c r="C603" s="59"/>
      <c r="D603" s="59"/>
      <c r="E603" s="59"/>
      <c r="F603" s="59"/>
      <c r="H603" s="59"/>
      <c r="I603" s="59"/>
      <c r="J603" s="59"/>
    </row>
    <row r="604" ht="12.75" customHeight="1">
      <c r="A604" s="26"/>
      <c r="B604" s="59"/>
      <c r="C604" s="59"/>
      <c r="D604" s="59"/>
      <c r="E604" s="59"/>
      <c r="F604" s="59"/>
      <c r="H604" s="59"/>
      <c r="I604" s="59"/>
      <c r="J604" s="59"/>
    </row>
    <row r="605" ht="12.75" customHeight="1">
      <c r="A605" s="26"/>
      <c r="B605" s="59"/>
      <c r="C605" s="59"/>
      <c r="D605" s="59"/>
      <c r="E605" s="59"/>
      <c r="F605" s="59"/>
      <c r="H605" s="59"/>
      <c r="I605" s="59"/>
      <c r="J605" s="59"/>
    </row>
    <row r="606" ht="12.75" customHeight="1">
      <c r="A606" s="26"/>
      <c r="B606" s="59"/>
      <c r="C606" s="59"/>
      <c r="D606" s="59"/>
      <c r="E606" s="59"/>
      <c r="F606" s="59"/>
      <c r="H606" s="59"/>
      <c r="I606" s="59"/>
      <c r="J606" s="59"/>
    </row>
    <row r="607" ht="12.75" customHeight="1">
      <c r="A607" s="26"/>
      <c r="B607" s="59"/>
      <c r="C607" s="59"/>
      <c r="D607" s="59"/>
      <c r="E607" s="59"/>
      <c r="F607" s="59"/>
      <c r="H607" s="59"/>
      <c r="I607" s="59"/>
      <c r="J607" s="59"/>
    </row>
    <row r="608" ht="12.75" customHeight="1">
      <c r="A608" s="26"/>
      <c r="B608" s="59"/>
      <c r="C608" s="59"/>
      <c r="D608" s="59"/>
      <c r="E608" s="59"/>
      <c r="F608" s="59"/>
      <c r="H608" s="59"/>
      <c r="I608" s="59"/>
      <c r="J608" s="59"/>
    </row>
    <row r="609" ht="12.75" customHeight="1">
      <c r="A609" s="26"/>
      <c r="B609" s="59"/>
      <c r="C609" s="59"/>
      <c r="D609" s="59"/>
      <c r="E609" s="59"/>
      <c r="F609" s="59"/>
      <c r="H609" s="59"/>
      <c r="I609" s="59"/>
      <c r="J609" s="59"/>
    </row>
    <row r="610" ht="12.75" customHeight="1">
      <c r="A610" s="26"/>
      <c r="B610" s="59"/>
      <c r="C610" s="59"/>
      <c r="D610" s="59"/>
      <c r="E610" s="59"/>
      <c r="F610" s="59"/>
      <c r="H610" s="59"/>
      <c r="I610" s="59"/>
      <c r="J610" s="59"/>
    </row>
    <row r="611" ht="12.75" customHeight="1">
      <c r="A611" s="26"/>
      <c r="B611" s="59"/>
      <c r="C611" s="59"/>
      <c r="D611" s="59"/>
      <c r="E611" s="59"/>
      <c r="F611" s="59"/>
      <c r="H611" s="59"/>
      <c r="I611" s="59"/>
      <c r="J611" s="59"/>
    </row>
    <row r="612" ht="12.75" customHeight="1">
      <c r="A612" s="26"/>
      <c r="B612" s="59"/>
      <c r="C612" s="59"/>
      <c r="D612" s="59"/>
      <c r="E612" s="59"/>
      <c r="F612" s="59"/>
      <c r="H612" s="59"/>
      <c r="I612" s="59"/>
      <c r="J612" s="59"/>
    </row>
    <row r="613" ht="12.75" customHeight="1">
      <c r="A613" s="26"/>
      <c r="B613" s="59"/>
      <c r="C613" s="59"/>
      <c r="D613" s="59"/>
      <c r="E613" s="59"/>
      <c r="F613" s="59"/>
      <c r="H613" s="59"/>
      <c r="I613" s="59"/>
      <c r="J613" s="59"/>
    </row>
    <row r="614" ht="12.75" customHeight="1">
      <c r="A614" s="26"/>
      <c r="B614" s="59"/>
      <c r="C614" s="59"/>
      <c r="D614" s="59"/>
      <c r="E614" s="59"/>
      <c r="F614" s="59"/>
      <c r="H614" s="59"/>
      <c r="I614" s="59"/>
      <c r="J614" s="59"/>
    </row>
    <row r="615" ht="12.75" customHeight="1">
      <c r="A615" s="26"/>
      <c r="B615" s="59"/>
      <c r="C615" s="59"/>
      <c r="D615" s="59"/>
      <c r="E615" s="59"/>
      <c r="F615" s="59"/>
      <c r="H615" s="59"/>
      <c r="I615" s="59"/>
      <c r="J615" s="59"/>
    </row>
    <row r="616" ht="12.75" customHeight="1">
      <c r="A616" s="26"/>
      <c r="B616" s="59"/>
      <c r="C616" s="59"/>
      <c r="D616" s="59"/>
      <c r="E616" s="59"/>
      <c r="F616" s="59"/>
      <c r="H616" s="59"/>
      <c r="I616" s="59"/>
      <c r="J616" s="59"/>
    </row>
    <row r="617" ht="12.75" customHeight="1">
      <c r="A617" s="26"/>
      <c r="B617" s="59"/>
      <c r="C617" s="59"/>
      <c r="D617" s="59"/>
      <c r="E617" s="59"/>
      <c r="F617" s="59"/>
      <c r="H617" s="59"/>
      <c r="I617" s="59"/>
      <c r="J617" s="59"/>
    </row>
    <row r="618" ht="12.75" customHeight="1">
      <c r="A618" s="26"/>
      <c r="B618" s="59"/>
      <c r="C618" s="59"/>
      <c r="D618" s="59"/>
      <c r="E618" s="59"/>
      <c r="F618" s="59"/>
      <c r="H618" s="59"/>
      <c r="I618" s="59"/>
      <c r="J618" s="59"/>
    </row>
    <row r="619" ht="12.75" customHeight="1">
      <c r="A619" s="26"/>
      <c r="B619" s="59"/>
      <c r="C619" s="59"/>
      <c r="D619" s="59"/>
      <c r="E619" s="59"/>
      <c r="F619" s="59"/>
      <c r="H619" s="59"/>
      <c r="I619" s="59"/>
      <c r="J619" s="59"/>
    </row>
    <row r="620" ht="12.75" customHeight="1">
      <c r="A620" s="26"/>
      <c r="B620" s="59"/>
      <c r="C620" s="59"/>
      <c r="D620" s="59"/>
      <c r="E620" s="59"/>
      <c r="F620" s="59"/>
      <c r="H620" s="59"/>
      <c r="I620" s="59"/>
      <c r="J620" s="59"/>
    </row>
    <row r="621" ht="12.75" customHeight="1">
      <c r="A621" s="26"/>
      <c r="B621" s="59"/>
      <c r="C621" s="59"/>
      <c r="D621" s="59"/>
      <c r="E621" s="59"/>
      <c r="F621" s="59"/>
      <c r="H621" s="59"/>
      <c r="I621" s="59"/>
      <c r="J621" s="59"/>
    </row>
    <row r="622" ht="12.75" customHeight="1">
      <c r="A622" s="26"/>
      <c r="B622" s="59"/>
      <c r="C622" s="59"/>
      <c r="D622" s="59"/>
      <c r="E622" s="59"/>
      <c r="F622" s="59"/>
      <c r="H622" s="59"/>
      <c r="I622" s="59"/>
      <c r="J622" s="59"/>
    </row>
    <row r="623" ht="12.75" customHeight="1">
      <c r="A623" s="26"/>
      <c r="B623" s="59"/>
      <c r="C623" s="59"/>
      <c r="D623" s="59"/>
      <c r="E623" s="59"/>
      <c r="F623" s="59"/>
      <c r="H623" s="59"/>
      <c r="I623" s="59"/>
      <c r="J623" s="59"/>
    </row>
    <row r="624" ht="12.75" customHeight="1">
      <c r="A624" s="26"/>
      <c r="B624" s="59"/>
      <c r="C624" s="59"/>
      <c r="D624" s="59"/>
      <c r="E624" s="59"/>
      <c r="F624" s="59"/>
      <c r="H624" s="59"/>
      <c r="I624" s="59"/>
      <c r="J624" s="59"/>
    </row>
    <row r="625" ht="12.75" customHeight="1">
      <c r="A625" s="26"/>
      <c r="B625" s="59"/>
      <c r="C625" s="59"/>
      <c r="D625" s="59"/>
      <c r="E625" s="59"/>
      <c r="F625" s="59"/>
      <c r="H625" s="59"/>
      <c r="I625" s="59"/>
      <c r="J625" s="59"/>
    </row>
    <row r="626" ht="12.75" customHeight="1">
      <c r="A626" s="26"/>
      <c r="B626" s="59"/>
      <c r="C626" s="59"/>
      <c r="D626" s="59"/>
      <c r="E626" s="59"/>
      <c r="F626" s="59"/>
      <c r="H626" s="59"/>
      <c r="I626" s="59"/>
      <c r="J626" s="59"/>
    </row>
    <row r="627" ht="12.75" customHeight="1">
      <c r="A627" s="26"/>
      <c r="B627" s="59"/>
      <c r="C627" s="59"/>
      <c r="D627" s="59"/>
      <c r="E627" s="59"/>
      <c r="F627" s="59"/>
      <c r="H627" s="59"/>
      <c r="I627" s="59"/>
      <c r="J627" s="59"/>
    </row>
    <row r="628" ht="12.75" customHeight="1">
      <c r="A628" s="26"/>
      <c r="B628" s="59"/>
      <c r="C628" s="59"/>
      <c r="D628" s="59"/>
      <c r="E628" s="59"/>
      <c r="F628" s="59"/>
      <c r="H628" s="59"/>
      <c r="I628" s="59"/>
      <c r="J628" s="59"/>
    </row>
    <row r="629" ht="12.75" customHeight="1">
      <c r="A629" s="26"/>
      <c r="B629" s="59"/>
      <c r="C629" s="59"/>
      <c r="D629" s="59"/>
      <c r="E629" s="59"/>
      <c r="F629" s="59"/>
      <c r="H629" s="59"/>
      <c r="I629" s="59"/>
      <c r="J629" s="59"/>
    </row>
    <row r="630" ht="12.75" customHeight="1">
      <c r="A630" s="26"/>
      <c r="B630" s="59"/>
      <c r="C630" s="59"/>
      <c r="D630" s="59"/>
      <c r="E630" s="59"/>
      <c r="F630" s="59"/>
      <c r="H630" s="59"/>
      <c r="I630" s="59"/>
      <c r="J630" s="59"/>
    </row>
    <row r="631" ht="12.75" customHeight="1">
      <c r="A631" s="26"/>
      <c r="B631" s="59"/>
      <c r="C631" s="59"/>
      <c r="D631" s="59"/>
      <c r="E631" s="59"/>
      <c r="F631" s="59"/>
      <c r="H631" s="59"/>
      <c r="I631" s="59"/>
      <c r="J631" s="59"/>
    </row>
    <row r="632" ht="12.75" customHeight="1">
      <c r="A632" s="26"/>
      <c r="B632" s="59"/>
      <c r="C632" s="59"/>
      <c r="D632" s="59"/>
      <c r="E632" s="59"/>
      <c r="F632" s="59"/>
      <c r="H632" s="59"/>
      <c r="I632" s="59"/>
      <c r="J632" s="59"/>
    </row>
    <row r="633" ht="12.75" customHeight="1">
      <c r="A633" s="26"/>
      <c r="B633" s="59"/>
      <c r="C633" s="59"/>
      <c r="D633" s="59"/>
      <c r="E633" s="59"/>
      <c r="F633" s="59"/>
      <c r="H633" s="59"/>
      <c r="I633" s="59"/>
      <c r="J633" s="59"/>
    </row>
    <row r="634" ht="12.75" customHeight="1">
      <c r="A634" s="26"/>
      <c r="B634" s="59"/>
      <c r="C634" s="59"/>
      <c r="D634" s="59"/>
      <c r="E634" s="59"/>
      <c r="F634" s="59"/>
      <c r="H634" s="59"/>
      <c r="I634" s="59"/>
      <c r="J634" s="59"/>
    </row>
    <row r="635" ht="12.75" customHeight="1">
      <c r="A635" s="26"/>
      <c r="B635" s="59"/>
      <c r="C635" s="59"/>
      <c r="D635" s="59"/>
      <c r="E635" s="59"/>
      <c r="F635" s="59"/>
      <c r="H635" s="59"/>
      <c r="I635" s="59"/>
      <c r="J635" s="59"/>
    </row>
    <row r="636" ht="12.75" customHeight="1">
      <c r="A636" s="26"/>
      <c r="B636" s="59"/>
      <c r="C636" s="59"/>
      <c r="D636" s="59"/>
      <c r="E636" s="59"/>
      <c r="F636" s="59"/>
      <c r="H636" s="59"/>
      <c r="I636" s="59"/>
      <c r="J636" s="59"/>
    </row>
    <row r="637" ht="12.75" customHeight="1">
      <c r="A637" s="26"/>
      <c r="B637" s="59"/>
      <c r="C637" s="59"/>
      <c r="D637" s="59"/>
      <c r="E637" s="59"/>
      <c r="F637" s="59"/>
      <c r="H637" s="59"/>
      <c r="I637" s="59"/>
      <c r="J637" s="59"/>
    </row>
    <row r="638" ht="12.75" customHeight="1">
      <c r="A638" s="26"/>
      <c r="B638" s="59"/>
      <c r="C638" s="59"/>
      <c r="D638" s="59"/>
      <c r="E638" s="59"/>
      <c r="F638" s="59"/>
      <c r="H638" s="59"/>
      <c r="I638" s="59"/>
      <c r="J638" s="59"/>
    </row>
    <row r="639" ht="12.75" customHeight="1">
      <c r="A639" s="26"/>
      <c r="B639" s="59"/>
      <c r="C639" s="59"/>
      <c r="D639" s="59"/>
      <c r="E639" s="59"/>
      <c r="F639" s="59"/>
      <c r="H639" s="59"/>
      <c r="I639" s="59"/>
      <c r="J639" s="59"/>
    </row>
    <row r="640" ht="12.75" customHeight="1">
      <c r="A640" s="26"/>
      <c r="B640" s="59"/>
      <c r="C640" s="59"/>
      <c r="D640" s="59"/>
      <c r="E640" s="59"/>
      <c r="F640" s="59"/>
      <c r="H640" s="59"/>
      <c r="I640" s="59"/>
      <c r="J640" s="59"/>
    </row>
    <row r="641" ht="12.75" customHeight="1">
      <c r="A641" s="26"/>
      <c r="B641" s="59"/>
      <c r="C641" s="59"/>
      <c r="D641" s="59"/>
      <c r="E641" s="59"/>
      <c r="F641" s="59"/>
      <c r="H641" s="59"/>
      <c r="I641" s="59"/>
      <c r="J641" s="59"/>
    </row>
    <row r="642" ht="12.75" customHeight="1">
      <c r="A642" s="26"/>
      <c r="B642" s="59"/>
      <c r="C642" s="59"/>
      <c r="D642" s="59"/>
      <c r="E642" s="59"/>
      <c r="F642" s="59"/>
      <c r="H642" s="59"/>
      <c r="I642" s="59"/>
      <c r="J642" s="59"/>
    </row>
    <row r="643" ht="12.75" customHeight="1">
      <c r="A643" s="26"/>
      <c r="B643" s="59"/>
      <c r="C643" s="59"/>
      <c r="D643" s="59"/>
      <c r="E643" s="59"/>
      <c r="F643" s="59"/>
      <c r="H643" s="59"/>
      <c r="I643" s="59"/>
      <c r="J643" s="59"/>
    </row>
    <row r="644" ht="12.75" customHeight="1">
      <c r="A644" s="26"/>
      <c r="B644" s="59"/>
      <c r="C644" s="59"/>
      <c r="D644" s="59"/>
      <c r="E644" s="59"/>
      <c r="F644" s="59"/>
      <c r="H644" s="59"/>
      <c r="I644" s="59"/>
      <c r="J644" s="59"/>
    </row>
    <row r="645" ht="12.75" customHeight="1">
      <c r="A645" s="26"/>
      <c r="B645" s="59"/>
      <c r="C645" s="59"/>
      <c r="D645" s="59"/>
      <c r="E645" s="59"/>
      <c r="F645" s="59"/>
      <c r="H645" s="59"/>
      <c r="I645" s="59"/>
      <c r="J645" s="59"/>
    </row>
    <row r="646" ht="12.75" customHeight="1">
      <c r="A646" s="26"/>
      <c r="B646" s="59"/>
      <c r="C646" s="59"/>
      <c r="D646" s="59"/>
      <c r="E646" s="59"/>
      <c r="F646" s="59"/>
      <c r="H646" s="59"/>
      <c r="I646" s="59"/>
      <c r="J646" s="59"/>
    </row>
    <row r="647" ht="12.75" customHeight="1">
      <c r="A647" s="26"/>
      <c r="B647" s="59"/>
      <c r="C647" s="59"/>
      <c r="D647" s="59"/>
      <c r="E647" s="59"/>
      <c r="F647" s="59"/>
      <c r="H647" s="59"/>
      <c r="I647" s="59"/>
      <c r="J647" s="59"/>
    </row>
    <row r="648" ht="12.75" customHeight="1">
      <c r="A648" s="26"/>
      <c r="B648" s="59"/>
      <c r="C648" s="59"/>
      <c r="D648" s="59"/>
      <c r="E648" s="59"/>
      <c r="F648" s="59"/>
      <c r="H648" s="59"/>
      <c r="I648" s="59"/>
      <c r="J648" s="59"/>
    </row>
    <row r="649" ht="12.75" customHeight="1">
      <c r="A649" s="26"/>
      <c r="B649" s="59"/>
      <c r="C649" s="59"/>
      <c r="D649" s="59"/>
      <c r="E649" s="59"/>
      <c r="F649" s="59"/>
      <c r="H649" s="59"/>
      <c r="I649" s="59"/>
      <c r="J649" s="59"/>
    </row>
    <row r="650" ht="12.75" customHeight="1">
      <c r="A650" s="26"/>
      <c r="B650" s="59"/>
      <c r="C650" s="59"/>
      <c r="D650" s="59"/>
      <c r="E650" s="59"/>
      <c r="F650" s="59"/>
      <c r="H650" s="59"/>
      <c r="I650" s="59"/>
      <c r="J650" s="59"/>
    </row>
    <row r="651" ht="12.75" customHeight="1">
      <c r="A651" s="26"/>
      <c r="B651" s="59"/>
      <c r="C651" s="59"/>
      <c r="D651" s="59"/>
      <c r="E651" s="59"/>
      <c r="F651" s="59"/>
      <c r="H651" s="59"/>
      <c r="I651" s="59"/>
      <c r="J651" s="59"/>
    </row>
    <row r="652" ht="12.75" customHeight="1">
      <c r="A652" s="26"/>
      <c r="B652" s="59"/>
      <c r="C652" s="59"/>
      <c r="D652" s="59"/>
      <c r="E652" s="59"/>
      <c r="F652" s="59"/>
      <c r="H652" s="59"/>
      <c r="I652" s="59"/>
      <c r="J652" s="59"/>
    </row>
    <row r="653" ht="12.75" customHeight="1">
      <c r="A653" s="26"/>
      <c r="B653" s="59"/>
      <c r="C653" s="59"/>
      <c r="D653" s="59"/>
      <c r="E653" s="59"/>
      <c r="F653" s="59"/>
      <c r="H653" s="59"/>
      <c r="I653" s="59"/>
      <c r="J653" s="59"/>
    </row>
    <row r="654" ht="12.75" customHeight="1">
      <c r="A654" s="26"/>
      <c r="B654" s="59"/>
      <c r="C654" s="59"/>
      <c r="D654" s="59"/>
      <c r="E654" s="59"/>
      <c r="F654" s="59"/>
      <c r="H654" s="59"/>
      <c r="I654" s="59"/>
      <c r="J654" s="59"/>
    </row>
    <row r="655" ht="12.75" customHeight="1">
      <c r="A655" s="26"/>
      <c r="B655" s="59"/>
      <c r="C655" s="59"/>
      <c r="D655" s="59"/>
      <c r="E655" s="59"/>
      <c r="F655" s="59"/>
      <c r="H655" s="59"/>
      <c r="I655" s="59"/>
      <c r="J655" s="59"/>
    </row>
    <row r="656" ht="12.75" customHeight="1">
      <c r="A656" s="26"/>
      <c r="B656" s="59"/>
      <c r="C656" s="59"/>
      <c r="D656" s="59"/>
      <c r="E656" s="59"/>
      <c r="F656" s="59"/>
      <c r="H656" s="59"/>
      <c r="I656" s="59"/>
      <c r="J656" s="59"/>
    </row>
    <row r="657" ht="12.75" customHeight="1">
      <c r="A657" s="26"/>
      <c r="B657" s="59"/>
      <c r="C657" s="59"/>
      <c r="D657" s="59"/>
      <c r="E657" s="59"/>
      <c r="F657" s="59"/>
      <c r="H657" s="59"/>
      <c r="I657" s="59"/>
      <c r="J657" s="59"/>
    </row>
    <row r="658" ht="12.75" customHeight="1">
      <c r="A658" s="26"/>
      <c r="B658" s="59"/>
      <c r="C658" s="59"/>
      <c r="D658" s="59"/>
      <c r="E658" s="59"/>
      <c r="F658" s="59"/>
      <c r="H658" s="59"/>
      <c r="I658" s="59"/>
      <c r="J658" s="59"/>
    </row>
    <row r="659" ht="12.75" customHeight="1">
      <c r="A659" s="26"/>
      <c r="B659" s="59"/>
      <c r="C659" s="59"/>
      <c r="D659" s="59"/>
      <c r="E659" s="59"/>
      <c r="F659" s="59"/>
      <c r="H659" s="59"/>
      <c r="I659" s="59"/>
      <c r="J659" s="59"/>
    </row>
    <row r="660" ht="12.75" customHeight="1">
      <c r="A660" s="26"/>
      <c r="B660" s="59"/>
      <c r="C660" s="59"/>
      <c r="D660" s="59"/>
      <c r="E660" s="59"/>
      <c r="F660" s="59"/>
      <c r="H660" s="59"/>
      <c r="I660" s="59"/>
      <c r="J660" s="59"/>
    </row>
    <row r="661" ht="12.75" customHeight="1">
      <c r="A661" s="26"/>
      <c r="B661" s="59"/>
      <c r="C661" s="59"/>
      <c r="D661" s="59"/>
      <c r="E661" s="59"/>
      <c r="F661" s="59"/>
      <c r="H661" s="59"/>
      <c r="I661" s="59"/>
      <c r="J661" s="59"/>
    </row>
    <row r="662" ht="12.75" customHeight="1">
      <c r="A662" s="26"/>
      <c r="B662" s="59"/>
      <c r="C662" s="59"/>
      <c r="D662" s="59"/>
      <c r="E662" s="59"/>
      <c r="F662" s="59"/>
      <c r="H662" s="59"/>
      <c r="I662" s="59"/>
      <c r="J662" s="59"/>
    </row>
    <row r="663" ht="12.75" customHeight="1">
      <c r="A663" s="26"/>
      <c r="B663" s="59"/>
      <c r="C663" s="59"/>
      <c r="D663" s="59"/>
      <c r="E663" s="59"/>
      <c r="F663" s="59"/>
      <c r="H663" s="59"/>
      <c r="I663" s="59"/>
      <c r="J663" s="59"/>
    </row>
    <row r="664" ht="12.75" customHeight="1">
      <c r="A664" s="26"/>
      <c r="B664" s="59"/>
      <c r="C664" s="59"/>
      <c r="D664" s="59"/>
      <c r="E664" s="59"/>
      <c r="F664" s="59"/>
      <c r="H664" s="59"/>
      <c r="I664" s="59"/>
      <c r="J664" s="59"/>
    </row>
    <row r="665" ht="12.75" customHeight="1">
      <c r="A665" s="26"/>
      <c r="B665" s="59"/>
      <c r="C665" s="59"/>
      <c r="D665" s="59"/>
      <c r="E665" s="59"/>
      <c r="F665" s="59"/>
      <c r="H665" s="59"/>
      <c r="I665" s="59"/>
      <c r="J665" s="59"/>
    </row>
    <row r="666" ht="12.75" customHeight="1">
      <c r="A666" s="26"/>
      <c r="B666" s="59"/>
      <c r="C666" s="59"/>
      <c r="D666" s="59"/>
      <c r="E666" s="59"/>
      <c r="F666" s="59"/>
      <c r="H666" s="59"/>
      <c r="I666" s="59"/>
      <c r="J666" s="59"/>
    </row>
    <row r="667" ht="12.75" customHeight="1">
      <c r="A667" s="26"/>
      <c r="B667" s="59"/>
      <c r="C667" s="59"/>
      <c r="D667" s="59"/>
      <c r="E667" s="59"/>
      <c r="F667" s="59"/>
      <c r="H667" s="59"/>
      <c r="I667" s="59"/>
      <c r="J667" s="59"/>
    </row>
    <row r="668" ht="12.75" customHeight="1">
      <c r="A668" s="26"/>
      <c r="B668" s="59"/>
      <c r="C668" s="59"/>
      <c r="D668" s="59"/>
      <c r="E668" s="59"/>
      <c r="F668" s="59"/>
      <c r="H668" s="59"/>
      <c r="I668" s="59"/>
      <c r="J668" s="59"/>
    </row>
    <row r="669" ht="12.75" customHeight="1">
      <c r="A669" s="26"/>
      <c r="B669" s="59"/>
      <c r="C669" s="59"/>
      <c r="D669" s="59"/>
      <c r="E669" s="59"/>
      <c r="F669" s="59"/>
      <c r="H669" s="59"/>
      <c r="I669" s="59"/>
      <c r="J669" s="59"/>
    </row>
    <row r="670" ht="12.75" customHeight="1">
      <c r="A670" s="26"/>
      <c r="B670" s="59"/>
      <c r="C670" s="59"/>
      <c r="D670" s="59"/>
      <c r="E670" s="59"/>
      <c r="F670" s="59"/>
      <c r="H670" s="59"/>
      <c r="I670" s="59"/>
      <c r="J670" s="59"/>
    </row>
    <row r="671" ht="12.75" customHeight="1">
      <c r="A671" s="26"/>
      <c r="B671" s="59"/>
      <c r="C671" s="59"/>
      <c r="D671" s="59"/>
      <c r="E671" s="59"/>
      <c r="F671" s="59"/>
      <c r="H671" s="59"/>
      <c r="I671" s="59"/>
      <c r="J671" s="59"/>
    </row>
    <row r="672" ht="12.75" customHeight="1">
      <c r="A672" s="26"/>
      <c r="B672" s="59"/>
      <c r="C672" s="59"/>
      <c r="D672" s="59"/>
      <c r="E672" s="59"/>
      <c r="F672" s="59"/>
      <c r="H672" s="59"/>
      <c r="I672" s="59"/>
      <c r="J672" s="59"/>
    </row>
    <row r="673" ht="12.75" customHeight="1">
      <c r="A673" s="26"/>
      <c r="B673" s="59"/>
      <c r="C673" s="59"/>
      <c r="D673" s="59"/>
      <c r="E673" s="59"/>
      <c r="F673" s="59"/>
      <c r="H673" s="59"/>
      <c r="I673" s="59"/>
      <c r="J673" s="59"/>
    </row>
    <row r="674" ht="12.75" customHeight="1">
      <c r="A674" s="26"/>
      <c r="B674" s="59"/>
      <c r="C674" s="59"/>
      <c r="D674" s="59"/>
      <c r="E674" s="59"/>
      <c r="F674" s="59"/>
      <c r="H674" s="59"/>
      <c r="I674" s="59"/>
      <c r="J674" s="59"/>
    </row>
    <row r="675" ht="12.75" customHeight="1">
      <c r="A675" s="26"/>
      <c r="B675" s="59"/>
      <c r="C675" s="59"/>
      <c r="D675" s="59"/>
      <c r="E675" s="59"/>
      <c r="F675" s="59"/>
      <c r="H675" s="59"/>
      <c r="I675" s="59"/>
      <c r="J675" s="59"/>
    </row>
    <row r="676" ht="12.75" customHeight="1">
      <c r="A676" s="26"/>
      <c r="B676" s="59"/>
      <c r="C676" s="59"/>
      <c r="D676" s="59"/>
      <c r="E676" s="59"/>
      <c r="F676" s="59"/>
      <c r="H676" s="59"/>
      <c r="I676" s="59"/>
      <c r="J676" s="59"/>
    </row>
    <row r="677" ht="12.75" customHeight="1">
      <c r="A677" s="26"/>
      <c r="B677" s="59"/>
      <c r="C677" s="59"/>
      <c r="D677" s="59"/>
      <c r="E677" s="59"/>
      <c r="F677" s="59"/>
      <c r="H677" s="59"/>
      <c r="I677" s="59"/>
      <c r="J677" s="59"/>
    </row>
    <row r="678" ht="12.75" customHeight="1">
      <c r="A678" s="26"/>
      <c r="B678" s="59"/>
      <c r="C678" s="59"/>
      <c r="D678" s="59"/>
      <c r="E678" s="59"/>
      <c r="F678" s="59"/>
      <c r="H678" s="59"/>
      <c r="I678" s="59"/>
      <c r="J678" s="59"/>
    </row>
    <row r="679" ht="12.75" customHeight="1">
      <c r="A679" s="26"/>
      <c r="B679" s="59"/>
      <c r="C679" s="59"/>
      <c r="D679" s="59"/>
      <c r="E679" s="59"/>
      <c r="F679" s="59"/>
      <c r="H679" s="59"/>
      <c r="I679" s="59"/>
      <c r="J679" s="59"/>
    </row>
    <row r="680" ht="12.75" customHeight="1">
      <c r="A680" s="26"/>
      <c r="B680" s="59"/>
      <c r="C680" s="59"/>
      <c r="D680" s="59"/>
      <c r="E680" s="59"/>
      <c r="F680" s="59"/>
      <c r="H680" s="59"/>
      <c r="I680" s="59"/>
      <c r="J680" s="59"/>
    </row>
    <row r="681" ht="12.75" customHeight="1">
      <c r="A681" s="26"/>
      <c r="B681" s="59"/>
      <c r="C681" s="59"/>
      <c r="D681" s="59"/>
      <c r="E681" s="59"/>
      <c r="F681" s="59"/>
      <c r="H681" s="59"/>
      <c r="I681" s="59"/>
      <c r="J681" s="59"/>
    </row>
    <row r="682" ht="12.75" customHeight="1">
      <c r="A682" s="26"/>
      <c r="B682" s="59"/>
      <c r="C682" s="59"/>
      <c r="D682" s="59"/>
      <c r="E682" s="59"/>
      <c r="F682" s="59"/>
      <c r="H682" s="59"/>
      <c r="I682" s="59"/>
      <c r="J682" s="59"/>
    </row>
    <row r="683" ht="12.75" customHeight="1">
      <c r="A683" s="26"/>
      <c r="B683" s="59"/>
      <c r="C683" s="59"/>
      <c r="D683" s="59"/>
      <c r="E683" s="59"/>
      <c r="F683" s="59"/>
      <c r="H683" s="59"/>
      <c r="I683" s="59"/>
      <c r="J683" s="59"/>
    </row>
    <row r="684" ht="12.75" customHeight="1">
      <c r="A684" s="26"/>
      <c r="B684" s="59"/>
      <c r="C684" s="59"/>
      <c r="D684" s="59"/>
      <c r="E684" s="59"/>
      <c r="F684" s="59"/>
      <c r="H684" s="59"/>
      <c r="I684" s="59"/>
      <c r="J684" s="59"/>
    </row>
    <row r="685" ht="12.75" customHeight="1">
      <c r="A685" s="26"/>
      <c r="B685" s="59"/>
      <c r="C685" s="59"/>
      <c r="D685" s="59"/>
      <c r="E685" s="59"/>
      <c r="F685" s="59"/>
      <c r="H685" s="59"/>
      <c r="I685" s="59"/>
      <c r="J685" s="59"/>
    </row>
    <row r="686" ht="12.75" customHeight="1">
      <c r="A686" s="26"/>
      <c r="B686" s="59"/>
      <c r="C686" s="59"/>
      <c r="D686" s="59"/>
      <c r="E686" s="59"/>
      <c r="F686" s="59"/>
      <c r="H686" s="59"/>
      <c r="I686" s="59"/>
      <c r="J686" s="59"/>
    </row>
    <row r="687" ht="12.75" customHeight="1">
      <c r="A687" s="26"/>
      <c r="B687" s="59"/>
      <c r="C687" s="59"/>
      <c r="D687" s="59"/>
      <c r="E687" s="59"/>
      <c r="F687" s="59"/>
      <c r="H687" s="59"/>
      <c r="I687" s="59"/>
      <c r="J687" s="59"/>
    </row>
    <row r="688" ht="12.75" customHeight="1">
      <c r="A688" s="26"/>
      <c r="B688" s="59"/>
      <c r="C688" s="59"/>
      <c r="D688" s="59"/>
      <c r="E688" s="59"/>
      <c r="F688" s="59"/>
      <c r="H688" s="59"/>
      <c r="I688" s="59"/>
      <c r="J688" s="59"/>
    </row>
    <row r="689" ht="12.75" customHeight="1">
      <c r="A689" s="26"/>
      <c r="B689" s="59"/>
      <c r="C689" s="59"/>
      <c r="D689" s="59"/>
      <c r="E689" s="59"/>
      <c r="F689" s="59"/>
      <c r="H689" s="59"/>
      <c r="I689" s="59"/>
      <c r="J689" s="59"/>
    </row>
    <row r="690" ht="12.75" customHeight="1">
      <c r="A690" s="26"/>
      <c r="B690" s="59"/>
      <c r="C690" s="59"/>
      <c r="D690" s="59"/>
      <c r="E690" s="59"/>
      <c r="F690" s="59"/>
      <c r="H690" s="59"/>
      <c r="I690" s="59"/>
      <c r="J690" s="59"/>
    </row>
    <row r="691" ht="12.75" customHeight="1">
      <c r="A691" s="26"/>
      <c r="B691" s="59"/>
      <c r="C691" s="59"/>
      <c r="D691" s="59"/>
      <c r="E691" s="59"/>
      <c r="F691" s="59"/>
      <c r="H691" s="59"/>
      <c r="I691" s="59"/>
      <c r="J691" s="59"/>
    </row>
    <row r="692" ht="12.75" customHeight="1">
      <c r="A692" s="26"/>
      <c r="B692" s="59"/>
      <c r="C692" s="59"/>
      <c r="D692" s="59"/>
      <c r="E692" s="59"/>
      <c r="F692" s="59"/>
      <c r="H692" s="59"/>
      <c r="I692" s="59"/>
      <c r="J692" s="59"/>
    </row>
    <row r="693" ht="12.75" customHeight="1">
      <c r="A693" s="26"/>
      <c r="B693" s="59"/>
      <c r="C693" s="59"/>
      <c r="D693" s="59"/>
      <c r="E693" s="59"/>
      <c r="F693" s="59"/>
      <c r="H693" s="59"/>
      <c r="I693" s="59"/>
      <c r="J693" s="59"/>
    </row>
    <row r="694" ht="12.75" customHeight="1">
      <c r="A694" s="26"/>
      <c r="B694" s="59"/>
      <c r="C694" s="59"/>
      <c r="D694" s="59"/>
      <c r="E694" s="59"/>
      <c r="F694" s="59"/>
      <c r="H694" s="59"/>
      <c r="I694" s="59"/>
      <c r="J694" s="59"/>
    </row>
    <row r="695" ht="12.75" customHeight="1">
      <c r="A695" s="26"/>
      <c r="B695" s="59"/>
      <c r="C695" s="59"/>
      <c r="D695" s="59"/>
      <c r="E695" s="59"/>
      <c r="F695" s="59"/>
      <c r="H695" s="59"/>
      <c r="I695" s="59"/>
      <c r="J695" s="59"/>
    </row>
    <row r="696" ht="12.75" customHeight="1">
      <c r="A696" s="26"/>
      <c r="B696" s="59"/>
      <c r="C696" s="59"/>
      <c r="D696" s="59"/>
      <c r="E696" s="59"/>
      <c r="F696" s="59"/>
      <c r="H696" s="59"/>
      <c r="I696" s="59"/>
      <c r="J696" s="59"/>
    </row>
    <row r="697" ht="12.75" customHeight="1">
      <c r="A697" s="26"/>
      <c r="B697" s="59"/>
      <c r="C697" s="59"/>
      <c r="D697" s="59"/>
      <c r="E697" s="59"/>
      <c r="F697" s="59"/>
      <c r="H697" s="59"/>
      <c r="I697" s="59"/>
      <c r="J697" s="59"/>
    </row>
    <row r="698" ht="12.75" customHeight="1">
      <c r="A698" s="26"/>
      <c r="B698" s="59"/>
      <c r="C698" s="59"/>
      <c r="D698" s="59"/>
      <c r="E698" s="59"/>
      <c r="F698" s="59"/>
      <c r="H698" s="59"/>
      <c r="I698" s="59"/>
      <c r="J698" s="59"/>
    </row>
    <row r="699" ht="12.75" customHeight="1">
      <c r="A699" s="26"/>
      <c r="B699" s="59"/>
      <c r="C699" s="59"/>
      <c r="D699" s="59"/>
      <c r="E699" s="59"/>
      <c r="F699" s="59"/>
      <c r="H699" s="59"/>
      <c r="I699" s="59"/>
      <c r="J699" s="59"/>
    </row>
    <row r="700" ht="12.75" customHeight="1">
      <c r="A700" s="26"/>
      <c r="B700" s="59"/>
      <c r="C700" s="59"/>
      <c r="D700" s="59"/>
      <c r="E700" s="59"/>
      <c r="F700" s="59"/>
      <c r="H700" s="59"/>
      <c r="I700" s="59"/>
      <c r="J700" s="59"/>
    </row>
    <row r="701" ht="12.75" customHeight="1">
      <c r="A701" s="26"/>
      <c r="B701" s="59"/>
      <c r="C701" s="59"/>
      <c r="D701" s="59"/>
      <c r="E701" s="59"/>
      <c r="F701" s="59"/>
      <c r="H701" s="59"/>
      <c r="I701" s="59"/>
      <c r="J701" s="59"/>
    </row>
    <row r="702" ht="12.75" customHeight="1">
      <c r="A702" s="26"/>
      <c r="B702" s="59"/>
      <c r="C702" s="59"/>
      <c r="D702" s="59"/>
      <c r="E702" s="59"/>
      <c r="F702" s="59"/>
      <c r="H702" s="59"/>
      <c r="I702" s="59"/>
      <c r="J702" s="59"/>
    </row>
    <row r="703" ht="12.75" customHeight="1">
      <c r="A703" s="26"/>
      <c r="B703" s="59"/>
      <c r="C703" s="59"/>
      <c r="D703" s="59"/>
      <c r="E703" s="59"/>
      <c r="F703" s="59"/>
      <c r="H703" s="59"/>
      <c r="I703" s="59"/>
      <c r="J703" s="59"/>
    </row>
    <row r="704" ht="12.75" customHeight="1">
      <c r="A704" s="26"/>
      <c r="B704" s="59"/>
      <c r="C704" s="59"/>
      <c r="D704" s="59"/>
      <c r="E704" s="59"/>
      <c r="F704" s="59"/>
      <c r="H704" s="59"/>
      <c r="I704" s="59"/>
      <c r="J704" s="59"/>
    </row>
    <row r="705" ht="12.75" customHeight="1">
      <c r="A705" s="26"/>
      <c r="B705" s="59"/>
      <c r="C705" s="59"/>
      <c r="D705" s="59"/>
      <c r="E705" s="59"/>
      <c r="F705" s="59"/>
      <c r="H705" s="59"/>
      <c r="I705" s="59"/>
      <c r="J705" s="59"/>
    </row>
    <row r="706" ht="12.75" customHeight="1">
      <c r="A706" s="26"/>
      <c r="B706" s="59"/>
      <c r="C706" s="59"/>
      <c r="D706" s="59"/>
      <c r="E706" s="59"/>
      <c r="F706" s="59"/>
      <c r="H706" s="59"/>
      <c r="I706" s="59"/>
      <c r="J706" s="59"/>
    </row>
    <row r="707" ht="12.75" customHeight="1">
      <c r="A707" s="26"/>
      <c r="B707" s="59"/>
      <c r="C707" s="59"/>
      <c r="D707" s="59"/>
      <c r="E707" s="59"/>
      <c r="F707" s="59"/>
      <c r="H707" s="59"/>
      <c r="I707" s="59"/>
      <c r="J707" s="59"/>
    </row>
    <row r="708" ht="12.75" customHeight="1">
      <c r="A708" s="26"/>
      <c r="B708" s="59"/>
      <c r="C708" s="59"/>
      <c r="D708" s="59"/>
      <c r="E708" s="59"/>
      <c r="F708" s="59"/>
      <c r="H708" s="59"/>
      <c r="I708" s="59"/>
      <c r="J708" s="59"/>
    </row>
    <row r="709" ht="12.75" customHeight="1">
      <c r="A709" s="26"/>
      <c r="B709" s="59"/>
      <c r="C709" s="59"/>
      <c r="D709" s="59"/>
      <c r="E709" s="59"/>
      <c r="F709" s="59"/>
      <c r="H709" s="59"/>
      <c r="I709" s="59"/>
      <c r="J709" s="59"/>
    </row>
    <row r="710" ht="12.75" customHeight="1">
      <c r="A710" s="26"/>
      <c r="B710" s="59"/>
      <c r="C710" s="59"/>
      <c r="D710" s="59"/>
      <c r="E710" s="59"/>
      <c r="F710" s="59"/>
      <c r="H710" s="59"/>
      <c r="I710" s="59"/>
      <c r="J710" s="59"/>
    </row>
    <row r="711" ht="12.75" customHeight="1">
      <c r="A711" s="26"/>
      <c r="B711" s="59"/>
      <c r="C711" s="59"/>
      <c r="D711" s="59"/>
      <c r="E711" s="59"/>
      <c r="F711" s="59"/>
      <c r="H711" s="59"/>
      <c r="I711" s="59"/>
      <c r="J711" s="59"/>
    </row>
    <row r="712" ht="12.75" customHeight="1">
      <c r="A712" s="26"/>
      <c r="B712" s="59"/>
      <c r="C712" s="59"/>
      <c r="D712" s="59"/>
      <c r="E712" s="59"/>
      <c r="F712" s="59"/>
      <c r="H712" s="59"/>
      <c r="I712" s="59"/>
      <c r="J712" s="59"/>
    </row>
    <row r="713" ht="12.75" customHeight="1">
      <c r="A713" s="26"/>
      <c r="B713" s="59"/>
      <c r="C713" s="59"/>
      <c r="D713" s="59"/>
      <c r="E713" s="59"/>
      <c r="F713" s="59"/>
      <c r="H713" s="59"/>
      <c r="I713" s="59"/>
      <c r="J713" s="59"/>
    </row>
    <row r="714" ht="12.75" customHeight="1">
      <c r="A714" s="26"/>
      <c r="B714" s="59"/>
      <c r="C714" s="59"/>
      <c r="D714" s="59"/>
      <c r="E714" s="59"/>
      <c r="F714" s="59"/>
      <c r="H714" s="59"/>
      <c r="I714" s="59"/>
      <c r="J714" s="59"/>
    </row>
    <row r="715" ht="12.75" customHeight="1">
      <c r="A715" s="26"/>
      <c r="B715" s="59"/>
      <c r="C715" s="59"/>
      <c r="D715" s="59"/>
      <c r="E715" s="59"/>
      <c r="F715" s="59"/>
      <c r="H715" s="59"/>
      <c r="I715" s="59"/>
      <c r="J715" s="59"/>
    </row>
    <row r="716" ht="12.75" customHeight="1">
      <c r="A716" s="26"/>
      <c r="B716" s="59"/>
      <c r="C716" s="59"/>
      <c r="D716" s="59"/>
      <c r="E716" s="59"/>
      <c r="F716" s="59"/>
      <c r="H716" s="59"/>
      <c r="I716" s="59"/>
      <c r="J716" s="59"/>
    </row>
    <row r="717" ht="12.75" customHeight="1">
      <c r="A717" s="26"/>
      <c r="B717" s="59"/>
      <c r="C717" s="59"/>
      <c r="D717" s="59"/>
      <c r="E717" s="59"/>
      <c r="F717" s="59"/>
      <c r="H717" s="59"/>
      <c r="I717" s="59"/>
      <c r="J717" s="59"/>
    </row>
    <row r="718" ht="12.75" customHeight="1">
      <c r="A718" s="26"/>
      <c r="B718" s="59"/>
      <c r="C718" s="59"/>
      <c r="D718" s="59"/>
      <c r="E718" s="59"/>
      <c r="F718" s="59"/>
      <c r="H718" s="59"/>
      <c r="I718" s="59"/>
      <c r="J718" s="59"/>
    </row>
    <row r="719" ht="12.75" customHeight="1">
      <c r="A719" s="26"/>
      <c r="B719" s="59"/>
      <c r="C719" s="59"/>
      <c r="D719" s="59"/>
      <c r="E719" s="59"/>
      <c r="F719" s="59"/>
      <c r="H719" s="59"/>
      <c r="I719" s="59"/>
      <c r="J719" s="59"/>
    </row>
    <row r="720" ht="12.75" customHeight="1">
      <c r="A720" s="26"/>
      <c r="B720" s="59"/>
      <c r="C720" s="59"/>
      <c r="D720" s="59"/>
      <c r="E720" s="59"/>
      <c r="F720" s="59"/>
      <c r="H720" s="59"/>
      <c r="I720" s="59"/>
      <c r="J720" s="59"/>
    </row>
    <row r="721" ht="12.75" customHeight="1">
      <c r="A721" s="26"/>
      <c r="B721" s="59"/>
      <c r="C721" s="59"/>
      <c r="D721" s="59"/>
      <c r="E721" s="59"/>
      <c r="F721" s="59"/>
      <c r="H721" s="59"/>
      <c r="I721" s="59"/>
      <c r="J721" s="59"/>
    </row>
    <row r="722" ht="12.75" customHeight="1">
      <c r="A722" s="26"/>
      <c r="B722" s="59"/>
      <c r="C722" s="59"/>
      <c r="D722" s="59"/>
      <c r="E722" s="59"/>
      <c r="F722" s="59"/>
      <c r="H722" s="59"/>
      <c r="I722" s="59"/>
      <c r="J722" s="59"/>
    </row>
    <row r="723" ht="12.75" customHeight="1">
      <c r="A723" s="26"/>
      <c r="B723" s="59"/>
      <c r="C723" s="59"/>
      <c r="D723" s="59"/>
      <c r="E723" s="59"/>
      <c r="F723" s="59"/>
      <c r="H723" s="59"/>
      <c r="I723" s="59"/>
      <c r="J723" s="59"/>
    </row>
    <row r="724" ht="12.75" customHeight="1">
      <c r="A724" s="26"/>
      <c r="B724" s="59"/>
      <c r="C724" s="59"/>
      <c r="D724" s="59"/>
      <c r="E724" s="59"/>
      <c r="F724" s="59"/>
      <c r="H724" s="59"/>
      <c r="I724" s="59"/>
      <c r="J724" s="59"/>
    </row>
    <row r="725" ht="12.75" customHeight="1">
      <c r="A725" s="26"/>
      <c r="B725" s="59"/>
      <c r="C725" s="59"/>
      <c r="D725" s="59"/>
      <c r="E725" s="59"/>
      <c r="F725" s="59"/>
      <c r="H725" s="59"/>
      <c r="I725" s="59"/>
      <c r="J725" s="59"/>
    </row>
    <row r="726" ht="12.75" customHeight="1">
      <c r="A726" s="26"/>
      <c r="B726" s="59"/>
      <c r="C726" s="59"/>
      <c r="D726" s="59"/>
      <c r="E726" s="59"/>
      <c r="F726" s="59"/>
      <c r="H726" s="59"/>
      <c r="I726" s="59"/>
      <c r="J726" s="59"/>
    </row>
    <row r="727" ht="12.75" customHeight="1">
      <c r="A727" s="26"/>
      <c r="B727" s="59"/>
      <c r="C727" s="59"/>
      <c r="D727" s="59"/>
      <c r="E727" s="59"/>
      <c r="F727" s="59"/>
      <c r="H727" s="59"/>
      <c r="I727" s="59"/>
      <c r="J727" s="59"/>
    </row>
    <row r="728" ht="12.75" customHeight="1">
      <c r="A728" s="26"/>
      <c r="B728" s="59"/>
      <c r="C728" s="59"/>
      <c r="D728" s="59"/>
      <c r="E728" s="59"/>
      <c r="F728" s="59"/>
      <c r="H728" s="59"/>
      <c r="I728" s="59"/>
      <c r="J728" s="59"/>
    </row>
    <row r="729" ht="12.75" customHeight="1">
      <c r="A729" s="26"/>
      <c r="B729" s="59"/>
      <c r="C729" s="59"/>
      <c r="D729" s="59"/>
      <c r="E729" s="59"/>
      <c r="F729" s="59"/>
      <c r="H729" s="59"/>
      <c r="I729" s="59"/>
      <c r="J729" s="59"/>
    </row>
    <row r="730" ht="12.75" customHeight="1">
      <c r="A730" s="26"/>
      <c r="B730" s="59"/>
      <c r="C730" s="59"/>
      <c r="D730" s="59"/>
      <c r="E730" s="59"/>
      <c r="F730" s="59"/>
      <c r="H730" s="59"/>
      <c r="I730" s="59"/>
      <c r="J730" s="59"/>
    </row>
    <row r="731" ht="12.75" customHeight="1">
      <c r="A731" s="26"/>
      <c r="B731" s="59"/>
      <c r="C731" s="59"/>
      <c r="D731" s="59"/>
      <c r="E731" s="59"/>
      <c r="F731" s="59"/>
      <c r="H731" s="59"/>
      <c r="I731" s="59"/>
      <c r="J731" s="59"/>
    </row>
    <row r="732" ht="12.75" customHeight="1">
      <c r="A732" s="26"/>
      <c r="B732" s="59"/>
      <c r="C732" s="59"/>
      <c r="D732" s="59"/>
      <c r="E732" s="59"/>
      <c r="F732" s="59"/>
      <c r="H732" s="59"/>
      <c r="I732" s="59"/>
      <c r="J732" s="59"/>
    </row>
    <row r="733" ht="12.75" customHeight="1">
      <c r="A733" s="26"/>
      <c r="B733" s="59"/>
      <c r="C733" s="59"/>
      <c r="D733" s="59"/>
      <c r="E733" s="59"/>
      <c r="F733" s="59"/>
      <c r="H733" s="59"/>
      <c r="I733" s="59"/>
      <c r="J733" s="59"/>
    </row>
    <row r="734" ht="12.75" customHeight="1">
      <c r="A734" s="26"/>
      <c r="B734" s="59"/>
      <c r="C734" s="59"/>
      <c r="D734" s="59"/>
      <c r="E734" s="59"/>
      <c r="F734" s="59"/>
      <c r="H734" s="59"/>
      <c r="I734" s="59"/>
      <c r="J734" s="59"/>
    </row>
    <row r="735" ht="12.75" customHeight="1">
      <c r="A735" s="26"/>
      <c r="B735" s="59"/>
      <c r="C735" s="59"/>
      <c r="D735" s="59"/>
      <c r="E735" s="59"/>
      <c r="F735" s="59"/>
      <c r="H735" s="59"/>
      <c r="I735" s="59"/>
      <c r="J735" s="59"/>
    </row>
    <row r="736" ht="12.75" customHeight="1">
      <c r="A736" s="26"/>
      <c r="B736" s="59"/>
      <c r="C736" s="59"/>
      <c r="D736" s="59"/>
      <c r="E736" s="59"/>
      <c r="F736" s="59"/>
      <c r="H736" s="59"/>
      <c r="I736" s="59"/>
      <c r="J736" s="59"/>
    </row>
    <row r="737" ht="12.75" customHeight="1">
      <c r="A737" s="26"/>
      <c r="B737" s="59"/>
      <c r="C737" s="59"/>
      <c r="D737" s="59"/>
      <c r="E737" s="59"/>
      <c r="F737" s="59"/>
      <c r="H737" s="59"/>
      <c r="I737" s="59"/>
      <c r="J737" s="59"/>
    </row>
    <row r="738" ht="12.75" customHeight="1">
      <c r="A738" s="26"/>
      <c r="B738" s="59"/>
      <c r="C738" s="59"/>
      <c r="D738" s="59"/>
      <c r="E738" s="59"/>
      <c r="F738" s="59"/>
      <c r="H738" s="59"/>
      <c r="I738" s="59"/>
      <c r="J738" s="59"/>
    </row>
    <row r="739" ht="12.75" customHeight="1">
      <c r="A739" s="26"/>
      <c r="B739" s="59"/>
      <c r="C739" s="59"/>
      <c r="D739" s="59"/>
      <c r="E739" s="59"/>
      <c r="F739" s="59"/>
      <c r="H739" s="59"/>
      <c r="I739" s="59"/>
      <c r="J739" s="59"/>
    </row>
    <row r="740" ht="12.75" customHeight="1">
      <c r="A740" s="26"/>
      <c r="B740" s="59"/>
      <c r="C740" s="59"/>
      <c r="D740" s="59"/>
      <c r="E740" s="59"/>
      <c r="F740" s="59"/>
      <c r="H740" s="59"/>
      <c r="I740" s="59"/>
      <c r="J740" s="59"/>
    </row>
    <row r="741" ht="12.75" customHeight="1">
      <c r="A741" s="26"/>
      <c r="B741" s="59"/>
      <c r="C741" s="59"/>
      <c r="D741" s="59"/>
      <c r="E741" s="59"/>
      <c r="F741" s="59"/>
      <c r="H741" s="59"/>
      <c r="I741" s="59"/>
      <c r="J741" s="59"/>
    </row>
    <row r="742" ht="12.75" customHeight="1">
      <c r="A742" s="26"/>
      <c r="B742" s="59"/>
      <c r="C742" s="59"/>
      <c r="D742" s="59"/>
      <c r="E742" s="59"/>
      <c r="F742" s="59"/>
      <c r="H742" s="59"/>
      <c r="I742" s="59"/>
      <c r="J742" s="59"/>
    </row>
    <row r="743" ht="12.75" customHeight="1">
      <c r="A743" s="26"/>
      <c r="B743" s="59"/>
      <c r="C743" s="59"/>
      <c r="D743" s="59"/>
      <c r="E743" s="59"/>
      <c r="F743" s="59"/>
      <c r="H743" s="59"/>
      <c r="I743" s="59"/>
      <c r="J743" s="59"/>
    </row>
    <row r="744" ht="12.75" customHeight="1">
      <c r="A744" s="26"/>
      <c r="B744" s="59"/>
      <c r="C744" s="59"/>
      <c r="D744" s="59"/>
      <c r="E744" s="59"/>
      <c r="F744" s="59"/>
      <c r="H744" s="59"/>
      <c r="I744" s="59"/>
      <c r="J744" s="59"/>
    </row>
    <row r="745" ht="12.75" customHeight="1">
      <c r="A745" s="26"/>
      <c r="B745" s="59"/>
      <c r="C745" s="59"/>
      <c r="D745" s="59"/>
      <c r="E745" s="59"/>
      <c r="F745" s="59"/>
      <c r="H745" s="59"/>
      <c r="I745" s="59"/>
      <c r="J745" s="59"/>
    </row>
    <row r="746" ht="12.75" customHeight="1">
      <c r="A746" s="26"/>
      <c r="B746" s="59"/>
      <c r="C746" s="59"/>
      <c r="D746" s="59"/>
      <c r="E746" s="59"/>
      <c r="F746" s="59"/>
      <c r="H746" s="59"/>
      <c r="I746" s="59"/>
      <c r="J746" s="59"/>
    </row>
    <row r="747" ht="12.75" customHeight="1">
      <c r="A747" s="26"/>
      <c r="B747" s="59"/>
      <c r="C747" s="59"/>
      <c r="D747" s="59"/>
      <c r="E747" s="59"/>
      <c r="F747" s="59"/>
      <c r="H747" s="59"/>
      <c r="I747" s="59"/>
      <c r="J747" s="59"/>
    </row>
    <row r="748" ht="12.75" customHeight="1">
      <c r="A748" s="26"/>
      <c r="B748" s="59"/>
      <c r="C748" s="59"/>
      <c r="D748" s="59"/>
      <c r="E748" s="59"/>
      <c r="F748" s="59"/>
      <c r="H748" s="59"/>
      <c r="I748" s="59"/>
      <c r="J748" s="59"/>
    </row>
    <row r="749" ht="12.75" customHeight="1">
      <c r="A749" s="26"/>
      <c r="B749" s="59"/>
      <c r="C749" s="59"/>
      <c r="D749" s="59"/>
      <c r="E749" s="59"/>
      <c r="F749" s="59"/>
      <c r="H749" s="59"/>
      <c r="I749" s="59"/>
      <c r="J749" s="59"/>
    </row>
    <row r="750" ht="12.75" customHeight="1">
      <c r="A750" s="26"/>
      <c r="B750" s="59"/>
      <c r="C750" s="59"/>
      <c r="D750" s="59"/>
      <c r="E750" s="59"/>
      <c r="F750" s="59"/>
      <c r="H750" s="59"/>
      <c r="I750" s="59"/>
      <c r="J750" s="59"/>
    </row>
    <row r="751" ht="12.75" customHeight="1">
      <c r="A751" s="26"/>
      <c r="B751" s="59"/>
      <c r="C751" s="59"/>
      <c r="D751" s="59"/>
      <c r="E751" s="59"/>
      <c r="F751" s="59"/>
      <c r="H751" s="59"/>
      <c r="I751" s="59"/>
      <c r="J751" s="59"/>
    </row>
    <row r="752" ht="12.75" customHeight="1">
      <c r="A752" s="26"/>
      <c r="B752" s="59"/>
      <c r="C752" s="59"/>
      <c r="D752" s="59"/>
      <c r="E752" s="59"/>
      <c r="F752" s="59"/>
      <c r="H752" s="59"/>
      <c r="I752" s="59"/>
      <c r="J752" s="59"/>
    </row>
    <row r="753" ht="12.75" customHeight="1">
      <c r="A753" s="26"/>
      <c r="B753" s="59"/>
      <c r="C753" s="59"/>
      <c r="D753" s="59"/>
      <c r="E753" s="59"/>
      <c r="F753" s="59"/>
      <c r="H753" s="59"/>
      <c r="I753" s="59"/>
      <c r="J753" s="59"/>
    </row>
    <row r="754" ht="12.75" customHeight="1">
      <c r="A754" s="26"/>
      <c r="B754" s="59"/>
      <c r="C754" s="59"/>
      <c r="D754" s="59"/>
      <c r="E754" s="59"/>
      <c r="F754" s="59"/>
      <c r="H754" s="59"/>
      <c r="I754" s="59"/>
      <c r="J754" s="59"/>
    </row>
    <row r="755" ht="12.75" customHeight="1">
      <c r="A755" s="26"/>
      <c r="B755" s="59"/>
      <c r="C755" s="59"/>
      <c r="D755" s="59"/>
      <c r="E755" s="59"/>
      <c r="F755" s="59"/>
      <c r="H755" s="59"/>
      <c r="I755" s="59"/>
      <c r="J755" s="59"/>
    </row>
    <row r="756" ht="12.75" customHeight="1">
      <c r="A756" s="26"/>
      <c r="B756" s="59"/>
      <c r="C756" s="59"/>
      <c r="D756" s="59"/>
      <c r="E756" s="59"/>
      <c r="F756" s="59"/>
      <c r="H756" s="59"/>
      <c r="I756" s="59"/>
      <c r="J756" s="59"/>
    </row>
    <row r="757" ht="12.75" customHeight="1">
      <c r="A757" s="26"/>
      <c r="B757" s="59"/>
      <c r="C757" s="59"/>
      <c r="D757" s="59"/>
      <c r="E757" s="59"/>
      <c r="F757" s="59"/>
      <c r="H757" s="59"/>
      <c r="I757" s="59"/>
      <c r="J757" s="59"/>
    </row>
    <row r="758" ht="12.75" customHeight="1">
      <c r="A758" s="26"/>
      <c r="B758" s="59"/>
      <c r="C758" s="59"/>
      <c r="D758" s="59"/>
      <c r="E758" s="59"/>
      <c r="F758" s="59"/>
      <c r="H758" s="59"/>
      <c r="I758" s="59"/>
      <c r="J758" s="59"/>
    </row>
    <row r="759" ht="12.75" customHeight="1">
      <c r="A759" s="26"/>
      <c r="B759" s="59"/>
      <c r="C759" s="59"/>
      <c r="D759" s="59"/>
      <c r="E759" s="59"/>
      <c r="F759" s="59"/>
      <c r="H759" s="59"/>
      <c r="I759" s="59"/>
      <c r="J759" s="59"/>
    </row>
    <row r="760" ht="12.75" customHeight="1">
      <c r="A760" s="26"/>
      <c r="B760" s="59"/>
      <c r="C760" s="59"/>
      <c r="D760" s="59"/>
      <c r="E760" s="59"/>
      <c r="F760" s="59"/>
      <c r="H760" s="59"/>
      <c r="I760" s="59"/>
      <c r="J760" s="59"/>
    </row>
    <row r="761" ht="12.75" customHeight="1">
      <c r="A761" s="26"/>
      <c r="B761" s="59"/>
      <c r="C761" s="59"/>
      <c r="D761" s="59"/>
      <c r="E761" s="59"/>
      <c r="F761" s="59"/>
      <c r="H761" s="59"/>
      <c r="I761" s="59"/>
      <c r="J761" s="59"/>
    </row>
    <row r="762" ht="12.75" customHeight="1">
      <c r="A762" s="26"/>
      <c r="B762" s="59"/>
      <c r="C762" s="59"/>
      <c r="D762" s="59"/>
      <c r="E762" s="59"/>
      <c r="F762" s="59"/>
      <c r="H762" s="59"/>
      <c r="I762" s="59"/>
      <c r="J762" s="59"/>
    </row>
    <row r="763" ht="12.75" customHeight="1">
      <c r="A763" s="26"/>
      <c r="B763" s="59"/>
      <c r="C763" s="59"/>
      <c r="D763" s="59"/>
      <c r="E763" s="59"/>
      <c r="F763" s="59"/>
      <c r="H763" s="59"/>
      <c r="I763" s="59"/>
      <c r="J763" s="59"/>
    </row>
    <row r="764" ht="12.75" customHeight="1">
      <c r="A764" s="26"/>
      <c r="B764" s="59"/>
      <c r="C764" s="59"/>
      <c r="D764" s="59"/>
      <c r="E764" s="59"/>
      <c r="F764" s="59"/>
      <c r="H764" s="59"/>
      <c r="I764" s="59"/>
      <c r="J764" s="59"/>
    </row>
    <row r="765" ht="12.75" customHeight="1">
      <c r="A765" s="26"/>
      <c r="B765" s="59"/>
      <c r="C765" s="59"/>
      <c r="D765" s="59"/>
      <c r="E765" s="59"/>
      <c r="F765" s="59"/>
      <c r="H765" s="59"/>
      <c r="I765" s="59"/>
      <c r="J765" s="59"/>
    </row>
    <row r="766" ht="12.75" customHeight="1">
      <c r="A766" s="26"/>
      <c r="B766" s="59"/>
      <c r="C766" s="59"/>
      <c r="D766" s="59"/>
      <c r="E766" s="59"/>
      <c r="F766" s="59"/>
      <c r="H766" s="59"/>
      <c r="I766" s="59"/>
      <c r="J766" s="59"/>
    </row>
    <row r="767" ht="12.75" customHeight="1">
      <c r="A767" s="26"/>
      <c r="B767" s="59"/>
      <c r="C767" s="59"/>
      <c r="D767" s="59"/>
      <c r="E767" s="59"/>
      <c r="F767" s="59"/>
      <c r="H767" s="59"/>
      <c r="I767" s="59"/>
      <c r="J767" s="59"/>
    </row>
    <row r="768" ht="12.75" customHeight="1">
      <c r="A768" s="26"/>
      <c r="B768" s="59"/>
      <c r="C768" s="59"/>
      <c r="D768" s="59"/>
      <c r="E768" s="59"/>
      <c r="F768" s="59"/>
      <c r="H768" s="59"/>
      <c r="I768" s="59"/>
      <c r="J768" s="59"/>
    </row>
    <row r="769" ht="12.75" customHeight="1">
      <c r="A769" s="26"/>
      <c r="B769" s="59"/>
      <c r="C769" s="59"/>
      <c r="D769" s="59"/>
      <c r="E769" s="59"/>
      <c r="F769" s="59"/>
      <c r="H769" s="59"/>
      <c r="I769" s="59"/>
      <c r="J769" s="59"/>
    </row>
    <row r="770" ht="12.75" customHeight="1">
      <c r="A770" s="26"/>
      <c r="B770" s="59"/>
      <c r="C770" s="59"/>
      <c r="D770" s="59"/>
      <c r="E770" s="59"/>
      <c r="F770" s="59"/>
      <c r="H770" s="59"/>
      <c r="I770" s="59"/>
      <c r="J770" s="59"/>
    </row>
    <row r="771" ht="12.75" customHeight="1">
      <c r="A771" s="26"/>
      <c r="B771" s="59"/>
      <c r="C771" s="59"/>
      <c r="D771" s="59"/>
      <c r="E771" s="59"/>
      <c r="F771" s="59"/>
      <c r="H771" s="59"/>
      <c r="I771" s="59"/>
      <c r="J771" s="59"/>
    </row>
    <row r="772" ht="12.75" customHeight="1">
      <c r="A772" s="26"/>
      <c r="B772" s="59"/>
      <c r="C772" s="59"/>
      <c r="D772" s="59"/>
      <c r="E772" s="59"/>
      <c r="F772" s="59"/>
      <c r="H772" s="59"/>
      <c r="I772" s="59"/>
      <c r="J772" s="59"/>
    </row>
    <row r="773" ht="12.75" customHeight="1">
      <c r="A773" s="26"/>
      <c r="B773" s="59"/>
      <c r="C773" s="59"/>
      <c r="D773" s="59"/>
      <c r="E773" s="59"/>
      <c r="F773" s="59"/>
      <c r="H773" s="59"/>
      <c r="I773" s="59"/>
      <c r="J773" s="59"/>
    </row>
    <row r="774" ht="12.75" customHeight="1">
      <c r="A774" s="26"/>
      <c r="B774" s="59"/>
      <c r="C774" s="59"/>
      <c r="D774" s="59"/>
      <c r="E774" s="59"/>
      <c r="F774" s="59"/>
      <c r="H774" s="59"/>
      <c r="I774" s="59"/>
      <c r="J774" s="59"/>
    </row>
    <row r="775" ht="12.75" customHeight="1">
      <c r="A775" s="26"/>
      <c r="B775" s="59"/>
      <c r="C775" s="59"/>
      <c r="D775" s="59"/>
      <c r="E775" s="59"/>
      <c r="F775" s="59"/>
      <c r="H775" s="59"/>
      <c r="I775" s="59"/>
      <c r="J775" s="59"/>
    </row>
    <row r="776" ht="12.75" customHeight="1">
      <c r="A776" s="26"/>
      <c r="B776" s="59"/>
      <c r="C776" s="59"/>
      <c r="D776" s="59"/>
      <c r="E776" s="59"/>
      <c r="F776" s="59"/>
      <c r="H776" s="59"/>
      <c r="I776" s="59"/>
      <c r="J776" s="59"/>
    </row>
    <row r="777" ht="12.75" customHeight="1">
      <c r="A777" s="26"/>
      <c r="B777" s="59"/>
      <c r="C777" s="59"/>
      <c r="D777" s="59"/>
      <c r="E777" s="59"/>
      <c r="F777" s="59"/>
      <c r="H777" s="59"/>
      <c r="I777" s="59"/>
      <c r="J777" s="59"/>
    </row>
    <row r="778" ht="12.75" customHeight="1">
      <c r="A778" s="26"/>
      <c r="B778" s="59"/>
      <c r="C778" s="59"/>
      <c r="D778" s="59"/>
      <c r="E778" s="59"/>
      <c r="F778" s="59"/>
      <c r="H778" s="59"/>
      <c r="I778" s="59"/>
      <c r="J778" s="59"/>
    </row>
    <row r="779" ht="12.75" customHeight="1">
      <c r="A779" s="26"/>
      <c r="B779" s="59"/>
      <c r="C779" s="59"/>
      <c r="D779" s="59"/>
      <c r="E779" s="59"/>
      <c r="F779" s="59"/>
      <c r="H779" s="59"/>
      <c r="I779" s="59"/>
      <c r="J779" s="59"/>
    </row>
    <row r="780" ht="12.75" customHeight="1">
      <c r="A780" s="26"/>
      <c r="B780" s="59"/>
      <c r="C780" s="59"/>
      <c r="D780" s="59"/>
      <c r="E780" s="59"/>
      <c r="F780" s="59"/>
      <c r="H780" s="59"/>
      <c r="I780" s="59"/>
      <c r="J780" s="59"/>
    </row>
    <row r="781" ht="12.75" customHeight="1">
      <c r="A781" s="26"/>
      <c r="B781" s="59"/>
      <c r="C781" s="59"/>
      <c r="D781" s="59"/>
      <c r="E781" s="59"/>
      <c r="F781" s="59"/>
      <c r="H781" s="59"/>
      <c r="I781" s="59"/>
      <c r="J781" s="59"/>
    </row>
    <row r="782" ht="12.75" customHeight="1">
      <c r="A782" s="26"/>
      <c r="B782" s="59"/>
      <c r="C782" s="59"/>
      <c r="D782" s="59"/>
      <c r="E782" s="59"/>
      <c r="F782" s="59"/>
      <c r="H782" s="59"/>
      <c r="I782" s="59"/>
      <c r="J782" s="59"/>
    </row>
    <row r="783" ht="12.75" customHeight="1">
      <c r="A783" s="26"/>
      <c r="B783" s="59"/>
      <c r="C783" s="59"/>
      <c r="D783" s="59"/>
      <c r="E783" s="59"/>
      <c r="F783" s="59"/>
      <c r="H783" s="59"/>
      <c r="I783" s="59"/>
      <c r="J783" s="59"/>
    </row>
    <row r="784" ht="12.75" customHeight="1">
      <c r="A784" s="26"/>
      <c r="B784" s="59"/>
      <c r="C784" s="59"/>
      <c r="D784" s="59"/>
      <c r="E784" s="59"/>
      <c r="F784" s="59"/>
      <c r="H784" s="59"/>
      <c r="I784" s="59"/>
      <c r="J784" s="59"/>
    </row>
    <row r="785" ht="12.75" customHeight="1">
      <c r="A785" s="26"/>
      <c r="B785" s="59"/>
      <c r="C785" s="59"/>
      <c r="D785" s="59"/>
      <c r="E785" s="59"/>
      <c r="F785" s="59"/>
      <c r="H785" s="59"/>
      <c r="I785" s="59"/>
      <c r="J785" s="59"/>
    </row>
    <row r="786" ht="12.75" customHeight="1">
      <c r="A786" s="26"/>
      <c r="B786" s="59"/>
      <c r="C786" s="59"/>
      <c r="D786" s="59"/>
      <c r="E786" s="59"/>
      <c r="F786" s="59"/>
      <c r="H786" s="59"/>
      <c r="I786" s="59"/>
      <c r="J786" s="59"/>
    </row>
    <row r="787" ht="12.75" customHeight="1">
      <c r="A787" s="26"/>
      <c r="B787" s="59"/>
      <c r="C787" s="59"/>
      <c r="D787" s="59"/>
      <c r="E787" s="59"/>
      <c r="F787" s="59"/>
      <c r="H787" s="59"/>
      <c r="I787" s="59"/>
      <c r="J787" s="59"/>
    </row>
    <row r="788" ht="12.75" customHeight="1">
      <c r="A788" s="26"/>
      <c r="B788" s="59"/>
      <c r="C788" s="59"/>
      <c r="D788" s="59"/>
      <c r="E788" s="59"/>
      <c r="F788" s="59"/>
      <c r="H788" s="59"/>
      <c r="I788" s="59"/>
      <c r="J788" s="59"/>
    </row>
    <row r="789" ht="12.75" customHeight="1">
      <c r="A789" s="26"/>
      <c r="B789" s="59"/>
      <c r="C789" s="59"/>
      <c r="D789" s="59"/>
      <c r="E789" s="59"/>
      <c r="F789" s="59"/>
      <c r="H789" s="59"/>
      <c r="I789" s="59"/>
      <c r="J789" s="59"/>
    </row>
    <row r="790" ht="12.75" customHeight="1">
      <c r="A790" s="26"/>
      <c r="B790" s="59"/>
      <c r="C790" s="59"/>
      <c r="D790" s="59"/>
      <c r="E790" s="59"/>
      <c r="F790" s="59"/>
      <c r="H790" s="59"/>
      <c r="I790" s="59"/>
      <c r="J790" s="59"/>
    </row>
    <row r="791" ht="12.75" customHeight="1">
      <c r="A791" s="26"/>
      <c r="B791" s="59"/>
      <c r="C791" s="59"/>
      <c r="D791" s="59"/>
      <c r="E791" s="59"/>
      <c r="F791" s="59"/>
      <c r="H791" s="59"/>
      <c r="I791" s="59"/>
      <c r="J791" s="59"/>
    </row>
    <row r="792" ht="12.75" customHeight="1">
      <c r="A792" s="26"/>
      <c r="B792" s="59"/>
      <c r="C792" s="59"/>
      <c r="D792" s="59"/>
      <c r="E792" s="59"/>
      <c r="F792" s="59"/>
      <c r="H792" s="59"/>
      <c r="I792" s="59"/>
      <c r="J792" s="59"/>
    </row>
    <row r="793" ht="12.75" customHeight="1">
      <c r="A793" s="26"/>
      <c r="B793" s="59"/>
      <c r="C793" s="59"/>
      <c r="D793" s="59"/>
      <c r="E793" s="59"/>
      <c r="F793" s="59"/>
      <c r="H793" s="59"/>
      <c r="I793" s="59"/>
      <c r="J793" s="59"/>
    </row>
    <row r="794" ht="12.75" customHeight="1">
      <c r="A794" s="26"/>
      <c r="B794" s="59"/>
      <c r="C794" s="59"/>
      <c r="D794" s="59"/>
      <c r="E794" s="59"/>
      <c r="F794" s="59"/>
      <c r="H794" s="59"/>
      <c r="I794" s="59"/>
      <c r="J794" s="59"/>
    </row>
    <row r="795" ht="12.75" customHeight="1">
      <c r="A795" s="26"/>
      <c r="B795" s="59"/>
      <c r="C795" s="59"/>
      <c r="D795" s="59"/>
      <c r="E795" s="59"/>
      <c r="F795" s="59"/>
      <c r="H795" s="59"/>
      <c r="I795" s="59"/>
      <c r="J795" s="59"/>
    </row>
    <row r="796" ht="12.75" customHeight="1">
      <c r="A796" s="26"/>
      <c r="B796" s="59"/>
      <c r="C796" s="59"/>
      <c r="D796" s="59"/>
      <c r="E796" s="59"/>
      <c r="F796" s="59"/>
      <c r="H796" s="59"/>
      <c r="I796" s="59"/>
      <c r="J796" s="59"/>
    </row>
    <row r="797" ht="12.75" customHeight="1">
      <c r="A797" s="26"/>
      <c r="B797" s="59"/>
      <c r="C797" s="59"/>
      <c r="D797" s="59"/>
      <c r="E797" s="59"/>
      <c r="F797" s="59"/>
      <c r="H797" s="59"/>
      <c r="I797" s="59"/>
      <c r="J797" s="59"/>
    </row>
    <row r="798" ht="12.75" customHeight="1">
      <c r="A798" s="26"/>
      <c r="B798" s="59"/>
      <c r="C798" s="59"/>
      <c r="D798" s="59"/>
      <c r="E798" s="59"/>
      <c r="F798" s="59"/>
      <c r="H798" s="59"/>
      <c r="I798" s="59"/>
      <c r="J798" s="59"/>
    </row>
    <row r="799" ht="12.75" customHeight="1">
      <c r="A799" s="26"/>
      <c r="B799" s="59"/>
      <c r="C799" s="59"/>
      <c r="D799" s="59"/>
      <c r="E799" s="59"/>
      <c r="F799" s="59"/>
      <c r="H799" s="59"/>
      <c r="I799" s="59"/>
      <c r="J799" s="59"/>
    </row>
    <row r="800" ht="12.75" customHeight="1">
      <c r="A800" s="26"/>
      <c r="B800" s="59"/>
      <c r="C800" s="59"/>
      <c r="D800" s="59"/>
      <c r="E800" s="59"/>
      <c r="F800" s="59"/>
      <c r="H800" s="59"/>
      <c r="I800" s="59"/>
      <c r="J800" s="59"/>
    </row>
    <row r="801" ht="12.75" customHeight="1">
      <c r="A801" s="26"/>
      <c r="B801" s="59"/>
      <c r="C801" s="59"/>
      <c r="D801" s="59"/>
      <c r="E801" s="59"/>
      <c r="F801" s="59"/>
      <c r="H801" s="59"/>
      <c r="I801" s="59"/>
      <c r="J801" s="59"/>
    </row>
    <row r="802" ht="12.75" customHeight="1">
      <c r="A802" s="26"/>
      <c r="B802" s="59"/>
      <c r="C802" s="59"/>
      <c r="D802" s="59"/>
      <c r="E802" s="59"/>
      <c r="F802" s="59"/>
      <c r="H802" s="59"/>
      <c r="I802" s="59"/>
      <c r="J802" s="59"/>
    </row>
    <row r="803" ht="12.75" customHeight="1">
      <c r="A803" s="26"/>
      <c r="B803" s="59"/>
      <c r="C803" s="59"/>
      <c r="D803" s="59"/>
      <c r="E803" s="59"/>
      <c r="F803" s="59"/>
      <c r="H803" s="59"/>
      <c r="I803" s="59"/>
      <c r="J803" s="59"/>
    </row>
    <row r="804" ht="12.75" customHeight="1">
      <c r="A804" s="26"/>
      <c r="B804" s="59"/>
      <c r="C804" s="59"/>
      <c r="D804" s="59"/>
      <c r="E804" s="59"/>
      <c r="F804" s="59"/>
      <c r="H804" s="59"/>
      <c r="I804" s="59"/>
      <c r="J804" s="59"/>
    </row>
    <row r="805" ht="12.75" customHeight="1">
      <c r="A805" s="26"/>
      <c r="B805" s="59"/>
      <c r="C805" s="59"/>
      <c r="D805" s="59"/>
      <c r="E805" s="59"/>
      <c r="F805" s="59"/>
      <c r="H805" s="59"/>
      <c r="I805" s="59"/>
      <c r="J805" s="59"/>
    </row>
    <row r="806" ht="12.75" customHeight="1">
      <c r="A806" s="26"/>
      <c r="B806" s="59"/>
      <c r="C806" s="59"/>
      <c r="D806" s="59"/>
      <c r="E806" s="59"/>
      <c r="F806" s="59"/>
      <c r="H806" s="59"/>
      <c r="I806" s="59"/>
      <c r="J806" s="59"/>
    </row>
    <row r="807" ht="12.75" customHeight="1">
      <c r="A807" s="26"/>
      <c r="B807" s="59"/>
      <c r="C807" s="59"/>
      <c r="D807" s="59"/>
      <c r="E807" s="59"/>
      <c r="F807" s="59"/>
      <c r="H807" s="59"/>
      <c r="I807" s="59"/>
      <c r="J807" s="59"/>
    </row>
    <row r="808" ht="12.75" customHeight="1">
      <c r="A808" s="26"/>
      <c r="B808" s="59"/>
      <c r="C808" s="59"/>
      <c r="D808" s="59"/>
      <c r="E808" s="59"/>
      <c r="F808" s="59"/>
      <c r="H808" s="59"/>
      <c r="I808" s="59"/>
      <c r="J808" s="59"/>
    </row>
    <row r="809" ht="12.75" customHeight="1">
      <c r="A809" s="26"/>
      <c r="B809" s="59"/>
      <c r="C809" s="59"/>
      <c r="D809" s="59"/>
      <c r="E809" s="59"/>
      <c r="F809" s="59"/>
      <c r="H809" s="59"/>
      <c r="I809" s="59"/>
      <c r="J809" s="59"/>
    </row>
    <row r="810" ht="12.75" customHeight="1">
      <c r="A810" s="26"/>
      <c r="B810" s="59"/>
      <c r="C810" s="59"/>
      <c r="D810" s="59"/>
      <c r="E810" s="59"/>
      <c r="F810" s="59"/>
      <c r="H810" s="59"/>
      <c r="I810" s="59"/>
      <c r="J810" s="59"/>
    </row>
    <row r="811" ht="12.75" customHeight="1">
      <c r="A811" s="26"/>
      <c r="B811" s="59"/>
      <c r="C811" s="59"/>
      <c r="D811" s="59"/>
      <c r="E811" s="59"/>
      <c r="F811" s="59"/>
      <c r="H811" s="59"/>
      <c r="I811" s="59"/>
      <c r="J811" s="59"/>
    </row>
    <row r="812" ht="12.75" customHeight="1">
      <c r="A812" s="26"/>
      <c r="B812" s="59"/>
      <c r="C812" s="59"/>
      <c r="D812" s="59"/>
      <c r="E812" s="59"/>
      <c r="F812" s="59"/>
      <c r="H812" s="59"/>
      <c r="I812" s="59"/>
      <c r="J812" s="59"/>
    </row>
    <row r="813" ht="12.75" customHeight="1">
      <c r="A813" s="26"/>
      <c r="B813" s="59"/>
      <c r="C813" s="59"/>
      <c r="D813" s="59"/>
      <c r="E813" s="59"/>
      <c r="F813" s="59"/>
      <c r="H813" s="59"/>
      <c r="I813" s="59"/>
      <c r="J813" s="59"/>
    </row>
    <row r="814" ht="12.75" customHeight="1">
      <c r="A814" s="26"/>
      <c r="B814" s="59"/>
      <c r="C814" s="59"/>
      <c r="D814" s="59"/>
      <c r="E814" s="59"/>
      <c r="F814" s="59"/>
      <c r="H814" s="59"/>
      <c r="I814" s="59"/>
      <c r="J814" s="59"/>
    </row>
    <row r="815" ht="12.75" customHeight="1">
      <c r="A815" s="26"/>
      <c r="B815" s="59"/>
      <c r="C815" s="59"/>
      <c r="D815" s="59"/>
      <c r="E815" s="59"/>
      <c r="F815" s="59"/>
      <c r="H815" s="59"/>
      <c r="I815" s="59"/>
      <c r="J815" s="59"/>
    </row>
    <row r="816" ht="12.75" customHeight="1">
      <c r="A816" s="26"/>
      <c r="B816" s="59"/>
      <c r="C816" s="59"/>
      <c r="D816" s="59"/>
      <c r="E816" s="59"/>
      <c r="F816" s="59"/>
      <c r="H816" s="59"/>
      <c r="I816" s="59"/>
      <c r="J816" s="59"/>
    </row>
    <row r="817" ht="12.75" customHeight="1">
      <c r="A817" s="26"/>
      <c r="B817" s="59"/>
      <c r="C817" s="59"/>
      <c r="D817" s="59"/>
      <c r="E817" s="59"/>
      <c r="F817" s="59"/>
      <c r="H817" s="59"/>
      <c r="I817" s="59"/>
      <c r="J817" s="59"/>
    </row>
    <row r="818" ht="12.75" customHeight="1">
      <c r="A818" s="26"/>
      <c r="B818" s="59"/>
      <c r="C818" s="59"/>
      <c r="D818" s="59"/>
      <c r="E818" s="59"/>
      <c r="F818" s="59"/>
      <c r="H818" s="59"/>
      <c r="I818" s="59"/>
      <c r="J818" s="59"/>
    </row>
    <row r="819" ht="12.75" customHeight="1">
      <c r="A819" s="26"/>
      <c r="B819" s="59"/>
      <c r="C819" s="59"/>
      <c r="D819" s="59"/>
      <c r="E819" s="59"/>
      <c r="F819" s="59"/>
      <c r="H819" s="59"/>
      <c r="I819" s="59"/>
      <c r="J819" s="59"/>
    </row>
    <row r="820" ht="12.75" customHeight="1">
      <c r="A820" s="26"/>
      <c r="B820" s="59"/>
      <c r="C820" s="59"/>
      <c r="D820" s="59"/>
      <c r="E820" s="59"/>
      <c r="F820" s="59"/>
      <c r="H820" s="59"/>
      <c r="I820" s="59"/>
      <c r="J820" s="59"/>
    </row>
    <row r="821" ht="12.75" customHeight="1">
      <c r="A821" s="26"/>
      <c r="B821" s="59"/>
      <c r="C821" s="59"/>
      <c r="D821" s="59"/>
      <c r="E821" s="59"/>
      <c r="F821" s="59"/>
      <c r="H821" s="59"/>
      <c r="I821" s="59"/>
      <c r="J821" s="59"/>
    </row>
    <row r="822" ht="12.75" customHeight="1">
      <c r="A822" s="26"/>
      <c r="B822" s="59"/>
      <c r="C822" s="59"/>
      <c r="D822" s="59"/>
      <c r="E822" s="59"/>
      <c r="F822" s="59"/>
      <c r="H822" s="59"/>
      <c r="I822" s="59"/>
      <c r="J822" s="59"/>
    </row>
    <row r="823" ht="12.75" customHeight="1">
      <c r="A823" s="26"/>
      <c r="B823" s="59"/>
      <c r="C823" s="59"/>
      <c r="D823" s="59"/>
      <c r="E823" s="59"/>
      <c r="F823" s="59"/>
      <c r="H823" s="59"/>
      <c r="I823" s="59"/>
      <c r="J823" s="59"/>
    </row>
    <row r="824" ht="12.75" customHeight="1">
      <c r="A824" s="26"/>
      <c r="B824" s="59"/>
      <c r="C824" s="59"/>
      <c r="D824" s="59"/>
      <c r="E824" s="59"/>
      <c r="F824" s="59"/>
      <c r="H824" s="59"/>
      <c r="I824" s="59"/>
      <c r="J824" s="59"/>
    </row>
    <row r="825" ht="12.75" customHeight="1">
      <c r="A825" s="26"/>
      <c r="B825" s="59"/>
      <c r="C825" s="59"/>
      <c r="D825" s="59"/>
      <c r="E825" s="59"/>
      <c r="F825" s="59"/>
      <c r="H825" s="59"/>
      <c r="I825" s="59"/>
      <c r="J825" s="59"/>
    </row>
    <row r="826" ht="12.75" customHeight="1">
      <c r="A826" s="26"/>
      <c r="B826" s="59"/>
      <c r="C826" s="59"/>
      <c r="D826" s="59"/>
      <c r="E826" s="59"/>
      <c r="F826" s="59"/>
      <c r="H826" s="59"/>
      <c r="I826" s="59"/>
      <c r="J826" s="59"/>
    </row>
    <row r="827" ht="12.75" customHeight="1">
      <c r="A827" s="26"/>
      <c r="B827" s="59"/>
      <c r="C827" s="59"/>
      <c r="D827" s="59"/>
      <c r="E827" s="59"/>
      <c r="F827" s="59"/>
      <c r="H827" s="59"/>
      <c r="I827" s="59"/>
      <c r="J827" s="59"/>
    </row>
    <row r="828" ht="12.75" customHeight="1">
      <c r="A828" s="26"/>
      <c r="B828" s="59"/>
      <c r="C828" s="59"/>
      <c r="D828" s="59"/>
      <c r="E828" s="59"/>
      <c r="F828" s="59"/>
      <c r="H828" s="59"/>
      <c r="I828" s="59"/>
      <c r="J828" s="59"/>
    </row>
    <row r="829" ht="12.75" customHeight="1">
      <c r="A829" s="26"/>
      <c r="B829" s="59"/>
      <c r="C829" s="59"/>
      <c r="D829" s="59"/>
      <c r="E829" s="59"/>
      <c r="F829" s="59"/>
      <c r="H829" s="59"/>
      <c r="I829" s="59"/>
      <c r="J829" s="59"/>
    </row>
    <row r="830" ht="12.75" customHeight="1">
      <c r="A830" s="26"/>
      <c r="B830" s="59"/>
      <c r="C830" s="59"/>
      <c r="D830" s="59"/>
      <c r="E830" s="59"/>
      <c r="F830" s="59"/>
      <c r="H830" s="59"/>
      <c r="I830" s="59"/>
      <c r="J830" s="59"/>
    </row>
    <row r="831" ht="12.75" customHeight="1">
      <c r="A831" s="26"/>
      <c r="B831" s="59"/>
      <c r="C831" s="59"/>
      <c r="D831" s="59"/>
      <c r="E831" s="59"/>
      <c r="F831" s="59"/>
      <c r="H831" s="59"/>
      <c r="I831" s="59"/>
      <c r="J831" s="59"/>
    </row>
    <row r="832" ht="12.75" customHeight="1">
      <c r="A832" s="26"/>
      <c r="B832" s="59"/>
      <c r="C832" s="59"/>
      <c r="D832" s="59"/>
      <c r="E832" s="59"/>
      <c r="F832" s="59"/>
      <c r="H832" s="59"/>
      <c r="I832" s="59"/>
      <c r="J832" s="59"/>
    </row>
    <row r="833" ht="12.75" customHeight="1">
      <c r="A833" s="26"/>
      <c r="B833" s="59"/>
      <c r="C833" s="59"/>
      <c r="D833" s="59"/>
      <c r="E833" s="59"/>
      <c r="F833" s="59"/>
      <c r="H833" s="59"/>
      <c r="I833" s="59"/>
      <c r="J833" s="59"/>
    </row>
    <row r="834" ht="12.75" customHeight="1">
      <c r="A834" s="26"/>
      <c r="B834" s="59"/>
      <c r="C834" s="59"/>
      <c r="D834" s="59"/>
      <c r="E834" s="59"/>
      <c r="F834" s="59"/>
      <c r="H834" s="59"/>
      <c r="I834" s="59"/>
      <c r="J834" s="59"/>
    </row>
    <row r="835" ht="12.75" customHeight="1">
      <c r="A835" s="26"/>
      <c r="B835" s="59"/>
      <c r="C835" s="59"/>
      <c r="D835" s="59"/>
      <c r="E835" s="59"/>
      <c r="F835" s="59"/>
      <c r="H835" s="59"/>
      <c r="I835" s="59"/>
      <c r="J835" s="59"/>
    </row>
    <row r="836" ht="12.75" customHeight="1">
      <c r="A836" s="26"/>
      <c r="B836" s="59"/>
      <c r="C836" s="59"/>
      <c r="D836" s="59"/>
      <c r="E836" s="59"/>
      <c r="F836" s="59"/>
      <c r="H836" s="59"/>
      <c r="I836" s="59"/>
      <c r="J836" s="59"/>
    </row>
    <row r="837" ht="12.75" customHeight="1">
      <c r="A837" s="26"/>
      <c r="B837" s="59"/>
      <c r="C837" s="59"/>
      <c r="D837" s="59"/>
      <c r="E837" s="59"/>
      <c r="F837" s="59"/>
      <c r="H837" s="59"/>
      <c r="I837" s="59"/>
      <c r="J837" s="59"/>
    </row>
    <row r="838" ht="12.75" customHeight="1">
      <c r="A838" s="26"/>
      <c r="B838" s="59"/>
      <c r="C838" s="59"/>
      <c r="D838" s="59"/>
      <c r="E838" s="59"/>
      <c r="F838" s="59"/>
      <c r="H838" s="59"/>
      <c r="I838" s="59"/>
      <c r="J838" s="59"/>
    </row>
    <row r="839" ht="12.75" customHeight="1">
      <c r="A839" s="26"/>
      <c r="B839" s="59"/>
      <c r="C839" s="59"/>
      <c r="D839" s="59"/>
      <c r="E839" s="59"/>
      <c r="F839" s="59"/>
      <c r="H839" s="59"/>
      <c r="I839" s="59"/>
      <c r="J839" s="59"/>
    </row>
    <row r="840" ht="12.75" customHeight="1">
      <c r="A840" s="26"/>
      <c r="B840" s="59"/>
      <c r="C840" s="59"/>
      <c r="D840" s="59"/>
      <c r="E840" s="59"/>
      <c r="F840" s="59"/>
      <c r="H840" s="59"/>
      <c r="I840" s="59"/>
      <c r="J840" s="59"/>
    </row>
    <row r="841" ht="12.75" customHeight="1">
      <c r="A841" s="26"/>
      <c r="B841" s="59"/>
      <c r="C841" s="59"/>
      <c r="D841" s="59"/>
      <c r="E841" s="59"/>
      <c r="F841" s="59"/>
      <c r="H841" s="59"/>
      <c r="I841" s="59"/>
      <c r="J841" s="59"/>
    </row>
    <row r="842" ht="12.75" customHeight="1">
      <c r="A842" s="26"/>
      <c r="B842" s="59"/>
      <c r="C842" s="59"/>
      <c r="D842" s="59"/>
      <c r="E842" s="59"/>
      <c r="F842" s="59"/>
      <c r="H842" s="59"/>
      <c r="I842" s="59"/>
      <c r="J842" s="59"/>
    </row>
    <row r="843" ht="12.75" customHeight="1">
      <c r="A843" s="26"/>
      <c r="B843" s="59"/>
      <c r="C843" s="59"/>
      <c r="D843" s="59"/>
      <c r="E843" s="59"/>
      <c r="F843" s="59"/>
      <c r="H843" s="59"/>
      <c r="I843" s="59"/>
      <c r="J843" s="59"/>
    </row>
    <row r="844" ht="12.75" customHeight="1">
      <c r="A844" s="26"/>
      <c r="B844" s="59"/>
      <c r="C844" s="59"/>
      <c r="D844" s="59"/>
      <c r="E844" s="59"/>
      <c r="F844" s="59"/>
      <c r="H844" s="59"/>
      <c r="I844" s="59"/>
      <c r="J844" s="59"/>
    </row>
    <row r="845" ht="12.75" customHeight="1">
      <c r="A845" s="26"/>
      <c r="B845" s="59"/>
      <c r="C845" s="59"/>
      <c r="D845" s="59"/>
      <c r="E845" s="59"/>
      <c r="F845" s="59"/>
      <c r="H845" s="59"/>
      <c r="I845" s="59"/>
      <c r="J845" s="59"/>
    </row>
    <row r="846" ht="12.75" customHeight="1">
      <c r="A846" s="26"/>
      <c r="B846" s="59"/>
      <c r="C846" s="59"/>
      <c r="D846" s="59"/>
      <c r="E846" s="59"/>
      <c r="F846" s="59"/>
      <c r="H846" s="59"/>
      <c r="I846" s="59"/>
      <c r="J846" s="59"/>
    </row>
    <row r="847" ht="12.75" customHeight="1">
      <c r="A847" s="26"/>
      <c r="B847" s="59"/>
      <c r="C847" s="59"/>
      <c r="D847" s="59"/>
      <c r="E847" s="59"/>
      <c r="F847" s="59"/>
      <c r="H847" s="59"/>
      <c r="I847" s="59"/>
      <c r="J847" s="59"/>
    </row>
    <row r="848" ht="12.75" customHeight="1">
      <c r="A848" s="26"/>
      <c r="B848" s="59"/>
      <c r="C848" s="59"/>
      <c r="D848" s="59"/>
      <c r="E848" s="59"/>
      <c r="F848" s="59"/>
      <c r="H848" s="59"/>
      <c r="I848" s="59"/>
      <c r="J848" s="59"/>
    </row>
    <row r="849" ht="12.75" customHeight="1">
      <c r="A849" s="26"/>
      <c r="B849" s="59"/>
      <c r="C849" s="59"/>
      <c r="D849" s="59"/>
      <c r="E849" s="59"/>
      <c r="F849" s="59"/>
      <c r="H849" s="59"/>
      <c r="I849" s="59"/>
      <c r="J849" s="59"/>
    </row>
    <row r="850" ht="12.75" customHeight="1">
      <c r="A850" s="26"/>
      <c r="B850" s="59"/>
      <c r="C850" s="59"/>
      <c r="D850" s="59"/>
      <c r="E850" s="59"/>
      <c r="F850" s="59"/>
      <c r="H850" s="59"/>
      <c r="I850" s="59"/>
      <c r="J850" s="59"/>
    </row>
    <row r="851" ht="12.75" customHeight="1">
      <c r="A851" s="26"/>
      <c r="B851" s="59"/>
      <c r="C851" s="59"/>
      <c r="D851" s="59"/>
      <c r="E851" s="59"/>
      <c r="F851" s="59"/>
      <c r="H851" s="59"/>
      <c r="I851" s="59"/>
      <c r="J851" s="59"/>
    </row>
    <row r="852" ht="12.75" customHeight="1">
      <c r="A852" s="26"/>
      <c r="B852" s="59"/>
      <c r="C852" s="59"/>
      <c r="D852" s="59"/>
      <c r="E852" s="59"/>
      <c r="F852" s="59"/>
      <c r="H852" s="59"/>
      <c r="I852" s="59"/>
      <c r="J852" s="59"/>
    </row>
    <row r="853" ht="12.75" customHeight="1">
      <c r="A853" s="26"/>
      <c r="B853" s="59"/>
      <c r="C853" s="59"/>
      <c r="D853" s="59"/>
      <c r="E853" s="59"/>
      <c r="F853" s="59"/>
      <c r="H853" s="59"/>
      <c r="I853" s="59"/>
      <c r="J853" s="59"/>
    </row>
    <row r="854" ht="12.75" customHeight="1">
      <c r="A854" s="26"/>
      <c r="B854" s="59"/>
      <c r="C854" s="59"/>
      <c r="D854" s="59"/>
      <c r="E854" s="59"/>
      <c r="F854" s="59"/>
      <c r="H854" s="59"/>
      <c r="I854" s="59"/>
      <c r="J854" s="59"/>
    </row>
    <row r="855" ht="12.75" customHeight="1">
      <c r="A855" s="26"/>
      <c r="B855" s="59"/>
      <c r="C855" s="59"/>
      <c r="D855" s="59"/>
      <c r="E855" s="59"/>
      <c r="F855" s="59"/>
      <c r="H855" s="59"/>
      <c r="I855" s="59"/>
      <c r="J855" s="59"/>
    </row>
    <row r="856" ht="12.75" customHeight="1">
      <c r="A856" s="26"/>
      <c r="B856" s="59"/>
      <c r="C856" s="59"/>
      <c r="D856" s="59"/>
      <c r="E856" s="59"/>
      <c r="F856" s="59"/>
      <c r="H856" s="59"/>
      <c r="I856" s="59"/>
      <c r="J856" s="59"/>
    </row>
    <row r="857" ht="12.75" customHeight="1">
      <c r="A857" s="26"/>
      <c r="B857" s="59"/>
      <c r="C857" s="59"/>
      <c r="D857" s="59"/>
      <c r="E857" s="59"/>
      <c r="F857" s="59"/>
      <c r="H857" s="59"/>
      <c r="I857" s="59"/>
      <c r="J857" s="59"/>
    </row>
    <row r="858" ht="12.75" customHeight="1">
      <c r="A858" s="26"/>
      <c r="B858" s="59"/>
      <c r="C858" s="59"/>
      <c r="D858" s="59"/>
      <c r="E858" s="59"/>
      <c r="F858" s="59"/>
      <c r="H858" s="59"/>
      <c r="I858" s="59"/>
      <c r="J858" s="59"/>
    </row>
    <row r="859" ht="12.75" customHeight="1">
      <c r="A859" s="26"/>
      <c r="B859" s="59"/>
      <c r="C859" s="59"/>
      <c r="D859" s="59"/>
      <c r="E859" s="59"/>
      <c r="F859" s="59"/>
      <c r="H859" s="59"/>
      <c r="I859" s="59"/>
      <c r="J859" s="59"/>
    </row>
    <row r="860" ht="12.75" customHeight="1">
      <c r="A860" s="26"/>
      <c r="B860" s="59"/>
      <c r="C860" s="59"/>
      <c r="D860" s="59"/>
      <c r="E860" s="59"/>
      <c r="F860" s="59"/>
      <c r="H860" s="59"/>
      <c r="I860" s="59"/>
      <c r="J860" s="59"/>
    </row>
    <row r="861" ht="12.75" customHeight="1">
      <c r="A861" s="26"/>
      <c r="B861" s="59"/>
      <c r="C861" s="59"/>
      <c r="D861" s="59"/>
      <c r="E861" s="59"/>
      <c r="F861" s="59"/>
      <c r="H861" s="59"/>
      <c r="I861" s="59"/>
      <c r="J861" s="59"/>
    </row>
    <row r="862" ht="12.75" customHeight="1">
      <c r="A862" s="26"/>
      <c r="B862" s="59"/>
      <c r="C862" s="59"/>
      <c r="D862" s="59"/>
      <c r="E862" s="59"/>
      <c r="F862" s="59"/>
      <c r="H862" s="59"/>
      <c r="I862" s="59"/>
      <c r="J862" s="59"/>
    </row>
    <row r="863" ht="12.75" customHeight="1">
      <c r="A863" s="26"/>
      <c r="B863" s="59"/>
      <c r="C863" s="59"/>
      <c r="D863" s="59"/>
      <c r="E863" s="59"/>
      <c r="F863" s="59"/>
      <c r="H863" s="59"/>
      <c r="I863" s="59"/>
      <c r="J863" s="59"/>
    </row>
    <row r="864" ht="12.75" customHeight="1">
      <c r="A864" s="26"/>
      <c r="B864" s="59"/>
      <c r="C864" s="59"/>
      <c r="D864" s="59"/>
      <c r="E864" s="59"/>
      <c r="F864" s="59"/>
      <c r="H864" s="59"/>
      <c r="I864" s="59"/>
      <c r="J864" s="59"/>
    </row>
    <row r="865" ht="12.75" customHeight="1">
      <c r="A865" s="26"/>
      <c r="B865" s="59"/>
      <c r="C865" s="59"/>
      <c r="D865" s="59"/>
      <c r="E865" s="59"/>
      <c r="F865" s="59"/>
      <c r="H865" s="59"/>
      <c r="I865" s="59"/>
      <c r="J865" s="59"/>
    </row>
    <row r="866" ht="12.75" customHeight="1">
      <c r="A866" s="26"/>
      <c r="B866" s="59"/>
      <c r="C866" s="59"/>
      <c r="D866" s="59"/>
      <c r="E866" s="59"/>
      <c r="F866" s="59"/>
      <c r="H866" s="59"/>
      <c r="I866" s="59"/>
      <c r="J866" s="59"/>
    </row>
    <row r="867" ht="12.75" customHeight="1">
      <c r="A867" s="26"/>
      <c r="B867" s="59"/>
      <c r="C867" s="59"/>
      <c r="D867" s="59"/>
      <c r="E867" s="59"/>
      <c r="F867" s="59"/>
      <c r="H867" s="59"/>
      <c r="I867" s="59"/>
      <c r="J867" s="59"/>
    </row>
    <row r="868" ht="12.75" customHeight="1">
      <c r="A868" s="26"/>
      <c r="B868" s="59"/>
      <c r="C868" s="59"/>
      <c r="D868" s="59"/>
      <c r="E868" s="59"/>
      <c r="F868" s="59"/>
      <c r="H868" s="59"/>
      <c r="I868" s="59"/>
      <c r="J868" s="59"/>
    </row>
    <row r="869" ht="12.75" customHeight="1">
      <c r="A869" s="26"/>
      <c r="B869" s="59"/>
      <c r="C869" s="59"/>
      <c r="D869" s="59"/>
      <c r="E869" s="59"/>
      <c r="F869" s="59"/>
      <c r="H869" s="59"/>
      <c r="I869" s="59"/>
      <c r="J869" s="59"/>
    </row>
    <row r="870" ht="12.75" customHeight="1">
      <c r="A870" s="26"/>
      <c r="B870" s="59"/>
      <c r="C870" s="59"/>
      <c r="D870" s="59"/>
      <c r="E870" s="59"/>
      <c r="F870" s="59"/>
      <c r="H870" s="59"/>
      <c r="I870" s="59"/>
      <c r="J870" s="59"/>
    </row>
    <row r="871" ht="12.75" customHeight="1">
      <c r="A871" s="26"/>
      <c r="B871" s="59"/>
      <c r="C871" s="59"/>
      <c r="D871" s="59"/>
      <c r="E871" s="59"/>
      <c r="F871" s="59"/>
      <c r="H871" s="59"/>
      <c r="I871" s="59"/>
      <c r="J871" s="59"/>
    </row>
    <row r="872" ht="12.75" customHeight="1">
      <c r="A872" s="26"/>
      <c r="B872" s="59"/>
      <c r="C872" s="59"/>
      <c r="D872" s="59"/>
      <c r="E872" s="59"/>
      <c r="F872" s="59"/>
      <c r="H872" s="59"/>
      <c r="I872" s="59"/>
      <c r="J872" s="59"/>
    </row>
    <row r="873" ht="12.75" customHeight="1">
      <c r="A873" s="26"/>
      <c r="B873" s="59"/>
      <c r="C873" s="59"/>
      <c r="D873" s="59"/>
      <c r="E873" s="59"/>
      <c r="F873" s="59"/>
      <c r="H873" s="59"/>
      <c r="I873" s="59"/>
      <c r="J873" s="59"/>
    </row>
    <row r="874" ht="12.75" customHeight="1">
      <c r="A874" s="26"/>
      <c r="B874" s="59"/>
      <c r="C874" s="59"/>
      <c r="D874" s="59"/>
      <c r="E874" s="59"/>
      <c r="F874" s="59"/>
      <c r="H874" s="59"/>
      <c r="I874" s="59"/>
      <c r="J874" s="59"/>
    </row>
    <row r="875" ht="12.75" customHeight="1">
      <c r="A875" s="26"/>
      <c r="B875" s="59"/>
      <c r="C875" s="59"/>
      <c r="D875" s="59"/>
      <c r="E875" s="59"/>
      <c r="F875" s="59"/>
      <c r="H875" s="59"/>
      <c r="I875" s="59"/>
      <c r="J875" s="59"/>
    </row>
    <row r="876" ht="12.75" customHeight="1">
      <c r="A876" s="26"/>
      <c r="B876" s="59"/>
      <c r="C876" s="59"/>
      <c r="D876" s="59"/>
      <c r="E876" s="59"/>
      <c r="F876" s="59"/>
      <c r="H876" s="59"/>
      <c r="I876" s="59"/>
      <c r="J876" s="59"/>
    </row>
    <row r="877" ht="12.75" customHeight="1">
      <c r="A877" s="26"/>
      <c r="B877" s="59"/>
      <c r="C877" s="59"/>
      <c r="D877" s="59"/>
      <c r="E877" s="59"/>
      <c r="F877" s="59"/>
      <c r="H877" s="59"/>
      <c r="I877" s="59"/>
      <c r="J877" s="59"/>
    </row>
    <row r="878" ht="12.75" customHeight="1">
      <c r="A878" s="26"/>
      <c r="B878" s="59"/>
      <c r="C878" s="59"/>
      <c r="D878" s="59"/>
      <c r="E878" s="59"/>
      <c r="F878" s="59"/>
      <c r="H878" s="59"/>
      <c r="I878" s="59"/>
      <c r="J878" s="59"/>
    </row>
    <row r="879" ht="12.75" customHeight="1">
      <c r="A879" s="26"/>
      <c r="B879" s="59"/>
      <c r="C879" s="59"/>
      <c r="D879" s="59"/>
      <c r="E879" s="59"/>
      <c r="F879" s="59"/>
      <c r="H879" s="59"/>
      <c r="I879" s="59"/>
      <c r="J879" s="59"/>
    </row>
    <row r="880" ht="12.75" customHeight="1">
      <c r="A880" s="26"/>
      <c r="B880" s="59"/>
      <c r="C880" s="59"/>
      <c r="D880" s="59"/>
      <c r="E880" s="59"/>
      <c r="F880" s="59"/>
      <c r="H880" s="59"/>
      <c r="I880" s="59"/>
      <c r="J880" s="59"/>
    </row>
    <row r="881" ht="12.75" customHeight="1">
      <c r="A881" s="26"/>
      <c r="B881" s="59"/>
      <c r="C881" s="59"/>
      <c r="D881" s="59"/>
      <c r="E881" s="59"/>
      <c r="F881" s="59"/>
      <c r="H881" s="59"/>
      <c r="I881" s="59"/>
      <c r="J881" s="59"/>
    </row>
    <row r="882" ht="12.75" customHeight="1">
      <c r="A882" s="26"/>
      <c r="B882" s="59"/>
      <c r="C882" s="59"/>
      <c r="D882" s="59"/>
      <c r="E882" s="59"/>
      <c r="F882" s="59"/>
      <c r="H882" s="59"/>
      <c r="I882" s="59"/>
      <c r="J882" s="59"/>
    </row>
    <row r="883" ht="12.75" customHeight="1">
      <c r="A883" s="26"/>
      <c r="B883" s="59"/>
      <c r="C883" s="59"/>
      <c r="D883" s="59"/>
      <c r="E883" s="59"/>
      <c r="F883" s="59"/>
      <c r="H883" s="59"/>
      <c r="I883" s="59"/>
      <c r="J883" s="59"/>
    </row>
    <row r="884" ht="12.75" customHeight="1">
      <c r="A884" s="26"/>
      <c r="B884" s="59"/>
      <c r="C884" s="59"/>
      <c r="D884" s="59"/>
      <c r="E884" s="59"/>
      <c r="F884" s="59"/>
      <c r="H884" s="59"/>
      <c r="I884" s="59"/>
      <c r="J884" s="59"/>
    </row>
    <row r="885" ht="12.75" customHeight="1">
      <c r="A885" s="26"/>
      <c r="B885" s="59"/>
      <c r="C885" s="59"/>
      <c r="D885" s="59"/>
      <c r="E885" s="59"/>
      <c r="F885" s="59"/>
      <c r="H885" s="59"/>
      <c r="I885" s="59"/>
      <c r="J885" s="59"/>
    </row>
    <row r="886" ht="12.75" customHeight="1">
      <c r="A886" s="26"/>
      <c r="B886" s="59"/>
      <c r="C886" s="59"/>
      <c r="D886" s="59"/>
      <c r="E886" s="59"/>
      <c r="F886" s="59"/>
      <c r="H886" s="59"/>
      <c r="I886" s="59"/>
      <c r="J886" s="59"/>
    </row>
    <row r="887" ht="12.75" customHeight="1">
      <c r="A887" s="26"/>
      <c r="B887" s="59"/>
      <c r="C887" s="59"/>
      <c r="D887" s="59"/>
      <c r="E887" s="59"/>
      <c r="F887" s="59"/>
      <c r="H887" s="59"/>
      <c r="I887" s="59"/>
      <c r="J887" s="59"/>
    </row>
    <row r="888" ht="12.75" customHeight="1">
      <c r="A888" s="26"/>
      <c r="B888" s="59"/>
      <c r="C888" s="59"/>
      <c r="D888" s="59"/>
      <c r="E888" s="59"/>
      <c r="F888" s="59"/>
      <c r="H888" s="59"/>
      <c r="I888" s="59"/>
      <c r="J888" s="59"/>
    </row>
    <row r="889" ht="12.75" customHeight="1">
      <c r="A889" s="26"/>
      <c r="B889" s="59"/>
      <c r="C889" s="59"/>
      <c r="D889" s="59"/>
      <c r="E889" s="59"/>
      <c r="F889" s="59"/>
      <c r="H889" s="59"/>
      <c r="I889" s="59"/>
      <c r="J889" s="59"/>
    </row>
    <row r="890" ht="12.75" customHeight="1">
      <c r="A890" s="26"/>
      <c r="B890" s="59"/>
      <c r="C890" s="59"/>
      <c r="D890" s="59"/>
      <c r="E890" s="59"/>
      <c r="F890" s="59"/>
      <c r="H890" s="59"/>
      <c r="I890" s="59"/>
      <c r="J890" s="59"/>
    </row>
    <row r="891" ht="12.75" customHeight="1">
      <c r="A891" s="26"/>
      <c r="B891" s="59"/>
      <c r="C891" s="59"/>
      <c r="D891" s="59"/>
      <c r="E891" s="59"/>
      <c r="F891" s="59"/>
      <c r="H891" s="59"/>
      <c r="I891" s="59"/>
      <c r="J891" s="59"/>
    </row>
    <row r="892" ht="12.75" customHeight="1">
      <c r="A892" s="26"/>
      <c r="B892" s="59"/>
      <c r="C892" s="59"/>
      <c r="D892" s="59"/>
      <c r="E892" s="59"/>
      <c r="F892" s="59"/>
      <c r="H892" s="59"/>
      <c r="I892" s="59"/>
      <c r="J892" s="59"/>
    </row>
    <row r="893" ht="12.75" customHeight="1">
      <c r="A893" s="26"/>
      <c r="B893" s="59"/>
      <c r="C893" s="59"/>
      <c r="D893" s="59"/>
      <c r="E893" s="59"/>
      <c r="F893" s="59"/>
      <c r="H893" s="59"/>
      <c r="I893" s="59"/>
      <c r="J893" s="59"/>
    </row>
    <row r="894" ht="12.75" customHeight="1">
      <c r="A894" s="26"/>
      <c r="B894" s="59"/>
      <c r="C894" s="59"/>
      <c r="D894" s="59"/>
      <c r="E894" s="59"/>
      <c r="F894" s="59"/>
      <c r="H894" s="59"/>
      <c r="I894" s="59"/>
      <c r="J894" s="59"/>
    </row>
    <row r="895" ht="12.75" customHeight="1">
      <c r="A895" s="26"/>
      <c r="B895" s="59"/>
      <c r="C895" s="59"/>
      <c r="D895" s="59"/>
      <c r="E895" s="59"/>
      <c r="F895" s="59"/>
      <c r="H895" s="59"/>
      <c r="I895" s="59"/>
      <c r="J895" s="59"/>
    </row>
    <row r="896" ht="12.75" customHeight="1">
      <c r="A896" s="26"/>
      <c r="B896" s="59"/>
      <c r="C896" s="59"/>
      <c r="D896" s="59"/>
      <c r="E896" s="59"/>
      <c r="F896" s="59"/>
      <c r="H896" s="59"/>
      <c r="I896" s="59"/>
      <c r="J896" s="59"/>
    </row>
    <row r="897" ht="12.75" customHeight="1">
      <c r="A897" s="26"/>
      <c r="B897" s="59"/>
      <c r="C897" s="59"/>
      <c r="D897" s="59"/>
      <c r="E897" s="59"/>
      <c r="F897" s="59"/>
      <c r="H897" s="59"/>
      <c r="I897" s="59"/>
      <c r="J897" s="59"/>
    </row>
    <row r="898" ht="12.75" customHeight="1">
      <c r="A898" s="26"/>
      <c r="B898" s="59"/>
      <c r="C898" s="59"/>
      <c r="D898" s="59"/>
      <c r="E898" s="59"/>
      <c r="F898" s="59"/>
      <c r="H898" s="59"/>
      <c r="I898" s="59"/>
      <c r="J898" s="59"/>
    </row>
    <row r="899" ht="12.75" customHeight="1">
      <c r="A899" s="26"/>
      <c r="B899" s="59"/>
      <c r="C899" s="59"/>
      <c r="D899" s="59"/>
      <c r="E899" s="59"/>
      <c r="F899" s="59"/>
      <c r="H899" s="59"/>
      <c r="I899" s="59"/>
      <c r="J899" s="59"/>
    </row>
    <row r="900" ht="12.75" customHeight="1">
      <c r="A900" s="26"/>
      <c r="B900" s="59"/>
      <c r="C900" s="59"/>
      <c r="D900" s="59"/>
      <c r="E900" s="59"/>
      <c r="F900" s="59"/>
      <c r="H900" s="59"/>
      <c r="I900" s="59"/>
      <c r="J900" s="59"/>
    </row>
    <row r="901" ht="12.75" customHeight="1">
      <c r="A901" s="26"/>
      <c r="B901" s="59"/>
      <c r="C901" s="59"/>
      <c r="D901" s="59"/>
      <c r="E901" s="59"/>
      <c r="F901" s="59"/>
      <c r="H901" s="59"/>
      <c r="I901" s="59"/>
      <c r="J901" s="59"/>
    </row>
    <row r="902" ht="12.75" customHeight="1">
      <c r="A902" s="26"/>
      <c r="B902" s="59"/>
      <c r="C902" s="59"/>
      <c r="D902" s="59"/>
      <c r="E902" s="59"/>
      <c r="F902" s="59"/>
      <c r="H902" s="59"/>
      <c r="I902" s="59"/>
      <c r="J902" s="59"/>
    </row>
    <row r="903" ht="12.75" customHeight="1">
      <c r="A903" s="26"/>
      <c r="B903" s="59"/>
      <c r="C903" s="59"/>
      <c r="D903" s="59"/>
      <c r="E903" s="59"/>
      <c r="F903" s="59"/>
      <c r="H903" s="59"/>
      <c r="I903" s="59"/>
      <c r="J903" s="59"/>
    </row>
    <row r="904" ht="12.75" customHeight="1">
      <c r="A904" s="26"/>
      <c r="B904" s="59"/>
      <c r="C904" s="59"/>
      <c r="D904" s="59"/>
      <c r="E904" s="59"/>
      <c r="F904" s="59"/>
      <c r="H904" s="59"/>
      <c r="I904" s="59"/>
      <c r="J904" s="59"/>
    </row>
    <row r="905" ht="12.75" customHeight="1">
      <c r="A905" s="26"/>
      <c r="B905" s="59"/>
      <c r="C905" s="59"/>
      <c r="D905" s="59"/>
      <c r="E905" s="59"/>
      <c r="F905" s="59"/>
      <c r="H905" s="59"/>
      <c r="I905" s="59"/>
      <c r="J905" s="59"/>
    </row>
    <row r="906" ht="12.75" customHeight="1">
      <c r="A906" s="26"/>
      <c r="B906" s="59"/>
      <c r="C906" s="59"/>
      <c r="D906" s="59"/>
      <c r="E906" s="59"/>
      <c r="F906" s="59"/>
      <c r="H906" s="59"/>
      <c r="I906" s="59"/>
      <c r="J906" s="59"/>
    </row>
    <row r="907" ht="12.75" customHeight="1">
      <c r="A907" s="26"/>
      <c r="B907" s="59"/>
      <c r="C907" s="59"/>
      <c r="D907" s="59"/>
      <c r="E907" s="59"/>
      <c r="F907" s="59"/>
      <c r="H907" s="59"/>
      <c r="I907" s="59"/>
      <c r="J907" s="59"/>
    </row>
    <row r="908" ht="12.75" customHeight="1">
      <c r="A908" s="26"/>
      <c r="B908" s="59"/>
      <c r="C908" s="59"/>
      <c r="D908" s="59"/>
      <c r="E908" s="59"/>
      <c r="F908" s="59"/>
      <c r="H908" s="59"/>
      <c r="I908" s="59"/>
      <c r="J908" s="59"/>
    </row>
    <row r="909" ht="12.75" customHeight="1">
      <c r="A909" s="26"/>
      <c r="B909" s="59"/>
      <c r="C909" s="59"/>
      <c r="D909" s="59"/>
      <c r="E909" s="59"/>
      <c r="F909" s="59"/>
      <c r="H909" s="59"/>
      <c r="I909" s="59"/>
      <c r="J909" s="59"/>
    </row>
    <row r="910" ht="12.75" customHeight="1">
      <c r="A910" s="26"/>
      <c r="B910" s="59"/>
      <c r="C910" s="59"/>
      <c r="D910" s="59"/>
      <c r="E910" s="59"/>
      <c r="F910" s="59"/>
      <c r="H910" s="59"/>
      <c r="I910" s="59"/>
      <c r="J910" s="59"/>
    </row>
    <row r="911" ht="12.75" customHeight="1">
      <c r="A911" s="26"/>
      <c r="B911" s="59"/>
      <c r="C911" s="59"/>
      <c r="D911" s="59"/>
      <c r="E911" s="59"/>
      <c r="F911" s="59"/>
      <c r="H911" s="59"/>
      <c r="I911" s="59"/>
      <c r="J911" s="59"/>
    </row>
    <row r="912" ht="12.75" customHeight="1">
      <c r="A912" s="26"/>
      <c r="B912" s="59"/>
      <c r="C912" s="59"/>
      <c r="D912" s="59"/>
      <c r="E912" s="59"/>
      <c r="F912" s="59"/>
      <c r="H912" s="59"/>
      <c r="I912" s="59"/>
      <c r="J912" s="59"/>
    </row>
    <row r="913" ht="12.75" customHeight="1">
      <c r="A913" s="26"/>
      <c r="B913" s="59"/>
      <c r="C913" s="59"/>
      <c r="D913" s="59"/>
      <c r="E913" s="59"/>
      <c r="F913" s="59"/>
      <c r="H913" s="59"/>
      <c r="I913" s="59"/>
      <c r="J913" s="59"/>
    </row>
    <row r="914" ht="12.75" customHeight="1">
      <c r="A914" s="26"/>
      <c r="B914" s="59"/>
      <c r="C914" s="59"/>
      <c r="D914" s="59"/>
      <c r="E914" s="59"/>
      <c r="F914" s="59"/>
      <c r="H914" s="59"/>
      <c r="I914" s="59"/>
      <c r="J914" s="59"/>
    </row>
    <row r="915" ht="12.75" customHeight="1">
      <c r="A915" s="26"/>
      <c r="B915" s="59"/>
      <c r="C915" s="59"/>
      <c r="D915" s="59"/>
      <c r="E915" s="59"/>
      <c r="F915" s="59"/>
      <c r="H915" s="59"/>
      <c r="I915" s="59"/>
      <c r="J915" s="59"/>
    </row>
    <row r="916" ht="12.75" customHeight="1">
      <c r="A916" s="26"/>
      <c r="B916" s="59"/>
      <c r="C916" s="59"/>
      <c r="D916" s="59"/>
      <c r="E916" s="59"/>
      <c r="F916" s="59"/>
      <c r="H916" s="59"/>
      <c r="I916" s="59"/>
      <c r="J916" s="59"/>
    </row>
    <row r="917" ht="12.75" customHeight="1">
      <c r="A917" s="26"/>
      <c r="B917" s="59"/>
      <c r="C917" s="59"/>
      <c r="D917" s="59"/>
      <c r="E917" s="59"/>
      <c r="F917" s="59"/>
      <c r="H917" s="59"/>
      <c r="I917" s="59"/>
      <c r="J917" s="59"/>
    </row>
    <row r="918" ht="12.75" customHeight="1">
      <c r="A918" s="26"/>
      <c r="B918" s="59"/>
      <c r="C918" s="59"/>
      <c r="D918" s="59"/>
      <c r="E918" s="59"/>
      <c r="F918" s="59"/>
      <c r="H918" s="59"/>
      <c r="I918" s="59"/>
      <c r="J918" s="59"/>
    </row>
    <row r="919" ht="12.75" customHeight="1">
      <c r="A919" s="26"/>
      <c r="B919" s="59"/>
      <c r="C919" s="59"/>
      <c r="D919" s="59"/>
      <c r="E919" s="59"/>
      <c r="F919" s="59"/>
      <c r="H919" s="59"/>
      <c r="I919" s="59"/>
      <c r="J919" s="59"/>
    </row>
    <row r="920" ht="12.75" customHeight="1">
      <c r="A920" s="26"/>
      <c r="B920" s="59"/>
      <c r="C920" s="59"/>
      <c r="D920" s="59"/>
      <c r="E920" s="59"/>
      <c r="F920" s="59"/>
      <c r="H920" s="59"/>
      <c r="I920" s="59"/>
      <c r="J920" s="59"/>
    </row>
    <row r="921" ht="12.75" customHeight="1">
      <c r="A921" s="26"/>
      <c r="B921" s="59"/>
      <c r="C921" s="59"/>
      <c r="D921" s="59"/>
      <c r="E921" s="59"/>
      <c r="F921" s="59"/>
      <c r="H921" s="59"/>
      <c r="I921" s="59"/>
      <c r="J921" s="59"/>
    </row>
    <row r="922" ht="12.75" customHeight="1">
      <c r="A922" s="26"/>
      <c r="B922" s="59"/>
      <c r="C922" s="59"/>
      <c r="D922" s="59"/>
      <c r="E922" s="59"/>
      <c r="F922" s="59"/>
      <c r="H922" s="59"/>
      <c r="I922" s="59"/>
      <c r="J922" s="59"/>
    </row>
    <row r="923" ht="12.75" customHeight="1">
      <c r="A923" s="26"/>
      <c r="B923" s="59"/>
      <c r="C923" s="59"/>
      <c r="D923" s="59"/>
      <c r="E923" s="59"/>
      <c r="F923" s="59"/>
      <c r="H923" s="59"/>
      <c r="I923" s="59"/>
      <c r="J923" s="59"/>
    </row>
    <row r="924" ht="12.75" customHeight="1">
      <c r="A924" s="26"/>
      <c r="B924" s="59"/>
      <c r="C924" s="59"/>
      <c r="D924" s="59"/>
      <c r="E924" s="59"/>
      <c r="F924" s="59"/>
      <c r="H924" s="59"/>
      <c r="I924" s="59"/>
      <c r="J924" s="59"/>
    </row>
    <row r="925" ht="12.75" customHeight="1">
      <c r="A925" s="26"/>
      <c r="B925" s="59"/>
      <c r="C925" s="59"/>
      <c r="D925" s="59"/>
      <c r="E925" s="59"/>
      <c r="F925" s="59"/>
      <c r="H925" s="59"/>
      <c r="I925" s="59"/>
      <c r="J925" s="59"/>
    </row>
    <row r="926" ht="12.75" customHeight="1">
      <c r="A926" s="26"/>
      <c r="B926" s="59"/>
      <c r="C926" s="59"/>
      <c r="D926" s="59"/>
      <c r="E926" s="59"/>
      <c r="F926" s="59"/>
      <c r="H926" s="59"/>
      <c r="I926" s="59"/>
      <c r="J926" s="59"/>
    </row>
    <row r="927" ht="12.75" customHeight="1">
      <c r="A927" s="26"/>
      <c r="B927" s="59"/>
      <c r="C927" s="59"/>
      <c r="D927" s="59"/>
      <c r="E927" s="59"/>
      <c r="F927" s="59"/>
      <c r="H927" s="59"/>
      <c r="I927" s="59"/>
      <c r="J927" s="59"/>
    </row>
    <row r="928" ht="12.75" customHeight="1">
      <c r="A928" s="26"/>
      <c r="B928" s="59"/>
      <c r="C928" s="59"/>
      <c r="D928" s="59"/>
      <c r="E928" s="59"/>
      <c r="F928" s="59"/>
      <c r="H928" s="59"/>
      <c r="I928" s="59"/>
      <c r="J928" s="59"/>
    </row>
    <row r="929" ht="12.75" customHeight="1">
      <c r="A929" s="26"/>
      <c r="B929" s="59"/>
      <c r="C929" s="59"/>
      <c r="D929" s="59"/>
      <c r="E929" s="59"/>
      <c r="F929" s="59"/>
      <c r="H929" s="59"/>
      <c r="I929" s="59"/>
      <c r="J929" s="59"/>
    </row>
    <row r="930" ht="12.75" customHeight="1">
      <c r="A930" s="26"/>
      <c r="B930" s="59"/>
      <c r="C930" s="59"/>
      <c r="D930" s="59"/>
      <c r="E930" s="59"/>
      <c r="F930" s="59"/>
      <c r="H930" s="59"/>
      <c r="I930" s="59"/>
      <c r="J930" s="59"/>
    </row>
    <row r="931" ht="12.75" customHeight="1">
      <c r="A931" s="26"/>
      <c r="B931" s="59"/>
      <c r="C931" s="59"/>
      <c r="D931" s="59"/>
      <c r="E931" s="59"/>
      <c r="F931" s="59"/>
      <c r="H931" s="59"/>
      <c r="I931" s="59"/>
      <c r="J931" s="59"/>
    </row>
    <row r="932" ht="12.75" customHeight="1">
      <c r="A932" s="26"/>
      <c r="B932" s="59"/>
      <c r="C932" s="59"/>
      <c r="D932" s="59"/>
      <c r="E932" s="59"/>
      <c r="F932" s="59"/>
      <c r="H932" s="59"/>
      <c r="I932" s="59"/>
      <c r="J932" s="59"/>
    </row>
    <row r="933" ht="12.75" customHeight="1">
      <c r="A933" s="26"/>
      <c r="B933" s="59"/>
      <c r="C933" s="59"/>
      <c r="D933" s="59"/>
      <c r="E933" s="59"/>
      <c r="F933" s="59"/>
      <c r="H933" s="59"/>
      <c r="I933" s="59"/>
      <c r="J933" s="59"/>
    </row>
    <row r="934" ht="12.75" customHeight="1">
      <c r="A934" s="26"/>
      <c r="B934" s="59"/>
      <c r="C934" s="59"/>
      <c r="D934" s="59"/>
      <c r="E934" s="59"/>
      <c r="F934" s="59"/>
      <c r="H934" s="59"/>
      <c r="I934" s="59"/>
      <c r="J934" s="59"/>
    </row>
    <row r="935" ht="12.75" customHeight="1">
      <c r="A935" s="26"/>
      <c r="B935" s="59"/>
      <c r="C935" s="59"/>
      <c r="D935" s="59"/>
      <c r="E935" s="59"/>
      <c r="F935" s="59"/>
      <c r="H935" s="59"/>
      <c r="I935" s="59"/>
      <c r="J935" s="59"/>
    </row>
    <row r="936" ht="12.75" customHeight="1">
      <c r="A936" s="26"/>
      <c r="B936" s="59"/>
      <c r="C936" s="59"/>
      <c r="D936" s="59"/>
      <c r="E936" s="59"/>
      <c r="F936" s="59"/>
      <c r="H936" s="59"/>
      <c r="I936" s="59"/>
      <c r="J936" s="59"/>
    </row>
    <row r="937" ht="12.75" customHeight="1">
      <c r="A937" s="26"/>
      <c r="B937" s="59"/>
      <c r="C937" s="59"/>
      <c r="D937" s="59"/>
      <c r="E937" s="59"/>
      <c r="F937" s="59"/>
      <c r="H937" s="59"/>
      <c r="I937" s="59"/>
      <c r="J937" s="59"/>
    </row>
    <row r="938" ht="12.75" customHeight="1">
      <c r="A938" s="26"/>
      <c r="B938" s="59"/>
      <c r="C938" s="59"/>
      <c r="D938" s="59"/>
      <c r="E938" s="59"/>
      <c r="F938" s="59"/>
      <c r="H938" s="59"/>
      <c r="I938" s="59"/>
      <c r="J938" s="59"/>
    </row>
    <row r="939" ht="12.75" customHeight="1">
      <c r="A939" s="26"/>
      <c r="B939" s="59"/>
      <c r="C939" s="59"/>
      <c r="D939" s="59"/>
      <c r="E939" s="59"/>
      <c r="F939" s="59"/>
      <c r="H939" s="59"/>
      <c r="I939" s="59"/>
      <c r="J939" s="59"/>
    </row>
    <row r="940" ht="12.75" customHeight="1">
      <c r="A940" s="26"/>
      <c r="B940" s="59"/>
      <c r="C940" s="59"/>
      <c r="D940" s="59"/>
      <c r="E940" s="59"/>
      <c r="F940" s="59"/>
      <c r="H940" s="59"/>
      <c r="I940" s="59"/>
      <c r="J940" s="59"/>
    </row>
    <row r="941" ht="12.75" customHeight="1">
      <c r="A941" s="26"/>
      <c r="B941" s="59"/>
      <c r="C941" s="59"/>
      <c r="D941" s="59"/>
      <c r="E941" s="59"/>
      <c r="F941" s="59"/>
      <c r="H941" s="59"/>
      <c r="I941" s="59"/>
      <c r="J941" s="59"/>
    </row>
    <row r="942" ht="12.75" customHeight="1">
      <c r="A942" s="26"/>
      <c r="B942" s="59"/>
      <c r="C942" s="59"/>
      <c r="D942" s="59"/>
      <c r="E942" s="59"/>
      <c r="F942" s="59"/>
      <c r="H942" s="59"/>
      <c r="I942" s="59"/>
      <c r="J942" s="59"/>
    </row>
    <row r="943" ht="12.75" customHeight="1">
      <c r="A943" s="26"/>
      <c r="B943" s="59"/>
      <c r="C943" s="59"/>
      <c r="D943" s="59"/>
      <c r="E943" s="59"/>
      <c r="F943" s="59"/>
      <c r="H943" s="59"/>
      <c r="I943" s="59"/>
      <c r="J943" s="59"/>
    </row>
    <row r="944" ht="12.75" customHeight="1">
      <c r="A944" s="26"/>
      <c r="B944" s="59"/>
      <c r="C944" s="59"/>
      <c r="D944" s="59"/>
      <c r="E944" s="59"/>
      <c r="F944" s="59"/>
      <c r="H944" s="59"/>
      <c r="I944" s="59"/>
      <c r="J944" s="59"/>
    </row>
    <row r="945" ht="12.75" customHeight="1">
      <c r="A945" s="26"/>
      <c r="B945" s="59"/>
      <c r="C945" s="59"/>
      <c r="D945" s="59"/>
      <c r="E945" s="59"/>
      <c r="F945" s="59"/>
      <c r="H945" s="59"/>
      <c r="I945" s="59"/>
      <c r="J945" s="59"/>
    </row>
    <row r="946" ht="12.75" customHeight="1">
      <c r="A946" s="26"/>
      <c r="B946" s="59"/>
      <c r="C946" s="59"/>
      <c r="D946" s="59"/>
      <c r="E946" s="59"/>
      <c r="F946" s="59"/>
      <c r="H946" s="59"/>
      <c r="I946" s="59"/>
      <c r="J946" s="59"/>
    </row>
    <row r="947" ht="12.75" customHeight="1">
      <c r="A947" s="26"/>
      <c r="B947" s="59"/>
      <c r="C947" s="59"/>
      <c r="D947" s="59"/>
      <c r="E947" s="59"/>
      <c r="F947" s="59"/>
      <c r="H947" s="59"/>
      <c r="I947" s="59"/>
      <c r="J947" s="59"/>
    </row>
    <row r="948" ht="12.75" customHeight="1">
      <c r="A948" s="26"/>
      <c r="B948" s="59"/>
      <c r="C948" s="59"/>
      <c r="D948" s="59"/>
      <c r="E948" s="59"/>
      <c r="F948" s="59"/>
      <c r="H948" s="59"/>
      <c r="I948" s="59"/>
      <c r="J948" s="59"/>
    </row>
    <row r="949" ht="12.75" customHeight="1">
      <c r="A949" s="26"/>
      <c r="B949" s="59"/>
      <c r="C949" s="59"/>
      <c r="D949" s="59"/>
      <c r="E949" s="59"/>
      <c r="F949" s="59"/>
      <c r="H949" s="59"/>
      <c r="I949" s="59"/>
      <c r="J949" s="59"/>
    </row>
    <row r="950" ht="12.75" customHeight="1">
      <c r="A950" s="26"/>
      <c r="B950" s="59"/>
      <c r="C950" s="59"/>
      <c r="D950" s="59"/>
      <c r="E950" s="59"/>
      <c r="F950" s="59"/>
      <c r="H950" s="59"/>
      <c r="I950" s="59"/>
      <c r="J950" s="59"/>
    </row>
    <row r="951" ht="12.75" customHeight="1">
      <c r="A951" s="26"/>
      <c r="B951" s="59"/>
      <c r="C951" s="59"/>
      <c r="D951" s="59"/>
      <c r="E951" s="59"/>
      <c r="F951" s="59"/>
      <c r="H951" s="59"/>
      <c r="I951" s="59"/>
      <c r="J951" s="59"/>
    </row>
    <row r="952" ht="12.75" customHeight="1">
      <c r="A952" s="26"/>
      <c r="B952" s="59"/>
      <c r="C952" s="59"/>
      <c r="D952" s="59"/>
      <c r="E952" s="59"/>
      <c r="F952" s="59"/>
      <c r="H952" s="59"/>
      <c r="I952" s="59"/>
      <c r="J952" s="59"/>
    </row>
    <row r="953" ht="12.75" customHeight="1">
      <c r="A953" s="26"/>
      <c r="B953" s="59"/>
      <c r="C953" s="59"/>
      <c r="D953" s="59"/>
      <c r="E953" s="59"/>
      <c r="F953" s="59"/>
      <c r="H953" s="59"/>
      <c r="I953" s="59"/>
      <c r="J953" s="59"/>
    </row>
    <row r="954" ht="12.75" customHeight="1">
      <c r="A954" s="26"/>
      <c r="B954" s="59"/>
      <c r="C954" s="59"/>
      <c r="D954" s="59"/>
      <c r="E954" s="59"/>
      <c r="F954" s="59"/>
      <c r="H954" s="59"/>
      <c r="I954" s="59"/>
      <c r="J954" s="59"/>
    </row>
    <row r="955" ht="12.75" customHeight="1">
      <c r="A955" s="26"/>
      <c r="B955" s="59"/>
      <c r="C955" s="59"/>
      <c r="D955" s="59"/>
      <c r="E955" s="59"/>
      <c r="F955" s="59"/>
      <c r="H955" s="59"/>
      <c r="I955" s="59"/>
      <c r="J955" s="59"/>
    </row>
    <row r="956" ht="12.75" customHeight="1">
      <c r="A956" s="26"/>
      <c r="B956" s="59"/>
      <c r="C956" s="59"/>
      <c r="D956" s="59"/>
      <c r="E956" s="59"/>
      <c r="F956" s="59"/>
      <c r="H956" s="59"/>
      <c r="I956" s="59"/>
      <c r="J956" s="59"/>
    </row>
    <row r="957" ht="12.75" customHeight="1">
      <c r="A957" s="26"/>
      <c r="B957" s="59"/>
      <c r="C957" s="59"/>
      <c r="D957" s="59"/>
      <c r="E957" s="59"/>
      <c r="F957" s="59"/>
      <c r="H957" s="59"/>
      <c r="I957" s="59"/>
      <c r="J957" s="59"/>
    </row>
    <row r="958" ht="12.75" customHeight="1">
      <c r="A958" s="26"/>
      <c r="B958" s="59"/>
      <c r="C958" s="59"/>
      <c r="D958" s="59"/>
      <c r="E958" s="59"/>
      <c r="F958" s="59"/>
      <c r="H958" s="59"/>
      <c r="I958" s="59"/>
      <c r="J958" s="59"/>
    </row>
    <row r="959" ht="12.75" customHeight="1">
      <c r="A959" s="26"/>
      <c r="B959" s="59"/>
      <c r="C959" s="59"/>
      <c r="D959" s="59"/>
      <c r="E959" s="59"/>
      <c r="F959" s="59"/>
      <c r="H959" s="59"/>
      <c r="I959" s="59"/>
      <c r="J959" s="59"/>
    </row>
    <row r="960" ht="12.75" customHeight="1">
      <c r="A960" s="26"/>
      <c r="B960" s="59"/>
      <c r="C960" s="59"/>
      <c r="D960" s="59"/>
      <c r="E960" s="59"/>
      <c r="F960" s="59"/>
      <c r="H960" s="59"/>
      <c r="I960" s="59"/>
      <c r="J960" s="59"/>
    </row>
    <row r="961" ht="12.75" customHeight="1">
      <c r="A961" s="26"/>
      <c r="B961" s="59"/>
      <c r="C961" s="59"/>
      <c r="D961" s="59"/>
      <c r="E961" s="59"/>
      <c r="F961" s="59"/>
      <c r="H961" s="59"/>
      <c r="I961" s="59"/>
      <c r="J961" s="59"/>
    </row>
    <row r="962" ht="12.75" customHeight="1">
      <c r="A962" s="26"/>
      <c r="B962" s="59"/>
      <c r="C962" s="59"/>
      <c r="D962" s="59"/>
      <c r="E962" s="59"/>
      <c r="F962" s="59"/>
      <c r="H962" s="59"/>
      <c r="I962" s="59"/>
      <c r="J962" s="59"/>
    </row>
    <row r="963" ht="12.75" customHeight="1">
      <c r="A963" s="26"/>
      <c r="B963" s="59"/>
      <c r="C963" s="59"/>
      <c r="D963" s="59"/>
      <c r="E963" s="59"/>
      <c r="F963" s="59"/>
      <c r="H963" s="59"/>
      <c r="I963" s="59"/>
      <c r="J963" s="59"/>
    </row>
    <row r="964" ht="12.75" customHeight="1">
      <c r="A964" s="26"/>
      <c r="B964" s="59"/>
      <c r="C964" s="59"/>
      <c r="D964" s="59"/>
      <c r="E964" s="59"/>
      <c r="F964" s="59"/>
      <c r="H964" s="59"/>
      <c r="I964" s="59"/>
      <c r="J964" s="59"/>
    </row>
    <row r="965" ht="12.75" customHeight="1">
      <c r="A965" s="26"/>
      <c r="B965" s="59"/>
      <c r="C965" s="59"/>
      <c r="D965" s="59"/>
      <c r="E965" s="59"/>
      <c r="F965" s="59"/>
      <c r="H965" s="59"/>
      <c r="I965" s="59"/>
      <c r="J965" s="59"/>
    </row>
    <row r="966" ht="12.75" customHeight="1">
      <c r="A966" s="26"/>
      <c r="B966" s="59"/>
      <c r="C966" s="59"/>
      <c r="D966" s="59"/>
      <c r="E966" s="59"/>
      <c r="F966" s="59"/>
      <c r="H966" s="59"/>
      <c r="I966" s="59"/>
      <c r="J966" s="59"/>
    </row>
    <row r="967" ht="12.75" customHeight="1">
      <c r="A967" s="26"/>
      <c r="B967" s="59"/>
      <c r="C967" s="59"/>
      <c r="D967" s="59"/>
      <c r="E967" s="59"/>
      <c r="F967" s="59"/>
      <c r="H967" s="59"/>
      <c r="I967" s="59"/>
      <c r="J967" s="59"/>
    </row>
    <row r="968" ht="12.75" customHeight="1">
      <c r="A968" s="26"/>
      <c r="B968" s="59"/>
      <c r="C968" s="59"/>
      <c r="D968" s="59"/>
      <c r="E968" s="59"/>
      <c r="F968" s="59"/>
      <c r="H968" s="59"/>
      <c r="I968" s="59"/>
      <c r="J968" s="59"/>
    </row>
    <row r="969" ht="12.75" customHeight="1">
      <c r="A969" s="26"/>
      <c r="B969" s="59"/>
      <c r="C969" s="59"/>
      <c r="D969" s="59"/>
      <c r="E969" s="59"/>
      <c r="F969" s="59"/>
      <c r="H969" s="59"/>
      <c r="I969" s="59"/>
      <c r="J969" s="59"/>
    </row>
    <row r="970" ht="12.75" customHeight="1">
      <c r="A970" s="26"/>
      <c r="B970" s="59"/>
      <c r="C970" s="59"/>
      <c r="D970" s="59"/>
      <c r="E970" s="59"/>
      <c r="F970" s="59"/>
      <c r="H970" s="59"/>
      <c r="I970" s="59"/>
      <c r="J970" s="59"/>
    </row>
    <row r="971" ht="12.75" customHeight="1">
      <c r="A971" s="26"/>
      <c r="B971" s="59"/>
      <c r="C971" s="59"/>
      <c r="D971" s="59"/>
      <c r="E971" s="59"/>
      <c r="F971" s="59"/>
      <c r="H971" s="59"/>
      <c r="I971" s="59"/>
      <c r="J971" s="59"/>
    </row>
    <row r="972" ht="12.75" customHeight="1">
      <c r="A972" s="26"/>
      <c r="B972" s="59"/>
      <c r="C972" s="59"/>
      <c r="D972" s="59"/>
      <c r="E972" s="59"/>
      <c r="F972" s="59"/>
      <c r="H972" s="59"/>
      <c r="I972" s="59"/>
      <c r="J972" s="59"/>
    </row>
    <row r="973" ht="12.75" customHeight="1">
      <c r="A973" s="26"/>
      <c r="B973" s="59"/>
      <c r="C973" s="59"/>
      <c r="D973" s="59"/>
      <c r="E973" s="59"/>
      <c r="F973" s="59"/>
      <c r="H973" s="59"/>
      <c r="I973" s="59"/>
      <c r="J973" s="59"/>
    </row>
    <row r="974" ht="12.75" customHeight="1">
      <c r="A974" s="26"/>
      <c r="B974" s="59"/>
      <c r="C974" s="59"/>
      <c r="D974" s="59"/>
      <c r="E974" s="59"/>
      <c r="F974" s="59"/>
      <c r="H974" s="59"/>
      <c r="I974" s="59"/>
      <c r="J974" s="59"/>
    </row>
    <row r="975" ht="12.75" customHeight="1">
      <c r="A975" s="26"/>
      <c r="B975" s="59"/>
      <c r="C975" s="59"/>
      <c r="D975" s="59"/>
      <c r="E975" s="59"/>
      <c r="F975" s="59"/>
      <c r="H975" s="59"/>
      <c r="I975" s="59"/>
      <c r="J975" s="59"/>
    </row>
    <row r="976" ht="12.75" customHeight="1">
      <c r="A976" s="26"/>
      <c r="B976" s="59"/>
      <c r="C976" s="59"/>
      <c r="D976" s="59"/>
      <c r="E976" s="59"/>
      <c r="F976" s="59"/>
      <c r="H976" s="59"/>
      <c r="I976" s="59"/>
      <c r="J976" s="59"/>
    </row>
    <row r="977" ht="12.75" customHeight="1">
      <c r="A977" s="26"/>
      <c r="B977" s="59"/>
      <c r="C977" s="59"/>
      <c r="D977" s="59"/>
      <c r="E977" s="59"/>
      <c r="F977" s="59"/>
      <c r="H977" s="59"/>
      <c r="I977" s="59"/>
      <c r="J977" s="59"/>
    </row>
    <row r="978" ht="12.75" customHeight="1">
      <c r="A978" s="26"/>
      <c r="B978" s="59"/>
      <c r="C978" s="59"/>
      <c r="D978" s="59"/>
      <c r="E978" s="59"/>
      <c r="F978" s="59"/>
      <c r="H978" s="59"/>
      <c r="I978" s="59"/>
      <c r="J978" s="59"/>
    </row>
    <row r="979" ht="12.75" customHeight="1">
      <c r="A979" s="26"/>
      <c r="B979" s="59"/>
      <c r="C979" s="59"/>
      <c r="D979" s="59"/>
      <c r="E979" s="59"/>
      <c r="F979" s="59"/>
      <c r="H979" s="59"/>
      <c r="I979" s="59"/>
      <c r="J979" s="59"/>
    </row>
    <row r="980" ht="12.75" customHeight="1">
      <c r="A980" s="26"/>
      <c r="B980" s="59"/>
      <c r="C980" s="59"/>
      <c r="D980" s="59"/>
      <c r="E980" s="59"/>
      <c r="F980" s="59"/>
      <c r="H980" s="59"/>
      <c r="I980" s="59"/>
      <c r="J980" s="59"/>
    </row>
    <row r="981" ht="12.75" customHeight="1">
      <c r="A981" s="26"/>
      <c r="B981" s="59"/>
      <c r="C981" s="59"/>
      <c r="D981" s="59"/>
      <c r="E981" s="59"/>
      <c r="F981" s="59"/>
      <c r="H981" s="59"/>
      <c r="I981" s="59"/>
      <c r="J981" s="59"/>
    </row>
    <row r="982" ht="12.75" customHeight="1">
      <c r="A982" s="26"/>
      <c r="B982" s="59"/>
      <c r="C982" s="59"/>
      <c r="D982" s="59"/>
      <c r="E982" s="59"/>
      <c r="F982" s="59"/>
      <c r="H982" s="59"/>
      <c r="I982" s="59"/>
      <c r="J982" s="59"/>
    </row>
    <row r="983" ht="12.75" customHeight="1">
      <c r="A983" s="26"/>
      <c r="B983" s="59"/>
      <c r="C983" s="59"/>
      <c r="D983" s="59"/>
      <c r="E983" s="59"/>
      <c r="F983" s="59"/>
      <c r="H983" s="59"/>
      <c r="I983" s="59"/>
      <c r="J983" s="59"/>
    </row>
    <row r="984" ht="12.75" customHeight="1">
      <c r="A984" s="26"/>
      <c r="B984" s="59"/>
      <c r="C984" s="59"/>
      <c r="D984" s="59"/>
      <c r="E984" s="59"/>
      <c r="F984" s="59"/>
      <c r="H984" s="59"/>
      <c r="I984" s="59"/>
      <c r="J984" s="59"/>
    </row>
    <row r="985" ht="12.75" customHeight="1">
      <c r="A985" s="26"/>
      <c r="B985" s="59"/>
      <c r="C985" s="59"/>
      <c r="D985" s="59"/>
      <c r="E985" s="59"/>
      <c r="F985" s="59"/>
      <c r="H985" s="59"/>
      <c r="I985" s="59"/>
      <c r="J985" s="59"/>
    </row>
    <row r="986" ht="12.75" customHeight="1">
      <c r="A986" s="26"/>
      <c r="B986" s="59"/>
      <c r="C986" s="59"/>
      <c r="D986" s="59"/>
      <c r="E986" s="59"/>
      <c r="F986" s="59"/>
      <c r="H986" s="59"/>
      <c r="I986" s="59"/>
      <c r="J986" s="59"/>
    </row>
    <row r="987" ht="12.75" customHeight="1">
      <c r="A987" s="26"/>
      <c r="B987" s="59"/>
      <c r="C987" s="59"/>
      <c r="D987" s="59"/>
      <c r="E987" s="59"/>
      <c r="F987" s="59"/>
      <c r="H987" s="59"/>
      <c r="I987" s="59"/>
      <c r="J987" s="59"/>
    </row>
    <row r="988" ht="12.75" customHeight="1">
      <c r="A988" s="26"/>
      <c r="B988" s="59"/>
      <c r="C988" s="59"/>
      <c r="D988" s="59"/>
      <c r="E988" s="59"/>
      <c r="F988" s="59"/>
      <c r="H988" s="59"/>
      <c r="I988" s="59"/>
      <c r="J988" s="59"/>
    </row>
    <row r="989" ht="12.75" customHeight="1">
      <c r="A989" s="26"/>
      <c r="B989" s="59"/>
      <c r="C989" s="59"/>
      <c r="D989" s="59"/>
      <c r="E989" s="59"/>
      <c r="F989" s="59"/>
      <c r="H989" s="59"/>
      <c r="I989" s="59"/>
      <c r="J989" s="59"/>
    </row>
    <row r="990" ht="12.75" customHeight="1">
      <c r="A990" s="26"/>
      <c r="B990" s="59"/>
      <c r="C990" s="59"/>
      <c r="D990" s="59"/>
      <c r="E990" s="59"/>
      <c r="F990" s="59"/>
      <c r="H990" s="59"/>
      <c r="I990" s="59"/>
      <c r="J990" s="59"/>
    </row>
    <row r="991" ht="12.75" customHeight="1">
      <c r="A991" s="26"/>
      <c r="B991" s="59"/>
      <c r="C991" s="59"/>
      <c r="D991" s="59"/>
      <c r="E991" s="59"/>
      <c r="F991" s="59"/>
      <c r="H991" s="59"/>
      <c r="I991" s="59"/>
      <c r="J991" s="59"/>
    </row>
    <row r="992" ht="12.75" customHeight="1">
      <c r="A992" s="26"/>
      <c r="B992" s="59"/>
      <c r="C992" s="59"/>
      <c r="D992" s="59"/>
      <c r="E992" s="59"/>
      <c r="F992" s="59"/>
      <c r="H992" s="59"/>
      <c r="I992" s="59"/>
      <c r="J992" s="59"/>
    </row>
    <row r="993" ht="12.75" customHeight="1">
      <c r="A993" s="26"/>
      <c r="B993" s="59"/>
      <c r="C993" s="59"/>
      <c r="D993" s="59"/>
      <c r="E993" s="59"/>
      <c r="F993" s="59"/>
      <c r="H993" s="59"/>
      <c r="I993" s="59"/>
      <c r="J993" s="59"/>
    </row>
    <row r="994" ht="12.75" customHeight="1">
      <c r="A994" s="26"/>
      <c r="B994" s="59"/>
      <c r="C994" s="59"/>
      <c r="D994" s="59"/>
      <c r="E994" s="59"/>
      <c r="F994" s="59"/>
      <c r="H994" s="59"/>
      <c r="I994" s="59"/>
      <c r="J994" s="59"/>
    </row>
    <row r="995" ht="12.75" customHeight="1">
      <c r="A995" s="26"/>
      <c r="B995" s="59"/>
      <c r="C995" s="59"/>
      <c r="D995" s="59"/>
      <c r="E995" s="59"/>
      <c r="F995" s="59"/>
      <c r="H995" s="59"/>
      <c r="I995" s="59"/>
      <c r="J995" s="59"/>
    </row>
    <row r="996" ht="12.75" customHeight="1">
      <c r="A996" s="26"/>
      <c r="B996" s="59"/>
      <c r="C996" s="59"/>
      <c r="D996" s="59"/>
      <c r="E996" s="59"/>
      <c r="F996" s="59"/>
      <c r="H996" s="59"/>
      <c r="I996" s="59"/>
      <c r="J996" s="59"/>
    </row>
    <row r="997" ht="12.75" customHeight="1">
      <c r="A997" s="26"/>
      <c r="B997" s="59"/>
      <c r="C997" s="59"/>
      <c r="D997" s="59"/>
      <c r="E997" s="59"/>
      <c r="F997" s="59"/>
      <c r="H997" s="59"/>
      <c r="I997" s="59"/>
      <c r="J997" s="59"/>
    </row>
    <row r="998" ht="12.75" customHeight="1">
      <c r="A998" s="26"/>
      <c r="B998" s="59"/>
      <c r="C998" s="59"/>
      <c r="D998" s="59"/>
      <c r="E998" s="59"/>
      <c r="F998" s="59"/>
      <c r="H998" s="59"/>
      <c r="I998" s="59"/>
      <c r="J998" s="59"/>
    </row>
    <row r="999" ht="12.75" customHeight="1">
      <c r="A999" s="26"/>
      <c r="B999" s="59"/>
      <c r="C999" s="59"/>
      <c r="D999" s="59"/>
      <c r="E999" s="59"/>
      <c r="F999" s="59"/>
      <c r="H999" s="59"/>
      <c r="I999" s="59"/>
      <c r="J999" s="59"/>
    </row>
    <row r="1000" ht="12.75" customHeight="1">
      <c r="A1000" s="26"/>
      <c r="B1000" s="59"/>
      <c r="C1000" s="59"/>
      <c r="D1000" s="59"/>
      <c r="E1000" s="59"/>
      <c r="F1000" s="59"/>
      <c r="H1000" s="59"/>
      <c r="I1000" s="59"/>
      <c r="J1000" s="59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0.63"/>
    <col customWidth="1" min="3" max="3" width="13.75"/>
    <col customWidth="1" min="4" max="4" width="11.38"/>
    <col customWidth="1" min="5" max="26" width="10.63"/>
  </cols>
  <sheetData>
    <row r="1" ht="12.75" customHeight="1">
      <c r="A1" s="41">
        <v>8.0</v>
      </c>
      <c r="B1" s="59">
        <f t="shared" ref="B1:B30" si="1">D1-C1</f>
        <v>48487</v>
      </c>
      <c r="C1" s="59">
        <f>399+3513+1437+1948+303+232+327+1054</f>
        <v>9213</v>
      </c>
      <c r="D1" s="59">
        <f>2500+22000+9000+12200+1900+1450+2050+6600</f>
        <v>57700</v>
      </c>
      <c r="E1" s="59">
        <f t="shared" ref="E1:E30" si="2">D1*2.3681%</f>
        <v>1366.3937</v>
      </c>
      <c r="F1" s="59">
        <f t="shared" ref="F1:F30" si="3">D1-E1</f>
        <v>56333.6063</v>
      </c>
      <c r="G1" s="37" t="s">
        <v>3294</v>
      </c>
    </row>
    <row r="2" ht="12.75" customHeight="1">
      <c r="A2" s="41">
        <v>10.0</v>
      </c>
      <c r="B2" s="59">
        <f t="shared" si="1"/>
        <v>79579</v>
      </c>
      <c r="C2" s="59">
        <f>559+455+798+503+1437+5588+104+639+3992+1046</f>
        <v>15121</v>
      </c>
      <c r="D2" s="59">
        <f>3500+2850+5000+3150+9000+35000+650+4000+25000+6550</f>
        <v>94700</v>
      </c>
      <c r="E2" s="59">
        <f t="shared" si="2"/>
        <v>2242.5907</v>
      </c>
      <c r="F2" s="59">
        <f t="shared" si="3"/>
        <v>92457.4093</v>
      </c>
      <c r="G2" s="37" t="s">
        <v>3294</v>
      </c>
    </row>
    <row r="3" ht="12.75" customHeight="1">
      <c r="A3" s="41">
        <v>1.0</v>
      </c>
      <c r="B3" s="59">
        <f t="shared" si="1"/>
        <v>2521</v>
      </c>
      <c r="C3" s="59">
        <v>479.0</v>
      </c>
      <c r="D3" s="59">
        <v>3000.0</v>
      </c>
      <c r="E3" s="59">
        <f t="shared" si="2"/>
        <v>71.043</v>
      </c>
      <c r="F3" s="59">
        <f t="shared" si="3"/>
        <v>2928.957</v>
      </c>
      <c r="G3" s="37" t="s">
        <v>3295</v>
      </c>
    </row>
    <row r="4" ht="12.75" customHeight="1">
      <c r="A4" s="41">
        <v>4.0</v>
      </c>
      <c r="B4" s="59">
        <f t="shared" si="1"/>
        <v>17520</v>
      </c>
      <c r="C4" s="59">
        <f>1014+591+1134+591</f>
        <v>3330</v>
      </c>
      <c r="D4" s="59">
        <f>6350+3700+7100+3700</f>
        <v>20850</v>
      </c>
      <c r="E4" s="59">
        <f t="shared" si="2"/>
        <v>493.74885</v>
      </c>
      <c r="F4" s="59">
        <f t="shared" si="3"/>
        <v>20356.25115</v>
      </c>
      <c r="G4" s="37" t="s">
        <v>3296</v>
      </c>
    </row>
    <row r="5" ht="12.75" customHeight="1">
      <c r="A5" s="41">
        <v>5.0</v>
      </c>
      <c r="B5" s="59">
        <f t="shared" si="1"/>
        <v>25672</v>
      </c>
      <c r="C5" s="59">
        <f>431+319+950+3082+96</f>
        <v>4878</v>
      </c>
      <c r="D5" s="59">
        <f>2700+2000+5950+19300+600</f>
        <v>30550</v>
      </c>
      <c r="E5" s="59">
        <f t="shared" si="2"/>
        <v>723.45455</v>
      </c>
      <c r="F5" s="59">
        <f t="shared" si="3"/>
        <v>29826.54545</v>
      </c>
      <c r="G5" s="37" t="s">
        <v>3297</v>
      </c>
    </row>
    <row r="6" ht="12.75" customHeight="1">
      <c r="A6" s="41">
        <v>0.0</v>
      </c>
      <c r="B6" s="59">
        <f t="shared" si="1"/>
        <v>0</v>
      </c>
      <c r="C6" s="59">
        <v>0.0</v>
      </c>
      <c r="D6" s="59">
        <v>0.0</v>
      </c>
      <c r="E6" s="59">
        <f t="shared" si="2"/>
        <v>0</v>
      </c>
      <c r="F6" s="59">
        <f t="shared" si="3"/>
        <v>0</v>
      </c>
    </row>
    <row r="7" ht="12.75" customHeight="1">
      <c r="A7" s="41">
        <v>6.0</v>
      </c>
      <c r="B7" s="59">
        <f t="shared" si="1"/>
        <v>18740</v>
      </c>
      <c r="C7" s="59">
        <f>383+527+511+479+798+862</f>
        <v>3560</v>
      </c>
      <c r="D7" s="59">
        <f>2400+3300+3200+3000+5000+5400</f>
        <v>22300</v>
      </c>
      <c r="E7" s="59">
        <f t="shared" si="2"/>
        <v>528.0863</v>
      </c>
      <c r="F7" s="59">
        <f t="shared" si="3"/>
        <v>21771.9137</v>
      </c>
    </row>
    <row r="8" ht="12.75" customHeight="1">
      <c r="A8" s="41">
        <v>4.0</v>
      </c>
      <c r="B8" s="59">
        <f t="shared" si="1"/>
        <v>22604</v>
      </c>
      <c r="C8" s="59">
        <f>224+415+1134+2523</f>
        <v>4296</v>
      </c>
      <c r="D8" s="59">
        <f>1400+2600+7100+15800</f>
        <v>26900</v>
      </c>
      <c r="E8" s="59">
        <f t="shared" si="2"/>
        <v>637.0189</v>
      </c>
      <c r="F8" s="59">
        <f t="shared" si="3"/>
        <v>26262.9811</v>
      </c>
      <c r="G8" s="41" t="s">
        <v>3298</v>
      </c>
    </row>
    <row r="9" ht="12.75" customHeight="1">
      <c r="A9" s="41">
        <v>6.0</v>
      </c>
      <c r="B9" s="59">
        <f t="shared" si="1"/>
        <v>16639</v>
      </c>
      <c r="C9" s="59">
        <f>439+726+1197+128+511+160</f>
        <v>3161</v>
      </c>
      <c r="D9" s="59">
        <f>2750+4550+7500+800+3200+1000</f>
        <v>19800</v>
      </c>
      <c r="E9" s="59">
        <f t="shared" si="2"/>
        <v>468.8838</v>
      </c>
      <c r="F9" s="59">
        <f t="shared" si="3"/>
        <v>19331.1162</v>
      </c>
      <c r="G9" s="41" t="s">
        <v>3299</v>
      </c>
    </row>
    <row r="10" ht="12.75" customHeight="1">
      <c r="A10" s="41">
        <v>5.0</v>
      </c>
      <c r="B10" s="59">
        <f t="shared" si="1"/>
        <v>8446</v>
      </c>
      <c r="C10" s="59">
        <f>319+367+391+208+319</f>
        <v>1604</v>
      </c>
      <c r="D10" s="59">
        <f>2000+2300+2450+1300+2000</f>
        <v>10050</v>
      </c>
      <c r="E10" s="59">
        <f t="shared" si="2"/>
        <v>237.99405</v>
      </c>
      <c r="F10" s="59">
        <f t="shared" si="3"/>
        <v>9812.00595</v>
      </c>
      <c r="G10" s="41" t="s">
        <v>3300</v>
      </c>
    </row>
    <row r="11" ht="12.75" customHeight="1">
      <c r="A11" s="41">
        <v>4.0</v>
      </c>
      <c r="B11" s="59">
        <f t="shared" si="1"/>
        <v>15294</v>
      </c>
      <c r="C11" s="59">
        <f>303+958+479+1166</f>
        <v>2906</v>
      </c>
      <c r="D11" s="59">
        <f>1900+6000+3000+7300</f>
        <v>18200</v>
      </c>
      <c r="E11" s="59">
        <f t="shared" si="2"/>
        <v>430.9942</v>
      </c>
      <c r="F11" s="59">
        <f t="shared" si="3"/>
        <v>17769.0058</v>
      </c>
      <c r="G11" s="41" t="s">
        <v>3301</v>
      </c>
    </row>
    <row r="12" ht="12.75" customHeight="1">
      <c r="A12" s="41">
        <v>2.0</v>
      </c>
      <c r="B12" s="59">
        <f t="shared" si="1"/>
        <v>16387</v>
      </c>
      <c r="C12" s="59">
        <f>1197+1916</f>
        <v>3113</v>
      </c>
      <c r="D12" s="59">
        <f>7500+12000</f>
        <v>19500</v>
      </c>
      <c r="E12" s="59">
        <f t="shared" si="2"/>
        <v>461.7795</v>
      </c>
      <c r="F12" s="59">
        <f t="shared" si="3"/>
        <v>19038.2205</v>
      </c>
      <c r="G12" s="41" t="s">
        <v>3302</v>
      </c>
    </row>
    <row r="13" ht="12.75" customHeight="1">
      <c r="A13" s="41">
        <v>2.0</v>
      </c>
      <c r="B13" s="59">
        <f t="shared" si="1"/>
        <v>55042</v>
      </c>
      <c r="C13" s="59">
        <f>9580+878</f>
        <v>10458</v>
      </c>
      <c r="D13" s="59">
        <f>60000+5500</f>
        <v>65500</v>
      </c>
      <c r="E13" s="59">
        <f t="shared" si="2"/>
        <v>1551.1055</v>
      </c>
      <c r="F13" s="59">
        <f t="shared" si="3"/>
        <v>63948.8945</v>
      </c>
    </row>
    <row r="14" ht="12.75" customHeight="1">
      <c r="A14" s="41">
        <v>11.0</v>
      </c>
      <c r="B14" s="59">
        <f t="shared" si="1"/>
        <v>47397</v>
      </c>
      <c r="C14" s="59">
        <f>647+399+2467+910+255+343+718+958+758+351+1197</f>
        <v>9003</v>
      </c>
      <c r="D14" s="59">
        <f>4050+2500+15450+5700+1600+2150+4500+6000+4750+2200+7500</f>
        <v>56400</v>
      </c>
      <c r="E14" s="59">
        <f t="shared" si="2"/>
        <v>1335.6084</v>
      </c>
      <c r="F14" s="59">
        <f t="shared" si="3"/>
        <v>55064.3916</v>
      </c>
    </row>
    <row r="15" ht="12.75" customHeight="1">
      <c r="A15" s="41">
        <v>2.0</v>
      </c>
      <c r="B15" s="59">
        <f t="shared" si="1"/>
        <v>14537</v>
      </c>
      <c r="C15" s="59">
        <f>639+2124</f>
        <v>2763</v>
      </c>
      <c r="D15" s="59">
        <f>4000+13300</f>
        <v>17300</v>
      </c>
      <c r="E15" s="59">
        <f t="shared" si="2"/>
        <v>409.6813</v>
      </c>
      <c r="F15" s="59">
        <f t="shared" si="3"/>
        <v>16890.3187</v>
      </c>
      <c r="G15" s="41" t="s">
        <v>3303</v>
      </c>
    </row>
    <row r="16" ht="12.75" customHeight="1">
      <c r="A16" s="41">
        <v>6.0</v>
      </c>
      <c r="B16" s="59">
        <f t="shared" si="1"/>
        <v>48865</v>
      </c>
      <c r="C16" s="59">
        <f>559+1597+5269+750+679+431</f>
        <v>9285</v>
      </c>
      <c r="D16" s="59">
        <f>3500+10000+33000+4700+4250+2700</f>
        <v>58150</v>
      </c>
      <c r="E16" s="59">
        <f t="shared" si="2"/>
        <v>1377.05015</v>
      </c>
      <c r="F16" s="59">
        <f t="shared" si="3"/>
        <v>56772.94985</v>
      </c>
      <c r="G16" s="41" t="s">
        <v>3304</v>
      </c>
    </row>
    <row r="17" ht="12.75" customHeight="1">
      <c r="A17" s="41">
        <v>4.0</v>
      </c>
      <c r="B17" s="59">
        <f t="shared" si="1"/>
        <v>24580</v>
      </c>
      <c r="C17" s="59">
        <f>1277+2371+319+703</f>
        <v>4670</v>
      </c>
      <c r="D17" s="59">
        <f>8000+14850+2000+4400</f>
        <v>29250</v>
      </c>
      <c r="E17" s="59">
        <f t="shared" si="2"/>
        <v>692.66925</v>
      </c>
      <c r="F17" s="59">
        <f t="shared" si="3"/>
        <v>28557.33075</v>
      </c>
    </row>
    <row r="18" ht="12.75" customHeight="1">
      <c r="A18" s="41">
        <v>0.0</v>
      </c>
      <c r="B18" s="59">
        <f t="shared" si="1"/>
        <v>0</v>
      </c>
      <c r="C18" s="59">
        <v>0.0</v>
      </c>
      <c r="D18" s="59">
        <v>0.0</v>
      </c>
      <c r="E18" s="59">
        <f t="shared" si="2"/>
        <v>0</v>
      </c>
      <c r="F18" s="59">
        <f t="shared" si="3"/>
        <v>0</v>
      </c>
    </row>
    <row r="19" ht="12.75" customHeight="1">
      <c r="A19" s="41">
        <v>0.0</v>
      </c>
      <c r="B19" s="59">
        <f t="shared" si="1"/>
        <v>0</v>
      </c>
      <c r="C19" s="59">
        <v>0.0</v>
      </c>
      <c r="D19" s="59">
        <v>0.0</v>
      </c>
      <c r="E19" s="59">
        <f t="shared" si="2"/>
        <v>0</v>
      </c>
      <c r="F19" s="59">
        <f t="shared" si="3"/>
        <v>0</v>
      </c>
    </row>
    <row r="20" ht="12.75" customHeight="1">
      <c r="A20" s="41">
        <v>5.0</v>
      </c>
      <c r="B20" s="59">
        <f t="shared" si="1"/>
        <v>24117</v>
      </c>
      <c r="C20" s="59">
        <f>3018+615+216+255+479</f>
        <v>4583</v>
      </c>
      <c r="D20" s="59">
        <f>18900+3850+1350+1600+3000</f>
        <v>28700</v>
      </c>
      <c r="E20" s="59">
        <f t="shared" si="2"/>
        <v>679.6447</v>
      </c>
      <c r="F20" s="59">
        <f t="shared" si="3"/>
        <v>28020.3553</v>
      </c>
    </row>
    <row r="21" ht="12.75" customHeight="1">
      <c r="A21" s="41">
        <v>5.0</v>
      </c>
      <c r="B21" s="59">
        <f t="shared" si="1"/>
        <v>18950</v>
      </c>
      <c r="C21" s="59">
        <f>798+479+319+1014+990</f>
        <v>3600</v>
      </c>
      <c r="D21" s="59">
        <f>5000+3000+2000+6350+6200</f>
        <v>22550</v>
      </c>
      <c r="E21" s="59">
        <f t="shared" si="2"/>
        <v>534.00655</v>
      </c>
      <c r="F21" s="59">
        <f t="shared" si="3"/>
        <v>22015.99345</v>
      </c>
    </row>
    <row r="22" ht="12.75" customHeight="1">
      <c r="A22" s="41">
        <v>7.0</v>
      </c>
      <c r="B22" s="59">
        <f t="shared" si="1"/>
        <v>9412</v>
      </c>
      <c r="C22" s="59">
        <f>239+168+176+479+255+232+239</f>
        <v>1788</v>
      </c>
      <c r="D22" s="59">
        <f>1500+1050+1100+3000+1600+1450+1500</f>
        <v>11200</v>
      </c>
      <c r="E22" s="59">
        <f t="shared" si="2"/>
        <v>265.2272</v>
      </c>
      <c r="F22" s="59">
        <f t="shared" si="3"/>
        <v>10934.7728</v>
      </c>
      <c r="G22" s="41" t="s">
        <v>3305</v>
      </c>
    </row>
    <row r="23" ht="12.75" customHeight="1">
      <c r="A23" s="41">
        <v>4.0</v>
      </c>
      <c r="B23" s="59">
        <f t="shared" si="1"/>
        <v>30126</v>
      </c>
      <c r="C23" s="59">
        <f>1325+1916+1469+1014</f>
        <v>5724</v>
      </c>
      <c r="D23" s="59">
        <f>8300+12000+9200+6350</f>
        <v>35850</v>
      </c>
      <c r="E23" s="59">
        <f t="shared" si="2"/>
        <v>848.96385</v>
      </c>
      <c r="F23" s="59">
        <f t="shared" si="3"/>
        <v>35001.03615</v>
      </c>
      <c r="G23" s="41" t="s">
        <v>3306</v>
      </c>
    </row>
    <row r="24" ht="12.75" customHeight="1">
      <c r="A24" s="41">
        <v>6.0</v>
      </c>
      <c r="B24" s="59">
        <f t="shared" si="1"/>
        <v>15504</v>
      </c>
      <c r="C24" s="59">
        <f>479+862+607+88+160+750</f>
        <v>2946</v>
      </c>
      <c r="D24" s="59">
        <f>3000+5400+3800+550+1000+4700</f>
        <v>18450</v>
      </c>
      <c r="E24" s="59">
        <f t="shared" si="2"/>
        <v>436.91445</v>
      </c>
      <c r="F24" s="59">
        <f t="shared" si="3"/>
        <v>18013.08555</v>
      </c>
      <c r="G24" s="41" t="s">
        <v>3307</v>
      </c>
    </row>
    <row r="25" ht="12.75" customHeight="1">
      <c r="A25" s="41">
        <v>0.0</v>
      </c>
      <c r="B25" s="59">
        <f t="shared" si="1"/>
        <v>0</v>
      </c>
      <c r="C25" s="59">
        <v>0.0</v>
      </c>
      <c r="D25" s="59">
        <v>0.0</v>
      </c>
      <c r="E25" s="59">
        <f t="shared" si="2"/>
        <v>0</v>
      </c>
      <c r="F25" s="59">
        <f t="shared" si="3"/>
        <v>0</v>
      </c>
    </row>
    <row r="26" ht="12.75" customHeight="1">
      <c r="A26" s="41">
        <v>5.0</v>
      </c>
      <c r="B26" s="59">
        <f t="shared" si="1"/>
        <v>18865</v>
      </c>
      <c r="C26" s="59">
        <f>1174+942+319+192+958</f>
        <v>3585</v>
      </c>
      <c r="D26" s="59">
        <f>7350+5900+2000+1200+6000</f>
        <v>22450</v>
      </c>
      <c r="E26" s="59">
        <f t="shared" si="2"/>
        <v>531.63845</v>
      </c>
      <c r="F26" s="59">
        <f t="shared" si="3"/>
        <v>21918.36155</v>
      </c>
      <c r="G26" s="41" t="s">
        <v>3308</v>
      </c>
    </row>
    <row r="27" ht="12.75" customHeight="1">
      <c r="A27" s="41">
        <v>2.0</v>
      </c>
      <c r="B27" s="59">
        <f t="shared" si="1"/>
        <v>3530</v>
      </c>
      <c r="C27" s="59">
        <f>431+239</f>
        <v>670</v>
      </c>
      <c r="D27" s="59">
        <f>2700+1500</f>
        <v>4200</v>
      </c>
      <c r="E27" s="59">
        <f t="shared" si="2"/>
        <v>99.4602</v>
      </c>
      <c r="F27" s="59">
        <f t="shared" si="3"/>
        <v>4100.5398</v>
      </c>
    </row>
    <row r="28" ht="12.75" customHeight="1">
      <c r="A28" s="41">
        <v>10.0</v>
      </c>
      <c r="B28" s="59">
        <f t="shared" si="1"/>
        <v>43865</v>
      </c>
      <c r="C28" s="59">
        <f>160+734+351+128+846+918+703+2475+1118+902</f>
        <v>8335</v>
      </c>
      <c r="D28" s="59">
        <f>1000+4600+2200+800+5300+5750+4400+15500+7000+5650</f>
        <v>52200</v>
      </c>
      <c r="E28" s="59">
        <f t="shared" si="2"/>
        <v>1236.1482</v>
      </c>
      <c r="F28" s="59">
        <f t="shared" si="3"/>
        <v>50963.8518</v>
      </c>
    </row>
    <row r="29" ht="12.75" customHeight="1">
      <c r="A29" s="41">
        <v>3.0</v>
      </c>
      <c r="B29" s="59">
        <f t="shared" si="1"/>
        <v>16429</v>
      </c>
      <c r="C29" s="59">
        <f>1437+271+1413</f>
        <v>3121</v>
      </c>
      <c r="D29" s="59">
        <f>9000+1700+8850</f>
        <v>19550</v>
      </c>
      <c r="E29" s="59">
        <f t="shared" si="2"/>
        <v>462.96355</v>
      </c>
      <c r="F29" s="59">
        <f t="shared" si="3"/>
        <v>19087.03645</v>
      </c>
      <c r="G29" s="41" t="s">
        <v>3309</v>
      </c>
    </row>
    <row r="30" ht="12.75" customHeight="1">
      <c r="A30" s="41">
        <v>8.0</v>
      </c>
      <c r="B30" s="59">
        <f t="shared" si="1"/>
        <v>46134</v>
      </c>
      <c r="C30" s="59">
        <f>1373+583+351+1142+208+3353+854+902</f>
        <v>8766</v>
      </c>
      <c r="D30" s="59">
        <f>8600+3650+2200+7150+1300+21000+5350+5650</f>
        <v>54900</v>
      </c>
      <c r="E30" s="59">
        <f t="shared" si="2"/>
        <v>1300.0869</v>
      </c>
      <c r="F30" s="59">
        <f t="shared" si="3"/>
        <v>53599.9131</v>
      </c>
      <c r="G30" s="41" t="s">
        <v>3310</v>
      </c>
    </row>
    <row r="31" ht="12.75" customHeight="1">
      <c r="A31" s="65">
        <f t="shared" ref="A31:F31" si="4">SUM(A1:A30)</f>
        <v>135</v>
      </c>
      <c r="B31" s="66">
        <f t="shared" si="4"/>
        <v>689242</v>
      </c>
      <c r="C31" s="66">
        <f t="shared" si="4"/>
        <v>130958</v>
      </c>
      <c r="D31" s="66">
        <f t="shared" si="4"/>
        <v>820200</v>
      </c>
      <c r="E31" s="67">
        <f t="shared" si="4"/>
        <v>19423.1562</v>
      </c>
      <c r="F31" s="67">
        <f t="shared" si="4"/>
        <v>800776.8438</v>
      </c>
    </row>
    <row r="32" ht="12.75" customHeight="1">
      <c r="A32" s="41">
        <v>12.0</v>
      </c>
      <c r="B32" s="79">
        <v>16390.0</v>
      </c>
      <c r="C32" s="59">
        <v>3.0</v>
      </c>
      <c r="D32" s="59"/>
    </row>
    <row r="33" ht="12.75" customHeight="1">
      <c r="B33" s="79">
        <v>689245.0</v>
      </c>
      <c r="C33" s="59">
        <v>130955.0</v>
      </c>
      <c r="D33" s="59"/>
    </row>
    <row r="34" ht="12.75" customHeight="1">
      <c r="C34" s="78" t="s">
        <v>3218</v>
      </c>
      <c r="D34" s="78">
        <f>D31*2.3681%</f>
        <v>19423.1562</v>
      </c>
    </row>
    <row r="35" ht="12.75" customHeight="1">
      <c r="C35" s="59"/>
      <c r="D35" s="59"/>
    </row>
    <row r="36" ht="12.75" customHeight="1">
      <c r="C36" s="59"/>
      <c r="D36" s="59"/>
    </row>
    <row r="37" ht="12.75" customHeight="1">
      <c r="C37" s="59"/>
      <c r="D37" s="59"/>
    </row>
    <row r="38" ht="12.75" customHeight="1">
      <c r="C38" s="59"/>
      <c r="D38" s="59"/>
    </row>
    <row r="39" ht="12.75" customHeight="1">
      <c r="C39" s="59"/>
      <c r="D39" s="59"/>
    </row>
    <row r="40" ht="12.75" customHeight="1">
      <c r="C40" s="59"/>
      <c r="D40" s="59"/>
    </row>
    <row r="41" ht="12.75" customHeight="1">
      <c r="C41" s="59"/>
      <c r="D41" s="59"/>
    </row>
    <row r="42" ht="12.75" customHeight="1">
      <c r="C42" s="59"/>
      <c r="D42" s="59"/>
    </row>
    <row r="43" ht="12.75" customHeight="1">
      <c r="C43" s="59"/>
      <c r="D43" s="59"/>
    </row>
    <row r="44" ht="12.75" customHeight="1">
      <c r="C44" s="59"/>
      <c r="D44" s="59"/>
    </row>
    <row r="45" ht="12.75" customHeight="1">
      <c r="C45" s="59"/>
      <c r="D45" s="59"/>
    </row>
    <row r="46" ht="12.75" customHeight="1">
      <c r="C46" s="59"/>
      <c r="D46" s="59"/>
    </row>
    <row r="47" ht="12.75" customHeight="1">
      <c r="C47" s="59"/>
      <c r="D47" s="59"/>
    </row>
    <row r="48" ht="12.75" customHeight="1">
      <c r="C48" s="59"/>
      <c r="D48" s="59"/>
    </row>
    <row r="49" ht="12.75" customHeight="1">
      <c r="C49" s="59"/>
      <c r="D49" s="59"/>
    </row>
    <row r="50" ht="12.75" customHeight="1">
      <c r="C50" s="59"/>
      <c r="D50" s="59"/>
    </row>
    <row r="51" ht="12.75" customHeight="1">
      <c r="C51" s="59"/>
      <c r="D51" s="59"/>
    </row>
    <row r="52" ht="12.75" customHeight="1">
      <c r="C52" s="59"/>
      <c r="D52" s="59"/>
    </row>
    <row r="53" ht="12.75" customHeight="1">
      <c r="C53" s="59"/>
      <c r="D53" s="59"/>
    </row>
    <row r="54" ht="12.75" customHeight="1">
      <c r="C54" s="59"/>
      <c r="D54" s="59"/>
    </row>
    <row r="55" ht="12.75" customHeight="1">
      <c r="C55" s="59"/>
      <c r="D55" s="59"/>
    </row>
    <row r="56" ht="12.75" customHeight="1">
      <c r="C56" s="59"/>
      <c r="D56" s="59"/>
    </row>
    <row r="57" ht="12.75" customHeight="1">
      <c r="C57" s="59"/>
      <c r="D57" s="59"/>
    </row>
    <row r="58" ht="12.75" customHeight="1">
      <c r="C58" s="59"/>
      <c r="D58" s="59"/>
    </row>
    <row r="59" ht="12.75" customHeight="1">
      <c r="C59" s="59"/>
      <c r="D59" s="59"/>
    </row>
    <row r="60" ht="12.75" customHeight="1">
      <c r="C60" s="59"/>
      <c r="D60" s="59"/>
    </row>
    <row r="61" ht="12.75" customHeight="1">
      <c r="C61" s="59"/>
      <c r="D61" s="59"/>
    </row>
    <row r="62" ht="12.75" customHeight="1">
      <c r="C62" s="59"/>
      <c r="D62" s="59"/>
    </row>
    <row r="63" ht="12.75" customHeight="1">
      <c r="C63" s="59"/>
      <c r="D63" s="59"/>
    </row>
    <row r="64" ht="12.75" customHeight="1">
      <c r="C64" s="59"/>
      <c r="D64" s="59"/>
    </row>
    <row r="65" ht="12.75" customHeight="1">
      <c r="C65" s="59"/>
      <c r="D65" s="59"/>
    </row>
    <row r="66" ht="12.75" customHeight="1">
      <c r="C66" s="59"/>
      <c r="D66" s="59"/>
    </row>
    <row r="67" ht="12.75" customHeight="1">
      <c r="C67" s="59"/>
      <c r="D67" s="59"/>
    </row>
    <row r="68" ht="12.75" customHeight="1">
      <c r="C68" s="59"/>
      <c r="D68" s="59"/>
    </row>
    <row r="69" ht="12.75" customHeight="1">
      <c r="C69" s="59"/>
      <c r="D69" s="59"/>
    </row>
    <row r="70" ht="12.75" customHeight="1">
      <c r="C70" s="59"/>
      <c r="D70" s="59"/>
    </row>
    <row r="71" ht="12.75" customHeight="1">
      <c r="C71" s="59"/>
      <c r="D71" s="59"/>
    </row>
    <row r="72" ht="12.75" customHeight="1">
      <c r="C72" s="59"/>
      <c r="D72" s="59"/>
    </row>
    <row r="73" ht="12.75" customHeight="1">
      <c r="C73" s="59"/>
      <c r="D73" s="59"/>
    </row>
    <row r="74" ht="12.75" customHeight="1">
      <c r="C74" s="59"/>
      <c r="D74" s="59"/>
    </row>
    <row r="75" ht="12.75" customHeight="1">
      <c r="C75" s="59"/>
      <c r="D75" s="59"/>
    </row>
    <row r="76" ht="12.75" customHeight="1">
      <c r="C76" s="59"/>
      <c r="D76" s="59"/>
    </row>
    <row r="77" ht="12.75" customHeight="1">
      <c r="C77" s="59"/>
      <c r="D77" s="59"/>
    </row>
    <row r="78" ht="12.75" customHeight="1">
      <c r="C78" s="59"/>
      <c r="D78" s="59"/>
    </row>
    <row r="79" ht="12.75" customHeight="1">
      <c r="C79" s="59"/>
      <c r="D79" s="59"/>
    </row>
    <row r="80" ht="12.75" customHeight="1">
      <c r="C80" s="59"/>
      <c r="D80" s="59"/>
    </row>
    <row r="81" ht="12.75" customHeight="1">
      <c r="C81" s="59"/>
      <c r="D81" s="59"/>
    </row>
    <row r="82" ht="12.75" customHeight="1">
      <c r="C82" s="59"/>
      <c r="D82" s="59"/>
    </row>
    <row r="83" ht="12.75" customHeight="1">
      <c r="C83" s="59"/>
      <c r="D83" s="59"/>
    </row>
    <row r="84" ht="12.75" customHeight="1">
      <c r="C84" s="59"/>
      <c r="D84" s="59"/>
    </row>
    <row r="85" ht="12.75" customHeight="1">
      <c r="C85" s="59"/>
      <c r="D85" s="59"/>
    </row>
    <row r="86" ht="12.75" customHeight="1">
      <c r="C86" s="59"/>
      <c r="D86" s="59"/>
    </row>
    <row r="87" ht="12.75" customHeight="1">
      <c r="C87" s="59"/>
      <c r="D87" s="59"/>
    </row>
    <row r="88" ht="12.75" customHeight="1">
      <c r="C88" s="59"/>
      <c r="D88" s="59"/>
    </row>
    <row r="89" ht="12.75" customHeight="1">
      <c r="C89" s="59"/>
      <c r="D89" s="59"/>
    </row>
    <row r="90" ht="12.75" customHeight="1">
      <c r="C90" s="59"/>
      <c r="D90" s="59"/>
    </row>
    <row r="91" ht="12.75" customHeight="1">
      <c r="C91" s="59"/>
      <c r="D91" s="59"/>
    </row>
    <row r="92" ht="12.75" customHeight="1">
      <c r="C92" s="59"/>
      <c r="D92" s="59"/>
    </row>
    <row r="93" ht="12.75" customHeight="1">
      <c r="C93" s="59"/>
      <c r="D93" s="59"/>
    </row>
    <row r="94" ht="12.75" customHeight="1">
      <c r="C94" s="59"/>
      <c r="D94" s="59"/>
    </row>
    <row r="95" ht="12.75" customHeight="1">
      <c r="C95" s="59"/>
      <c r="D95" s="59"/>
    </row>
    <row r="96" ht="12.75" customHeight="1">
      <c r="C96" s="59"/>
      <c r="D96" s="59"/>
    </row>
    <row r="97" ht="12.75" customHeight="1">
      <c r="C97" s="59"/>
      <c r="D97" s="59"/>
    </row>
    <row r="98" ht="12.75" customHeight="1">
      <c r="C98" s="59"/>
      <c r="D98" s="59"/>
    </row>
    <row r="99" ht="12.75" customHeight="1">
      <c r="C99" s="59"/>
      <c r="D99" s="59"/>
    </row>
    <row r="100" ht="12.75" customHeight="1">
      <c r="C100" s="59"/>
      <c r="D100" s="59"/>
    </row>
    <row r="101" ht="12.75" customHeight="1">
      <c r="C101" s="59"/>
      <c r="D101" s="59"/>
    </row>
    <row r="102" ht="12.75" customHeight="1">
      <c r="C102" s="59"/>
      <c r="D102" s="59"/>
    </row>
    <row r="103" ht="12.75" customHeight="1">
      <c r="C103" s="59"/>
      <c r="D103" s="59"/>
    </row>
    <row r="104" ht="12.75" customHeight="1">
      <c r="C104" s="59"/>
      <c r="D104" s="59"/>
    </row>
    <row r="105" ht="12.75" customHeight="1">
      <c r="C105" s="59"/>
      <c r="D105" s="59"/>
    </row>
    <row r="106" ht="12.75" customHeight="1">
      <c r="C106" s="59"/>
      <c r="D106" s="59"/>
    </row>
    <row r="107" ht="12.75" customHeight="1">
      <c r="C107" s="59"/>
      <c r="D107" s="59"/>
    </row>
    <row r="108" ht="12.75" customHeight="1">
      <c r="C108" s="59"/>
      <c r="D108" s="59"/>
    </row>
    <row r="109" ht="12.75" customHeight="1">
      <c r="C109" s="59"/>
      <c r="D109" s="59"/>
    </row>
    <row r="110" ht="12.75" customHeight="1">
      <c r="C110" s="59"/>
      <c r="D110" s="59"/>
    </row>
    <row r="111" ht="12.75" customHeight="1">
      <c r="C111" s="59"/>
      <c r="D111" s="59"/>
    </row>
    <row r="112" ht="12.75" customHeight="1">
      <c r="C112" s="59"/>
      <c r="D112" s="59"/>
    </row>
    <row r="113" ht="12.75" customHeight="1">
      <c r="C113" s="59"/>
      <c r="D113" s="59"/>
    </row>
    <row r="114" ht="12.75" customHeight="1">
      <c r="C114" s="59"/>
      <c r="D114" s="59"/>
    </row>
    <row r="115" ht="12.75" customHeight="1">
      <c r="C115" s="59"/>
      <c r="D115" s="59"/>
    </row>
    <row r="116" ht="12.75" customHeight="1">
      <c r="C116" s="59"/>
      <c r="D116" s="59"/>
    </row>
    <row r="117" ht="12.75" customHeight="1">
      <c r="C117" s="59"/>
      <c r="D117" s="59"/>
    </row>
    <row r="118" ht="12.75" customHeight="1">
      <c r="C118" s="59"/>
      <c r="D118" s="59"/>
    </row>
    <row r="119" ht="12.75" customHeight="1">
      <c r="C119" s="59"/>
      <c r="D119" s="59"/>
    </row>
    <row r="120" ht="12.75" customHeight="1">
      <c r="C120" s="59"/>
      <c r="D120" s="59"/>
    </row>
    <row r="121" ht="12.75" customHeight="1">
      <c r="C121" s="59"/>
      <c r="D121" s="59"/>
    </row>
    <row r="122" ht="12.75" customHeight="1">
      <c r="C122" s="59"/>
      <c r="D122" s="59"/>
    </row>
    <row r="123" ht="12.75" customHeight="1">
      <c r="C123" s="59"/>
      <c r="D123" s="59"/>
    </row>
    <row r="124" ht="12.75" customHeight="1">
      <c r="C124" s="59"/>
      <c r="D124" s="59"/>
    </row>
    <row r="125" ht="12.75" customHeight="1">
      <c r="C125" s="59"/>
      <c r="D125" s="59"/>
    </row>
    <row r="126" ht="12.75" customHeight="1">
      <c r="C126" s="59"/>
      <c r="D126" s="59"/>
    </row>
    <row r="127" ht="12.75" customHeight="1">
      <c r="C127" s="59"/>
      <c r="D127" s="59"/>
    </row>
    <row r="128" ht="12.75" customHeight="1">
      <c r="C128" s="59"/>
      <c r="D128" s="59"/>
    </row>
    <row r="129" ht="12.75" customHeight="1">
      <c r="C129" s="59"/>
      <c r="D129" s="59"/>
    </row>
    <row r="130" ht="12.75" customHeight="1">
      <c r="C130" s="59"/>
      <c r="D130" s="59"/>
    </row>
    <row r="131" ht="12.75" customHeight="1">
      <c r="C131" s="59"/>
      <c r="D131" s="59"/>
    </row>
    <row r="132" ht="12.75" customHeight="1">
      <c r="C132" s="59"/>
      <c r="D132" s="59"/>
    </row>
    <row r="133" ht="12.75" customHeight="1">
      <c r="C133" s="59"/>
      <c r="D133" s="59"/>
    </row>
    <row r="134" ht="12.75" customHeight="1">
      <c r="C134" s="59"/>
      <c r="D134" s="59"/>
    </row>
    <row r="135" ht="12.75" customHeight="1">
      <c r="C135" s="59"/>
      <c r="D135" s="59"/>
    </row>
    <row r="136" ht="12.75" customHeight="1">
      <c r="C136" s="59"/>
      <c r="D136" s="59"/>
    </row>
    <row r="137" ht="12.75" customHeight="1">
      <c r="C137" s="59"/>
      <c r="D137" s="59"/>
    </row>
    <row r="138" ht="12.75" customHeight="1">
      <c r="C138" s="59"/>
      <c r="D138" s="59"/>
    </row>
    <row r="139" ht="12.75" customHeight="1">
      <c r="C139" s="59"/>
      <c r="D139" s="59"/>
    </row>
    <row r="140" ht="12.75" customHeight="1">
      <c r="C140" s="59"/>
      <c r="D140" s="59"/>
    </row>
    <row r="141" ht="12.75" customHeight="1">
      <c r="C141" s="59"/>
      <c r="D141" s="59"/>
    </row>
    <row r="142" ht="12.75" customHeight="1">
      <c r="C142" s="59"/>
      <c r="D142" s="59"/>
    </row>
    <row r="143" ht="12.75" customHeight="1">
      <c r="C143" s="59"/>
      <c r="D143" s="59"/>
    </row>
    <row r="144" ht="12.75" customHeight="1">
      <c r="C144" s="59"/>
      <c r="D144" s="59"/>
    </row>
    <row r="145" ht="12.75" customHeight="1">
      <c r="C145" s="59"/>
      <c r="D145" s="59"/>
    </row>
    <row r="146" ht="12.75" customHeight="1">
      <c r="C146" s="59"/>
      <c r="D146" s="59"/>
    </row>
    <row r="147" ht="12.75" customHeight="1">
      <c r="C147" s="59"/>
      <c r="D147" s="59"/>
    </row>
    <row r="148" ht="12.75" customHeight="1">
      <c r="C148" s="59"/>
      <c r="D148" s="59"/>
    </row>
    <row r="149" ht="12.75" customHeight="1">
      <c r="C149" s="59"/>
      <c r="D149" s="59"/>
    </row>
    <row r="150" ht="12.75" customHeight="1">
      <c r="C150" s="59"/>
      <c r="D150" s="59"/>
    </row>
    <row r="151" ht="12.75" customHeight="1">
      <c r="C151" s="59"/>
      <c r="D151" s="59"/>
    </row>
    <row r="152" ht="12.75" customHeight="1">
      <c r="C152" s="59"/>
      <c r="D152" s="59"/>
    </row>
    <row r="153" ht="12.75" customHeight="1">
      <c r="C153" s="59"/>
      <c r="D153" s="59"/>
    </row>
    <row r="154" ht="12.75" customHeight="1">
      <c r="C154" s="59"/>
      <c r="D154" s="59"/>
    </row>
    <row r="155" ht="12.75" customHeight="1">
      <c r="C155" s="59"/>
      <c r="D155" s="59"/>
    </row>
    <row r="156" ht="12.75" customHeight="1">
      <c r="C156" s="59"/>
      <c r="D156" s="59"/>
    </row>
    <row r="157" ht="12.75" customHeight="1">
      <c r="C157" s="59"/>
      <c r="D157" s="59"/>
    </row>
    <row r="158" ht="12.75" customHeight="1">
      <c r="C158" s="59"/>
      <c r="D158" s="59"/>
    </row>
    <row r="159" ht="12.75" customHeight="1">
      <c r="C159" s="59"/>
      <c r="D159" s="59"/>
    </row>
    <row r="160" ht="12.75" customHeight="1">
      <c r="C160" s="59"/>
      <c r="D160" s="59"/>
    </row>
    <row r="161" ht="12.75" customHeight="1">
      <c r="C161" s="59"/>
      <c r="D161" s="59"/>
    </row>
    <row r="162" ht="12.75" customHeight="1">
      <c r="C162" s="59"/>
      <c r="D162" s="59"/>
    </row>
    <row r="163" ht="12.75" customHeight="1">
      <c r="C163" s="59"/>
      <c r="D163" s="59"/>
    </row>
    <row r="164" ht="12.75" customHeight="1">
      <c r="C164" s="59"/>
      <c r="D164" s="59"/>
    </row>
    <row r="165" ht="12.75" customHeight="1">
      <c r="C165" s="59"/>
      <c r="D165" s="59"/>
    </row>
    <row r="166" ht="12.75" customHeight="1">
      <c r="C166" s="59"/>
      <c r="D166" s="59"/>
    </row>
    <row r="167" ht="12.75" customHeight="1">
      <c r="C167" s="59"/>
      <c r="D167" s="59"/>
    </row>
    <row r="168" ht="12.75" customHeight="1">
      <c r="C168" s="59"/>
      <c r="D168" s="59"/>
    </row>
    <row r="169" ht="12.75" customHeight="1">
      <c r="C169" s="59"/>
      <c r="D169" s="59"/>
    </row>
    <row r="170" ht="12.75" customHeight="1">
      <c r="C170" s="59"/>
      <c r="D170" s="59"/>
    </row>
    <row r="171" ht="12.75" customHeight="1">
      <c r="C171" s="59"/>
      <c r="D171" s="59"/>
    </row>
    <row r="172" ht="12.75" customHeight="1">
      <c r="C172" s="59"/>
      <c r="D172" s="59"/>
    </row>
    <row r="173" ht="12.75" customHeight="1">
      <c r="C173" s="59"/>
      <c r="D173" s="59"/>
    </row>
    <row r="174" ht="12.75" customHeight="1">
      <c r="C174" s="59"/>
      <c r="D174" s="59"/>
    </row>
    <row r="175" ht="12.75" customHeight="1">
      <c r="C175" s="59"/>
      <c r="D175" s="59"/>
    </row>
    <row r="176" ht="12.75" customHeight="1">
      <c r="C176" s="59"/>
      <c r="D176" s="59"/>
    </row>
    <row r="177" ht="12.75" customHeight="1">
      <c r="C177" s="59"/>
      <c r="D177" s="59"/>
    </row>
    <row r="178" ht="12.75" customHeight="1">
      <c r="C178" s="59"/>
      <c r="D178" s="59"/>
    </row>
    <row r="179" ht="12.75" customHeight="1">
      <c r="C179" s="59"/>
      <c r="D179" s="59"/>
    </row>
    <row r="180" ht="12.75" customHeight="1">
      <c r="C180" s="59"/>
      <c r="D180" s="59"/>
    </row>
    <row r="181" ht="12.75" customHeight="1">
      <c r="C181" s="59"/>
      <c r="D181" s="59"/>
    </row>
    <row r="182" ht="12.75" customHeight="1">
      <c r="C182" s="59"/>
      <c r="D182" s="59"/>
    </row>
    <row r="183" ht="12.75" customHeight="1">
      <c r="C183" s="59"/>
      <c r="D183" s="59"/>
    </row>
    <row r="184" ht="12.75" customHeight="1">
      <c r="C184" s="59"/>
      <c r="D184" s="59"/>
    </row>
    <row r="185" ht="12.75" customHeight="1">
      <c r="C185" s="59"/>
      <c r="D185" s="59"/>
    </row>
    <row r="186" ht="12.75" customHeight="1">
      <c r="C186" s="59"/>
      <c r="D186" s="59"/>
    </row>
    <row r="187" ht="12.75" customHeight="1">
      <c r="C187" s="59"/>
      <c r="D187" s="59"/>
    </row>
    <row r="188" ht="12.75" customHeight="1">
      <c r="C188" s="59"/>
      <c r="D188" s="59"/>
    </row>
    <row r="189" ht="12.75" customHeight="1">
      <c r="C189" s="59"/>
      <c r="D189" s="59"/>
    </row>
    <row r="190" ht="12.75" customHeight="1">
      <c r="C190" s="59"/>
      <c r="D190" s="59"/>
    </row>
    <row r="191" ht="12.75" customHeight="1">
      <c r="C191" s="59"/>
      <c r="D191" s="59"/>
    </row>
    <row r="192" ht="12.75" customHeight="1">
      <c r="C192" s="59"/>
      <c r="D192" s="59"/>
    </row>
    <row r="193" ht="12.75" customHeight="1">
      <c r="C193" s="59"/>
      <c r="D193" s="59"/>
    </row>
    <row r="194" ht="12.75" customHeight="1">
      <c r="C194" s="59"/>
      <c r="D194" s="59"/>
    </row>
    <row r="195" ht="12.75" customHeight="1">
      <c r="C195" s="59"/>
      <c r="D195" s="59"/>
    </row>
    <row r="196" ht="12.75" customHeight="1">
      <c r="C196" s="59"/>
      <c r="D196" s="59"/>
    </row>
    <row r="197" ht="12.75" customHeight="1">
      <c r="C197" s="59"/>
      <c r="D197" s="59"/>
    </row>
    <row r="198" ht="12.75" customHeight="1">
      <c r="C198" s="59"/>
      <c r="D198" s="59"/>
    </row>
    <row r="199" ht="12.75" customHeight="1">
      <c r="C199" s="59"/>
      <c r="D199" s="59"/>
    </row>
    <row r="200" ht="12.75" customHeight="1">
      <c r="C200" s="59"/>
      <c r="D200" s="59"/>
    </row>
    <row r="201" ht="12.75" customHeight="1">
      <c r="C201" s="59"/>
      <c r="D201" s="59"/>
    </row>
    <row r="202" ht="12.75" customHeight="1">
      <c r="C202" s="59"/>
      <c r="D202" s="59"/>
    </row>
    <row r="203" ht="12.75" customHeight="1">
      <c r="C203" s="59"/>
      <c r="D203" s="59"/>
    </row>
    <row r="204" ht="12.75" customHeight="1">
      <c r="C204" s="59"/>
      <c r="D204" s="59"/>
    </row>
    <row r="205" ht="12.75" customHeight="1">
      <c r="C205" s="59"/>
      <c r="D205" s="59"/>
    </row>
    <row r="206" ht="12.75" customHeight="1">
      <c r="C206" s="59"/>
      <c r="D206" s="59"/>
    </row>
    <row r="207" ht="12.75" customHeight="1">
      <c r="C207" s="59"/>
      <c r="D207" s="59"/>
    </row>
    <row r="208" ht="12.75" customHeight="1">
      <c r="C208" s="59"/>
      <c r="D208" s="59"/>
    </row>
    <row r="209" ht="12.75" customHeight="1">
      <c r="C209" s="59"/>
      <c r="D209" s="59"/>
    </row>
    <row r="210" ht="12.75" customHeight="1">
      <c r="C210" s="59"/>
      <c r="D210" s="59"/>
    </row>
    <row r="211" ht="12.75" customHeight="1">
      <c r="C211" s="59"/>
      <c r="D211" s="59"/>
    </row>
    <row r="212" ht="12.75" customHeight="1">
      <c r="C212" s="59"/>
      <c r="D212" s="59"/>
    </row>
    <row r="213" ht="12.75" customHeight="1">
      <c r="C213" s="59"/>
      <c r="D213" s="59"/>
    </row>
    <row r="214" ht="12.75" customHeight="1">
      <c r="C214" s="59"/>
      <c r="D214" s="59"/>
    </row>
    <row r="215" ht="12.75" customHeight="1">
      <c r="C215" s="59"/>
      <c r="D215" s="59"/>
    </row>
    <row r="216" ht="12.75" customHeight="1">
      <c r="C216" s="59"/>
      <c r="D216" s="59"/>
    </row>
    <row r="217" ht="12.75" customHeight="1">
      <c r="C217" s="59"/>
      <c r="D217" s="59"/>
    </row>
    <row r="218" ht="12.75" customHeight="1">
      <c r="C218" s="59"/>
      <c r="D218" s="59"/>
    </row>
    <row r="219" ht="12.75" customHeight="1">
      <c r="C219" s="59"/>
      <c r="D219" s="59"/>
    </row>
    <row r="220" ht="12.75" customHeight="1">
      <c r="C220" s="59"/>
      <c r="D220" s="59"/>
    </row>
    <row r="221" ht="12.75" customHeight="1">
      <c r="C221" s="59"/>
      <c r="D221" s="59"/>
    </row>
    <row r="222" ht="12.75" customHeight="1">
      <c r="C222" s="59"/>
      <c r="D222" s="59"/>
    </row>
    <row r="223" ht="12.75" customHeight="1">
      <c r="C223" s="59"/>
      <c r="D223" s="59"/>
    </row>
    <row r="224" ht="12.75" customHeight="1">
      <c r="C224" s="59"/>
      <c r="D224" s="59"/>
    </row>
    <row r="225" ht="12.75" customHeight="1">
      <c r="C225" s="59"/>
      <c r="D225" s="59"/>
    </row>
    <row r="226" ht="12.75" customHeight="1">
      <c r="C226" s="59"/>
      <c r="D226" s="59"/>
    </row>
    <row r="227" ht="12.75" customHeight="1">
      <c r="C227" s="59"/>
      <c r="D227" s="59"/>
    </row>
    <row r="228" ht="12.75" customHeight="1">
      <c r="C228" s="59"/>
      <c r="D228" s="59"/>
    </row>
    <row r="229" ht="12.75" customHeight="1">
      <c r="C229" s="59"/>
      <c r="D229" s="59"/>
    </row>
    <row r="230" ht="12.75" customHeight="1">
      <c r="C230" s="59"/>
      <c r="D230" s="59"/>
    </row>
    <row r="231" ht="12.75" customHeight="1">
      <c r="C231" s="59"/>
      <c r="D231" s="59"/>
    </row>
    <row r="232" ht="12.75" customHeight="1">
      <c r="C232" s="59"/>
      <c r="D232" s="59"/>
    </row>
    <row r="233" ht="12.75" customHeight="1">
      <c r="C233" s="59"/>
      <c r="D233" s="59"/>
    </row>
    <row r="234" ht="12.75" customHeight="1">
      <c r="C234" s="59"/>
      <c r="D234" s="59"/>
    </row>
    <row r="235" ht="12.75" customHeight="1">
      <c r="C235" s="59"/>
      <c r="D235" s="59"/>
    </row>
    <row r="236" ht="12.75" customHeight="1">
      <c r="C236" s="59"/>
      <c r="D236" s="59"/>
    </row>
    <row r="237" ht="12.75" customHeight="1">
      <c r="C237" s="59"/>
      <c r="D237" s="59"/>
    </row>
    <row r="238" ht="12.75" customHeight="1">
      <c r="C238" s="59"/>
      <c r="D238" s="59"/>
    </row>
    <row r="239" ht="12.75" customHeight="1">
      <c r="C239" s="59"/>
      <c r="D239" s="59"/>
    </row>
    <row r="240" ht="12.75" customHeight="1">
      <c r="C240" s="59"/>
      <c r="D240" s="59"/>
    </row>
    <row r="241" ht="12.75" customHeight="1">
      <c r="C241" s="59"/>
      <c r="D241" s="59"/>
    </row>
    <row r="242" ht="12.75" customHeight="1">
      <c r="C242" s="59"/>
      <c r="D242" s="59"/>
    </row>
    <row r="243" ht="12.75" customHeight="1">
      <c r="C243" s="59"/>
      <c r="D243" s="59"/>
    </row>
    <row r="244" ht="12.75" customHeight="1">
      <c r="C244" s="59"/>
      <c r="D244" s="59"/>
    </row>
    <row r="245" ht="12.75" customHeight="1">
      <c r="C245" s="59"/>
      <c r="D245" s="59"/>
    </row>
    <row r="246" ht="12.75" customHeight="1">
      <c r="C246" s="59"/>
      <c r="D246" s="59"/>
    </row>
    <row r="247" ht="12.75" customHeight="1">
      <c r="C247" s="59"/>
      <c r="D247" s="59"/>
    </row>
    <row r="248" ht="12.75" customHeight="1">
      <c r="C248" s="59"/>
      <c r="D248" s="59"/>
    </row>
    <row r="249" ht="12.75" customHeight="1">
      <c r="C249" s="59"/>
      <c r="D249" s="59"/>
    </row>
    <row r="250" ht="12.75" customHeight="1">
      <c r="C250" s="59"/>
      <c r="D250" s="59"/>
    </row>
    <row r="251" ht="12.75" customHeight="1">
      <c r="C251" s="59"/>
      <c r="D251" s="59"/>
    </row>
    <row r="252" ht="12.75" customHeight="1">
      <c r="C252" s="59"/>
      <c r="D252" s="59"/>
    </row>
    <row r="253" ht="12.75" customHeight="1">
      <c r="C253" s="59"/>
      <c r="D253" s="59"/>
    </row>
    <row r="254" ht="12.75" customHeight="1">
      <c r="C254" s="59"/>
      <c r="D254" s="59"/>
    </row>
    <row r="255" ht="12.75" customHeight="1">
      <c r="C255" s="59"/>
      <c r="D255" s="59"/>
    </row>
    <row r="256" ht="12.75" customHeight="1">
      <c r="C256" s="59"/>
      <c r="D256" s="59"/>
    </row>
    <row r="257" ht="12.75" customHeight="1">
      <c r="C257" s="59"/>
      <c r="D257" s="59"/>
    </row>
    <row r="258" ht="12.75" customHeight="1">
      <c r="C258" s="59"/>
      <c r="D258" s="59"/>
    </row>
    <row r="259" ht="12.75" customHeight="1">
      <c r="C259" s="59"/>
      <c r="D259" s="59"/>
    </row>
    <row r="260" ht="12.75" customHeight="1">
      <c r="C260" s="59"/>
      <c r="D260" s="59"/>
    </row>
    <row r="261" ht="12.75" customHeight="1">
      <c r="C261" s="59"/>
      <c r="D261" s="59"/>
    </row>
    <row r="262" ht="12.75" customHeight="1">
      <c r="C262" s="59"/>
      <c r="D262" s="59"/>
    </row>
    <row r="263" ht="12.75" customHeight="1">
      <c r="C263" s="59"/>
      <c r="D263" s="59"/>
    </row>
    <row r="264" ht="12.75" customHeight="1">
      <c r="C264" s="59"/>
      <c r="D264" s="59"/>
    </row>
    <row r="265" ht="12.75" customHeight="1">
      <c r="C265" s="59"/>
      <c r="D265" s="59"/>
    </row>
    <row r="266" ht="12.75" customHeight="1">
      <c r="C266" s="59"/>
      <c r="D266" s="59"/>
    </row>
    <row r="267" ht="12.75" customHeight="1">
      <c r="C267" s="59"/>
      <c r="D267" s="59"/>
    </row>
    <row r="268" ht="12.75" customHeight="1">
      <c r="C268" s="59"/>
      <c r="D268" s="59"/>
    </row>
    <row r="269" ht="12.75" customHeight="1">
      <c r="C269" s="59"/>
      <c r="D269" s="59"/>
    </row>
    <row r="270" ht="12.75" customHeight="1">
      <c r="C270" s="59"/>
      <c r="D270" s="59"/>
    </row>
    <row r="271" ht="12.75" customHeight="1">
      <c r="C271" s="59"/>
      <c r="D271" s="59"/>
    </row>
    <row r="272" ht="12.75" customHeight="1">
      <c r="C272" s="59"/>
      <c r="D272" s="59"/>
    </row>
    <row r="273" ht="12.75" customHeight="1">
      <c r="C273" s="59"/>
      <c r="D273" s="59"/>
    </row>
    <row r="274" ht="12.75" customHeight="1">
      <c r="C274" s="59"/>
      <c r="D274" s="59"/>
    </row>
    <row r="275" ht="12.75" customHeight="1">
      <c r="C275" s="59"/>
      <c r="D275" s="59"/>
    </row>
    <row r="276" ht="12.75" customHeight="1">
      <c r="C276" s="59"/>
      <c r="D276" s="59"/>
    </row>
    <row r="277" ht="12.75" customHeight="1">
      <c r="C277" s="59"/>
      <c r="D277" s="59"/>
    </row>
    <row r="278" ht="12.75" customHeight="1">
      <c r="C278" s="59"/>
      <c r="D278" s="59"/>
    </row>
    <row r="279" ht="12.75" customHeight="1">
      <c r="C279" s="59"/>
      <c r="D279" s="59"/>
    </row>
    <row r="280" ht="12.75" customHeight="1">
      <c r="C280" s="59"/>
      <c r="D280" s="59"/>
    </row>
    <row r="281" ht="12.75" customHeight="1">
      <c r="C281" s="59"/>
      <c r="D281" s="59"/>
    </row>
    <row r="282" ht="12.75" customHeight="1">
      <c r="C282" s="59"/>
      <c r="D282" s="59"/>
    </row>
    <row r="283" ht="12.75" customHeight="1">
      <c r="C283" s="59"/>
      <c r="D283" s="59"/>
    </row>
    <row r="284" ht="12.75" customHeight="1">
      <c r="C284" s="59"/>
      <c r="D284" s="59"/>
    </row>
    <row r="285" ht="12.75" customHeight="1">
      <c r="C285" s="59"/>
      <c r="D285" s="59"/>
    </row>
    <row r="286" ht="12.75" customHeight="1">
      <c r="C286" s="59"/>
      <c r="D286" s="59"/>
    </row>
    <row r="287" ht="12.75" customHeight="1">
      <c r="C287" s="59"/>
      <c r="D287" s="59"/>
    </row>
    <row r="288" ht="12.75" customHeight="1">
      <c r="C288" s="59"/>
      <c r="D288" s="59"/>
    </row>
    <row r="289" ht="12.75" customHeight="1">
      <c r="C289" s="59"/>
      <c r="D289" s="59"/>
    </row>
    <row r="290" ht="12.75" customHeight="1">
      <c r="C290" s="59"/>
      <c r="D290" s="59"/>
    </row>
    <row r="291" ht="12.75" customHeight="1">
      <c r="C291" s="59"/>
      <c r="D291" s="59"/>
    </row>
    <row r="292" ht="12.75" customHeight="1">
      <c r="C292" s="59"/>
      <c r="D292" s="59"/>
    </row>
    <row r="293" ht="12.75" customHeight="1">
      <c r="C293" s="59"/>
      <c r="D293" s="59"/>
    </row>
    <row r="294" ht="12.75" customHeight="1">
      <c r="C294" s="59"/>
      <c r="D294" s="59"/>
    </row>
    <row r="295" ht="12.75" customHeight="1">
      <c r="C295" s="59"/>
      <c r="D295" s="59"/>
    </row>
    <row r="296" ht="12.75" customHeight="1">
      <c r="C296" s="59"/>
      <c r="D296" s="59"/>
    </row>
    <row r="297" ht="12.75" customHeight="1">
      <c r="C297" s="59"/>
      <c r="D297" s="59"/>
    </row>
    <row r="298" ht="12.75" customHeight="1">
      <c r="C298" s="59"/>
      <c r="D298" s="59"/>
    </row>
    <row r="299" ht="12.75" customHeight="1">
      <c r="C299" s="59"/>
      <c r="D299" s="59"/>
    </row>
    <row r="300" ht="12.75" customHeight="1">
      <c r="C300" s="59"/>
      <c r="D300" s="59"/>
    </row>
    <row r="301" ht="12.75" customHeight="1">
      <c r="C301" s="59"/>
      <c r="D301" s="59"/>
    </row>
    <row r="302" ht="12.75" customHeight="1">
      <c r="C302" s="59"/>
      <c r="D302" s="59"/>
    </row>
    <row r="303" ht="12.75" customHeight="1">
      <c r="C303" s="59"/>
      <c r="D303" s="59"/>
    </row>
    <row r="304" ht="12.75" customHeight="1">
      <c r="C304" s="59"/>
      <c r="D304" s="59"/>
    </row>
    <row r="305" ht="12.75" customHeight="1">
      <c r="C305" s="59"/>
      <c r="D305" s="59"/>
    </row>
    <row r="306" ht="12.75" customHeight="1">
      <c r="C306" s="59"/>
      <c r="D306" s="59"/>
    </row>
    <row r="307" ht="12.75" customHeight="1">
      <c r="C307" s="59"/>
      <c r="D307" s="59"/>
    </row>
    <row r="308" ht="12.75" customHeight="1">
      <c r="C308" s="59"/>
      <c r="D308" s="59"/>
    </row>
    <row r="309" ht="12.75" customHeight="1">
      <c r="C309" s="59"/>
      <c r="D309" s="59"/>
    </row>
    <row r="310" ht="12.75" customHeight="1">
      <c r="C310" s="59"/>
      <c r="D310" s="59"/>
    </row>
    <row r="311" ht="12.75" customHeight="1">
      <c r="C311" s="59"/>
      <c r="D311" s="59"/>
    </row>
    <row r="312" ht="12.75" customHeight="1">
      <c r="C312" s="59"/>
      <c r="D312" s="59"/>
    </row>
    <row r="313" ht="12.75" customHeight="1">
      <c r="C313" s="59"/>
      <c r="D313" s="59"/>
    </row>
    <row r="314" ht="12.75" customHeight="1">
      <c r="C314" s="59"/>
      <c r="D314" s="59"/>
    </row>
    <row r="315" ht="12.75" customHeight="1">
      <c r="C315" s="59"/>
      <c r="D315" s="59"/>
    </row>
    <row r="316" ht="12.75" customHeight="1">
      <c r="C316" s="59"/>
      <c r="D316" s="59"/>
    </row>
    <row r="317" ht="12.75" customHeight="1">
      <c r="C317" s="59"/>
      <c r="D317" s="59"/>
    </row>
    <row r="318" ht="12.75" customHeight="1">
      <c r="C318" s="59"/>
      <c r="D318" s="59"/>
    </row>
    <row r="319" ht="12.75" customHeight="1">
      <c r="C319" s="59"/>
      <c r="D319" s="59"/>
    </row>
    <row r="320" ht="12.75" customHeight="1">
      <c r="C320" s="59"/>
      <c r="D320" s="59"/>
    </row>
    <row r="321" ht="12.75" customHeight="1">
      <c r="C321" s="59"/>
      <c r="D321" s="59"/>
    </row>
    <row r="322" ht="12.75" customHeight="1">
      <c r="C322" s="59"/>
      <c r="D322" s="59"/>
    </row>
    <row r="323" ht="12.75" customHeight="1">
      <c r="C323" s="59"/>
      <c r="D323" s="59"/>
    </row>
    <row r="324" ht="12.75" customHeight="1">
      <c r="C324" s="59"/>
      <c r="D324" s="59"/>
    </row>
    <row r="325" ht="12.75" customHeight="1">
      <c r="C325" s="59"/>
      <c r="D325" s="59"/>
    </row>
    <row r="326" ht="12.75" customHeight="1">
      <c r="C326" s="59"/>
      <c r="D326" s="59"/>
    </row>
    <row r="327" ht="12.75" customHeight="1">
      <c r="C327" s="59"/>
      <c r="D327" s="59"/>
    </row>
    <row r="328" ht="12.75" customHeight="1">
      <c r="C328" s="59"/>
      <c r="D328" s="59"/>
    </row>
    <row r="329" ht="12.75" customHeight="1">
      <c r="C329" s="59"/>
      <c r="D329" s="59"/>
    </row>
    <row r="330" ht="12.75" customHeight="1">
      <c r="C330" s="59"/>
      <c r="D330" s="59"/>
    </row>
    <row r="331" ht="12.75" customHeight="1">
      <c r="C331" s="59"/>
      <c r="D331" s="59"/>
    </row>
    <row r="332" ht="12.75" customHeight="1">
      <c r="C332" s="59"/>
      <c r="D332" s="59"/>
    </row>
    <row r="333" ht="12.75" customHeight="1">
      <c r="C333" s="59"/>
      <c r="D333" s="59"/>
    </row>
    <row r="334" ht="12.75" customHeight="1">
      <c r="C334" s="59"/>
      <c r="D334" s="59"/>
    </row>
    <row r="335" ht="12.75" customHeight="1">
      <c r="C335" s="59"/>
      <c r="D335" s="59"/>
    </row>
    <row r="336" ht="12.75" customHeight="1">
      <c r="C336" s="59"/>
      <c r="D336" s="59"/>
    </row>
    <row r="337" ht="12.75" customHeight="1">
      <c r="C337" s="59"/>
      <c r="D337" s="59"/>
    </row>
    <row r="338" ht="12.75" customHeight="1">
      <c r="C338" s="59"/>
      <c r="D338" s="59"/>
    </row>
    <row r="339" ht="12.75" customHeight="1">
      <c r="C339" s="59"/>
      <c r="D339" s="59"/>
    </row>
    <row r="340" ht="12.75" customHeight="1">
      <c r="C340" s="59"/>
      <c r="D340" s="59"/>
    </row>
    <row r="341" ht="12.75" customHeight="1">
      <c r="C341" s="59"/>
      <c r="D341" s="59"/>
    </row>
    <row r="342" ht="12.75" customHeight="1">
      <c r="C342" s="59"/>
      <c r="D342" s="59"/>
    </row>
    <row r="343" ht="12.75" customHeight="1">
      <c r="C343" s="59"/>
      <c r="D343" s="59"/>
    </row>
    <row r="344" ht="12.75" customHeight="1">
      <c r="C344" s="59"/>
      <c r="D344" s="59"/>
    </row>
    <row r="345" ht="12.75" customHeight="1">
      <c r="C345" s="59"/>
      <c r="D345" s="59"/>
    </row>
    <row r="346" ht="12.75" customHeight="1">
      <c r="C346" s="59"/>
      <c r="D346" s="59"/>
    </row>
    <row r="347" ht="12.75" customHeight="1">
      <c r="C347" s="59"/>
      <c r="D347" s="59"/>
    </row>
    <row r="348" ht="12.75" customHeight="1">
      <c r="C348" s="59"/>
      <c r="D348" s="59"/>
    </row>
    <row r="349" ht="12.75" customHeight="1">
      <c r="C349" s="59"/>
      <c r="D349" s="59"/>
    </row>
    <row r="350" ht="12.75" customHeight="1">
      <c r="C350" s="59"/>
      <c r="D350" s="59"/>
    </row>
    <row r="351" ht="12.75" customHeight="1">
      <c r="C351" s="59"/>
      <c r="D351" s="59"/>
    </row>
    <row r="352" ht="12.75" customHeight="1">
      <c r="C352" s="59"/>
      <c r="D352" s="59"/>
    </row>
    <row r="353" ht="12.75" customHeight="1">
      <c r="C353" s="59"/>
      <c r="D353" s="59"/>
    </row>
    <row r="354" ht="12.75" customHeight="1">
      <c r="C354" s="59"/>
      <c r="D354" s="59"/>
    </row>
    <row r="355" ht="12.75" customHeight="1">
      <c r="C355" s="59"/>
      <c r="D355" s="59"/>
    </row>
    <row r="356" ht="12.75" customHeight="1">
      <c r="C356" s="59"/>
      <c r="D356" s="59"/>
    </row>
    <row r="357" ht="12.75" customHeight="1">
      <c r="C357" s="59"/>
      <c r="D357" s="59"/>
    </row>
    <row r="358" ht="12.75" customHeight="1">
      <c r="C358" s="59"/>
      <c r="D358" s="59"/>
    </row>
    <row r="359" ht="12.75" customHeight="1">
      <c r="C359" s="59"/>
      <c r="D359" s="59"/>
    </row>
    <row r="360" ht="12.75" customHeight="1">
      <c r="C360" s="59"/>
      <c r="D360" s="59"/>
    </row>
    <row r="361" ht="12.75" customHeight="1">
      <c r="C361" s="59"/>
      <c r="D361" s="59"/>
    </row>
    <row r="362" ht="12.75" customHeight="1">
      <c r="C362" s="59"/>
      <c r="D362" s="59"/>
    </row>
    <row r="363" ht="12.75" customHeight="1">
      <c r="C363" s="59"/>
      <c r="D363" s="59"/>
    </row>
    <row r="364" ht="12.75" customHeight="1">
      <c r="C364" s="59"/>
      <c r="D364" s="59"/>
    </row>
    <row r="365" ht="12.75" customHeight="1">
      <c r="C365" s="59"/>
      <c r="D365" s="59"/>
    </row>
    <row r="366" ht="12.75" customHeight="1">
      <c r="C366" s="59"/>
      <c r="D366" s="59"/>
    </row>
    <row r="367" ht="12.75" customHeight="1">
      <c r="C367" s="59"/>
      <c r="D367" s="59"/>
    </row>
    <row r="368" ht="12.75" customHeight="1">
      <c r="C368" s="59"/>
      <c r="D368" s="59"/>
    </row>
    <row r="369" ht="12.75" customHeight="1">
      <c r="C369" s="59"/>
      <c r="D369" s="59"/>
    </row>
    <row r="370" ht="12.75" customHeight="1">
      <c r="C370" s="59"/>
      <c r="D370" s="59"/>
    </row>
    <row r="371" ht="12.75" customHeight="1">
      <c r="C371" s="59"/>
      <c r="D371" s="59"/>
    </row>
    <row r="372" ht="12.75" customHeight="1">
      <c r="C372" s="59"/>
      <c r="D372" s="59"/>
    </row>
    <row r="373" ht="12.75" customHeight="1">
      <c r="C373" s="59"/>
      <c r="D373" s="59"/>
    </row>
    <row r="374" ht="12.75" customHeight="1">
      <c r="C374" s="59"/>
      <c r="D374" s="59"/>
    </row>
    <row r="375" ht="12.75" customHeight="1">
      <c r="C375" s="59"/>
      <c r="D375" s="59"/>
    </row>
    <row r="376" ht="12.75" customHeight="1">
      <c r="C376" s="59"/>
      <c r="D376" s="59"/>
    </row>
    <row r="377" ht="12.75" customHeight="1">
      <c r="C377" s="59"/>
      <c r="D377" s="59"/>
    </row>
    <row r="378" ht="12.75" customHeight="1">
      <c r="C378" s="59"/>
      <c r="D378" s="59"/>
    </row>
    <row r="379" ht="12.75" customHeight="1">
      <c r="C379" s="59"/>
      <c r="D379" s="59"/>
    </row>
    <row r="380" ht="12.75" customHeight="1">
      <c r="C380" s="59"/>
      <c r="D380" s="59"/>
    </row>
    <row r="381" ht="12.75" customHeight="1">
      <c r="C381" s="59"/>
      <c r="D381" s="59"/>
    </row>
    <row r="382" ht="12.75" customHeight="1">
      <c r="C382" s="59"/>
      <c r="D382" s="59"/>
    </row>
    <row r="383" ht="12.75" customHeight="1">
      <c r="C383" s="59"/>
      <c r="D383" s="59"/>
    </row>
    <row r="384" ht="12.75" customHeight="1">
      <c r="C384" s="59"/>
      <c r="D384" s="59"/>
    </row>
    <row r="385" ht="12.75" customHeight="1">
      <c r="C385" s="59"/>
      <c r="D385" s="59"/>
    </row>
    <row r="386" ht="12.75" customHeight="1">
      <c r="C386" s="59"/>
      <c r="D386" s="59"/>
    </row>
    <row r="387" ht="12.75" customHeight="1">
      <c r="C387" s="59"/>
      <c r="D387" s="59"/>
    </row>
    <row r="388" ht="12.75" customHeight="1">
      <c r="C388" s="59"/>
      <c r="D388" s="59"/>
    </row>
    <row r="389" ht="12.75" customHeight="1">
      <c r="C389" s="59"/>
      <c r="D389" s="59"/>
    </row>
    <row r="390" ht="12.75" customHeight="1">
      <c r="C390" s="59"/>
      <c r="D390" s="59"/>
    </row>
    <row r="391" ht="12.75" customHeight="1">
      <c r="C391" s="59"/>
      <c r="D391" s="59"/>
    </row>
    <row r="392" ht="12.75" customHeight="1">
      <c r="C392" s="59"/>
      <c r="D392" s="59"/>
    </row>
    <row r="393" ht="12.75" customHeight="1">
      <c r="C393" s="59"/>
      <c r="D393" s="59"/>
    </row>
    <row r="394" ht="12.75" customHeight="1">
      <c r="C394" s="59"/>
      <c r="D394" s="59"/>
    </row>
    <row r="395" ht="12.75" customHeight="1">
      <c r="C395" s="59"/>
      <c r="D395" s="59"/>
    </row>
    <row r="396" ht="12.75" customHeight="1">
      <c r="C396" s="59"/>
      <c r="D396" s="59"/>
    </row>
    <row r="397" ht="12.75" customHeight="1">
      <c r="C397" s="59"/>
      <c r="D397" s="59"/>
    </row>
    <row r="398" ht="12.75" customHeight="1">
      <c r="C398" s="59"/>
      <c r="D398" s="59"/>
    </row>
    <row r="399" ht="12.75" customHeight="1">
      <c r="C399" s="59"/>
      <c r="D399" s="59"/>
    </row>
    <row r="400" ht="12.75" customHeight="1">
      <c r="C400" s="59"/>
      <c r="D400" s="59"/>
    </row>
    <row r="401" ht="12.75" customHeight="1">
      <c r="C401" s="59"/>
      <c r="D401" s="59"/>
    </row>
    <row r="402" ht="12.75" customHeight="1">
      <c r="C402" s="59"/>
      <c r="D402" s="59"/>
    </row>
    <row r="403" ht="12.75" customHeight="1">
      <c r="C403" s="59"/>
      <c r="D403" s="59"/>
    </row>
    <row r="404" ht="12.75" customHeight="1">
      <c r="C404" s="59"/>
      <c r="D404" s="59"/>
    </row>
    <row r="405" ht="12.75" customHeight="1">
      <c r="C405" s="59"/>
      <c r="D405" s="59"/>
    </row>
    <row r="406" ht="12.75" customHeight="1">
      <c r="C406" s="59"/>
      <c r="D406" s="59"/>
    </row>
    <row r="407" ht="12.75" customHeight="1">
      <c r="C407" s="59"/>
      <c r="D407" s="59"/>
    </row>
    <row r="408" ht="12.75" customHeight="1">
      <c r="C408" s="59"/>
      <c r="D408" s="59"/>
    </row>
    <row r="409" ht="12.75" customHeight="1">
      <c r="C409" s="59"/>
      <c r="D409" s="59"/>
    </row>
    <row r="410" ht="12.75" customHeight="1">
      <c r="C410" s="59"/>
      <c r="D410" s="59"/>
    </row>
    <row r="411" ht="12.75" customHeight="1">
      <c r="C411" s="59"/>
      <c r="D411" s="59"/>
    </row>
    <row r="412" ht="12.75" customHeight="1">
      <c r="C412" s="59"/>
      <c r="D412" s="59"/>
    </row>
    <row r="413" ht="12.75" customHeight="1">
      <c r="C413" s="59"/>
      <c r="D413" s="59"/>
    </row>
    <row r="414" ht="12.75" customHeight="1">
      <c r="C414" s="59"/>
      <c r="D414" s="59"/>
    </row>
    <row r="415" ht="12.75" customHeight="1">
      <c r="C415" s="59"/>
      <c r="D415" s="59"/>
    </row>
    <row r="416" ht="12.75" customHeight="1">
      <c r="C416" s="59"/>
      <c r="D416" s="59"/>
    </row>
    <row r="417" ht="12.75" customHeight="1">
      <c r="C417" s="59"/>
      <c r="D417" s="59"/>
    </row>
    <row r="418" ht="12.75" customHeight="1">
      <c r="C418" s="59"/>
      <c r="D418" s="59"/>
    </row>
    <row r="419" ht="12.75" customHeight="1">
      <c r="C419" s="59"/>
      <c r="D419" s="59"/>
    </row>
    <row r="420" ht="12.75" customHeight="1">
      <c r="C420" s="59"/>
      <c r="D420" s="59"/>
    </row>
    <row r="421" ht="12.75" customHeight="1">
      <c r="C421" s="59"/>
      <c r="D421" s="59"/>
    </row>
    <row r="422" ht="12.75" customHeight="1">
      <c r="C422" s="59"/>
      <c r="D422" s="59"/>
    </row>
    <row r="423" ht="12.75" customHeight="1">
      <c r="C423" s="59"/>
      <c r="D423" s="59"/>
    </row>
    <row r="424" ht="12.75" customHeight="1">
      <c r="C424" s="59"/>
      <c r="D424" s="59"/>
    </row>
    <row r="425" ht="12.75" customHeight="1">
      <c r="C425" s="59"/>
      <c r="D425" s="59"/>
    </row>
    <row r="426" ht="12.75" customHeight="1">
      <c r="C426" s="59"/>
      <c r="D426" s="59"/>
    </row>
    <row r="427" ht="12.75" customHeight="1">
      <c r="C427" s="59"/>
      <c r="D427" s="59"/>
    </row>
    <row r="428" ht="12.75" customHeight="1">
      <c r="C428" s="59"/>
      <c r="D428" s="59"/>
    </row>
    <row r="429" ht="12.75" customHeight="1">
      <c r="C429" s="59"/>
      <c r="D429" s="59"/>
    </row>
    <row r="430" ht="12.75" customHeight="1">
      <c r="C430" s="59"/>
      <c r="D430" s="59"/>
    </row>
    <row r="431" ht="12.75" customHeight="1">
      <c r="C431" s="59"/>
      <c r="D431" s="59"/>
    </row>
    <row r="432" ht="12.75" customHeight="1">
      <c r="C432" s="59"/>
      <c r="D432" s="59"/>
    </row>
    <row r="433" ht="12.75" customHeight="1">
      <c r="C433" s="59"/>
      <c r="D433" s="59"/>
    </row>
    <row r="434" ht="12.75" customHeight="1">
      <c r="C434" s="59"/>
      <c r="D434" s="59"/>
    </row>
    <row r="435" ht="12.75" customHeight="1">
      <c r="C435" s="59"/>
      <c r="D435" s="59"/>
    </row>
    <row r="436" ht="12.75" customHeight="1">
      <c r="C436" s="59"/>
      <c r="D436" s="59"/>
    </row>
    <row r="437" ht="12.75" customHeight="1">
      <c r="C437" s="59"/>
      <c r="D437" s="59"/>
    </row>
    <row r="438" ht="12.75" customHeight="1">
      <c r="C438" s="59"/>
      <c r="D438" s="59"/>
    </row>
    <row r="439" ht="12.75" customHeight="1">
      <c r="C439" s="59"/>
      <c r="D439" s="59"/>
    </row>
    <row r="440" ht="12.75" customHeight="1">
      <c r="C440" s="59"/>
      <c r="D440" s="59"/>
    </row>
    <row r="441" ht="12.75" customHeight="1">
      <c r="C441" s="59"/>
      <c r="D441" s="59"/>
    </row>
    <row r="442" ht="12.75" customHeight="1">
      <c r="C442" s="59"/>
      <c r="D442" s="59"/>
    </row>
    <row r="443" ht="12.75" customHeight="1">
      <c r="C443" s="59"/>
      <c r="D443" s="59"/>
    </row>
    <row r="444" ht="12.75" customHeight="1">
      <c r="C444" s="59"/>
      <c r="D444" s="59"/>
    </row>
    <row r="445" ht="12.75" customHeight="1">
      <c r="C445" s="59"/>
      <c r="D445" s="59"/>
    </row>
    <row r="446" ht="12.75" customHeight="1">
      <c r="C446" s="59"/>
      <c r="D446" s="59"/>
    </row>
    <row r="447" ht="12.75" customHeight="1">
      <c r="C447" s="59"/>
      <c r="D447" s="59"/>
    </row>
    <row r="448" ht="12.75" customHeight="1">
      <c r="C448" s="59"/>
      <c r="D448" s="59"/>
    </row>
    <row r="449" ht="12.75" customHeight="1">
      <c r="C449" s="59"/>
      <c r="D449" s="59"/>
    </row>
    <row r="450" ht="12.75" customHeight="1">
      <c r="C450" s="59"/>
      <c r="D450" s="59"/>
    </row>
    <row r="451" ht="12.75" customHeight="1">
      <c r="C451" s="59"/>
      <c r="D451" s="59"/>
    </row>
    <row r="452" ht="12.75" customHeight="1">
      <c r="C452" s="59"/>
      <c r="D452" s="59"/>
    </row>
    <row r="453" ht="12.75" customHeight="1">
      <c r="C453" s="59"/>
      <c r="D453" s="59"/>
    </row>
    <row r="454" ht="12.75" customHeight="1">
      <c r="C454" s="59"/>
      <c r="D454" s="59"/>
    </row>
    <row r="455" ht="12.75" customHeight="1">
      <c r="C455" s="59"/>
      <c r="D455" s="59"/>
    </row>
    <row r="456" ht="12.75" customHeight="1">
      <c r="C456" s="59"/>
      <c r="D456" s="59"/>
    </row>
    <row r="457" ht="12.75" customHeight="1">
      <c r="C457" s="59"/>
      <c r="D457" s="59"/>
    </row>
    <row r="458" ht="12.75" customHeight="1">
      <c r="C458" s="59"/>
      <c r="D458" s="59"/>
    </row>
    <row r="459" ht="12.75" customHeight="1">
      <c r="C459" s="59"/>
      <c r="D459" s="59"/>
    </row>
    <row r="460" ht="12.75" customHeight="1">
      <c r="C460" s="59"/>
      <c r="D460" s="59"/>
    </row>
    <row r="461" ht="12.75" customHeight="1">
      <c r="C461" s="59"/>
      <c r="D461" s="59"/>
    </row>
    <row r="462" ht="12.75" customHeight="1">
      <c r="C462" s="59"/>
      <c r="D462" s="59"/>
    </row>
    <row r="463" ht="12.75" customHeight="1">
      <c r="C463" s="59"/>
      <c r="D463" s="59"/>
    </row>
    <row r="464" ht="12.75" customHeight="1">
      <c r="C464" s="59"/>
      <c r="D464" s="59"/>
    </row>
    <row r="465" ht="12.75" customHeight="1">
      <c r="C465" s="59"/>
      <c r="D465" s="59"/>
    </row>
    <row r="466" ht="12.75" customHeight="1">
      <c r="C466" s="59"/>
      <c r="D466" s="59"/>
    </row>
    <row r="467" ht="12.75" customHeight="1">
      <c r="C467" s="59"/>
      <c r="D467" s="59"/>
    </row>
    <row r="468" ht="12.75" customHeight="1">
      <c r="C468" s="59"/>
      <c r="D468" s="59"/>
    </row>
    <row r="469" ht="12.75" customHeight="1">
      <c r="C469" s="59"/>
      <c r="D469" s="59"/>
    </row>
    <row r="470" ht="12.75" customHeight="1">
      <c r="C470" s="59"/>
      <c r="D470" s="59"/>
    </row>
    <row r="471" ht="12.75" customHeight="1">
      <c r="C471" s="59"/>
      <c r="D471" s="59"/>
    </row>
    <row r="472" ht="12.75" customHeight="1">
      <c r="C472" s="59"/>
      <c r="D472" s="59"/>
    </row>
    <row r="473" ht="12.75" customHeight="1">
      <c r="C473" s="59"/>
      <c r="D473" s="59"/>
    </row>
    <row r="474" ht="12.75" customHeight="1">
      <c r="C474" s="59"/>
      <c r="D474" s="59"/>
    </row>
    <row r="475" ht="12.75" customHeight="1">
      <c r="C475" s="59"/>
      <c r="D475" s="59"/>
    </row>
    <row r="476" ht="12.75" customHeight="1">
      <c r="C476" s="59"/>
      <c r="D476" s="59"/>
    </row>
    <row r="477" ht="12.75" customHeight="1">
      <c r="C477" s="59"/>
      <c r="D477" s="59"/>
    </row>
    <row r="478" ht="12.75" customHeight="1">
      <c r="C478" s="59"/>
      <c r="D478" s="59"/>
    </row>
    <row r="479" ht="12.75" customHeight="1">
      <c r="C479" s="59"/>
      <c r="D479" s="59"/>
    </row>
    <row r="480" ht="12.75" customHeight="1">
      <c r="C480" s="59"/>
      <c r="D480" s="59"/>
    </row>
    <row r="481" ht="12.75" customHeight="1">
      <c r="C481" s="59"/>
      <c r="D481" s="59"/>
    </row>
    <row r="482" ht="12.75" customHeight="1">
      <c r="C482" s="59"/>
      <c r="D482" s="59"/>
    </row>
    <row r="483" ht="12.75" customHeight="1">
      <c r="C483" s="59"/>
      <c r="D483" s="59"/>
    </row>
    <row r="484" ht="12.75" customHeight="1">
      <c r="C484" s="59"/>
      <c r="D484" s="59"/>
    </row>
    <row r="485" ht="12.75" customHeight="1">
      <c r="C485" s="59"/>
      <c r="D485" s="59"/>
    </row>
    <row r="486" ht="12.75" customHeight="1">
      <c r="C486" s="59"/>
      <c r="D486" s="59"/>
    </row>
    <row r="487" ht="12.75" customHeight="1">
      <c r="C487" s="59"/>
      <c r="D487" s="59"/>
    </row>
    <row r="488" ht="12.75" customHeight="1">
      <c r="C488" s="59"/>
      <c r="D488" s="59"/>
    </row>
    <row r="489" ht="12.75" customHeight="1">
      <c r="C489" s="59"/>
      <c r="D489" s="59"/>
    </row>
    <row r="490" ht="12.75" customHeight="1">
      <c r="C490" s="59"/>
      <c r="D490" s="59"/>
    </row>
    <row r="491" ht="12.75" customHeight="1">
      <c r="C491" s="59"/>
      <c r="D491" s="59"/>
    </row>
    <row r="492" ht="12.75" customHeight="1">
      <c r="C492" s="59"/>
      <c r="D492" s="59"/>
    </row>
    <row r="493" ht="12.75" customHeight="1">
      <c r="C493" s="59"/>
      <c r="D493" s="59"/>
    </row>
    <row r="494" ht="12.75" customHeight="1">
      <c r="C494" s="59"/>
      <c r="D494" s="59"/>
    </row>
    <row r="495" ht="12.75" customHeight="1">
      <c r="C495" s="59"/>
      <c r="D495" s="59"/>
    </row>
    <row r="496" ht="12.75" customHeight="1">
      <c r="C496" s="59"/>
      <c r="D496" s="59"/>
    </row>
    <row r="497" ht="12.75" customHeight="1">
      <c r="C497" s="59"/>
      <c r="D497" s="59"/>
    </row>
    <row r="498" ht="12.75" customHeight="1">
      <c r="C498" s="59"/>
      <c r="D498" s="59"/>
    </row>
    <row r="499" ht="12.75" customHeight="1">
      <c r="C499" s="59"/>
      <c r="D499" s="59"/>
    </row>
    <row r="500" ht="12.75" customHeight="1">
      <c r="C500" s="59"/>
      <c r="D500" s="59"/>
    </row>
    <row r="501" ht="12.75" customHeight="1">
      <c r="C501" s="59"/>
      <c r="D501" s="59"/>
    </row>
    <row r="502" ht="12.75" customHeight="1">
      <c r="C502" s="59"/>
      <c r="D502" s="59"/>
    </row>
    <row r="503" ht="12.75" customHeight="1">
      <c r="C503" s="59"/>
      <c r="D503" s="59"/>
    </row>
    <row r="504" ht="12.75" customHeight="1">
      <c r="C504" s="59"/>
      <c r="D504" s="59"/>
    </row>
    <row r="505" ht="12.75" customHeight="1">
      <c r="C505" s="59"/>
      <c r="D505" s="59"/>
    </row>
    <row r="506" ht="12.75" customHeight="1">
      <c r="C506" s="59"/>
      <c r="D506" s="59"/>
    </row>
    <row r="507" ht="12.75" customHeight="1">
      <c r="C507" s="59"/>
      <c r="D507" s="59"/>
    </row>
    <row r="508" ht="12.75" customHeight="1">
      <c r="C508" s="59"/>
      <c r="D508" s="59"/>
    </row>
    <row r="509" ht="12.75" customHeight="1">
      <c r="C509" s="59"/>
      <c r="D509" s="59"/>
    </row>
    <row r="510" ht="12.75" customHeight="1">
      <c r="C510" s="59"/>
      <c r="D510" s="59"/>
    </row>
    <row r="511" ht="12.75" customHeight="1">
      <c r="C511" s="59"/>
      <c r="D511" s="59"/>
    </row>
    <row r="512" ht="12.75" customHeight="1">
      <c r="C512" s="59"/>
      <c r="D512" s="59"/>
    </row>
    <row r="513" ht="12.75" customHeight="1">
      <c r="C513" s="59"/>
      <c r="D513" s="59"/>
    </row>
    <row r="514" ht="12.75" customHeight="1">
      <c r="C514" s="59"/>
      <c r="D514" s="59"/>
    </row>
    <row r="515" ht="12.75" customHeight="1">
      <c r="C515" s="59"/>
      <c r="D515" s="59"/>
    </row>
    <row r="516" ht="12.75" customHeight="1">
      <c r="C516" s="59"/>
      <c r="D516" s="59"/>
    </row>
    <row r="517" ht="12.75" customHeight="1">
      <c r="C517" s="59"/>
      <c r="D517" s="59"/>
    </row>
    <row r="518" ht="12.75" customHeight="1">
      <c r="C518" s="59"/>
      <c r="D518" s="59"/>
    </row>
    <row r="519" ht="12.75" customHeight="1">
      <c r="C519" s="59"/>
      <c r="D519" s="59"/>
    </row>
    <row r="520" ht="12.75" customHeight="1">
      <c r="C520" s="59"/>
      <c r="D520" s="59"/>
    </row>
    <row r="521" ht="12.75" customHeight="1">
      <c r="C521" s="59"/>
      <c r="D521" s="59"/>
    </row>
    <row r="522" ht="12.75" customHeight="1">
      <c r="C522" s="59"/>
      <c r="D522" s="59"/>
    </row>
    <row r="523" ht="12.75" customHeight="1">
      <c r="C523" s="59"/>
      <c r="D523" s="59"/>
    </row>
    <row r="524" ht="12.75" customHeight="1">
      <c r="C524" s="59"/>
      <c r="D524" s="59"/>
    </row>
    <row r="525" ht="12.75" customHeight="1">
      <c r="C525" s="59"/>
      <c r="D525" s="59"/>
    </row>
    <row r="526" ht="12.75" customHeight="1">
      <c r="C526" s="59"/>
      <c r="D526" s="59"/>
    </row>
    <row r="527" ht="12.75" customHeight="1">
      <c r="C527" s="59"/>
      <c r="D527" s="59"/>
    </row>
    <row r="528" ht="12.75" customHeight="1">
      <c r="C528" s="59"/>
      <c r="D528" s="59"/>
    </row>
    <row r="529" ht="12.75" customHeight="1">
      <c r="C529" s="59"/>
      <c r="D529" s="59"/>
    </row>
    <row r="530" ht="12.75" customHeight="1">
      <c r="C530" s="59"/>
      <c r="D530" s="59"/>
    </row>
    <row r="531" ht="12.75" customHeight="1">
      <c r="C531" s="59"/>
      <c r="D531" s="59"/>
    </row>
    <row r="532" ht="12.75" customHeight="1">
      <c r="C532" s="59"/>
      <c r="D532" s="59"/>
    </row>
    <row r="533" ht="12.75" customHeight="1">
      <c r="C533" s="59"/>
      <c r="D533" s="59"/>
    </row>
    <row r="534" ht="12.75" customHeight="1">
      <c r="C534" s="59"/>
      <c r="D534" s="59"/>
    </row>
    <row r="535" ht="12.75" customHeight="1">
      <c r="C535" s="59"/>
      <c r="D535" s="59"/>
    </row>
    <row r="536" ht="12.75" customHeight="1">
      <c r="C536" s="59"/>
      <c r="D536" s="59"/>
    </row>
    <row r="537" ht="12.75" customHeight="1">
      <c r="C537" s="59"/>
      <c r="D537" s="59"/>
    </row>
    <row r="538" ht="12.75" customHeight="1">
      <c r="C538" s="59"/>
      <c r="D538" s="59"/>
    </row>
    <row r="539" ht="12.75" customHeight="1">
      <c r="C539" s="59"/>
      <c r="D539" s="59"/>
    </row>
    <row r="540" ht="12.75" customHeight="1">
      <c r="C540" s="59"/>
      <c r="D540" s="59"/>
    </row>
    <row r="541" ht="12.75" customHeight="1">
      <c r="C541" s="59"/>
      <c r="D541" s="59"/>
    </row>
    <row r="542" ht="12.75" customHeight="1">
      <c r="C542" s="59"/>
      <c r="D542" s="59"/>
    </row>
    <row r="543" ht="12.75" customHeight="1">
      <c r="C543" s="59"/>
      <c r="D543" s="59"/>
    </row>
    <row r="544" ht="12.75" customHeight="1">
      <c r="C544" s="59"/>
      <c r="D544" s="59"/>
    </row>
    <row r="545" ht="12.75" customHeight="1">
      <c r="C545" s="59"/>
      <c r="D545" s="59"/>
    </row>
    <row r="546" ht="12.75" customHeight="1">
      <c r="C546" s="59"/>
      <c r="D546" s="59"/>
    </row>
    <row r="547" ht="12.75" customHeight="1">
      <c r="C547" s="59"/>
      <c r="D547" s="59"/>
    </row>
    <row r="548" ht="12.75" customHeight="1">
      <c r="C548" s="59"/>
      <c r="D548" s="59"/>
    </row>
    <row r="549" ht="12.75" customHeight="1">
      <c r="C549" s="59"/>
      <c r="D549" s="59"/>
    </row>
    <row r="550" ht="12.75" customHeight="1">
      <c r="C550" s="59"/>
      <c r="D550" s="59"/>
    </row>
    <row r="551" ht="12.75" customHeight="1">
      <c r="C551" s="59"/>
      <c r="D551" s="59"/>
    </row>
    <row r="552" ht="12.75" customHeight="1">
      <c r="C552" s="59"/>
      <c r="D552" s="59"/>
    </row>
    <row r="553" ht="12.75" customHeight="1">
      <c r="C553" s="59"/>
      <c r="D553" s="59"/>
    </row>
    <row r="554" ht="12.75" customHeight="1">
      <c r="C554" s="59"/>
      <c r="D554" s="59"/>
    </row>
    <row r="555" ht="12.75" customHeight="1">
      <c r="C555" s="59"/>
      <c r="D555" s="59"/>
    </row>
    <row r="556" ht="12.75" customHeight="1">
      <c r="C556" s="59"/>
      <c r="D556" s="59"/>
    </row>
    <row r="557" ht="12.75" customHeight="1">
      <c r="C557" s="59"/>
      <c r="D557" s="59"/>
    </row>
    <row r="558" ht="12.75" customHeight="1">
      <c r="C558" s="59"/>
      <c r="D558" s="59"/>
    </row>
    <row r="559" ht="12.75" customHeight="1">
      <c r="C559" s="59"/>
      <c r="D559" s="59"/>
    </row>
    <row r="560" ht="12.75" customHeight="1">
      <c r="C560" s="59"/>
      <c r="D560" s="59"/>
    </row>
    <row r="561" ht="12.75" customHeight="1">
      <c r="C561" s="59"/>
      <c r="D561" s="59"/>
    </row>
    <row r="562" ht="12.75" customHeight="1">
      <c r="C562" s="59"/>
      <c r="D562" s="59"/>
    </row>
    <row r="563" ht="12.75" customHeight="1">
      <c r="C563" s="59"/>
      <c r="D563" s="59"/>
    </row>
    <row r="564" ht="12.75" customHeight="1">
      <c r="C564" s="59"/>
      <c r="D564" s="59"/>
    </row>
    <row r="565" ht="12.75" customHeight="1">
      <c r="C565" s="59"/>
      <c r="D565" s="59"/>
    </row>
    <row r="566" ht="12.75" customHeight="1">
      <c r="C566" s="59"/>
      <c r="D566" s="59"/>
    </row>
    <row r="567" ht="12.75" customHeight="1">
      <c r="C567" s="59"/>
      <c r="D567" s="59"/>
    </row>
    <row r="568" ht="12.75" customHeight="1">
      <c r="C568" s="59"/>
      <c r="D568" s="59"/>
    </row>
    <row r="569" ht="12.75" customHeight="1">
      <c r="C569" s="59"/>
      <c r="D569" s="59"/>
    </row>
    <row r="570" ht="12.75" customHeight="1">
      <c r="C570" s="59"/>
      <c r="D570" s="59"/>
    </row>
    <row r="571" ht="12.75" customHeight="1">
      <c r="C571" s="59"/>
      <c r="D571" s="59"/>
    </row>
    <row r="572" ht="12.75" customHeight="1">
      <c r="C572" s="59"/>
      <c r="D572" s="59"/>
    </row>
    <row r="573" ht="12.75" customHeight="1">
      <c r="C573" s="59"/>
      <c r="D573" s="59"/>
    </row>
    <row r="574" ht="12.75" customHeight="1">
      <c r="C574" s="59"/>
      <c r="D574" s="59"/>
    </row>
    <row r="575" ht="12.75" customHeight="1">
      <c r="C575" s="59"/>
      <c r="D575" s="59"/>
    </row>
    <row r="576" ht="12.75" customHeight="1">
      <c r="C576" s="59"/>
      <c r="D576" s="59"/>
    </row>
    <row r="577" ht="12.75" customHeight="1">
      <c r="C577" s="59"/>
      <c r="D577" s="59"/>
    </row>
    <row r="578" ht="12.75" customHeight="1">
      <c r="C578" s="59"/>
      <c r="D578" s="59"/>
    </row>
    <row r="579" ht="12.75" customHeight="1">
      <c r="C579" s="59"/>
      <c r="D579" s="59"/>
    </row>
    <row r="580" ht="12.75" customHeight="1">
      <c r="C580" s="59"/>
      <c r="D580" s="59"/>
    </row>
    <row r="581" ht="12.75" customHeight="1">
      <c r="C581" s="59"/>
      <c r="D581" s="59"/>
    </row>
    <row r="582" ht="12.75" customHeight="1">
      <c r="C582" s="59"/>
      <c r="D582" s="59"/>
    </row>
    <row r="583" ht="12.75" customHeight="1">
      <c r="C583" s="59"/>
      <c r="D583" s="59"/>
    </row>
    <row r="584" ht="12.75" customHeight="1">
      <c r="C584" s="59"/>
      <c r="D584" s="59"/>
    </row>
    <row r="585" ht="12.75" customHeight="1">
      <c r="C585" s="59"/>
      <c r="D585" s="59"/>
    </row>
    <row r="586" ht="12.75" customHeight="1">
      <c r="C586" s="59"/>
      <c r="D586" s="59"/>
    </row>
    <row r="587" ht="12.75" customHeight="1">
      <c r="C587" s="59"/>
      <c r="D587" s="59"/>
    </row>
    <row r="588" ht="12.75" customHeight="1">
      <c r="C588" s="59"/>
      <c r="D588" s="59"/>
    </row>
    <row r="589" ht="12.75" customHeight="1">
      <c r="C589" s="59"/>
      <c r="D589" s="59"/>
    </row>
    <row r="590" ht="12.75" customHeight="1">
      <c r="C590" s="59"/>
      <c r="D590" s="59"/>
    </row>
    <row r="591" ht="12.75" customHeight="1">
      <c r="C591" s="59"/>
      <c r="D591" s="59"/>
    </row>
    <row r="592" ht="12.75" customHeight="1">
      <c r="C592" s="59"/>
      <c r="D592" s="59"/>
    </row>
    <row r="593" ht="12.75" customHeight="1">
      <c r="C593" s="59"/>
      <c r="D593" s="59"/>
    </row>
    <row r="594" ht="12.75" customHeight="1">
      <c r="C594" s="59"/>
      <c r="D594" s="59"/>
    </row>
    <row r="595" ht="12.75" customHeight="1">
      <c r="C595" s="59"/>
      <c r="D595" s="59"/>
    </row>
    <row r="596" ht="12.75" customHeight="1">
      <c r="C596" s="59"/>
      <c r="D596" s="59"/>
    </row>
    <row r="597" ht="12.75" customHeight="1">
      <c r="C597" s="59"/>
      <c r="D597" s="59"/>
    </row>
    <row r="598" ht="12.75" customHeight="1">
      <c r="C598" s="59"/>
      <c r="D598" s="59"/>
    </row>
    <row r="599" ht="12.75" customHeight="1">
      <c r="C599" s="59"/>
      <c r="D599" s="59"/>
    </row>
    <row r="600" ht="12.75" customHeight="1">
      <c r="C600" s="59"/>
      <c r="D600" s="59"/>
    </row>
    <row r="601" ht="12.75" customHeight="1">
      <c r="C601" s="59"/>
      <c r="D601" s="59"/>
    </row>
    <row r="602" ht="12.75" customHeight="1">
      <c r="C602" s="59"/>
      <c r="D602" s="59"/>
    </row>
    <row r="603" ht="12.75" customHeight="1">
      <c r="C603" s="59"/>
      <c r="D603" s="59"/>
    </row>
    <row r="604" ht="12.75" customHeight="1">
      <c r="C604" s="59"/>
      <c r="D604" s="59"/>
    </row>
    <row r="605" ht="12.75" customHeight="1">
      <c r="C605" s="59"/>
      <c r="D605" s="59"/>
    </row>
    <row r="606" ht="12.75" customHeight="1">
      <c r="C606" s="59"/>
      <c r="D606" s="59"/>
    </row>
    <row r="607" ht="12.75" customHeight="1">
      <c r="C607" s="59"/>
      <c r="D607" s="59"/>
    </row>
    <row r="608" ht="12.75" customHeight="1">
      <c r="C608" s="59"/>
      <c r="D608" s="59"/>
    </row>
    <row r="609" ht="12.75" customHeight="1">
      <c r="C609" s="59"/>
      <c r="D609" s="59"/>
    </row>
    <row r="610" ht="12.75" customHeight="1">
      <c r="C610" s="59"/>
      <c r="D610" s="59"/>
    </row>
    <row r="611" ht="12.75" customHeight="1">
      <c r="C611" s="59"/>
      <c r="D611" s="59"/>
    </row>
    <row r="612" ht="12.75" customHeight="1">
      <c r="C612" s="59"/>
      <c r="D612" s="59"/>
    </row>
    <row r="613" ht="12.75" customHeight="1">
      <c r="C613" s="59"/>
      <c r="D613" s="59"/>
    </row>
    <row r="614" ht="12.75" customHeight="1">
      <c r="C614" s="59"/>
      <c r="D614" s="59"/>
    </row>
    <row r="615" ht="12.75" customHeight="1">
      <c r="C615" s="59"/>
      <c r="D615" s="59"/>
    </row>
    <row r="616" ht="12.75" customHeight="1">
      <c r="C616" s="59"/>
      <c r="D616" s="59"/>
    </row>
    <row r="617" ht="12.75" customHeight="1">
      <c r="C617" s="59"/>
      <c r="D617" s="59"/>
    </row>
    <row r="618" ht="12.75" customHeight="1">
      <c r="C618" s="59"/>
      <c r="D618" s="59"/>
    </row>
    <row r="619" ht="12.75" customHeight="1">
      <c r="C619" s="59"/>
      <c r="D619" s="59"/>
    </row>
    <row r="620" ht="12.75" customHeight="1">
      <c r="C620" s="59"/>
      <c r="D620" s="59"/>
    </row>
    <row r="621" ht="12.75" customHeight="1">
      <c r="C621" s="59"/>
      <c r="D621" s="59"/>
    </row>
    <row r="622" ht="12.75" customHeight="1">
      <c r="C622" s="59"/>
      <c r="D622" s="59"/>
    </row>
    <row r="623" ht="12.75" customHeight="1">
      <c r="C623" s="59"/>
      <c r="D623" s="59"/>
    </row>
    <row r="624" ht="12.75" customHeight="1">
      <c r="C624" s="59"/>
      <c r="D624" s="59"/>
    </row>
    <row r="625" ht="12.75" customHeight="1">
      <c r="C625" s="59"/>
      <c r="D625" s="59"/>
    </row>
    <row r="626" ht="12.75" customHeight="1">
      <c r="C626" s="59"/>
      <c r="D626" s="59"/>
    </row>
    <row r="627" ht="12.75" customHeight="1">
      <c r="C627" s="59"/>
      <c r="D627" s="59"/>
    </row>
    <row r="628" ht="12.75" customHeight="1">
      <c r="C628" s="59"/>
      <c r="D628" s="59"/>
    </row>
    <row r="629" ht="12.75" customHeight="1">
      <c r="C629" s="59"/>
      <c r="D629" s="59"/>
    </row>
    <row r="630" ht="12.75" customHeight="1">
      <c r="C630" s="59"/>
      <c r="D630" s="59"/>
    </row>
    <row r="631" ht="12.75" customHeight="1">
      <c r="C631" s="59"/>
      <c r="D631" s="59"/>
    </row>
    <row r="632" ht="12.75" customHeight="1">
      <c r="C632" s="59"/>
      <c r="D632" s="59"/>
    </row>
    <row r="633" ht="12.75" customHeight="1">
      <c r="C633" s="59"/>
      <c r="D633" s="59"/>
    </row>
    <row r="634" ht="12.75" customHeight="1">
      <c r="C634" s="59"/>
      <c r="D634" s="59"/>
    </row>
    <row r="635" ht="12.75" customHeight="1">
      <c r="C635" s="59"/>
      <c r="D635" s="59"/>
    </row>
    <row r="636" ht="12.75" customHeight="1">
      <c r="C636" s="59"/>
      <c r="D636" s="59"/>
    </row>
    <row r="637" ht="12.75" customHeight="1">
      <c r="C637" s="59"/>
      <c r="D637" s="59"/>
    </row>
    <row r="638" ht="12.75" customHeight="1">
      <c r="C638" s="59"/>
      <c r="D638" s="59"/>
    </row>
    <row r="639" ht="12.75" customHeight="1">
      <c r="C639" s="59"/>
      <c r="D639" s="59"/>
    </row>
    <row r="640" ht="12.75" customHeight="1">
      <c r="C640" s="59"/>
      <c r="D640" s="59"/>
    </row>
    <row r="641" ht="12.75" customHeight="1">
      <c r="C641" s="59"/>
      <c r="D641" s="59"/>
    </row>
    <row r="642" ht="12.75" customHeight="1">
      <c r="C642" s="59"/>
      <c r="D642" s="59"/>
    </row>
    <row r="643" ht="12.75" customHeight="1">
      <c r="C643" s="59"/>
      <c r="D643" s="59"/>
    </row>
    <row r="644" ht="12.75" customHeight="1">
      <c r="C644" s="59"/>
      <c r="D644" s="59"/>
    </row>
    <row r="645" ht="12.75" customHeight="1">
      <c r="C645" s="59"/>
      <c r="D645" s="59"/>
    </row>
    <row r="646" ht="12.75" customHeight="1">
      <c r="C646" s="59"/>
      <c r="D646" s="59"/>
    </row>
    <row r="647" ht="12.75" customHeight="1">
      <c r="C647" s="59"/>
      <c r="D647" s="59"/>
    </row>
    <row r="648" ht="12.75" customHeight="1">
      <c r="C648" s="59"/>
      <c r="D648" s="59"/>
    </row>
    <row r="649" ht="12.75" customHeight="1">
      <c r="C649" s="59"/>
      <c r="D649" s="59"/>
    </row>
    <row r="650" ht="12.75" customHeight="1">
      <c r="C650" s="59"/>
      <c r="D650" s="59"/>
    </row>
    <row r="651" ht="12.75" customHeight="1">
      <c r="C651" s="59"/>
      <c r="D651" s="59"/>
    </row>
    <row r="652" ht="12.75" customHeight="1">
      <c r="C652" s="59"/>
      <c r="D652" s="59"/>
    </row>
    <row r="653" ht="12.75" customHeight="1">
      <c r="C653" s="59"/>
      <c r="D653" s="59"/>
    </row>
    <row r="654" ht="12.75" customHeight="1">
      <c r="C654" s="59"/>
      <c r="D654" s="59"/>
    </row>
    <row r="655" ht="12.75" customHeight="1">
      <c r="C655" s="59"/>
      <c r="D655" s="59"/>
    </row>
    <row r="656" ht="12.75" customHeight="1">
      <c r="C656" s="59"/>
      <c r="D656" s="59"/>
    </row>
    <row r="657" ht="12.75" customHeight="1">
      <c r="C657" s="59"/>
      <c r="D657" s="59"/>
    </row>
    <row r="658" ht="12.75" customHeight="1">
      <c r="C658" s="59"/>
      <c r="D658" s="59"/>
    </row>
    <row r="659" ht="12.75" customHeight="1">
      <c r="C659" s="59"/>
      <c r="D659" s="59"/>
    </row>
    <row r="660" ht="12.75" customHeight="1">
      <c r="C660" s="59"/>
      <c r="D660" s="59"/>
    </row>
    <row r="661" ht="12.75" customHeight="1">
      <c r="C661" s="59"/>
      <c r="D661" s="59"/>
    </row>
    <row r="662" ht="12.75" customHeight="1">
      <c r="C662" s="59"/>
      <c r="D662" s="59"/>
    </row>
    <row r="663" ht="12.75" customHeight="1">
      <c r="C663" s="59"/>
      <c r="D663" s="59"/>
    </row>
    <row r="664" ht="12.75" customHeight="1">
      <c r="C664" s="59"/>
      <c r="D664" s="59"/>
    </row>
    <row r="665" ht="12.75" customHeight="1">
      <c r="C665" s="59"/>
      <c r="D665" s="59"/>
    </row>
    <row r="666" ht="12.75" customHeight="1">
      <c r="C666" s="59"/>
      <c r="D666" s="59"/>
    </row>
    <row r="667" ht="12.75" customHeight="1">
      <c r="C667" s="59"/>
      <c r="D667" s="59"/>
    </row>
    <row r="668" ht="12.75" customHeight="1">
      <c r="C668" s="59"/>
      <c r="D668" s="59"/>
    </row>
    <row r="669" ht="12.75" customHeight="1">
      <c r="C669" s="59"/>
      <c r="D669" s="59"/>
    </row>
    <row r="670" ht="12.75" customHeight="1">
      <c r="C670" s="59"/>
      <c r="D670" s="59"/>
    </row>
    <row r="671" ht="12.75" customHeight="1">
      <c r="C671" s="59"/>
      <c r="D671" s="59"/>
    </row>
    <row r="672" ht="12.75" customHeight="1">
      <c r="C672" s="59"/>
      <c r="D672" s="59"/>
    </row>
    <row r="673" ht="12.75" customHeight="1">
      <c r="C673" s="59"/>
      <c r="D673" s="59"/>
    </row>
    <row r="674" ht="12.75" customHeight="1">
      <c r="C674" s="59"/>
      <c r="D674" s="59"/>
    </row>
    <row r="675" ht="12.75" customHeight="1">
      <c r="C675" s="59"/>
      <c r="D675" s="59"/>
    </row>
    <row r="676" ht="12.75" customHeight="1">
      <c r="C676" s="59"/>
      <c r="D676" s="59"/>
    </row>
    <row r="677" ht="12.75" customHeight="1">
      <c r="C677" s="59"/>
      <c r="D677" s="59"/>
    </row>
    <row r="678" ht="12.75" customHeight="1">
      <c r="C678" s="59"/>
      <c r="D678" s="59"/>
    </row>
    <row r="679" ht="12.75" customHeight="1">
      <c r="C679" s="59"/>
      <c r="D679" s="59"/>
    </row>
    <row r="680" ht="12.75" customHeight="1">
      <c r="C680" s="59"/>
      <c r="D680" s="59"/>
    </row>
    <row r="681" ht="12.75" customHeight="1">
      <c r="C681" s="59"/>
      <c r="D681" s="59"/>
    </row>
    <row r="682" ht="12.75" customHeight="1">
      <c r="C682" s="59"/>
      <c r="D682" s="59"/>
    </row>
    <row r="683" ht="12.75" customHeight="1">
      <c r="C683" s="59"/>
      <c r="D683" s="59"/>
    </row>
    <row r="684" ht="12.75" customHeight="1">
      <c r="C684" s="59"/>
      <c r="D684" s="59"/>
    </row>
    <row r="685" ht="12.75" customHeight="1">
      <c r="C685" s="59"/>
      <c r="D685" s="59"/>
    </row>
    <row r="686" ht="12.75" customHeight="1">
      <c r="C686" s="59"/>
      <c r="D686" s="59"/>
    </row>
    <row r="687" ht="12.75" customHeight="1">
      <c r="C687" s="59"/>
      <c r="D687" s="59"/>
    </row>
    <row r="688" ht="12.75" customHeight="1">
      <c r="C688" s="59"/>
      <c r="D688" s="59"/>
    </row>
    <row r="689" ht="12.75" customHeight="1">
      <c r="C689" s="59"/>
      <c r="D689" s="59"/>
    </row>
    <row r="690" ht="12.75" customHeight="1">
      <c r="C690" s="59"/>
      <c r="D690" s="59"/>
    </row>
    <row r="691" ht="12.75" customHeight="1">
      <c r="C691" s="59"/>
      <c r="D691" s="59"/>
    </row>
    <row r="692" ht="12.75" customHeight="1">
      <c r="C692" s="59"/>
      <c r="D692" s="59"/>
    </row>
    <row r="693" ht="12.75" customHeight="1">
      <c r="C693" s="59"/>
      <c r="D693" s="59"/>
    </row>
    <row r="694" ht="12.75" customHeight="1">
      <c r="C694" s="59"/>
      <c r="D694" s="59"/>
    </row>
    <row r="695" ht="12.75" customHeight="1">
      <c r="C695" s="59"/>
      <c r="D695" s="59"/>
    </row>
    <row r="696" ht="12.75" customHeight="1">
      <c r="C696" s="59"/>
      <c r="D696" s="59"/>
    </row>
    <row r="697" ht="12.75" customHeight="1">
      <c r="C697" s="59"/>
      <c r="D697" s="59"/>
    </row>
    <row r="698" ht="12.75" customHeight="1">
      <c r="C698" s="59"/>
      <c r="D698" s="59"/>
    </row>
    <row r="699" ht="12.75" customHeight="1">
      <c r="C699" s="59"/>
      <c r="D699" s="59"/>
    </row>
    <row r="700" ht="12.75" customHeight="1">
      <c r="C700" s="59"/>
      <c r="D700" s="59"/>
    </row>
    <row r="701" ht="12.75" customHeight="1">
      <c r="C701" s="59"/>
      <c r="D701" s="59"/>
    </row>
    <row r="702" ht="12.75" customHeight="1">
      <c r="C702" s="59"/>
      <c r="D702" s="59"/>
    </row>
    <row r="703" ht="12.75" customHeight="1">
      <c r="C703" s="59"/>
      <c r="D703" s="59"/>
    </row>
    <row r="704" ht="12.75" customHeight="1">
      <c r="C704" s="59"/>
      <c r="D704" s="59"/>
    </row>
    <row r="705" ht="12.75" customHeight="1">
      <c r="C705" s="59"/>
      <c r="D705" s="59"/>
    </row>
    <row r="706" ht="12.75" customHeight="1">
      <c r="C706" s="59"/>
      <c r="D706" s="59"/>
    </row>
    <row r="707" ht="12.75" customHeight="1">
      <c r="C707" s="59"/>
      <c r="D707" s="59"/>
    </row>
    <row r="708" ht="12.75" customHeight="1">
      <c r="C708" s="59"/>
      <c r="D708" s="59"/>
    </row>
    <row r="709" ht="12.75" customHeight="1">
      <c r="C709" s="59"/>
      <c r="D709" s="59"/>
    </row>
    <row r="710" ht="12.75" customHeight="1">
      <c r="C710" s="59"/>
      <c r="D710" s="59"/>
    </row>
    <row r="711" ht="12.75" customHeight="1">
      <c r="C711" s="59"/>
      <c r="D711" s="59"/>
    </row>
    <row r="712" ht="12.75" customHeight="1">
      <c r="C712" s="59"/>
      <c r="D712" s="59"/>
    </row>
    <row r="713" ht="12.75" customHeight="1">
      <c r="C713" s="59"/>
      <c r="D713" s="59"/>
    </row>
    <row r="714" ht="12.75" customHeight="1">
      <c r="C714" s="59"/>
      <c r="D714" s="59"/>
    </row>
    <row r="715" ht="12.75" customHeight="1">
      <c r="C715" s="59"/>
      <c r="D715" s="59"/>
    </row>
    <row r="716" ht="12.75" customHeight="1">
      <c r="C716" s="59"/>
      <c r="D716" s="59"/>
    </row>
    <row r="717" ht="12.75" customHeight="1">
      <c r="C717" s="59"/>
      <c r="D717" s="59"/>
    </row>
    <row r="718" ht="12.75" customHeight="1">
      <c r="C718" s="59"/>
      <c r="D718" s="59"/>
    </row>
    <row r="719" ht="12.75" customHeight="1">
      <c r="C719" s="59"/>
      <c r="D719" s="59"/>
    </row>
    <row r="720" ht="12.75" customHeight="1">
      <c r="C720" s="59"/>
      <c r="D720" s="59"/>
    </row>
    <row r="721" ht="12.75" customHeight="1">
      <c r="C721" s="59"/>
      <c r="D721" s="59"/>
    </row>
    <row r="722" ht="12.75" customHeight="1">
      <c r="C722" s="59"/>
      <c r="D722" s="59"/>
    </row>
    <row r="723" ht="12.75" customHeight="1">
      <c r="C723" s="59"/>
      <c r="D723" s="59"/>
    </row>
    <row r="724" ht="12.75" customHeight="1">
      <c r="C724" s="59"/>
      <c r="D724" s="59"/>
    </row>
    <row r="725" ht="12.75" customHeight="1">
      <c r="C725" s="59"/>
      <c r="D725" s="59"/>
    </row>
    <row r="726" ht="12.75" customHeight="1">
      <c r="C726" s="59"/>
      <c r="D726" s="59"/>
    </row>
    <row r="727" ht="12.75" customHeight="1">
      <c r="C727" s="59"/>
      <c r="D727" s="59"/>
    </row>
    <row r="728" ht="12.75" customHeight="1">
      <c r="C728" s="59"/>
      <c r="D728" s="59"/>
    </row>
    <row r="729" ht="12.75" customHeight="1">
      <c r="C729" s="59"/>
      <c r="D729" s="59"/>
    </row>
    <row r="730" ht="12.75" customHeight="1">
      <c r="C730" s="59"/>
      <c r="D730" s="59"/>
    </row>
    <row r="731" ht="12.75" customHeight="1">
      <c r="C731" s="59"/>
      <c r="D731" s="59"/>
    </row>
    <row r="732" ht="12.75" customHeight="1">
      <c r="C732" s="59"/>
      <c r="D732" s="59"/>
    </row>
    <row r="733" ht="12.75" customHeight="1">
      <c r="C733" s="59"/>
      <c r="D733" s="59"/>
    </row>
    <row r="734" ht="12.75" customHeight="1">
      <c r="C734" s="59"/>
      <c r="D734" s="59"/>
    </row>
    <row r="735" ht="12.75" customHeight="1">
      <c r="C735" s="59"/>
      <c r="D735" s="59"/>
    </row>
    <row r="736" ht="12.75" customHeight="1">
      <c r="C736" s="59"/>
      <c r="D736" s="59"/>
    </row>
    <row r="737" ht="12.75" customHeight="1">
      <c r="C737" s="59"/>
      <c r="D737" s="59"/>
    </row>
    <row r="738" ht="12.75" customHeight="1">
      <c r="C738" s="59"/>
      <c r="D738" s="59"/>
    </row>
    <row r="739" ht="12.75" customHeight="1">
      <c r="C739" s="59"/>
      <c r="D739" s="59"/>
    </row>
    <row r="740" ht="12.75" customHeight="1">
      <c r="C740" s="59"/>
      <c r="D740" s="59"/>
    </row>
    <row r="741" ht="12.75" customHeight="1">
      <c r="C741" s="59"/>
      <c r="D741" s="59"/>
    </row>
    <row r="742" ht="12.75" customHeight="1">
      <c r="C742" s="59"/>
      <c r="D742" s="59"/>
    </row>
    <row r="743" ht="12.75" customHeight="1">
      <c r="C743" s="59"/>
      <c r="D743" s="59"/>
    </row>
    <row r="744" ht="12.75" customHeight="1">
      <c r="C744" s="59"/>
      <c r="D744" s="59"/>
    </row>
    <row r="745" ht="12.75" customHeight="1">
      <c r="C745" s="59"/>
      <c r="D745" s="59"/>
    </row>
    <row r="746" ht="12.75" customHeight="1">
      <c r="C746" s="59"/>
      <c r="D746" s="59"/>
    </row>
    <row r="747" ht="12.75" customHeight="1">
      <c r="C747" s="59"/>
      <c r="D747" s="59"/>
    </row>
    <row r="748" ht="12.75" customHeight="1">
      <c r="C748" s="59"/>
      <c r="D748" s="59"/>
    </row>
    <row r="749" ht="12.75" customHeight="1">
      <c r="C749" s="59"/>
      <c r="D749" s="59"/>
    </row>
    <row r="750" ht="12.75" customHeight="1">
      <c r="C750" s="59"/>
      <c r="D750" s="59"/>
    </row>
    <row r="751" ht="12.75" customHeight="1">
      <c r="C751" s="59"/>
      <c r="D751" s="59"/>
    </row>
    <row r="752" ht="12.75" customHeight="1">
      <c r="C752" s="59"/>
      <c r="D752" s="59"/>
    </row>
    <row r="753" ht="12.75" customHeight="1">
      <c r="C753" s="59"/>
      <c r="D753" s="59"/>
    </row>
    <row r="754" ht="12.75" customHeight="1">
      <c r="C754" s="59"/>
      <c r="D754" s="59"/>
    </row>
    <row r="755" ht="12.75" customHeight="1">
      <c r="C755" s="59"/>
      <c r="D755" s="59"/>
    </row>
    <row r="756" ht="12.75" customHeight="1">
      <c r="C756" s="59"/>
      <c r="D756" s="59"/>
    </row>
    <row r="757" ht="12.75" customHeight="1">
      <c r="C757" s="59"/>
      <c r="D757" s="59"/>
    </row>
    <row r="758" ht="12.75" customHeight="1">
      <c r="C758" s="59"/>
      <c r="D758" s="59"/>
    </row>
    <row r="759" ht="12.75" customHeight="1">
      <c r="C759" s="59"/>
      <c r="D759" s="59"/>
    </row>
    <row r="760" ht="12.75" customHeight="1">
      <c r="C760" s="59"/>
      <c r="D760" s="59"/>
    </row>
    <row r="761" ht="12.75" customHeight="1">
      <c r="C761" s="59"/>
      <c r="D761" s="59"/>
    </row>
    <row r="762" ht="12.75" customHeight="1">
      <c r="C762" s="59"/>
      <c r="D762" s="59"/>
    </row>
    <row r="763" ht="12.75" customHeight="1">
      <c r="C763" s="59"/>
      <c r="D763" s="59"/>
    </row>
    <row r="764" ht="12.75" customHeight="1">
      <c r="C764" s="59"/>
      <c r="D764" s="59"/>
    </row>
    <row r="765" ht="12.75" customHeight="1">
      <c r="C765" s="59"/>
      <c r="D765" s="59"/>
    </row>
    <row r="766" ht="12.75" customHeight="1">
      <c r="C766" s="59"/>
      <c r="D766" s="59"/>
    </row>
    <row r="767" ht="12.75" customHeight="1">
      <c r="C767" s="59"/>
      <c r="D767" s="59"/>
    </row>
    <row r="768" ht="12.75" customHeight="1">
      <c r="C768" s="59"/>
      <c r="D768" s="59"/>
    </row>
    <row r="769" ht="12.75" customHeight="1">
      <c r="C769" s="59"/>
      <c r="D769" s="59"/>
    </row>
    <row r="770" ht="12.75" customHeight="1">
      <c r="C770" s="59"/>
      <c r="D770" s="59"/>
    </row>
    <row r="771" ht="12.75" customHeight="1">
      <c r="C771" s="59"/>
      <c r="D771" s="59"/>
    </row>
    <row r="772" ht="12.75" customHeight="1">
      <c r="C772" s="59"/>
      <c r="D772" s="59"/>
    </row>
    <row r="773" ht="12.75" customHeight="1">
      <c r="C773" s="59"/>
      <c r="D773" s="59"/>
    </row>
    <row r="774" ht="12.75" customHeight="1">
      <c r="C774" s="59"/>
      <c r="D774" s="59"/>
    </row>
    <row r="775" ht="12.75" customHeight="1">
      <c r="C775" s="59"/>
      <c r="D775" s="59"/>
    </row>
    <row r="776" ht="12.75" customHeight="1">
      <c r="C776" s="59"/>
      <c r="D776" s="59"/>
    </row>
    <row r="777" ht="12.75" customHeight="1">
      <c r="C777" s="59"/>
      <c r="D777" s="59"/>
    </row>
    <row r="778" ht="12.75" customHeight="1">
      <c r="C778" s="59"/>
      <c r="D778" s="59"/>
    </row>
    <row r="779" ht="12.75" customHeight="1">
      <c r="C779" s="59"/>
      <c r="D779" s="59"/>
    </row>
    <row r="780" ht="12.75" customHeight="1">
      <c r="C780" s="59"/>
      <c r="D780" s="59"/>
    </row>
    <row r="781" ht="12.75" customHeight="1">
      <c r="C781" s="59"/>
      <c r="D781" s="59"/>
    </row>
    <row r="782" ht="12.75" customHeight="1">
      <c r="C782" s="59"/>
      <c r="D782" s="59"/>
    </row>
    <row r="783" ht="12.75" customHeight="1">
      <c r="C783" s="59"/>
      <c r="D783" s="59"/>
    </row>
    <row r="784" ht="12.75" customHeight="1">
      <c r="C784" s="59"/>
      <c r="D784" s="59"/>
    </row>
    <row r="785" ht="12.75" customHeight="1">
      <c r="C785" s="59"/>
      <c r="D785" s="59"/>
    </row>
    <row r="786" ht="12.75" customHeight="1">
      <c r="C786" s="59"/>
      <c r="D786" s="59"/>
    </row>
    <row r="787" ht="12.75" customHeight="1">
      <c r="C787" s="59"/>
      <c r="D787" s="59"/>
    </row>
    <row r="788" ht="12.75" customHeight="1">
      <c r="C788" s="59"/>
      <c r="D788" s="59"/>
    </row>
    <row r="789" ht="12.75" customHeight="1">
      <c r="C789" s="59"/>
      <c r="D789" s="59"/>
    </row>
    <row r="790" ht="12.75" customHeight="1">
      <c r="C790" s="59"/>
      <c r="D790" s="59"/>
    </row>
    <row r="791" ht="12.75" customHeight="1">
      <c r="C791" s="59"/>
      <c r="D791" s="59"/>
    </row>
    <row r="792" ht="12.75" customHeight="1">
      <c r="C792" s="59"/>
      <c r="D792" s="59"/>
    </row>
    <row r="793" ht="12.75" customHeight="1">
      <c r="C793" s="59"/>
      <c r="D793" s="59"/>
    </row>
    <row r="794" ht="12.75" customHeight="1">
      <c r="C794" s="59"/>
      <c r="D794" s="59"/>
    </row>
    <row r="795" ht="12.75" customHeight="1">
      <c r="C795" s="59"/>
      <c r="D795" s="59"/>
    </row>
    <row r="796" ht="12.75" customHeight="1">
      <c r="C796" s="59"/>
      <c r="D796" s="59"/>
    </row>
    <row r="797" ht="12.75" customHeight="1">
      <c r="C797" s="59"/>
      <c r="D797" s="59"/>
    </row>
    <row r="798" ht="12.75" customHeight="1">
      <c r="C798" s="59"/>
      <c r="D798" s="59"/>
    </row>
    <row r="799" ht="12.75" customHeight="1">
      <c r="C799" s="59"/>
      <c r="D799" s="59"/>
    </row>
    <row r="800" ht="12.75" customHeight="1">
      <c r="C800" s="59"/>
      <c r="D800" s="59"/>
    </row>
    <row r="801" ht="12.75" customHeight="1">
      <c r="C801" s="59"/>
      <c r="D801" s="59"/>
    </row>
    <row r="802" ht="12.75" customHeight="1">
      <c r="C802" s="59"/>
      <c r="D802" s="59"/>
    </row>
    <row r="803" ht="12.75" customHeight="1">
      <c r="C803" s="59"/>
      <c r="D803" s="59"/>
    </row>
    <row r="804" ht="12.75" customHeight="1">
      <c r="C804" s="59"/>
      <c r="D804" s="59"/>
    </row>
    <row r="805" ht="12.75" customHeight="1">
      <c r="C805" s="59"/>
      <c r="D805" s="59"/>
    </row>
    <row r="806" ht="12.75" customHeight="1">
      <c r="C806" s="59"/>
      <c r="D806" s="59"/>
    </row>
    <row r="807" ht="12.75" customHeight="1">
      <c r="C807" s="59"/>
      <c r="D807" s="59"/>
    </row>
    <row r="808" ht="12.75" customHeight="1">
      <c r="C808" s="59"/>
      <c r="D808" s="59"/>
    </row>
    <row r="809" ht="12.75" customHeight="1">
      <c r="C809" s="59"/>
      <c r="D809" s="59"/>
    </row>
    <row r="810" ht="12.75" customHeight="1">
      <c r="C810" s="59"/>
      <c r="D810" s="59"/>
    </row>
    <row r="811" ht="12.75" customHeight="1">
      <c r="C811" s="59"/>
      <c r="D811" s="59"/>
    </row>
    <row r="812" ht="12.75" customHeight="1">
      <c r="C812" s="59"/>
      <c r="D812" s="59"/>
    </row>
    <row r="813" ht="12.75" customHeight="1">
      <c r="C813" s="59"/>
      <c r="D813" s="59"/>
    </row>
    <row r="814" ht="12.75" customHeight="1">
      <c r="C814" s="59"/>
      <c r="D814" s="59"/>
    </row>
    <row r="815" ht="12.75" customHeight="1">
      <c r="C815" s="59"/>
      <c r="D815" s="59"/>
    </row>
    <row r="816" ht="12.75" customHeight="1">
      <c r="C816" s="59"/>
      <c r="D816" s="59"/>
    </row>
    <row r="817" ht="12.75" customHeight="1">
      <c r="C817" s="59"/>
      <c r="D817" s="59"/>
    </row>
    <row r="818" ht="12.75" customHeight="1">
      <c r="C818" s="59"/>
      <c r="D818" s="59"/>
    </row>
    <row r="819" ht="12.75" customHeight="1">
      <c r="C819" s="59"/>
      <c r="D819" s="59"/>
    </row>
    <row r="820" ht="12.75" customHeight="1">
      <c r="C820" s="59"/>
      <c r="D820" s="59"/>
    </row>
    <row r="821" ht="12.75" customHeight="1">
      <c r="C821" s="59"/>
      <c r="D821" s="59"/>
    </row>
    <row r="822" ht="12.75" customHeight="1">
      <c r="C822" s="59"/>
      <c r="D822" s="59"/>
    </row>
    <row r="823" ht="12.75" customHeight="1">
      <c r="C823" s="59"/>
      <c r="D823" s="59"/>
    </row>
    <row r="824" ht="12.75" customHeight="1">
      <c r="C824" s="59"/>
      <c r="D824" s="59"/>
    </row>
    <row r="825" ht="12.75" customHeight="1">
      <c r="C825" s="59"/>
      <c r="D825" s="59"/>
    </row>
    <row r="826" ht="12.75" customHeight="1">
      <c r="C826" s="59"/>
      <c r="D826" s="59"/>
    </row>
    <row r="827" ht="12.75" customHeight="1">
      <c r="C827" s="59"/>
      <c r="D827" s="59"/>
    </row>
    <row r="828" ht="12.75" customHeight="1">
      <c r="C828" s="59"/>
      <c r="D828" s="59"/>
    </row>
    <row r="829" ht="12.75" customHeight="1">
      <c r="C829" s="59"/>
      <c r="D829" s="59"/>
    </row>
    <row r="830" ht="12.75" customHeight="1">
      <c r="C830" s="59"/>
      <c r="D830" s="59"/>
    </row>
    <row r="831" ht="12.75" customHeight="1">
      <c r="C831" s="59"/>
      <c r="D831" s="59"/>
    </row>
    <row r="832" ht="12.75" customHeight="1">
      <c r="C832" s="59"/>
      <c r="D832" s="59"/>
    </row>
    <row r="833" ht="12.75" customHeight="1">
      <c r="C833" s="59"/>
      <c r="D833" s="59"/>
    </row>
    <row r="834" ht="12.75" customHeight="1">
      <c r="C834" s="59"/>
      <c r="D834" s="59"/>
    </row>
    <row r="835" ht="12.75" customHeight="1">
      <c r="C835" s="59"/>
      <c r="D835" s="59"/>
    </row>
    <row r="836" ht="12.75" customHeight="1">
      <c r="C836" s="59"/>
      <c r="D836" s="59"/>
    </row>
    <row r="837" ht="12.75" customHeight="1">
      <c r="C837" s="59"/>
      <c r="D837" s="59"/>
    </row>
    <row r="838" ht="12.75" customHeight="1">
      <c r="C838" s="59"/>
      <c r="D838" s="59"/>
    </row>
    <row r="839" ht="12.75" customHeight="1">
      <c r="C839" s="59"/>
      <c r="D839" s="59"/>
    </row>
    <row r="840" ht="12.75" customHeight="1">
      <c r="C840" s="59"/>
      <c r="D840" s="59"/>
    </row>
    <row r="841" ht="12.75" customHeight="1">
      <c r="C841" s="59"/>
      <c r="D841" s="59"/>
    </row>
    <row r="842" ht="12.75" customHeight="1">
      <c r="C842" s="59"/>
      <c r="D842" s="59"/>
    </row>
    <row r="843" ht="12.75" customHeight="1">
      <c r="C843" s="59"/>
      <c r="D843" s="59"/>
    </row>
    <row r="844" ht="12.75" customHeight="1">
      <c r="C844" s="59"/>
      <c r="D844" s="59"/>
    </row>
    <row r="845" ht="12.75" customHeight="1">
      <c r="C845" s="59"/>
      <c r="D845" s="59"/>
    </row>
    <row r="846" ht="12.75" customHeight="1">
      <c r="C846" s="59"/>
      <c r="D846" s="59"/>
    </row>
    <row r="847" ht="12.75" customHeight="1">
      <c r="C847" s="59"/>
      <c r="D847" s="59"/>
    </row>
    <row r="848" ht="12.75" customHeight="1">
      <c r="C848" s="59"/>
      <c r="D848" s="59"/>
    </row>
    <row r="849" ht="12.75" customHeight="1">
      <c r="C849" s="59"/>
      <c r="D849" s="59"/>
    </row>
    <row r="850" ht="12.75" customHeight="1">
      <c r="C850" s="59"/>
      <c r="D850" s="59"/>
    </row>
    <row r="851" ht="12.75" customHeight="1">
      <c r="C851" s="59"/>
      <c r="D851" s="59"/>
    </row>
    <row r="852" ht="12.75" customHeight="1">
      <c r="C852" s="59"/>
      <c r="D852" s="59"/>
    </row>
    <row r="853" ht="12.75" customHeight="1">
      <c r="C853" s="59"/>
      <c r="D853" s="59"/>
    </row>
    <row r="854" ht="12.75" customHeight="1">
      <c r="C854" s="59"/>
      <c r="D854" s="59"/>
    </row>
    <row r="855" ht="12.75" customHeight="1">
      <c r="C855" s="59"/>
      <c r="D855" s="59"/>
    </row>
    <row r="856" ht="12.75" customHeight="1">
      <c r="C856" s="59"/>
      <c r="D856" s="59"/>
    </row>
    <row r="857" ht="12.75" customHeight="1">
      <c r="C857" s="59"/>
      <c r="D857" s="59"/>
    </row>
    <row r="858" ht="12.75" customHeight="1">
      <c r="C858" s="59"/>
      <c r="D858" s="59"/>
    </row>
    <row r="859" ht="12.75" customHeight="1">
      <c r="C859" s="59"/>
      <c r="D859" s="59"/>
    </row>
    <row r="860" ht="12.75" customHeight="1">
      <c r="C860" s="59"/>
      <c r="D860" s="59"/>
    </row>
    <row r="861" ht="12.75" customHeight="1">
      <c r="C861" s="59"/>
      <c r="D861" s="59"/>
    </row>
    <row r="862" ht="12.75" customHeight="1">
      <c r="C862" s="59"/>
      <c r="D862" s="59"/>
    </row>
    <row r="863" ht="12.75" customHeight="1">
      <c r="C863" s="59"/>
      <c r="D863" s="59"/>
    </row>
    <row r="864" ht="12.75" customHeight="1">
      <c r="C864" s="59"/>
      <c r="D864" s="59"/>
    </row>
    <row r="865" ht="12.75" customHeight="1">
      <c r="C865" s="59"/>
      <c r="D865" s="59"/>
    </row>
    <row r="866" ht="12.75" customHeight="1">
      <c r="C866" s="59"/>
      <c r="D866" s="59"/>
    </row>
    <row r="867" ht="12.75" customHeight="1">
      <c r="C867" s="59"/>
      <c r="D867" s="59"/>
    </row>
    <row r="868" ht="12.75" customHeight="1">
      <c r="C868" s="59"/>
      <c r="D868" s="59"/>
    </row>
    <row r="869" ht="12.75" customHeight="1">
      <c r="C869" s="59"/>
      <c r="D869" s="59"/>
    </row>
    <row r="870" ht="12.75" customHeight="1">
      <c r="C870" s="59"/>
      <c r="D870" s="59"/>
    </row>
    <row r="871" ht="12.75" customHeight="1">
      <c r="C871" s="59"/>
      <c r="D871" s="59"/>
    </row>
    <row r="872" ht="12.75" customHeight="1">
      <c r="C872" s="59"/>
      <c r="D872" s="59"/>
    </row>
    <row r="873" ht="12.75" customHeight="1">
      <c r="C873" s="59"/>
      <c r="D873" s="59"/>
    </row>
    <row r="874" ht="12.75" customHeight="1">
      <c r="C874" s="59"/>
      <c r="D874" s="59"/>
    </row>
    <row r="875" ht="12.75" customHeight="1">
      <c r="C875" s="59"/>
      <c r="D875" s="59"/>
    </row>
    <row r="876" ht="12.75" customHeight="1">
      <c r="C876" s="59"/>
      <c r="D876" s="59"/>
    </row>
    <row r="877" ht="12.75" customHeight="1">
      <c r="C877" s="59"/>
      <c r="D877" s="59"/>
    </row>
    <row r="878" ht="12.75" customHeight="1">
      <c r="C878" s="59"/>
      <c r="D878" s="59"/>
    </row>
    <row r="879" ht="12.75" customHeight="1">
      <c r="C879" s="59"/>
      <c r="D879" s="59"/>
    </row>
    <row r="880" ht="12.75" customHeight="1">
      <c r="C880" s="59"/>
      <c r="D880" s="59"/>
    </row>
    <row r="881" ht="12.75" customHeight="1">
      <c r="C881" s="59"/>
      <c r="D881" s="59"/>
    </row>
    <row r="882" ht="12.75" customHeight="1">
      <c r="C882" s="59"/>
      <c r="D882" s="59"/>
    </row>
    <row r="883" ht="12.75" customHeight="1">
      <c r="C883" s="59"/>
      <c r="D883" s="59"/>
    </row>
    <row r="884" ht="12.75" customHeight="1">
      <c r="C884" s="59"/>
      <c r="D884" s="59"/>
    </row>
    <row r="885" ht="12.75" customHeight="1">
      <c r="C885" s="59"/>
      <c r="D885" s="59"/>
    </row>
    <row r="886" ht="12.75" customHeight="1">
      <c r="C886" s="59"/>
      <c r="D886" s="59"/>
    </row>
    <row r="887" ht="12.75" customHeight="1">
      <c r="C887" s="59"/>
      <c r="D887" s="59"/>
    </row>
    <row r="888" ht="12.75" customHeight="1">
      <c r="C888" s="59"/>
      <c r="D888" s="59"/>
    </row>
    <row r="889" ht="12.75" customHeight="1">
      <c r="C889" s="59"/>
      <c r="D889" s="59"/>
    </row>
    <row r="890" ht="12.75" customHeight="1">
      <c r="C890" s="59"/>
      <c r="D890" s="59"/>
    </row>
    <row r="891" ht="12.75" customHeight="1">
      <c r="C891" s="59"/>
      <c r="D891" s="59"/>
    </row>
    <row r="892" ht="12.75" customHeight="1">
      <c r="C892" s="59"/>
      <c r="D892" s="59"/>
    </row>
    <row r="893" ht="12.75" customHeight="1">
      <c r="C893" s="59"/>
      <c r="D893" s="59"/>
    </row>
    <row r="894" ht="12.75" customHeight="1">
      <c r="C894" s="59"/>
      <c r="D894" s="59"/>
    </row>
    <row r="895" ht="12.75" customHeight="1">
      <c r="C895" s="59"/>
      <c r="D895" s="59"/>
    </row>
    <row r="896" ht="12.75" customHeight="1">
      <c r="C896" s="59"/>
      <c r="D896" s="59"/>
    </row>
    <row r="897" ht="12.75" customHeight="1">
      <c r="C897" s="59"/>
      <c r="D897" s="59"/>
    </row>
    <row r="898" ht="12.75" customHeight="1">
      <c r="C898" s="59"/>
      <c r="D898" s="59"/>
    </row>
    <row r="899" ht="12.75" customHeight="1">
      <c r="C899" s="59"/>
      <c r="D899" s="59"/>
    </row>
    <row r="900" ht="12.75" customHeight="1">
      <c r="C900" s="59"/>
      <c r="D900" s="59"/>
    </row>
    <row r="901" ht="12.75" customHeight="1">
      <c r="C901" s="59"/>
      <c r="D901" s="59"/>
    </row>
    <row r="902" ht="12.75" customHeight="1">
      <c r="C902" s="59"/>
      <c r="D902" s="59"/>
    </row>
    <row r="903" ht="12.75" customHeight="1">
      <c r="C903" s="59"/>
      <c r="D903" s="59"/>
    </row>
    <row r="904" ht="12.75" customHeight="1">
      <c r="C904" s="59"/>
      <c r="D904" s="59"/>
    </row>
    <row r="905" ht="12.75" customHeight="1">
      <c r="C905" s="59"/>
      <c r="D905" s="59"/>
    </row>
    <row r="906" ht="12.75" customHeight="1">
      <c r="C906" s="59"/>
      <c r="D906" s="59"/>
    </row>
    <row r="907" ht="12.75" customHeight="1">
      <c r="C907" s="59"/>
      <c r="D907" s="59"/>
    </row>
    <row r="908" ht="12.75" customHeight="1">
      <c r="C908" s="59"/>
      <c r="D908" s="59"/>
    </row>
    <row r="909" ht="12.75" customHeight="1">
      <c r="C909" s="59"/>
      <c r="D909" s="59"/>
    </row>
    <row r="910" ht="12.75" customHeight="1">
      <c r="C910" s="59"/>
      <c r="D910" s="59"/>
    </row>
    <row r="911" ht="12.75" customHeight="1">
      <c r="C911" s="59"/>
      <c r="D911" s="59"/>
    </row>
    <row r="912" ht="12.75" customHeight="1">
      <c r="C912" s="59"/>
      <c r="D912" s="59"/>
    </row>
    <row r="913" ht="12.75" customHeight="1">
      <c r="C913" s="59"/>
      <c r="D913" s="59"/>
    </row>
    <row r="914" ht="12.75" customHeight="1">
      <c r="C914" s="59"/>
      <c r="D914" s="59"/>
    </row>
    <row r="915" ht="12.75" customHeight="1">
      <c r="C915" s="59"/>
      <c r="D915" s="59"/>
    </row>
    <row r="916" ht="12.75" customHeight="1">
      <c r="C916" s="59"/>
      <c r="D916" s="59"/>
    </row>
    <row r="917" ht="12.75" customHeight="1">
      <c r="C917" s="59"/>
      <c r="D917" s="59"/>
    </row>
    <row r="918" ht="12.75" customHeight="1">
      <c r="C918" s="59"/>
      <c r="D918" s="59"/>
    </row>
    <row r="919" ht="12.75" customHeight="1">
      <c r="C919" s="59"/>
      <c r="D919" s="59"/>
    </row>
    <row r="920" ht="12.75" customHeight="1">
      <c r="C920" s="59"/>
      <c r="D920" s="59"/>
    </row>
    <row r="921" ht="12.75" customHeight="1">
      <c r="C921" s="59"/>
      <c r="D921" s="59"/>
    </row>
    <row r="922" ht="12.75" customHeight="1">
      <c r="C922" s="59"/>
      <c r="D922" s="59"/>
    </row>
    <row r="923" ht="12.75" customHeight="1">
      <c r="C923" s="59"/>
      <c r="D923" s="59"/>
    </row>
    <row r="924" ht="12.75" customHeight="1">
      <c r="C924" s="59"/>
      <c r="D924" s="59"/>
    </row>
    <row r="925" ht="12.75" customHeight="1">
      <c r="C925" s="59"/>
      <c r="D925" s="59"/>
    </row>
    <row r="926" ht="12.75" customHeight="1">
      <c r="C926" s="59"/>
      <c r="D926" s="59"/>
    </row>
    <row r="927" ht="12.75" customHeight="1">
      <c r="C927" s="59"/>
      <c r="D927" s="59"/>
    </row>
    <row r="928" ht="12.75" customHeight="1">
      <c r="C928" s="59"/>
      <c r="D928" s="59"/>
    </row>
    <row r="929" ht="12.75" customHeight="1">
      <c r="C929" s="59"/>
      <c r="D929" s="59"/>
    </row>
    <row r="930" ht="12.75" customHeight="1">
      <c r="C930" s="59"/>
      <c r="D930" s="59"/>
    </row>
    <row r="931" ht="12.75" customHeight="1">
      <c r="C931" s="59"/>
      <c r="D931" s="59"/>
    </row>
    <row r="932" ht="12.75" customHeight="1">
      <c r="C932" s="59"/>
      <c r="D932" s="59"/>
    </row>
    <row r="933" ht="12.75" customHeight="1">
      <c r="C933" s="59"/>
      <c r="D933" s="59"/>
    </row>
    <row r="934" ht="12.75" customHeight="1">
      <c r="C934" s="59"/>
      <c r="D934" s="59"/>
    </row>
    <row r="935" ht="12.75" customHeight="1">
      <c r="C935" s="59"/>
      <c r="D935" s="59"/>
    </row>
    <row r="936" ht="12.75" customHeight="1">
      <c r="C936" s="59"/>
      <c r="D936" s="59"/>
    </row>
    <row r="937" ht="12.75" customHeight="1">
      <c r="C937" s="59"/>
      <c r="D937" s="59"/>
    </row>
    <row r="938" ht="12.75" customHeight="1">
      <c r="C938" s="59"/>
      <c r="D938" s="59"/>
    </row>
    <row r="939" ht="12.75" customHeight="1">
      <c r="C939" s="59"/>
      <c r="D939" s="59"/>
    </row>
    <row r="940" ht="12.75" customHeight="1">
      <c r="C940" s="59"/>
      <c r="D940" s="59"/>
    </row>
    <row r="941" ht="12.75" customHeight="1">
      <c r="C941" s="59"/>
      <c r="D941" s="59"/>
    </row>
    <row r="942" ht="12.75" customHeight="1">
      <c r="C942" s="59"/>
      <c r="D942" s="59"/>
    </row>
    <row r="943" ht="12.75" customHeight="1">
      <c r="C943" s="59"/>
      <c r="D943" s="59"/>
    </row>
    <row r="944" ht="12.75" customHeight="1">
      <c r="C944" s="59"/>
      <c r="D944" s="59"/>
    </row>
    <row r="945" ht="12.75" customHeight="1">
      <c r="C945" s="59"/>
      <c r="D945" s="59"/>
    </row>
    <row r="946" ht="12.75" customHeight="1">
      <c r="C946" s="59"/>
      <c r="D946" s="59"/>
    </row>
    <row r="947" ht="12.75" customHeight="1">
      <c r="C947" s="59"/>
      <c r="D947" s="59"/>
    </row>
    <row r="948" ht="12.75" customHeight="1">
      <c r="C948" s="59"/>
      <c r="D948" s="59"/>
    </row>
    <row r="949" ht="12.75" customHeight="1">
      <c r="C949" s="59"/>
      <c r="D949" s="59"/>
    </row>
    <row r="950" ht="12.75" customHeight="1">
      <c r="C950" s="59"/>
      <c r="D950" s="59"/>
    </row>
    <row r="951" ht="12.75" customHeight="1">
      <c r="C951" s="59"/>
      <c r="D951" s="59"/>
    </row>
    <row r="952" ht="12.75" customHeight="1">
      <c r="C952" s="59"/>
      <c r="D952" s="59"/>
    </row>
    <row r="953" ht="12.75" customHeight="1">
      <c r="C953" s="59"/>
      <c r="D953" s="59"/>
    </row>
    <row r="954" ht="12.75" customHeight="1">
      <c r="C954" s="59"/>
      <c r="D954" s="59"/>
    </row>
    <row r="955" ht="12.75" customHeight="1">
      <c r="C955" s="59"/>
      <c r="D955" s="59"/>
    </row>
    <row r="956" ht="12.75" customHeight="1">
      <c r="C956" s="59"/>
      <c r="D956" s="59"/>
    </row>
    <row r="957" ht="12.75" customHeight="1">
      <c r="C957" s="59"/>
      <c r="D957" s="59"/>
    </row>
    <row r="958" ht="12.75" customHeight="1">
      <c r="C958" s="59"/>
      <c r="D958" s="59"/>
    </row>
    <row r="959" ht="12.75" customHeight="1">
      <c r="C959" s="59"/>
      <c r="D959" s="59"/>
    </row>
    <row r="960" ht="12.75" customHeight="1">
      <c r="C960" s="59"/>
      <c r="D960" s="59"/>
    </row>
    <row r="961" ht="12.75" customHeight="1">
      <c r="C961" s="59"/>
      <c r="D961" s="59"/>
    </row>
    <row r="962" ht="12.75" customHeight="1">
      <c r="C962" s="59"/>
      <c r="D962" s="59"/>
    </row>
    <row r="963" ht="12.75" customHeight="1">
      <c r="C963" s="59"/>
      <c r="D963" s="59"/>
    </row>
    <row r="964" ht="12.75" customHeight="1">
      <c r="C964" s="59"/>
      <c r="D964" s="59"/>
    </row>
    <row r="965" ht="12.75" customHeight="1">
      <c r="C965" s="59"/>
      <c r="D965" s="59"/>
    </row>
    <row r="966" ht="12.75" customHeight="1">
      <c r="C966" s="59"/>
      <c r="D966" s="59"/>
    </row>
    <row r="967" ht="12.75" customHeight="1">
      <c r="C967" s="59"/>
      <c r="D967" s="59"/>
    </row>
    <row r="968" ht="12.75" customHeight="1">
      <c r="C968" s="59"/>
      <c r="D968" s="59"/>
    </row>
    <row r="969" ht="12.75" customHeight="1">
      <c r="C969" s="59"/>
      <c r="D969" s="59"/>
    </row>
    <row r="970" ht="12.75" customHeight="1">
      <c r="C970" s="59"/>
      <c r="D970" s="59"/>
    </row>
    <row r="971" ht="12.75" customHeight="1">
      <c r="C971" s="59"/>
      <c r="D971" s="59"/>
    </row>
    <row r="972" ht="12.75" customHeight="1">
      <c r="C972" s="59"/>
      <c r="D972" s="59"/>
    </row>
    <row r="973" ht="12.75" customHeight="1">
      <c r="C973" s="59"/>
      <c r="D973" s="59"/>
    </row>
    <row r="974" ht="12.75" customHeight="1">
      <c r="C974" s="59"/>
      <c r="D974" s="59"/>
    </row>
    <row r="975" ht="12.75" customHeight="1">
      <c r="C975" s="59"/>
      <c r="D975" s="59"/>
    </row>
    <row r="976" ht="12.75" customHeight="1">
      <c r="C976" s="59"/>
      <c r="D976" s="59"/>
    </row>
    <row r="977" ht="12.75" customHeight="1">
      <c r="C977" s="59"/>
      <c r="D977" s="59"/>
    </row>
    <row r="978" ht="12.75" customHeight="1">
      <c r="C978" s="59"/>
      <c r="D978" s="59"/>
    </row>
    <row r="979" ht="12.75" customHeight="1">
      <c r="C979" s="59"/>
      <c r="D979" s="59"/>
    </row>
    <row r="980" ht="12.75" customHeight="1">
      <c r="C980" s="59"/>
      <c r="D980" s="59"/>
    </row>
    <row r="981" ht="12.75" customHeight="1">
      <c r="C981" s="59"/>
      <c r="D981" s="59"/>
    </row>
    <row r="982" ht="12.75" customHeight="1">
      <c r="C982" s="59"/>
      <c r="D982" s="59"/>
    </row>
    <row r="983" ht="12.75" customHeight="1">
      <c r="C983" s="59"/>
      <c r="D983" s="59"/>
    </row>
    <row r="984" ht="12.75" customHeight="1">
      <c r="C984" s="59"/>
      <c r="D984" s="59"/>
    </row>
    <row r="985" ht="12.75" customHeight="1">
      <c r="C985" s="59"/>
      <c r="D985" s="59"/>
    </row>
    <row r="986" ht="12.75" customHeight="1">
      <c r="C986" s="59"/>
      <c r="D986" s="59"/>
    </row>
    <row r="987" ht="12.75" customHeight="1">
      <c r="C987" s="59"/>
      <c r="D987" s="59"/>
    </row>
    <row r="988" ht="12.75" customHeight="1">
      <c r="C988" s="59"/>
      <c r="D988" s="59"/>
    </row>
    <row r="989" ht="12.75" customHeight="1">
      <c r="C989" s="59"/>
      <c r="D989" s="59"/>
    </row>
    <row r="990" ht="12.75" customHeight="1">
      <c r="C990" s="59"/>
      <c r="D990" s="59"/>
    </row>
    <row r="991" ht="12.75" customHeight="1">
      <c r="C991" s="59"/>
      <c r="D991" s="59"/>
    </row>
    <row r="992" ht="12.75" customHeight="1">
      <c r="C992" s="59"/>
      <c r="D992" s="59"/>
    </row>
    <row r="993" ht="12.75" customHeight="1">
      <c r="C993" s="59"/>
      <c r="D993" s="59"/>
    </row>
    <row r="994" ht="12.75" customHeight="1">
      <c r="C994" s="59"/>
      <c r="D994" s="59"/>
    </row>
    <row r="995" ht="12.75" customHeight="1">
      <c r="C995" s="59"/>
      <c r="D995" s="59"/>
    </row>
    <row r="996" ht="12.75" customHeight="1">
      <c r="C996" s="59"/>
      <c r="D996" s="59"/>
    </row>
    <row r="997" ht="12.75" customHeight="1">
      <c r="C997" s="59"/>
      <c r="D997" s="59"/>
    </row>
    <row r="998" ht="12.75" customHeight="1">
      <c r="C998" s="59"/>
      <c r="D998" s="59"/>
    </row>
    <row r="999" ht="12.75" customHeight="1">
      <c r="C999" s="59"/>
      <c r="D999" s="59"/>
    </row>
    <row r="1000" ht="12.75" customHeight="1">
      <c r="C1000" s="59"/>
      <c r="D1000" s="59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38"/>
    <col customWidth="1" min="3" max="3" width="13.75"/>
    <col customWidth="1" min="4" max="6" width="11.38"/>
    <col customWidth="1" min="7" max="26" width="10.63"/>
  </cols>
  <sheetData>
    <row r="1" ht="12.75" customHeight="1">
      <c r="A1" s="25">
        <v>1.0</v>
      </c>
      <c r="B1" s="59">
        <f t="shared" ref="B1:B31" si="1">D1-C1</f>
        <v>546</v>
      </c>
      <c r="C1" s="59">
        <v>104.0</v>
      </c>
      <c r="D1" s="59">
        <v>650.0</v>
      </c>
      <c r="E1" s="59">
        <f t="shared" ref="E1:E31" si="2">D1*2.3681%</f>
        <v>15.39265</v>
      </c>
      <c r="F1" s="59">
        <f t="shared" ref="F1:F31" si="3">D1-E1</f>
        <v>634.60735</v>
      </c>
      <c r="G1" s="41" t="s">
        <v>3311</v>
      </c>
    </row>
    <row r="2" ht="12.75" customHeight="1">
      <c r="A2" s="25">
        <v>0.0</v>
      </c>
      <c r="B2" s="59">
        <f t="shared" si="1"/>
        <v>0</v>
      </c>
      <c r="C2" s="59">
        <v>0.0</v>
      </c>
      <c r="D2" s="59">
        <v>0.0</v>
      </c>
      <c r="E2" s="59">
        <f t="shared" si="2"/>
        <v>0</v>
      </c>
      <c r="F2" s="59">
        <f t="shared" si="3"/>
        <v>0</v>
      </c>
    </row>
    <row r="3" ht="12.75" customHeight="1">
      <c r="A3" s="25">
        <v>0.0</v>
      </c>
      <c r="B3" s="59">
        <f t="shared" si="1"/>
        <v>0</v>
      </c>
      <c r="C3" s="59">
        <v>0.0</v>
      </c>
      <c r="D3" s="59">
        <v>0.0</v>
      </c>
      <c r="E3" s="59">
        <f t="shared" si="2"/>
        <v>0</v>
      </c>
      <c r="F3" s="59">
        <f t="shared" si="3"/>
        <v>0</v>
      </c>
    </row>
    <row r="4" ht="12.75" customHeight="1">
      <c r="A4" s="25">
        <v>2.0</v>
      </c>
      <c r="B4" s="59">
        <f t="shared" si="1"/>
        <v>5883</v>
      </c>
      <c r="C4" s="59">
        <f>718+399</f>
        <v>1117</v>
      </c>
      <c r="D4" s="59">
        <f>4500+2500</f>
        <v>7000</v>
      </c>
      <c r="E4" s="59">
        <f t="shared" si="2"/>
        <v>165.767</v>
      </c>
      <c r="F4" s="59">
        <f t="shared" si="3"/>
        <v>6834.233</v>
      </c>
      <c r="G4" s="41" t="s">
        <v>3311</v>
      </c>
    </row>
    <row r="5" ht="12.75" customHeight="1">
      <c r="A5" s="25">
        <v>5.0</v>
      </c>
      <c r="B5" s="59">
        <f t="shared" si="1"/>
        <v>19916</v>
      </c>
      <c r="C5" s="59">
        <f>239+208+1756+1014+567</f>
        <v>3784</v>
      </c>
      <c r="D5" s="59">
        <f>1500+1300+11000+6350+3550</f>
        <v>23700</v>
      </c>
      <c r="E5" s="59">
        <f t="shared" si="2"/>
        <v>561.2397</v>
      </c>
      <c r="F5" s="59">
        <f t="shared" si="3"/>
        <v>23138.7603</v>
      </c>
      <c r="G5" s="41" t="s">
        <v>3312</v>
      </c>
    </row>
    <row r="6" ht="12.75" customHeight="1">
      <c r="A6" s="25">
        <v>4.0</v>
      </c>
      <c r="B6" s="59">
        <f t="shared" si="1"/>
        <v>15966</v>
      </c>
      <c r="C6" s="59">
        <f>703+1597+479+255</f>
        <v>3034</v>
      </c>
      <c r="D6" s="59">
        <f>4400+10000+3000+1600</f>
        <v>19000</v>
      </c>
      <c r="E6" s="59">
        <f t="shared" si="2"/>
        <v>449.939</v>
      </c>
      <c r="F6" s="59">
        <f t="shared" si="3"/>
        <v>18550.061</v>
      </c>
      <c r="G6" s="41" t="s">
        <v>3313</v>
      </c>
    </row>
    <row r="7" ht="12.75" customHeight="1">
      <c r="A7" s="25">
        <v>8.0</v>
      </c>
      <c r="B7" s="59">
        <f t="shared" si="1"/>
        <v>39665</v>
      </c>
      <c r="C7" s="59">
        <f>1293+878+479+1325+319+1724+1357+160</f>
        <v>7535</v>
      </c>
      <c r="D7" s="59">
        <f>8100+5500+3000+8300+2000+10800+8500+1000</f>
        <v>47200</v>
      </c>
      <c r="E7" s="59">
        <f t="shared" si="2"/>
        <v>1117.7432</v>
      </c>
      <c r="F7" s="59">
        <f t="shared" si="3"/>
        <v>46082.2568</v>
      </c>
      <c r="G7" s="41" t="s">
        <v>3314</v>
      </c>
    </row>
    <row r="8" ht="12.75" customHeight="1">
      <c r="A8" s="25">
        <v>3.0</v>
      </c>
      <c r="B8" s="59">
        <f t="shared" si="1"/>
        <v>7312</v>
      </c>
      <c r="C8" s="59">
        <f>862+255+271</f>
        <v>1388</v>
      </c>
      <c r="D8" s="59">
        <f>5400+1600+1700</f>
        <v>8700</v>
      </c>
      <c r="E8" s="59">
        <f t="shared" si="2"/>
        <v>206.0247</v>
      </c>
      <c r="F8" s="59">
        <f t="shared" si="3"/>
        <v>8493.9753</v>
      </c>
      <c r="G8" s="41" t="s">
        <v>3315</v>
      </c>
    </row>
    <row r="9" ht="12.75" customHeight="1">
      <c r="A9" s="25">
        <v>4.0</v>
      </c>
      <c r="B9" s="59">
        <f t="shared" si="1"/>
        <v>22480</v>
      </c>
      <c r="C9" s="59">
        <f>479+718+255+2818</f>
        <v>4270</v>
      </c>
      <c r="D9" s="59">
        <f>3000+4500+1600+17650</f>
        <v>26750</v>
      </c>
      <c r="E9" s="59">
        <f t="shared" si="2"/>
        <v>633.46675</v>
      </c>
      <c r="F9" s="59">
        <f t="shared" si="3"/>
        <v>26116.53325</v>
      </c>
    </row>
    <row r="10" ht="12.75" customHeight="1">
      <c r="A10" s="25">
        <v>10.0</v>
      </c>
      <c r="B10" s="59">
        <f t="shared" si="1"/>
        <v>65506</v>
      </c>
      <c r="C10" s="59">
        <f>295+1054+718+3592+1597+1565+782+798+846+1197</f>
        <v>12444</v>
      </c>
      <c r="D10" s="59">
        <f>1850+6600+4500+22500+10000+9800+4900+5000+5300+7500</f>
        <v>77950</v>
      </c>
      <c r="E10" s="59">
        <f t="shared" si="2"/>
        <v>1845.93395</v>
      </c>
      <c r="F10" s="59">
        <f t="shared" si="3"/>
        <v>76104.06605</v>
      </c>
    </row>
    <row r="11" ht="12.75" customHeight="1">
      <c r="A11" s="25">
        <v>14.0</v>
      </c>
      <c r="B11" s="59">
        <f t="shared" si="1"/>
        <v>50168</v>
      </c>
      <c r="C11" s="59">
        <f>144+1022+575+766+1142+1804+798+758+463+303+160+160+192+1245</f>
        <v>9532</v>
      </c>
      <c r="D11" s="59">
        <f>900+6400+3600+4800+7150+11300+5000+4750+2900+1900+1000+1000+1200+7800</f>
        <v>59700</v>
      </c>
      <c r="E11" s="59">
        <f t="shared" si="2"/>
        <v>1413.7557</v>
      </c>
      <c r="F11" s="59">
        <f t="shared" si="3"/>
        <v>58286.2443</v>
      </c>
      <c r="G11" s="41" t="s">
        <v>3316</v>
      </c>
    </row>
    <row r="12" ht="12.75" customHeight="1">
      <c r="A12" s="25">
        <v>7.0</v>
      </c>
      <c r="B12" s="59">
        <f t="shared" si="1"/>
        <v>35756</v>
      </c>
      <c r="C12" s="59">
        <f>559+1740+1277+160+639+1038+1381</f>
        <v>6794</v>
      </c>
      <c r="D12" s="59">
        <f>3500+10900+8000+1000+4000+6500+8650</f>
        <v>42550</v>
      </c>
      <c r="E12" s="59">
        <f t="shared" si="2"/>
        <v>1007.62655</v>
      </c>
      <c r="F12" s="59">
        <f t="shared" si="3"/>
        <v>41542.37345</v>
      </c>
      <c r="G12" s="41" t="s">
        <v>3316</v>
      </c>
    </row>
    <row r="13" ht="12.75" customHeight="1">
      <c r="A13" s="25">
        <v>3.0</v>
      </c>
      <c r="B13" s="59">
        <f t="shared" si="1"/>
        <v>23865</v>
      </c>
      <c r="C13" s="59">
        <f>1597+1557+1381</f>
        <v>4535</v>
      </c>
      <c r="D13" s="59">
        <f>10000+9750+8650</f>
        <v>28400</v>
      </c>
      <c r="E13" s="59">
        <f t="shared" si="2"/>
        <v>672.5404</v>
      </c>
      <c r="F13" s="59">
        <f t="shared" si="3"/>
        <v>27727.4596</v>
      </c>
      <c r="G13" s="41" t="s">
        <v>3317</v>
      </c>
    </row>
    <row r="14" ht="12.75" customHeight="1">
      <c r="A14" s="25">
        <v>3.0</v>
      </c>
      <c r="B14" s="59">
        <f t="shared" si="1"/>
        <v>6723</v>
      </c>
      <c r="C14" s="59">
        <f>160+798+319</f>
        <v>1277</v>
      </c>
      <c r="D14" s="59">
        <f>1000+5000+2000</f>
        <v>8000</v>
      </c>
      <c r="E14" s="59">
        <f t="shared" si="2"/>
        <v>189.448</v>
      </c>
      <c r="F14" s="59">
        <f t="shared" si="3"/>
        <v>7810.552</v>
      </c>
    </row>
    <row r="15" ht="12.75" customHeight="1">
      <c r="A15" s="25">
        <v>2.0</v>
      </c>
      <c r="B15" s="59">
        <f t="shared" si="1"/>
        <v>10378</v>
      </c>
      <c r="C15" s="59">
        <f>1054+918</f>
        <v>1972</v>
      </c>
      <c r="D15" s="59">
        <f>6600+5750</f>
        <v>12350</v>
      </c>
      <c r="E15" s="59">
        <f t="shared" si="2"/>
        <v>292.46035</v>
      </c>
      <c r="F15" s="59">
        <f t="shared" si="3"/>
        <v>12057.53965</v>
      </c>
      <c r="G15" s="41" t="s">
        <v>3318</v>
      </c>
    </row>
    <row r="16" ht="12.75" customHeight="1">
      <c r="A16" s="25">
        <v>2.0</v>
      </c>
      <c r="B16" s="59">
        <f t="shared" si="1"/>
        <v>7647</v>
      </c>
      <c r="C16" s="59">
        <f>16+1437</f>
        <v>1453</v>
      </c>
      <c r="D16" s="59">
        <f>100+9000</f>
        <v>9100</v>
      </c>
      <c r="E16" s="59">
        <f t="shared" si="2"/>
        <v>215.4971</v>
      </c>
      <c r="F16" s="59">
        <f t="shared" si="3"/>
        <v>8884.5029</v>
      </c>
    </row>
    <row r="17" ht="12.75" customHeight="1">
      <c r="A17" s="25">
        <v>3.0</v>
      </c>
      <c r="B17" s="59">
        <f t="shared" si="1"/>
        <v>13025</v>
      </c>
      <c r="C17" s="59">
        <f>239+192+2044</f>
        <v>2475</v>
      </c>
      <c r="D17" s="59">
        <f>1500+1200+12800</f>
        <v>15500</v>
      </c>
      <c r="E17" s="59">
        <f t="shared" si="2"/>
        <v>367.0555</v>
      </c>
      <c r="F17" s="59">
        <f t="shared" si="3"/>
        <v>15132.9445</v>
      </c>
    </row>
    <row r="18" ht="12.75" customHeight="1">
      <c r="A18" s="25">
        <v>1.0</v>
      </c>
      <c r="B18" s="59">
        <f t="shared" si="1"/>
        <v>7353</v>
      </c>
      <c r="C18" s="59">
        <v>1397.0</v>
      </c>
      <c r="D18" s="59">
        <v>8750.0</v>
      </c>
      <c r="E18" s="59">
        <f t="shared" si="2"/>
        <v>207.20875</v>
      </c>
      <c r="F18" s="59">
        <f t="shared" si="3"/>
        <v>8542.79125</v>
      </c>
      <c r="G18" s="41" t="s">
        <v>3319</v>
      </c>
      <c r="H18" s="41" t="s">
        <v>3320</v>
      </c>
      <c r="K18" s="41" t="s">
        <v>3321</v>
      </c>
    </row>
    <row r="19" ht="12.75" customHeight="1">
      <c r="A19" s="25">
        <v>5.0</v>
      </c>
      <c r="B19" s="59">
        <f t="shared" si="1"/>
        <v>17942</v>
      </c>
      <c r="C19" s="59">
        <f>415+80+1756+910+247</f>
        <v>3408</v>
      </c>
      <c r="D19" s="59">
        <f>2600+500+11000+5700+1550</f>
        <v>21350</v>
      </c>
      <c r="E19" s="59">
        <f t="shared" si="2"/>
        <v>505.58935</v>
      </c>
      <c r="F19" s="59">
        <f t="shared" si="3"/>
        <v>20844.41065</v>
      </c>
      <c r="G19" s="41" t="s">
        <v>3322</v>
      </c>
    </row>
    <row r="20" ht="12.75" customHeight="1">
      <c r="A20" s="25">
        <v>3.0</v>
      </c>
      <c r="B20" s="59">
        <f t="shared" si="1"/>
        <v>11849</v>
      </c>
      <c r="C20" s="59">
        <f>287+1485+479</f>
        <v>2251</v>
      </c>
      <c r="D20" s="59">
        <f>1800+9300+3000</f>
        <v>14100</v>
      </c>
      <c r="E20" s="59">
        <f t="shared" si="2"/>
        <v>333.9021</v>
      </c>
      <c r="F20" s="59">
        <f t="shared" si="3"/>
        <v>13766.0979</v>
      </c>
      <c r="G20" s="41" t="s">
        <v>3323</v>
      </c>
    </row>
    <row r="21" ht="12.75" customHeight="1">
      <c r="A21" s="25">
        <v>3.0</v>
      </c>
      <c r="B21" s="59">
        <f t="shared" si="1"/>
        <v>16051</v>
      </c>
      <c r="C21" s="59">
        <f>1437+271+1341</f>
        <v>3049</v>
      </c>
      <c r="D21" s="59">
        <f>9000+1700+8400</f>
        <v>19100</v>
      </c>
      <c r="E21" s="59">
        <f t="shared" si="2"/>
        <v>452.3071</v>
      </c>
      <c r="F21" s="59">
        <f t="shared" si="3"/>
        <v>18647.6929</v>
      </c>
      <c r="G21" s="41" t="s">
        <v>3323</v>
      </c>
    </row>
    <row r="22" ht="12.75" customHeight="1">
      <c r="A22" s="25">
        <v>4.0</v>
      </c>
      <c r="B22" s="59">
        <f t="shared" si="1"/>
        <v>16890</v>
      </c>
      <c r="C22" s="59">
        <f>631+1613+479+487</f>
        <v>3210</v>
      </c>
      <c r="D22" s="59">
        <f>3950+10100+3000+3050</f>
        <v>20100</v>
      </c>
      <c r="E22" s="59">
        <f t="shared" si="2"/>
        <v>475.9881</v>
      </c>
      <c r="F22" s="59">
        <f t="shared" si="3"/>
        <v>19624.0119</v>
      </c>
      <c r="G22" s="41" t="s">
        <v>3324</v>
      </c>
    </row>
    <row r="23" ht="12.75" customHeight="1">
      <c r="A23" s="25">
        <v>1.0</v>
      </c>
      <c r="B23" s="59">
        <f t="shared" si="1"/>
        <v>1345</v>
      </c>
      <c r="C23" s="59">
        <v>255.0</v>
      </c>
      <c r="D23" s="59">
        <v>1600.0</v>
      </c>
      <c r="E23" s="59">
        <f t="shared" si="2"/>
        <v>37.8896</v>
      </c>
      <c r="F23" s="59">
        <f t="shared" si="3"/>
        <v>1562.1104</v>
      </c>
    </row>
    <row r="24" ht="12.75" customHeight="1">
      <c r="A24" s="25">
        <v>4.0</v>
      </c>
      <c r="B24" s="59">
        <f t="shared" si="1"/>
        <v>28320</v>
      </c>
      <c r="C24" s="59">
        <f>639+1229+2714+798</f>
        <v>5380</v>
      </c>
      <c r="D24" s="59">
        <f>4000+7700+17000+5000</f>
        <v>33700</v>
      </c>
      <c r="E24" s="59">
        <f t="shared" si="2"/>
        <v>798.0497</v>
      </c>
      <c r="F24" s="59">
        <f t="shared" si="3"/>
        <v>32901.9503</v>
      </c>
    </row>
    <row r="25" ht="12.75" customHeight="1">
      <c r="A25" s="25">
        <v>10.0</v>
      </c>
      <c r="B25" s="59">
        <f t="shared" si="1"/>
        <v>62354</v>
      </c>
      <c r="C25" s="59">
        <f>319+1134+798+1126+399+1724+335+511+5245+255</f>
        <v>11846</v>
      </c>
      <c r="D25" s="59">
        <f>2000+7100+5000+7050+2500+10800+2100+3200+32850+1600</f>
        <v>74200</v>
      </c>
      <c r="E25" s="59">
        <f t="shared" si="2"/>
        <v>1757.1302</v>
      </c>
      <c r="F25" s="59">
        <f t="shared" si="3"/>
        <v>72442.8698</v>
      </c>
      <c r="G25" s="41" t="s">
        <v>3325</v>
      </c>
    </row>
    <row r="26" ht="12.75" customHeight="1">
      <c r="A26" s="25">
        <v>2.0</v>
      </c>
      <c r="B26" s="59">
        <f t="shared" si="1"/>
        <v>12135</v>
      </c>
      <c r="C26" s="59">
        <f>1309+996</f>
        <v>2305</v>
      </c>
      <c r="D26" s="59">
        <f>8200+6240</f>
        <v>14440</v>
      </c>
      <c r="E26" s="59">
        <f t="shared" si="2"/>
        <v>341.95364</v>
      </c>
      <c r="F26" s="59">
        <f t="shared" si="3"/>
        <v>14098.04636</v>
      </c>
      <c r="G26" s="41" t="s">
        <v>3326</v>
      </c>
    </row>
    <row r="27" ht="12.75" customHeight="1">
      <c r="A27" s="25">
        <v>2.0</v>
      </c>
      <c r="B27" s="59">
        <f t="shared" si="1"/>
        <v>19664</v>
      </c>
      <c r="C27" s="59">
        <f>2427+1309</f>
        <v>3736</v>
      </c>
      <c r="D27" s="59">
        <f>15200+8200</f>
        <v>23400</v>
      </c>
      <c r="E27" s="59">
        <f t="shared" si="2"/>
        <v>554.1354</v>
      </c>
      <c r="F27" s="59">
        <f t="shared" si="3"/>
        <v>22845.8646</v>
      </c>
      <c r="G27" s="41" t="s">
        <v>3327</v>
      </c>
    </row>
    <row r="28" ht="12.75" customHeight="1">
      <c r="A28" s="25">
        <v>2.0</v>
      </c>
      <c r="B28" s="59">
        <f t="shared" si="1"/>
        <v>4874</v>
      </c>
      <c r="C28" s="59">
        <f>367+559</f>
        <v>926</v>
      </c>
      <c r="D28" s="59">
        <f>2300+3500</f>
        <v>5800</v>
      </c>
      <c r="E28" s="59">
        <f t="shared" si="2"/>
        <v>137.3498</v>
      </c>
      <c r="F28" s="59">
        <f t="shared" si="3"/>
        <v>5662.6502</v>
      </c>
      <c r="G28" s="41" t="s">
        <v>3328</v>
      </c>
    </row>
    <row r="29" ht="12.75" customHeight="1">
      <c r="A29" s="25">
        <v>1.0</v>
      </c>
      <c r="B29" s="59">
        <f t="shared" si="1"/>
        <v>21008</v>
      </c>
      <c r="C29" s="59">
        <v>3992.0</v>
      </c>
      <c r="D29" s="59">
        <v>25000.0</v>
      </c>
      <c r="E29" s="59">
        <f t="shared" si="2"/>
        <v>592.025</v>
      </c>
      <c r="F29" s="59">
        <f t="shared" si="3"/>
        <v>24407.975</v>
      </c>
      <c r="G29" s="41" t="s">
        <v>3328</v>
      </c>
    </row>
    <row r="30" ht="12.75" customHeight="1">
      <c r="A30" s="25">
        <v>3.0</v>
      </c>
      <c r="B30" s="59">
        <f t="shared" si="1"/>
        <v>24202</v>
      </c>
      <c r="C30" s="59">
        <f>623+1197+2778</f>
        <v>4598</v>
      </c>
      <c r="D30" s="59">
        <f>3900+7500+17400</f>
        <v>28800</v>
      </c>
      <c r="E30" s="59">
        <f t="shared" si="2"/>
        <v>682.0128</v>
      </c>
      <c r="F30" s="59">
        <f t="shared" si="3"/>
        <v>28117.9872</v>
      </c>
    </row>
    <row r="31" ht="12.75" customHeight="1">
      <c r="A31" s="25">
        <v>1.0</v>
      </c>
      <c r="B31" s="59">
        <f t="shared" si="1"/>
        <v>5042</v>
      </c>
      <c r="C31" s="59">
        <v>958.0</v>
      </c>
      <c r="D31" s="59">
        <v>6000.0</v>
      </c>
      <c r="E31" s="59">
        <f t="shared" si="2"/>
        <v>142.086</v>
      </c>
      <c r="F31" s="59">
        <f t="shared" si="3"/>
        <v>5857.914</v>
      </c>
      <c r="G31" s="37" t="s">
        <v>3294</v>
      </c>
    </row>
    <row r="32" ht="12.75" customHeight="1">
      <c r="A32" s="80">
        <f t="shared" ref="A32:F32" si="4">SUM(A1:A31)</f>
        <v>113</v>
      </c>
      <c r="B32" s="66">
        <f t="shared" si="4"/>
        <v>573865</v>
      </c>
      <c r="C32" s="66">
        <f t="shared" si="4"/>
        <v>109025</v>
      </c>
      <c r="D32" s="66">
        <f t="shared" si="4"/>
        <v>682890</v>
      </c>
      <c r="E32" s="67">
        <f t="shared" si="4"/>
        <v>16171.51809</v>
      </c>
      <c r="F32" s="67">
        <f t="shared" si="4"/>
        <v>666718.4819</v>
      </c>
    </row>
    <row r="33" ht="12.75" customHeight="1">
      <c r="A33" s="25"/>
      <c r="B33" s="59"/>
      <c r="C33" s="59"/>
      <c r="D33" s="59"/>
      <c r="E33" s="59"/>
      <c r="F33" s="59"/>
    </row>
    <row r="34" ht="12.75" customHeight="1">
      <c r="A34" s="25"/>
      <c r="B34" s="59"/>
      <c r="C34" s="59"/>
      <c r="D34" s="59"/>
      <c r="E34" s="59"/>
      <c r="F34" s="59"/>
    </row>
    <row r="35" ht="12.75" customHeight="1">
      <c r="A35" s="25"/>
      <c r="B35" s="59"/>
      <c r="C35" s="78" t="s">
        <v>3218</v>
      </c>
      <c r="D35" s="78">
        <f>D32*2.3681%</f>
        <v>16171.51809</v>
      </c>
      <c r="E35" s="59"/>
      <c r="F35" s="59"/>
    </row>
    <row r="36" ht="12.75" customHeight="1">
      <c r="A36" s="25"/>
      <c r="B36" s="59">
        <v>573856.0</v>
      </c>
      <c r="C36" s="59">
        <v>109034.0</v>
      </c>
      <c r="D36" s="59">
        <v>682890.0</v>
      </c>
      <c r="E36" s="59"/>
      <c r="F36" s="59"/>
    </row>
    <row r="37" ht="12.75" customHeight="1">
      <c r="A37" s="25"/>
      <c r="B37" s="59">
        <f t="shared" ref="B37:D37" si="5">B32-B36</f>
        <v>9</v>
      </c>
      <c r="C37" s="59">
        <f t="shared" si="5"/>
        <v>-9</v>
      </c>
      <c r="D37" s="59">
        <f t="shared" si="5"/>
        <v>0</v>
      </c>
      <c r="E37" s="59"/>
      <c r="F37" s="59"/>
    </row>
    <row r="38" ht="12.75" customHeight="1">
      <c r="A38" s="25"/>
      <c r="B38" s="59"/>
      <c r="C38" s="59"/>
      <c r="D38" s="59"/>
      <c r="E38" s="59"/>
      <c r="F38" s="59"/>
    </row>
    <row r="39" ht="12.75" customHeight="1">
      <c r="A39" s="25"/>
      <c r="B39" s="59"/>
      <c r="C39" s="59"/>
      <c r="D39" s="59"/>
      <c r="E39" s="59"/>
      <c r="F39" s="59"/>
    </row>
    <row r="40" ht="12.75" customHeight="1">
      <c r="A40" s="25"/>
      <c r="B40" s="59"/>
      <c r="C40" s="59"/>
      <c r="D40" s="59"/>
      <c r="E40" s="59"/>
      <c r="F40" s="59"/>
    </row>
    <row r="41" ht="12.75" customHeight="1">
      <c r="A41" s="25"/>
      <c r="B41" s="59"/>
      <c r="C41" s="59"/>
      <c r="D41" s="59"/>
      <c r="E41" s="59"/>
      <c r="F41" s="59"/>
    </row>
    <row r="42" ht="12.75" customHeight="1">
      <c r="A42" s="25"/>
      <c r="B42" s="59"/>
      <c r="C42" s="59"/>
      <c r="D42" s="59"/>
      <c r="E42" s="59"/>
      <c r="F42" s="59"/>
    </row>
    <row r="43" ht="12.75" customHeight="1">
      <c r="A43" s="25"/>
      <c r="B43" s="59"/>
      <c r="C43" s="59"/>
      <c r="D43" s="59"/>
      <c r="E43" s="59"/>
      <c r="F43" s="59"/>
    </row>
    <row r="44" ht="12.75" customHeight="1">
      <c r="A44" s="25"/>
      <c r="B44" s="59"/>
      <c r="C44" s="59"/>
      <c r="D44" s="59"/>
      <c r="E44" s="59"/>
      <c r="F44" s="59"/>
    </row>
    <row r="45" ht="12.75" customHeight="1">
      <c r="A45" s="25"/>
      <c r="B45" s="59"/>
      <c r="C45" s="59"/>
      <c r="D45" s="59"/>
      <c r="E45" s="59"/>
      <c r="F45" s="59"/>
    </row>
    <row r="46" ht="12.75" customHeight="1">
      <c r="A46" s="25"/>
      <c r="B46" s="59"/>
      <c r="C46" s="59"/>
      <c r="D46" s="59"/>
      <c r="E46" s="59"/>
      <c r="F46" s="59"/>
    </row>
    <row r="47" ht="12.75" customHeight="1">
      <c r="A47" s="25"/>
      <c r="B47" s="59"/>
      <c r="C47" s="59"/>
      <c r="D47" s="59"/>
      <c r="E47" s="59"/>
      <c r="F47" s="59"/>
    </row>
    <row r="48" ht="12.75" customHeight="1">
      <c r="A48" s="25"/>
      <c r="B48" s="59"/>
      <c r="C48" s="59"/>
      <c r="D48" s="59"/>
      <c r="E48" s="59"/>
      <c r="F48" s="59"/>
    </row>
    <row r="49" ht="12.75" customHeight="1">
      <c r="A49" s="25"/>
      <c r="B49" s="59"/>
      <c r="C49" s="59"/>
      <c r="D49" s="59"/>
      <c r="E49" s="59"/>
      <c r="F49" s="59"/>
    </row>
    <row r="50" ht="12.75" customHeight="1">
      <c r="A50" s="25"/>
      <c r="B50" s="59"/>
      <c r="C50" s="59"/>
      <c r="D50" s="59"/>
      <c r="E50" s="59"/>
      <c r="F50" s="59"/>
    </row>
    <row r="51" ht="12.75" customHeight="1">
      <c r="A51" s="25"/>
      <c r="B51" s="59"/>
      <c r="C51" s="59"/>
      <c r="D51" s="59"/>
      <c r="E51" s="59"/>
      <c r="F51" s="59"/>
    </row>
    <row r="52" ht="12.75" customHeight="1">
      <c r="A52" s="25"/>
      <c r="B52" s="59"/>
      <c r="C52" s="59"/>
      <c r="D52" s="59"/>
      <c r="E52" s="59"/>
      <c r="F52" s="59"/>
    </row>
    <row r="53" ht="12.75" customHeight="1">
      <c r="A53" s="25"/>
      <c r="B53" s="59"/>
      <c r="C53" s="59"/>
      <c r="D53" s="59"/>
      <c r="E53" s="59"/>
      <c r="F53" s="59"/>
    </row>
    <row r="54" ht="12.75" customHeight="1">
      <c r="A54" s="25"/>
      <c r="B54" s="59"/>
      <c r="C54" s="59"/>
      <c r="D54" s="59"/>
      <c r="E54" s="59"/>
      <c r="F54" s="59"/>
    </row>
    <row r="55" ht="12.75" customHeight="1">
      <c r="A55" s="25"/>
      <c r="B55" s="59"/>
      <c r="C55" s="59"/>
      <c r="D55" s="59"/>
      <c r="E55" s="59"/>
      <c r="F55" s="59"/>
    </row>
    <row r="56" ht="12.75" customHeight="1">
      <c r="A56" s="25"/>
      <c r="B56" s="59"/>
      <c r="C56" s="59"/>
      <c r="D56" s="59"/>
      <c r="E56" s="59"/>
      <c r="F56" s="59"/>
    </row>
    <row r="57" ht="12.75" customHeight="1">
      <c r="A57" s="25"/>
      <c r="B57" s="59"/>
      <c r="C57" s="59"/>
      <c r="D57" s="59"/>
      <c r="E57" s="59"/>
      <c r="F57" s="59"/>
    </row>
    <row r="58" ht="12.75" customHeight="1">
      <c r="A58" s="25"/>
      <c r="B58" s="59"/>
      <c r="C58" s="59"/>
      <c r="D58" s="59"/>
      <c r="E58" s="59"/>
      <c r="F58" s="59"/>
    </row>
    <row r="59" ht="12.75" customHeight="1">
      <c r="A59" s="25"/>
      <c r="B59" s="59"/>
      <c r="C59" s="59"/>
      <c r="D59" s="59"/>
      <c r="E59" s="59"/>
      <c r="F59" s="59"/>
    </row>
    <row r="60" ht="12.75" customHeight="1">
      <c r="A60" s="25"/>
      <c r="B60" s="59"/>
      <c r="C60" s="59"/>
      <c r="D60" s="59"/>
      <c r="E60" s="59"/>
      <c r="F60" s="59"/>
    </row>
    <row r="61" ht="12.75" customHeight="1">
      <c r="A61" s="25"/>
      <c r="B61" s="59"/>
      <c r="C61" s="59"/>
      <c r="D61" s="59"/>
      <c r="E61" s="59"/>
      <c r="F61" s="59"/>
    </row>
    <row r="62" ht="12.75" customHeight="1">
      <c r="A62" s="25"/>
      <c r="B62" s="59"/>
      <c r="C62" s="59"/>
      <c r="D62" s="59"/>
      <c r="E62" s="59"/>
      <c r="F62" s="59"/>
    </row>
    <row r="63" ht="12.75" customHeight="1">
      <c r="A63" s="25"/>
      <c r="B63" s="59"/>
      <c r="C63" s="59"/>
      <c r="D63" s="59"/>
      <c r="E63" s="59"/>
      <c r="F63" s="59"/>
    </row>
    <row r="64" ht="12.75" customHeight="1">
      <c r="A64" s="25"/>
      <c r="B64" s="59"/>
      <c r="C64" s="59"/>
      <c r="D64" s="59"/>
      <c r="E64" s="59"/>
      <c r="F64" s="59"/>
    </row>
    <row r="65" ht="12.75" customHeight="1">
      <c r="A65" s="25"/>
      <c r="B65" s="59"/>
      <c r="C65" s="59"/>
      <c r="D65" s="59"/>
      <c r="E65" s="59"/>
      <c r="F65" s="59"/>
    </row>
    <row r="66" ht="12.75" customHeight="1">
      <c r="A66" s="25"/>
      <c r="B66" s="59"/>
      <c r="C66" s="59"/>
      <c r="D66" s="59"/>
      <c r="E66" s="59"/>
      <c r="F66" s="59"/>
    </row>
    <row r="67" ht="12.75" customHeight="1">
      <c r="A67" s="25"/>
      <c r="B67" s="59"/>
      <c r="C67" s="59"/>
      <c r="D67" s="59"/>
      <c r="E67" s="59"/>
      <c r="F67" s="59"/>
    </row>
    <row r="68" ht="12.75" customHeight="1">
      <c r="A68" s="25"/>
      <c r="B68" s="59"/>
      <c r="C68" s="59"/>
      <c r="D68" s="59"/>
      <c r="E68" s="59"/>
      <c r="F68" s="59"/>
    </row>
    <row r="69" ht="12.75" customHeight="1">
      <c r="A69" s="25"/>
      <c r="B69" s="59"/>
      <c r="C69" s="59"/>
      <c r="D69" s="59"/>
      <c r="E69" s="59"/>
      <c r="F69" s="59"/>
    </row>
    <row r="70" ht="12.75" customHeight="1">
      <c r="A70" s="25"/>
      <c r="B70" s="59"/>
      <c r="C70" s="59"/>
      <c r="D70" s="59"/>
      <c r="E70" s="59"/>
      <c r="F70" s="59"/>
    </row>
    <row r="71" ht="12.75" customHeight="1">
      <c r="A71" s="25"/>
      <c r="B71" s="59"/>
      <c r="C71" s="59"/>
      <c r="D71" s="59"/>
      <c r="E71" s="59"/>
      <c r="F71" s="59"/>
    </row>
    <row r="72" ht="12.75" customHeight="1">
      <c r="A72" s="25"/>
      <c r="B72" s="59"/>
      <c r="C72" s="59"/>
      <c r="D72" s="59"/>
      <c r="E72" s="59"/>
      <c r="F72" s="59"/>
    </row>
    <row r="73" ht="12.75" customHeight="1">
      <c r="A73" s="25"/>
      <c r="B73" s="59"/>
      <c r="C73" s="59"/>
      <c r="D73" s="59"/>
      <c r="E73" s="59"/>
      <c r="F73" s="59"/>
    </row>
    <row r="74" ht="12.75" customHeight="1">
      <c r="A74" s="25"/>
      <c r="B74" s="59"/>
      <c r="C74" s="59"/>
      <c r="D74" s="59"/>
      <c r="E74" s="59"/>
      <c r="F74" s="59"/>
    </row>
    <row r="75" ht="12.75" customHeight="1">
      <c r="A75" s="25"/>
      <c r="B75" s="59"/>
      <c r="C75" s="59"/>
      <c r="D75" s="59"/>
      <c r="E75" s="59"/>
      <c r="F75" s="59"/>
    </row>
    <row r="76" ht="12.75" customHeight="1">
      <c r="A76" s="25"/>
      <c r="B76" s="59"/>
      <c r="C76" s="59"/>
      <c r="D76" s="59"/>
      <c r="E76" s="59"/>
      <c r="F76" s="59"/>
    </row>
    <row r="77" ht="12.75" customHeight="1">
      <c r="A77" s="25"/>
      <c r="B77" s="59"/>
      <c r="C77" s="59"/>
      <c r="D77" s="59"/>
      <c r="E77" s="59"/>
      <c r="F77" s="59"/>
    </row>
    <row r="78" ht="12.75" customHeight="1">
      <c r="A78" s="25"/>
      <c r="B78" s="59"/>
      <c r="C78" s="59"/>
      <c r="D78" s="59"/>
      <c r="E78" s="59"/>
      <c r="F78" s="59"/>
    </row>
    <row r="79" ht="12.75" customHeight="1">
      <c r="A79" s="25"/>
      <c r="B79" s="59"/>
      <c r="C79" s="59"/>
      <c r="D79" s="59"/>
      <c r="E79" s="59"/>
      <c r="F79" s="59"/>
    </row>
    <row r="80" ht="12.75" customHeight="1">
      <c r="A80" s="25"/>
      <c r="B80" s="59"/>
      <c r="C80" s="59"/>
      <c r="D80" s="59"/>
      <c r="E80" s="59"/>
      <c r="F80" s="59"/>
    </row>
    <row r="81" ht="12.75" customHeight="1">
      <c r="A81" s="25"/>
      <c r="B81" s="59"/>
      <c r="C81" s="59"/>
      <c r="D81" s="59"/>
      <c r="E81" s="59"/>
      <c r="F81" s="59"/>
    </row>
    <row r="82" ht="12.75" customHeight="1">
      <c r="A82" s="25"/>
      <c r="B82" s="59"/>
      <c r="C82" s="59"/>
      <c r="D82" s="59"/>
      <c r="E82" s="59"/>
      <c r="F82" s="59"/>
    </row>
    <row r="83" ht="12.75" customHeight="1">
      <c r="A83" s="25"/>
      <c r="B83" s="59"/>
      <c r="C83" s="59"/>
      <c r="D83" s="59"/>
      <c r="E83" s="59"/>
      <c r="F83" s="59"/>
    </row>
    <row r="84" ht="12.75" customHeight="1">
      <c r="A84" s="25"/>
      <c r="B84" s="59"/>
      <c r="C84" s="59"/>
      <c r="D84" s="59"/>
      <c r="E84" s="59"/>
      <c r="F84" s="59"/>
    </row>
    <row r="85" ht="12.75" customHeight="1">
      <c r="A85" s="25"/>
      <c r="B85" s="59"/>
      <c r="C85" s="59"/>
      <c r="D85" s="59"/>
      <c r="E85" s="59"/>
      <c r="F85" s="59"/>
    </row>
    <row r="86" ht="12.75" customHeight="1">
      <c r="A86" s="25"/>
      <c r="B86" s="59"/>
      <c r="C86" s="59"/>
      <c r="D86" s="59"/>
      <c r="E86" s="59"/>
      <c r="F86" s="59"/>
    </row>
    <row r="87" ht="12.75" customHeight="1">
      <c r="A87" s="25"/>
      <c r="B87" s="59"/>
      <c r="C87" s="59"/>
      <c r="D87" s="59"/>
      <c r="E87" s="59"/>
      <c r="F87" s="59"/>
    </row>
    <row r="88" ht="12.75" customHeight="1">
      <c r="A88" s="25"/>
      <c r="B88" s="59"/>
      <c r="C88" s="59"/>
      <c r="D88" s="59"/>
      <c r="E88" s="59"/>
      <c r="F88" s="59"/>
    </row>
    <row r="89" ht="12.75" customHeight="1">
      <c r="A89" s="25"/>
      <c r="B89" s="59"/>
      <c r="C89" s="59"/>
      <c r="D89" s="59"/>
      <c r="E89" s="59"/>
      <c r="F89" s="59"/>
    </row>
    <row r="90" ht="12.75" customHeight="1">
      <c r="A90" s="25"/>
      <c r="B90" s="59"/>
      <c r="C90" s="59"/>
      <c r="D90" s="59"/>
      <c r="E90" s="59"/>
      <c r="F90" s="59"/>
    </row>
    <row r="91" ht="12.75" customHeight="1">
      <c r="A91" s="25"/>
      <c r="B91" s="59"/>
      <c r="C91" s="59"/>
      <c r="D91" s="59"/>
      <c r="E91" s="59"/>
      <c r="F91" s="59"/>
    </row>
    <row r="92" ht="12.75" customHeight="1">
      <c r="A92" s="25"/>
      <c r="B92" s="59"/>
      <c r="C92" s="59"/>
      <c r="D92" s="59"/>
      <c r="E92" s="59"/>
      <c r="F92" s="59"/>
    </row>
    <row r="93" ht="12.75" customHeight="1">
      <c r="A93" s="25"/>
      <c r="B93" s="59"/>
      <c r="C93" s="59"/>
      <c r="D93" s="59"/>
      <c r="E93" s="59"/>
      <c r="F93" s="59"/>
    </row>
    <row r="94" ht="12.75" customHeight="1">
      <c r="A94" s="25"/>
      <c r="B94" s="59"/>
      <c r="C94" s="59"/>
      <c r="D94" s="59"/>
      <c r="E94" s="59"/>
      <c r="F94" s="59"/>
    </row>
    <row r="95" ht="12.75" customHeight="1">
      <c r="A95" s="25"/>
      <c r="B95" s="59"/>
      <c r="C95" s="59"/>
      <c r="D95" s="59"/>
      <c r="E95" s="59"/>
      <c r="F95" s="59"/>
    </row>
    <row r="96" ht="12.75" customHeight="1">
      <c r="A96" s="25"/>
      <c r="B96" s="59"/>
      <c r="C96" s="59"/>
      <c r="D96" s="59"/>
      <c r="E96" s="59"/>
      <c r="F96" s="59"/>
    </row>
    <row r="97" ht="12.75" customHeight="1">
      <c r="A97" s="25"/>
      <c r="B97" s="59"/>
      <c r="C97" s="59"/>
      <c r="D97" s="59"/>
      <c r="E97" s="59"/>
      <c r="F97" s="59"/>
    </row>
    <row r="98" ht="12.75" customHeight="1">
      <c r="A98" s="25"/>
      <c r="B98" s="59"/>
      <c r="C98" s="59"/>
      <c r="D98" s="59"/>
      <c r="E98" s="59"/>
      <c r="F98" s="59"/>
    </row>
    <row r="99" ht="12.75" customHeight="1">
      <c r="A99" s="25"/>
      <c r="B99" s="59"/>
      <c r="C99" s="59"/>
      <c r="D99" s="59"/>
      <c r="E99" s="59"/>
      <c r="F99" s="59"/>
    </row>
    <row r="100" ht="12.75" customHeight="1">
      <c r="A100" s="25"/>
      <c r="B100" s="59"/>
      <c r="C100" s="59"/>
      <c r="D100" s="59"/>
      <c r="E100" s="59"/>
      <c r="F100" s="59"/>
    </row>
    <row r="101" ht="12.75" customHeight="1">
      <c r="A101" s="25"/>
      <c r="B101" s="59"/>
      <c r="C101" s="59"/>
      <c r="D101" s="59"/>
      <c r="E101" s="59"/>
      <c r="F101" s="59"/>
    </row>
    <row r="102" ht="12.75" customHeight="1">
      <c r="A102" s="25"/>
      <c r="B102" s="59"/>
      <c r="C102" s="59"/>
      <c r="D102" s="59"/>
      <c r="E102" s="59"/>
      <c r="F102" s="59"/>
    </row>
    <row r="103" ht="12.75" customHeight="1">
      <c r="A103" s="25"/>
      <c r="B103" s="59"/>
      <c r="C103" s="59"/>
      <c r="D103" s="59"/>
      <c r="E103" s="59"/>
      <c r="F103" s="59"/>
    </row>
    <row r="104" ht="12.75" customHeight="1">
      <c r="A104" s="25"/>
      <c r="B104" s="59"/>
      <c r="C104" s="59"/>
      <c r="D104" s="59"/>
      <c r="E104" s="59"/>
      <c r="F104" s="59"/>
    </row>
    <row r="105" ht="12.75" customHeight="1">
      <c r="A105" s="25"/>
      <c r="B105" s="59"/>
      <c r="C105" s="59"/>
      <c r="D105" s="59"/>
      <c r="E105" s="59"/>
      <c r="F105" s="59"/>
    </row>
    <row r="106" ht="12.75" customHeight="1">
      <c r="A106" s="25"/>
      <c r="B106" s="59"/>
      <c r="C106" s="59"/>
      <c r="D106" s="59"/>
      <c r="E106" s="59"/>
      <c r="F106" s="59"/>
    </row>
    <row r="107" ht="12.75" customHeight="1">
      <c r="A107" s="25"/>
      <c r="B107" s="59"/>
      <c r="C107" s="59"/>
      <c r="D107" s="59"/>
      <c r="E107" s="59"/>
      <c r="F107" s="59"/>
    </row>
    <row r="108" ht="12.75" customHeight="1">
      <c r="A108" s="25"/>
      <c r="B108" s="59"/>
      <c r="C108" s="59"/>
      <c r="D108" s="59"/>
      <c r="E108" s="59"/>
      <c r="F108" s="59"/>
    </row>
    <row r="109" ht="12.75" customHeight="1">
      <c r="A109" s="25"/>
      <c r="B109" s="59"/>
      <c r="C109" s="59"/>
      <c r="D109" s="59"/>
      <c r="E109" s="59"/>
      <c r="F109" s="59"/>
    </row>
    <row r="110" ht="12.75" customHeight="1">
      <c r="A110" s="25"/>
      <c r="B110" s="59"/>
      <c r="C110" s="59"/>
      <c r="D110" s="59"/>
      <c r="E110" s="59"/>
      <c r="F110" s="59"/>
    </row>
    <row r="111" ht="12.75" customHeight="1">
      <c r="A111" s="25"/>
      <c r="B111" s="59"/>
      <c r="C111" s="59"/>
      <c r="D111" s="59"/>
      <c r="E111" s="59"/>
      <c r="F111" s="59"/>
    </row>
    <row r="112" ht="12.75" customHeight="1">
      <c r="A112" s="25"/>
      <c r="B112" s="59"/>
      <c r="C112" s="59"/>
      <c r="D112" s="59"/>
      <c r="E112" s="59"/>
      <c r="F112" s="59"/>
    </row>
    <row r="113" ht="12.75" customHeight="1">
      <c r="A113" s="25"/>
      <c r="B113" s="59"/>
      <c r="C113" s="59"/>
      <c r="D113" s="59"/>
      <c r="E113" s="59"/>
      <c r="F113" s="59"/>
    </row>
    <row r="114" ht="12.75" customHeight="1">
      <c r="A114" s="25"/>
      <c r="B114" s="59"/>
      <c r="C114" s="59"/>
      <c r="D114" s="59"/>
      <c r="E114" s="59"/>
      <c r="F114" s="59"/>
    </row>
    <row r="115" ht="12.75" customHeight="1">
      <c r="A115" s="25"/>
      <c r="B115" s="59"/>
      <c r="C115" s="59"/>
      <c r="D115" s="59"/>
      <c r="E115" s="59"/>
      <c r="F115" s="59"/>
    </row>
    <row r="116" ht="12.75" customHeight="1">
      <c r="A116" s="25"/>
      <c r="B116" s="59"/>
      <c r="C116" s="59"/>
      <c r="D116" s="59"/>
      <c r="E116" s="59"/>
      <c r="F116" s="59"/>
    </row>
    <row r="117" ht="12.75" customHeight="1">
      <c r="A117" s="25"/>
      <c r="B117" s="59"/>
      <c r="C117" s="59"/>
      <c r="D117" s="59"/>
      <c r="E117" s="59"/>
      <c r="F117" s="59"/>
    </row>
    <row r="118" ht="12.75" customHeight="1">
      <c r="A118" s="25"/>
      <c r="B118" s="59"/>
      <c r="C118" s="59"/>
      <c r="D118" s="59"/>
      <c r="E118" s="59"/>
      <c r="F118" s="59"/>
    </row>
    <row r="119" ht="12.75" customHeight="1">
      <c r="A119" s="25"/>
      <c r="B119" s="59"/>
      <c r="C119" s="59"/>
      <c r="D119" s="59"/>
      <c r="E119" s="59"/>
      <c r="F119" s="59"/>
    </row>
    <row r="120" ht="12.75" customHeight="1">
      <c r="A120" s="25"/>
      <c r="B120" s="59"/>
      <c r="C120" s="59"/>
      <c r="D120" s="59"/>
      <c r="E120" s="59"/>
      <c r="F120" s="59"/>
    </row>
    <row r="121" ht="12.75" customHeight="1">
      <c r="A121" s="25"/>
      <c r="B121" s="59"/>
      <c r="C121" s="59"/>
      <c r="D121" s="59"/>
      <c r="E121" s="59"/>
      <c r="F121" s="59"/>
    </row>
    <row r="122" ht="12.75" customHeight="1">
      <c r="A122" s="25"/>
      <c r="B122" s="59"/>
      <c r="C122" s="59"/>
      <c r="D122" s="59"/>
      <c r="E122" s="59"/>
      <c r="F122" s="59"/>
    </row>
    <row r="123" ht="12.75" customHeight="1">
      <c r="A123" s="25"/>
      <c r="B123" s="59"/>
      <c r="C123" s="59"/>
      <c r="D123" s="59"/>
      <c r="E123" s="59"/>
      <c r="F123" s="59"/>
    </row>
    <row r="124" ht="12.75" customHeight="1">
      <c r="A124" s="25"/>
      <c r="B124" s="59"/>
      <c r="C124" s="59"/>
      <c r="D124" s="59"/>
      <c r="E124" s="59"/>
      <c r="F124" s="59"/>
    </row>
    <row r="125" ht="12.75" customHeight="1">
      <c r="A125" s="25"/>
      <c r="B125" s="59"/>
      <c r="C125" s="59"/>
      <c r="D125" s="59"/>
      <c r="E125" s="59"/>
      <c r="F125" s="59"/>
    </row>
    <row r="126" ht="12.75" customHeight="1">
      <c r="A126" s="25"/>
      <c r="B126" s="59"/>
      <c r="C126" s="59"/>
      <c r="D126" s="59"/>
      <c r="E126" s="59"/>
      <c r="F126" s="59"/>
    </row>
    <row r="127" ht="12.75" customHeight="1">
      <c r="A127" s="25"/>
      <c r="B127" s="59"/>
      <c r="C127" s="59"/>
      <c r="D127" s="59"/>
      <c r="E127" s="59"/>
      <c r="F127" s="59"/>
    </row>
    <row r="128" ht="12.75" customHeight="1">
      <c r="A128" s="25"/>
      <c r="B128" s="59"/>
      <c r="C128" s="59"/>
      <c r="D128" s="59"/>
      <c r="E128" s="59"/>
      <c r="F128" s="59"/>
    </row>
    <row r="129" ht="12.75" customHeight="1">
      <c r="A129" s="25"/>
      <c r="B129" s="59"/>
      <c r="C129" s="59"/>
      <c r="D129" s="59"/>
      <c r="E129" s="59"/>
      <c r="F129" s="59"/>
    </row>
    <row r="130" ht="12.75" customHeight="1">
      <c r="A130" s="25"/>
      <c r="B130" s="59"/>
      <c r="C130" s="59"/>
      <c r="D130" s="59"/>
      <c r="E130" s="59"/>
      <c r="F130" s="59"/>
    </row>
    <row r="131" ht="12.75" customHeight="1">
      <c r="A131" s="25"/>
      <c r="B131" s="59"/>
      <c r="C131" s="59"/>
      <c r="D131" s="59"/>
      <c r="E131" s="59"/>
      <c r="F131" s="59"/>
    </row>
    <row r="132" ht="12.75" customHeight="1">
      <c r="A132" s="25"/>
      <c r="B132" s="59"/>
      <c r="C132" s="59"/>
      <c r="D132" s="59"/>
      <c r="E132" s="59"/>
      <c r="F132" s="59"/>
    </row>
    <row r="133" ht="12.75" customHeight="1">
      <c r="A133" s="25"/>
      <c r="B133" s="59"/>
      <c r="C133" s="59"/>
      <c r="D133" s="59"/>
      <c r="E133" s="59"/>
      <c r="F133" s="59"/>
    </row>
    <row r="134" ht="12.75" customHeight="1">
      <c r="A134" s="25"/>
      <c r="B134" s="59"/>
      <c r="C134" s="59"/>
      <c r="D134" s="59"/>
      <c r="E134" s="59"/>
      <c r="F134" s="59"/>
    </row>
    <row r="135" ht="12.75" customHeight="1">
      <c r="A135" s="25"/>
      <c r="B135" s="59"/>
      <c r="C135" s="59"/>
      <c r="D135" s="59"/>
      <c r="E135" s="59"/>
      <c r="F135" s="59"/>
    </row>
    <row r="136" ht="12.75" customHeight="1">
      <c r="A136" s="25"/>
      <c r="B136" s="59"/>
      <c r="C136" s="59"/>
      <c r="D136" s="59"/>
      <c r="E136" s="59"/>
      <c r="F136" s="59"/>
    </row>
    <row r="137" ht="12.75" customHeight="1">
      <c r="A137" s="25"/>
      <c r="B137" s="59"/>
      <c r="C137" s="59"/>
      <c r="D137" s="59"/>
      <c r="E137" s="59"/>
      <c r="F137" s="59"/>
    </row>
    <row r="138" ht="12.75" customHeight="1">
      <c r="A138" s="25"/>
      <c r="B138" s="59"/>
      <c r="C138" s="59"/>
      <c r="D138" s="59"/>
      <c r="E138" s="59"/>
      <c r="F138" s="59"/>
    </row>
    <row r="139" ht="12.75" customHeight="1">
      <c r="A139" s="25"/>
      <c r="B139" s="59"/>
      <c r="C139" s="59"/>
      <c r="D139" s="59"/>
      <c r="E139" s="59"/>
      <c r="F139" s="59"/>
    </row>
    <row r="140" ht="12.75" customHeight="1">
      <c r="A140" s="25"/>
      <c r="B140" s="59"/>
      <c r="C140" s="59"/>
      <c r="D140" s="59"/>
      <c r="E140" s="59"/>
      <c r="F140" s="59"/>
    </row>
    <row r="141" ht="12.75" customHeight="1">
      <c r="A141" s="25"/>
      <c r="B141" s="59"/>
      <c r="C141" s="59"/>
      <c r="D141" s="59"/>
      <c r="E141" s="59"/>
      <c r="F141" s="59"/>
    </row>
    <row r="142" ht="12.75" customHeight="1">
      <c r="A142" s="25"/>
      <c r="B142" s="59"/>
      <c r="C142" s="59"/>
      <c r="D142" s="59"/>
      <c r="E142" s="59"/>
      <c r="F142" s="59"/>
    </row>
    <row r="143" ht="12.75" customHeight="1">
      <c r="A143" s="25"/>
      <c r="B143" s="59"/>
      <c r="C143" s="59"/>
      <c r="D143" s="59"/>
      <c r="E143" s="59"/>
      <c r="F143" s="59"/>
    </row>
    <row r="144" ht="12.75" customHeight="1">
      <c r="A144" s="25"/>
      <c r="B144" s="59"/>
      <c r="C144" s="59"/>
      <c r="D144" s="59"/>
      <c r="E144" s="59"/>
      <c r="F144" s="59"/>
    </row>
    <row r="145" ht="12.75" customHeight="1">
      <c r="A145" s="25"/>
      <c r="B145" s="59"/>
      <c r="C145" s="59"/>
      <c r="D145" s="59"/>
      <c r="E145" s="59"/>
      <c r="F145" s="59"/>
    </row>
    <row r="146" ht="12.75" customHeight="1">
      <c r="A146" s="25"/>
      <c r="B146" s="59"/>
      <c r="C146" s="59"/>
      <c r="D146" s="59"/>
      <c r="E146" s="59"/>
      <c r="F146" s="59"/>
    </row>
    <row r="147" ht="12.75" customHeight="1">
      <c r="A147" s="25"/>
      <c r="B147" s="59"/>
      <c r="C147" s="59"/>
      <c r="D147" s="59"/>
      <c r="E147" s="59"/>
      <c r="F147" s="59"/>
    </row>
    <row r="148" ht="12.75" customHeight="1">
      <c r="A148" s="25"/>
      <c r="B148" s="59"/>
      <c r="C148" s="59"/>
      <c r="D148" s="59"/>
      <c r="E148" s="59"/>
      <c r="F148" s="59"/>
    </row>
    <row r="149" ht="12.75" customHeight="1">
      <c r="A149" s="25"/>
      <c r="B149" s="59"/>
      <c r="C149" s="59"/>
      <c r="D149" s="59"/>
      <c r="E149" s="59"/>
      <c r="F149" s="59"/>
    </row>
    <row r="150" ht="12.75" customHeight="1">
      <c r="A150" s="25"/>
      <c r="B150" s="59"/>
      <c r="C150" s="59"/>
      <c r="D150" s="59"/>
      <c r="E150" s="59"/>
      <c r="F150" s="59"/>
    </row>
    <row r="151" ht="12.75" customHeight="1">
      <c r="A151" s="25"/>
      <c r="B151" s="59"/>
      <c r="C151" s="59"/>
      <c r="D151" s="59"/>
      <c r="E151" s="59"/>
      <c r="F151" s="59"/>
    </row>
    <row r="152" ht="12.75" customHeight="1">
      <c r="A152" s="25"/>
      <c r="B152" s="59"/>
      <c r="C152" s="59"/>
      <c r="D152" s="59"/>
      <c r="E152" s="59"/>
      <c r="F152" s="59"/>
    </row>
    <row r="153" ht="12.75" customHeight="1">
      <c r="A153" s="25"/>
      <c r="B153" s="59"/>
      <c r="C153" s="59"/>
      <c r="D153" s="59"/>
      <c r="E153" s="59"/>
      <c r="F153" s="59"/>
    </row>
    <row r="154" ht="12.75" customHeight="1">
      <c r="A154" s="25"/>
      <c r="B154" s="59"/>
      <c r="C154" s="59"/>
      <c r="D154" s="59"/>
      <c r="E154" s="59"/>
      <c r="F154" s="59"/>
    </row>
    <row r="155" ht="12.75" customHeight="1">
      <c r="A155" s="25"/>
      <c r="B155" s="59"/>
      <c r="C155" s="59"/>
      <c r="D155" s="59"/>
      <c r="E155" s="59"/>
      <c r="F155" s="59"/>
    </row>
    <row r="156" ht="12.75" customHeight="1">
      <c r="A156" s="25"/>
      <c r="B156" s="59"/>
      <c r="C156" s="59"/>
      <c r="D156" s="59"/>
      <c r="E156" s="59"/>
      <c r="F156" s="59"/>
    </row>
    <row r="157" ht="12.75" customHeight="1">
      <c r="A157" s="25"/>
      <c r="B157" s="59"/>
      <c r="C157" s="59"/>
      <c r="D157" s="59"/>
      <c r="E157" s="59"/>
      <c r="F157" s="59"/>
    </row>
    <row r="158" ht="12.75" customHeight="1">
      <c r="A158" s="25"/>
      <c r="B158" s="59"/>
      <c r="C158" s="59"/>
      <c r="D158" s="59"/>
      <c r="E158" s="59"/>
      <c r="F158" s="59"/>
    </row>
    <row r="159" ht="12.75" customHeight="1">
      <c r="A159" s="25"/>
      <c r="B159" s="59"/>
      <c r="C159" s="59"/>
      <c r="D159" s="59"/>
      <c r="E159" s="59"/>
      <c r="F159" s="59"/>
    </row>
    <row r="160" ht="12.75" customHeight="1">
      <c r="A160" s="25"/>
      <c r="B160" s="59"/>
      <c r="C160" s="59"/>
      <c r="D160" s="59"/>
      <c r="E160" s="59"/>
      <c r="F160" s="59"/>
    </row>
    <row r="161" ht="12.75" customHeight="1">
      <c r="A161" s="25"/>
      <c r="B161" s="59"/>
      <c r="C161" s="59"/>
      <c r="D161" s="59"/>
      <c r="E161" s="59"/>
      <c r="F161" s="59"/>
    </row>
    <row r="162" ht="12.75" customHeight="1">
      <c r="A162" s="25"/>
      <c r="B162" s="59"/>
      <c r="C162" s="59"/>
      <c r="D162" s="59"/>
      <c r="E162" s="59"/>
      <c r="F162" s="59"/>
    </row>
    <row r="163" ht="12.75" customHeight="1">
      <c r="A163" s="25"/>
      <c r="B163" s="59"/>
      <c r="C163" s="59"/>
      <c r="D163" s="59"/>
      <c r="E163" s="59"/>
      <c r="F163" s="59"/>
    </row>
    <row r="164" ht="12.75" customHeight="1">
      <c r="A164" s="25"/>
      <c r="B164" s="59"/>
      <c r="C164" s="59"/>
      <c r="D164" s="59"/>
      <c r="E164" s="59"/>
      <c r="F164" s="59"/>
    </row>
    <row r="165" ht="12.75" customHeight="1">
      <c r="A165" s="25"/>
      <c r="B165" s="59"/>
      <c r="C165" s="59"/>
      <c r="D165" s="59"/>
      <c r="E165" s="59"/>
      <c r="F165" s="59"/>
    </row>
    <row r="166" ht="12.75" customHeight="1">
      <c r="A166" s="25"/>
      <c r="B166" s="59"/>
      <c r="C166" s="59"/>
      <c r="D166" s="59"/>
      <c r="E166" s="59"/>
      <c r="F166" s="59"/>
    </row>
    <row r="167" ht="12.75" customHeight="1">
      <c r="A167" s="25"/>
      <c r="B167" s="59"/>
      <c r="C167" s="59"/>
      <c r="D167" s="59"/>
      <c r="E167" s="59"/>
      <c r="F167" s="59"/>
    </row>
    <row r="168" ht="12.75" customHeight="1">
      <c r="A168" s="25"/>
      <c r="B168" s="59"/>
      <c r="C168" s="59"/>
      <c r="D168" s="59"/>
      <c r="E168" s="59"/>
      <c r="F168" s="59"/>
    </row>
    <row r="169" ht="12.75" customHeight="1">
      <c r="A169" s="25"/>
      <c r="B169" s="59"/>
      <c r="C169" s="59"/>
      <c r="D169" s="59"/>
      <c r="E169" s="59"/>
      <c r="F169" s="59"/>
    </row>
    <row r="170" ht="12.75" customHeight="1">
      <c r="A170" s="25"/>
      <c r="B170" s="59"/>
      <c r="C170" s="59"/>
      <c r="D170" s="59"/>
      <c r="E170" s="59"/>
      <c r="F170" s="59"/>
    </row>
    <row r="171" ht="12.75" customHeight="1">
      <c r="A171" s="25"/>
      <c r="B171" s="59"/>
      <c r="C171" s="59"/>
      <c r="D171" s="59"/>
      <c r="E171" s="59"/>
      <c r="F171" s="59"/>
    </row>
    <row r="172" ht="12.75" customHeight="1">
      <c r="A172" s="25"/>
      <c r="B172" s="59"/>
      <c r="C172" s="59"/>
      <c r="D172" s="59"/>
      <c r="E172" s="59"/>
      <c r="F172" s="59"/>
    </row>
    <row r="173" ht="12.75" customHeight="1">
      <c r="A173" s="25"/>
      <c r="B173" s="59"/>
      <c r="C173" s="59"/>
      <c r="D173" s="59"/>
      <c r="E173" s="59"/>
      <c r="F173" s="59"/>
    </row>
    <row r="174" ht="12.75" customHeight="1">
      <c r="A174" s="25"/>
      <c r="B174" s="59"/>
      <c r="C174" s="59"/>
      <c r="D174" s="59"/>
      <c r="E174" s="59"/>
      <c r="F174" s="59"/>
    </row>
    <row r="175" ht="12.75" customHeight="1">
      <c r="A175" s="25"/>
      <c r="B175" s="59"/>
      <c r="C175" s="59"/>
      <c r="D175" s="59"/>
      <c r="E175" s="59"/>
      <c r="F175" s="59"/>
    </row>
    <row r="176" ht="12.75" customHeight="1">
      <c r="A176" s="25"/>
      <c r="B176" s="59"/>
      <c r="C176" s="59"/>
      <c r="D176" s="59"/>
      <c r="E176" s="59"/>
      <c r="F176" s="59"/>
    </row>
    <row r="177" ht="12.75" customHeight="1">
      <c r="A177" s="25"/>
      <c r="B177" s="59"/>
      <c r="C177" s="59"/>
      <c r="D177" s="59"/>
      <c r="E177" s="59"/>
      <c r="F177" s="59"/>
    </row>
    <row r="178" ht="12.75" customHeight="1">
      <c r="A178" s="25"/>
      <c r="B178" s="59"/>
      <c r="C178" s="59"/>
      <c r="D178" s="59"/>
      <c r="E178" s="59"/>
      <c r="F178" s="59"/>
    </row>
    <row r="179" ht="12.75" customHeight="1">
      <c r="A179" s="25"/>
      <c r="B179" s="59"/>
      <c r="C179" s="59"/>
      <c r="D179" s="59"/>
      <c r="E179" s="59"/>
      <c r="F179" s="59"/>
    </row>
    <row r="180" ht="12.75" customHeight="1">
      <c r="A180" s="25"/>
      <c r="B180" s="59"/>
      <c r="C180" s="59"/>
      <c r="D180" s="59"/>
      <c r="E180" s="59"/>
      <c r="F180" s="59"/>
    </row>
    <row r="181" ht="12.75" customHeight="1">
      <c r="A181" s="25"/>
      <c r="B181" s="59"/>
      <c r="C181" s="59"/>
      <c r="D181" s="59"/>
      <c r="E181" s="59"/>
      <c r="F181" s="59"/>
    </row>
    <row r="182" ht="12.75" customHeight="1">
      <c r="A182" s="25"/>
      <c r="B182" s="59"/>
      <c r="C182" s="59"/>
      <c r="D182" s="59"/>
      <c r="E182" s="59"/>
      <c r="F182" s="59"/>
    </row>
    <row r="183" ht="12.75" customHeight="1">
      <c r="A183" s="25"/>
      <c r="B183" s="59"/>
      <c r="C183" s="59"/>
      <c r="D183" s="59"/>
      <c r="E183" s="59"/>
      <c r="F183" s="59"/>
    </row>
    <row r="184" ht="12.75" customHeight="1">
      <c r="A184" s="25"/>
      <c r="B184" s="59"/>
      <c r="C184" s="59"/>
      <c r="D184" s="59"/>
      <c r="E184" s="59"/>
      <c r="F184" s="59"/>
    </row>
    <row r="185" ht="12.75" customHeight="1">
      <c r="A185" s="25"/>
      <c r="B185" s="59"/>
      <c r="C185" s="59"/>
      <c r="D185" s="59"/>
      <c r="E185" s="59"/>
      <c r="F185" s="59"/>
    </row>
    <row r="186" ht="12.75" customHeight="1">
      <c r="A186" s="25"/>
      <c r="B186" s="59"/>
      <c r="C186" s="59"/>
      <c r="D186" s="59"/>
      <c r="E186" s="59"/>
      <c r="F186" s="59"/>
    </row>
    <row r="187" ht="12.75" customHeight="1">
      <c r="A187" s="25"/>
      <c r="B187" s="59"/>
      <c r="C187" s="59"/>
      <c r="D187" s="59"/>
      <c r="E187" s="59"/>
      <c r="F187" s="59"/>
    </row>
    <row r="188" ht="12.75" customHeight="1">
      <c r="A188" s="25"/>
      <c r="B188" s="59"/>
      <c r="C188" s="59"/>
      <c r="D188" s="59"/>
      <c r="E188" s="59"/>
      <c r="F188" s="59"/>
    </row>
    <row r="189" ht="12.75" customHeight="1">
      <c r="A189" s="25"/>
      <c r="B189" s="59"/>
      <c r="C189" s="59"/>
      <c r="D189" s="59"/>
      <c r="E189" s="59"/>
      <c r="F189" s="59"/>
    </row>
    <row r="190" ht="12.75" customHeight="1">
      <c r="A190" s="25"/>
      <c r="B190" s="59"/>
      <c r="C190" s="59"/>
      <c r="D190" s="59"/>
      <c r="E190" s="59"/>
      <c r="F190" s="59"/>
    </row>
    <row r="191" ht="12.75" customHeight="1">
      <c r="A191" s="25"/>
      <c r="B191" s="59"/>
      <c r="C191" s="59"/>
      <c r="D191" s="59"/>
      <c r="E191" s="59"/>
      <c r="F191" s="59"/>
    </row>
    <row r="192" ht="12.75" customHeight="1">
      <c r="A192" s="25"/>
      <c r="B192" s="59"/>
      <c r="C192" s="59"/>
      <c r="D192" s="59"/>
      <c r="E192" s="59"/>
      <c r="F192" s="59"/>
    </row>
    <row r="193" ht="12.75" customHeight="1">
      <c r="A193" s="25"/>
      <c r="B193" s="59"/>
      <c r="C193" s="59"/>
      <c r="D193" s="59"/>
      <c r="E193" s="59"/>
      <c r="F193" s="59"/>
    </row>
    <row r="194" ht="12.75" customHeight="1">
      <c r="A194" s="25"/>
      <c r="B194" s="59"/>
      <c r="C194" s="59"/>
      <c r="D194" s="59"/>
      <c r="E194" s="59"/>
      <c r="F194" s="59"/>
    </row>
    <row r="195" ht="12.75" customHeight="1">
      <c r="A195" s="25"/>
      <c r="B195" s="59"/>
      <c r="C195" s="59"/>
      <c r="D195" s="59"/>
      <c r="E195" s="59"/>
      <c r="F195" s="59"/>
    </row>
    <row r="196" ht="12.75" customHeight="1">
      <c r="A196" s="25"/>
      <c r="B196" s="59"/>
      <c r="C196" s="59"/>
      <c r="D196" s="59"/>
      <c r="E196" s="59"/>
      <c r="F196" s="59"/>
    </row>
    <row r="197" ht="12.75" customHeight="1">
      <c r="A197" s="25"/>
      <c r="B197" s="59"/>
      <c r="C197" s="59"/>
      <c r="D197" s="59"/>
      <c r="E197" s="59"/>
      <c r="F197" s="59"/>
    </row>
    <row r="198" ht="12.75" customHeight="1">
      <c r="A198" s="25"/>
      <c r="B198" s="59"/>
      <c r="C198" s="59"/>
      <c r="D198" s="59"/>
      <c r="E198" s="59"/>
      <c r="F198" s="59"/>
    </row>
    <row r="199" ht="12.75" customHeight="1">
      <c r="A199" s="25"/>
      <c r="B199" s="59"/>
      <c r="C199" s="59"/>
      <c r="D199" s="59"/>
      <c r="E199" s="59"/>
      <c r="F199" s="59"/>
    </row>
    <row r="200" ht="12.75" customHeight="1">
      <c r="A200" s="25"/>
      <c r="B200" s="59"/>
      <c r="C200" s="59"/>
      <c r="D200" s="59"/>
      <c r="E200" s="59"/>
      <c r="F200" s="59"/>
    </row>
    <row r="201" ht="12.75" customHeight="1">
      <c r="A201" s="25"/>
      <c r="B201" s="59"/>
      <c r="C201" s="59"/>
      <c r="D201" s="59"/>
      <c r="E201" s="59"/>
      <c r="F201" s="59"/>
    </row>
    <row r="202" ht="12.75" customHeight="1">
      <c r="A202" s="25"/>
      <c r="B202" s="59"/>
      <c r="C202" s="59"/>
      <c r="D202" s="59"/>
      <c r="E202" s="59"/>
      <c r="F202" s="59"/>
    </row>
    <row r="203" ht="12.75" customHeight="1">
      <c r="A203" s="25"/>
      <c r="B203" s="59"/>
      <c r="C203" s="59"/>
      <c r="D203" s="59"/>
      <c r="E203" s="59"/>
      <c r="F203" s="59"/>
    </row>
    <row r="204" ht="12.75" customHeight="1">
      <c r="A204" s="25"/>
      <c r="B204" s="59"/>
      <c r="C204" s="59"/>
      <c r="D204" s="59"/>
      <c r="E204" s="59"/>
      <c r="F204" s="59"/>
    </row>
    <row r="205" ht="12.75" customHeight="1">
      <c r="A205" s="25"/>
      <c r="B205" s="59"/>
      <c r="C205" s="59"/>
      <c r="D205" s="59"/>
      <c r="E205" s="59"/>
      <c r="F205" s="59"/>
    </row>
    <row r="206" ht="12.75" customHeight="1">
      <c r="A206" s="25"/>
      <c r="B206" s="59"/>
      <c r="C206" s="59"/>
      <c r="D206" s="59"/>
      <c r="E206" s="59"/>
      <c r="F206" s="59"/>
    </row>
    <row r="207" ht="12.75" customHeight="1">
      <c r="A207" s="25"/>
      <c r="B207" s="59"/>
      <c r="C207" s="59"/>
      <c r="D207" s="59"/>
      <c r="E207" s="59"/>
      <c r="F207" s="59"/>
    </row>
    <row r="208" ht="12.75" customHeight="1">
      <c r="A208" s="25"/>
      <c r="B208" s="59"/>
      <c r="C208" s="59"/>
      <c r="D208" s="59"/>
      <c r="E208" s="59"/>
      <c r="F208" s="59"/>
    </row>
    <row r="209" ht="12.75" customHeight="1">
      <c r="A209" s="25"/>
      <c r="B209" s="59"/>
      <c r="C209" s="59"/>
      <c r="D209" s="59"/>
      <c r="E209" s="59"/>
      <c r="F209" s="59"/>
    </row>
    <row r="210" ht="12.75" customHeight="1">
      <c r="A210" s="25"/>
      <c r="B210" s="59"/>
      <c r="C210" s="59"/>
      <c r="D210" s="59"/>
      <c r="E210" s="59"/>
      <c r="F210" s="59"/>
    </row>
    <row r="211" ht="12.75" customHeight="1">
      <c r="A211" s="25"/>
      <c r="B211" s="59"/>
      <c r="C211" s="59"/>
      <c r="D211" s="59"/>
      <c r="E211" s="59"/>
      <c r="F211" s="59"/>
    </row>
    <row r="212" ht="12.75" customHeight="1">
      <c r="A212" s="25"/>
      <c r="B212" s="59"/>
      <c r="C212" s="59"/>
      <c r="D212" s="59"/>
      <c r="E212" s="59"/>
      <c r="F212" s="59"/>
    </row>
    <row r="213" ht="12.75" customHeight="1">
      <c r="A213" s="25"/>
      <c r="B213" s="59"/>
      <c r="C213" s="59"/>
      <c r="D213" s="59"/>
      <c r="E213" s="59"/>
      <c r="F213" s="59"/>
    </row>
    <row r="214" ht="12.75" customHeight="1">
      <c r="A214" s="25"/>
      <c r="B214" s="59"/>
      <c r="C214" s="59"/>
      <c r="D214" s="59"/>
      <c r="E214" s="59"/>
      <c r="F214" s="59"/>
    </row>
    <row r="215" ht="12.75" customHeight="1">
      <c r="A215" s="25"/>
      <c r="B215" s="59"/>
      <c r="C215" s="59"/>
      <c r="D215" s="59"/>
      <c r="E215" s="59"/>
      <c r="F215" s="59"/>
    </row>
    <row r="216" ht="12.75" customHeight="1">
      <c r="A216" s="25"/>
      <c r="B216" s="59"/>
      <c r="C216" s="59"/>
      <c r="D216" s="59"/>
      <c r="E216" s="59"/>
      <c r="F216" s="59"/>
    </row>
    <row r="217" ht="12.75" customHeight="1">
      <c r="A217" s="25"/>
      <c r="B217" s="59"/>
      <c r="C217" s="59"/>
      <c r="D217" s="59"/>
      <c r="E217" s="59"/>
      <c r="F217" s="59"/>
    </row>
    <row r="218" ht="12.75" customHeight="1">
      <c r="A218" s="25"/>
      <c r="B218" s="59"/>
      <c r="C218" s="59"/>
      <c r="D218" s="59"/>
      <c r="E218" s="59"/>
      <c r="F218" s="59"/>
    </row>
    <row r="219" ht="12.75" customHeight="1">
      <c r="A219" s="25"/>
      <c r="B219" s="59"/>
      <c r="C219" s="59"/>
      <c r="D219" s="59"/>
      <c r="E219" s="59"/>
      <c r="F219" s="59"/>
    </row>
    <row r="220" ht="12.75" customHeight="1">
      <c r="A220" s="25"/>
      <c r="B220" s="59"/>
      <c r="C220" s="59"/>
      <c r="D220" s="59"/>
      <c r="E220" s="59"/>
      <c r="F220" s="59"/>
    </row>
    <row r="221" ht="12.75" customHeight="1">
      <c r="A221" s="25"/>
      <c r="B221" s="59"/>
      <c r="C221" s="59"/>
      <c r="D221" s="59"/>
      <c r="E221" s="59"/>
      <c r="F221" s="59"/>
    </row>
    <row r="222" ht="12.75" customHeight="1">
      <c r="A222" s="25"/>
      <c r="B222" s="59"/>
      <c r="C222" s="59"/>
      <c r="D222" s="59"/>
      <c r="E222" s="59"/>
      <c r="F222" s="59"/>
    </row>
    <row r="223" ht="12.75" customHeight="1">
      <c r="A223" s="25"/>
      <c r="B223" s="59"/>
      <c r="C223" s="59"/>
      <c r="D223" s="59"/>
      <c r="E223" s="59"/>
      <c r="F223" s="59"/>
    </row>
    <row r="224" ht="12.75" customHeight="1">
      <c r="A224" s="25"/>
      <c r="B224" s="59"/>
      <c r="C224" s="59"/>
      <c r="D224" s="59"/>
      <c r="E224" s="59"/>
      <c r="F224" s="59"/>
    </row>
    <row r="225" ht="12.75" customHeight="1">
      <c r="A225" s="25"/>
      <c r="B225" s="59"/>
      <c r="C225" s="59"/>
      <c r="D225" s="59"/>
      <c r="E225" s="59"/>
      <c r="F225" s="59"/>
    </row>
    <row r="226" ht="12.75" customHeight="1">
      <c r="A226" s="25"/>
      <c r="B226" s="59"/>
      <c r="C226" s="59"/>
      <c r="D226" s="59"/>
      <c r="E226" s="59"/>
      <c r="F226" s="59"/>
    </row>
    <row r="227" ht="12.75" customHeight="1">
      <c r="A227" s="25"/>
      <c r="B227" s="59"/>
      <c r="C227" s="59"/>
      <c r="D227" s="59"/>
      <c r="E227" s="59"/>
      <c r="F227" s="59"/>
    </row>
    <row r="228" ht="12.75" customHeight="1">
      <c r="A228" s="25"/>
      <c r="B228" s="59"/>
      <c r="C228" s="59"/>
      <c r="D228" s="59"/>
      <c r="E228" s="59"/>
      <c r="F228" s="59"/>
    </row>
    <row r="229" ht="12.75" customHeight="1">
      <c r="A229" s="25"/>
      <c r="B229" s="59"/>
      <c r="C229" s="59"/>
      <c r="D229" s="59"/>
      <c r="E229" s="59"/>
      <c r="F229" s="59"/>
    </row>
    <row r="230" ht="12.75" customHeight="1">
      <c r="A230" s="25"/>
      <c r="B230" s="59"/>
      <c r="C230" s="59"/>
      <c r="D230" s="59"/>
      <c r="E230" s="59"/>
      <c r="F230" s="59"/>
    </row>
    <row r="231" ht="12.75" customHeight="1">
      <c r="A231" s="25"/>
      <c r="B231" s="59"/>
      <c r="C231" s="59"/>
      <c r="D231" s="59"/>
      <c r="E231" s="59"/>
      <c r="F231" s="59"/>
    </row>
    <row r="232" ht="12.75" customHeight="1">
      <c r="A232" s="25"/>
      <c r="B232" s="59"/>
      <c r="C232" s="59"/>
      <c r="D232" s="59"/>
      <c r="E232" s="59"/>
      <c r="F232" s="59"/>
    </row>
    <row r="233" ht="12.75" customHeight="1">
      <c r="A233" s="25"/>
      <c r="B233" s="59"/>
      <c r="C233" s="59"/>
      <c r="D233" s="59"/>
      <c r="E233" s="59"/>
      <c r="F233" s="59"/>
    </row>
    <row r="234" ht="12.75" customHeight="1">
      <c r="A234" s="25"/>
      <c r="B234" s="59"/>
      <c r="C234" s="59"/>
      <c r="D234" s="59"/>
      <c r="E234" s="59"/>
      <c r="F234" s="59"/>
    </row>
    <row r="235" ht="12.75" customHeight="1">
      <c r="A235" s="25"/>
      <c r="B235" s="59"/>
      <c r="C235" s="59"/>
      <c r="D235" s="59"/>
      <c r="E235" s="59"/>
      <c r="F235" s="59"/>
    </row>
    <row r="236" ht="12.75" customHeight="1">
      <c r="A236" s="25"/>
      <c r="B236" s="59"/>
      <c r="C236" s="59"/>
      <c r="D236" s="59"/>
      <c r="E236" s="59"/>
      <c r="F236" s="59"/>
    </row>
    <row r="237" ht="12.75" customHeight="1">
      <c r="A237" s="25"/>
      <c r="B237" s="59"/>
      <c r="C237" s="59"/>
      <c r="D237" s="59"/>
      <c r="E237" s="59"/>
      <c r="F237" s="59"/>
    </row>
    <row r="238" ht="12.75" customHeight="1">
      <c r="A238" s="25"/>
      <c r="B238" s="59"/>
      <c r="C238" s="59"/>
      <c r="D238" s="59"/>
      <c r="E238" s="59"/>
      <c r="F238" s="59"/>
    </row>
    <row r="239" ht="12.75" customHeight="1">
      <c r="A239" s="25"/>
      <c r="B239" s="59"/>
      <c r="C239" s="59"/>
      <c r="D239" s="59"/>
      <c r="E239" s="59"/>
      <c r="F239" s="59"/>
    </row>
    <row r="240" ht="12.75" customHeight="1">
      <c r="A240" s="25"/>
      <c r="B240" s="59"/>
      <c r="C240" s="59"/>
      <c r="D240" s="59"/>
      <c r="E240" s="59"/>
      <c r="F240" s="59"/>
    </row>
    <row r="241" ht="12.75" customHeight="1">
      <c r="A241" s="25"/>
      <c r="B241" s="59"/>
      <c r="C241" s="59"/>
      <c r="D241" s="59"/>
      <c r="E241" s="59"/>
      <c r="F241" s="59"/>
    </row>
    <row r="242" ht="12.75" customHeight="1">
      <c r="A242" s="25"/>
      <c r="B242" s="59"/>
      <c r="C242" s="59"/>
      <c r="D242" s="59"/>
      <c r="E242" s="59"/>
      <c r="F242" s="59"/>
    </row>
    <row r="243" ht="12.75" customHeight="1">
      <c r="A243" s="25"/>
      <c r="B243" s="59"/>
      <c r="C243" s="59"/>
      <c r="D243" s="59"/>
      <c r="E243" s="59"/>
      <c r="F243" s="59"/>
    </row>
    <row r="244" ht="12.75" customHeight="1">
      <c r="A244" s="25"/>
      <c r="B244" s="59"/>
      <c r="C244" s="59"/>
      <c r="D244" s="59"/>
      <c r="E244" s="59"/>
      <c r="F244" s="59"/>
    </row>
    <row r="245" ht="12.75" customHeight="1">
      <c r="A245" s="25"/>
      <c r="B245" s="59"/>
      <c r="C245" s="59"/>
      <c r="D245" s="59"/>
      <c r="E245" s="59"/>
      <c r="F245" s="59"/>
    </row>
    <row r="246" ht="12.75" customHeight="1">
      <c r="A246" s="25"/>
      <c r="B246" s="59"/>
      <c r="C246" s="59"/>
      <c r="D246" s="59"/>
      <c r="E246" s="59"/>
      <c r="F246" s="59"/>
    </row>
    <row r="247" ht="12.75" customHeight="1">
      <c r="A247" s="25"/>
      <c r="B247" s="59"/>
      <c r="C247" s="59"/>
      <c r="D247" s="59"/>
      <c r="E247" s="59"/>
      <c r="F247" s="59"/>
    </row>
    <row r="248" ht="12.75" customHeight="1">
      <c r="A248" s="25"/>
      <c r="B248" s="59"/>
      <c r="C248" s="59"/>
      <c r="D248" s="59"/>
      <c r="E248" s="59"/>
      <c r="F248" s="59"/>
    </row>
    <row r="249" ht="12.75" customHeight="1">
      <c r="A249" s="25"/>
      <c r="B249" s="59"/>
      <c r="C249" s="59"/>
      <c r="D249" s="59"/>
      <c r="E249" s="59"/>
      <c r="F249" s="59"/>
    </row>
    <row r="250" ht="12.75" customHeight="1">
      <c r="A250" s="25"/>
      <c r="B250" s="59"/>
      <c r="C250" s="59"/>
      <c r="D250" s="59"/>
      <c r="E250" s="59"/>
      <c r="F250" s="59"/>
    </row>
    <row r="251" ht="12.75" customHeight="1">
      <c r="A251" s="25"/>
      <c r="B251" s="59"/>
      <c r="C251" s="59"/>
      <c r="D251" s="59"/>
      <c r="E251" s="59"/>
      <c r="F251" s="59"/>
    </row>
    <row r="252" ht="12.75" customHeight="1">
      <c r="A252" s="25"/>
      <c r="B252" s="59"/>
      <c r="C252" s="59"/>
      <c r="D252" s="59"/>
      <c r="E252" s="59"/>
      <c r="F252" s="59"/>
    </row>
    <row r="253" ht="12.75" customHeight="1">
      <c r="A253" s="25"/>
      <c r="B253" s="59"/>
      <c r="C253" s="59"/>
      <c r="D253" s="59"/>
      <c r="E253" s="59"/>
      <c r="F253" s="59"/>
    </row>
    <row r="254" ht="12.75" customHeight="1">
      <c r="A254" s="25"/>
      <c r="B254" s="59"/>
      <c r="C254" s="59"/>
      <c r="D254" s="59"/>
      <c r="E254" s="59"/>
      <c r="F254" s="59"/>
    </row>
    <row r="255" ht="12.75" customHeight="1">
      <c r="A255" s="25"/>
      <c r="B255" s="59"/>
      <c r="C255" s="59"/>
      <c r="D255" s="59"/>
      <c r="E255" s="59"/>
      <c r="F255" s="59"/>
    </row>
    <row r="256" ht="12.75" customHeight="1">
      <c r="A256" s="25"/>
      <c r="B256" s="59"/>
      <c r="C256" s="59"/>
      <c r="D256" s="59"/>
      <c r="E256" s="59"/>
      <c r="F256" s="59"/>
    </row>
    <row r="257" ht="12.75" customHeight="1">
      <c r="A257" s="25"/>
      <c r="B257" s="59"/>
      <c r="C257" s="59"/>
      <c r="D257" s="59"/>
      <c r="E257" s="59"/>
      <c r="F257" s="59"/>
    </row>
    <row r="258" ht="12.75" customHeight="1">
      <c r="A258" s="25"/>
      <c r="B258" s="59"/>
      <c r="C258" s="59"/>
      <c r="D258" s="59"/>
      <c r="E258" s="59"/>
      <c r="F258" s="59"/>
    </row>
    <row r="259" ht="12.75" customHeight="1">
      <c r="A259" s="25"/>
      <c r="B259" s="59"/>
      <c r="C259" s="59"/>
      <c r="D259" s="59"/>
      <c r="E259" s="59"/>
      <c r="F259" s="59"/>
    </row>
    <row r="260" ht="12.75" customHeight="1">
      <c r="A260" s="25"/>
      <c r="B260" s="59"/>
      <c r="C260" s="59"/>
      <c r="D260" s="59"/>
      <c r="E260" s="59"/>
      <c r="F260" s="59"/>
    </row>
    <row r="261" ht="12.75" customHeight="1">
      <c r="A261" s="25"/>
      <c r="B261" s="59"/>
      <c r="C261" s="59"/>
      <c r="D261" s="59"/>
      <c r="E261" s="59"/>
      <c r="F261" s="59"/>
    </row>
    <row r="262" ht="12.75" customHeight="1">
      <c r="A262" s="25"/>
      <c r="B262" s="59"/>
      <c r="C262" s="59"/>
      <c r="D262" s="59"/>
      <c r="E262" s="59"/>
      <c r="F262" s="59"/>
    </row>
    <row r="263" ht="12.75" customHeight="1">
      <c r="A263" s="25"/>
      <c r="B263" s="59"/>
      <c r="C263" s="59"/>
      <c r="D263" s="59"/>
      <c r="E263" s="59"/>
      <c r="F263" s="59"/>
    </row>
    <row r="264" ht="12.75" customHeight="1">
      <c r="A264" s="25"/>
      <c r="B264" s="59"/>
      <c r="C264" s="59"/>
      <c r="D264" s="59"/>
      <c r="E264" s="59"/>
      <c r="F264" s="59"/>
    </row>
    <row r="265" ht="12.75" customHeight="1">
      <c r="A265" s="25"/>
      <c r="B265" s="59"/>
      <c r="C265" s="59"/>
      <c r="D265" s="59"/>
      <c r="E265" s="59"/>
      <c r="F265" s="59"/>
    </row>
    <row r="266" ht="12.75" customHeight="1">
      <c r="A266" s="25"/>
      <c r="B266" s="59"/>
      <c r="C266" s="59"/>
      <c r="D266" s="59"/>
      <c r="E266" s="59"/>
      <c r="F266" s="59"/>
    </row>
    <row r="267" ht="12.75" customHeight="1">
      <c r="A267" s="25"/>
      <c r="B267" s="59"/>
      <c r="C267" s="59"/>
      <c r="D267" s="59"/>
      <c r="E267" s="59"/>
      <c r="F267" s="59"/>
    </row>
    <row r="268" ht="12.75" customHeight="1">
      <c r="A268" s="25"/>
      <c r="B268" s="59"/>
      <c r="C268" s="59"/>
      <c r="D268" s="59"/>
      <c r="E268" s="59"/>
      <c r="F268" s="59"/>
    </row>
    <row r="269" ht="12.75" customHeight="1">
      <c r="A269" s="25"/>
      <c r="B269" s="59"/>
      <c r="C269" s="59"/>
      <c r="D269" s="59"/>
      <c r="E269" s="59"/>
      <c r="F269" s="59"/>
    </row>
    <row r="270" ht="12.75" customHeight="1">
      <c r="A270" s="25"/>
      <c r="B270" s="59"/>
      <c r="C270" s="59"/>
      <c r="D270" s="59"/>
      <c r="E270" s="59"/>
      <c r="F270" s="59"/>
    </row>
    <row r="271" ht="12.75" customHeight="1">
      <c r="A271" s="25"/>
      <c r="B271" s="59"/>
      <c r="C271" s="59"/>
      <c r="D271" s="59"/>
      <c r="E271" s="59"/>
      <c r="F271" s="59"/>
    </row>
    <row r="272" ht="12.75" customHeight="1">
      <c r="A272" s="25"/>
      <c r="B272" s="59"/>
      <c r="C272" s="59"/>
      <c r="D272" s="59"/>
      <c r="E272" s="59"/>
      <c r="F272" s="59"/>
    </row>
    <row r="273" ht="12.75" customHeight="1">
      <c r="A273" s="25"/>
      <c r="B273" s="59"/>
      <c r="C273" s="59"/>
      <c r="D273" s="59"/>
      <c r="E273" s="59"/>
      <c r="F273" s="59"/>
    </row>
    <row r="274" ht="12.75" customHeight="1">
      <c r="A274" s="25"/>
      <c r="B274" s="59"/>
      <c r="C274" s="59"/>
      <c r="D274" s="59"/>
      <c r="E274" s="59"/>
      <c r="F274" s="59"/>
    </row>
    <row r="275" ht="12.75" customHeight="1">
      <c r="A275" s="25"/>
      <c r="B275" s="59"/>
      <c r="C275" s="59"/>
      <c r="D275" s="59"/>
      <c r="E275" s="59"/>
      <c r="F275" s="59"/>
    </row>
    <row r="276" ht="12.75" customHeight="1">
      <c r="A276" s="25"/>
      <c r="B276" s="59"/>
      <c r="C276" s="59"/>
      <c r="D276" s="59"/>
      <c r="E276" s="59"/>
      <c r="F276" s="59"/>
    </row>
    <row r="277" ht="12.75" customHeight="1">
      <c r="A277" s="25"/>
      <c r="B277" s="59"/>
      <c r="C277" s="59"/>
      <c r="D277" s="59"/>
      <c r="E277" s="59"/>
      <c r="F277" s="59"/>
    </row>
    <row r="278" ht="12.75" customHeight="1">
      <c r="A278" s="25"/>
      <c r="B278" s="59"/>
      <c r="C278" s="59"/>
      <c r="D278" s="59"/>
      <c r="E278" s="59"/>
      <c r="F278" s="59"/>
    </row>
    <row r="279" ht="12.75" customHeight="1">
      <c r="A279" s="25"/>
      <c r="B279" s="59"/>
      <c r="C279" s="59"/>
      <c r="D279" s="59"/>
      <c r="E279" s="59"/>
      <c r="F279" s="59"/>
    </row>
    <row r="280" ht="12.75" customHeight="1">
      <c r="A280" s="25"/>
      <c r="B280" s="59"/>
      <c r="C280" s="59"/>
      <c r="D280" s="59"/>
      <c r="E280" s="59"/>
      <c r="F280" s="59"/>
    </row>
    <row r="281" ht="12.75" customHeight="1">
      <c r="A281" s="25"/>
      <c r="B281" s="59"/>
      <c r="C281" s="59"/>
      <c r="D281" s="59"/>
      <c r="E281" s="59"/>
      <c r="F281" s="59"/>
    </row>
    <row r="282" ht="12.75" customHeight="1">
      <c r="A282" s="25"/>
      <c r="B282" s="59"/>
      <c r="C282" s="59"/>
      <c r="D282" s="59"/>
      <c r="E282" s="59"/>
      <c r="F282" s="59"/>
    </row>
    <row r="283" ht="12.75" customHeight="1">
      <c r="A283" s="25"/>
      <c r="B283" s="59"/>
      <c r="C283" s="59"/>
      <c r="D283" s="59"/>
      <c r="E283" s="59"/>
      <c r="F283" s="59"/>
    </row>
    <row r="284" ht="12.75" customHeight="1">
      <c r="A284" s="25"/>
      <c r="B284" s="59"/>
      <c r="C284" s="59"/>
      <c r="D284" s="59"/>
      <c r="E284" s="59"/>
      <c r="F284" s="59"/>
    </row>
    <row r="285" ht="12.75" customHeight="1">
      <c r="A285" s="25"/>
      <c r="B285" s="59"/>
      <c r="C285" s="59"/>
      <c r="D285" s="59"/>
      <c r="E285" s="59"/>
      <c r="F285" s="59"/>
    </row>
    <row r="286" ht="12.75" customHeight="1">
      <c r="A286" s="25"/>
      <c r="B286" s="59"/>
      <c r="C286" s="59"/>
      <c r="D286" s="59"/>
      <c r="E286" s="59"/>
      <c r="F286" s="59"/>
    </row>
    <row r="287" ht="12.75" customHeight="1">
      <c r="A287" s="25"/>
      <c r="B287" s="59"/>
      <c r="C287" s="59"/>
      <c r="D287" s="59"/>
      <c r="E287" s="59"/>
      <c r="F287" s="59"/>
    </row>
    <row r="288" ht="12.75" customHeight="1">
      <c r="A288" s="25"/>
      <c r="B288" s="59"/>
      <c r="C288" s="59"/>
      <c r="D288" s="59"/>
      <c r="E288" s="59"/>
      <c r="F288" s="59"/>
    </row>
    <row r="289" ht="12.75" customHeight="1">
      <c r="A289" s="25"/>
      <c r="B289" s="59"/>
      <c r="C289" s="59"/>
      <c r="D289" s="59"/>
      <c r="E289" s="59"/>
      <c r="F289" s="59"/>
    </row>
    <row r="290" ht="12.75" customHeight="1">
      <c r="A290" s="25"/>
      <c r="B290" s="59"/>
      <c r="C290" s="59"/>
      <c r="D290" s="59"/>
      <c r="E290" s="59"/>
      <c r="F290" s="59"/>
    </row>
    <row r="291" ht="12.75" customHeight="1">
      <c r="A291" s="25"/>
      <c r="B291" s="59"/>
      <c r="C291" s="59"/>
      <c r="D291" s="59"/>
      <c r="E291" s="59"/>
      <c r="F291" s="59"/>
    </row>
    <row r="292" ht="12.75" customHeight="1">
      <c r="A292" s="25"/>
      <c r="B292" s="59"/>
      <c r="C292" s="59"/>
      <c r="D292" s="59"/>
      <c r="E292" s="59"/>
      <c r="F292" s="59"/>
    </row>
    <row r="293" ht="12.75" customHeight="1">
      <c r="A293" s="25"/>
      <c r="B293" s="59"/>
      <c r="C293" s="59"/>
      <c r="D293" s="59"/>
      <c r="E293" s="59"/>
      <c r="F293" s="59"/>
    </row>
    <row r="294" ht="12.75" customHeight="1">
      <c r="A294" s="25"/>
      <c r="B294" s="59"/>
      <c r="C294" s="59"/>
      <c r="D294" s="59"/>
      <c r="E294" s="59"/>
      <c r="F294" s="59"/>
    </row>
    <row r="295" ht="12.75" customHeight="1">
      <c r="A295" s="25"/>
      <c r="B295" s="59"/>
      <c r="C295" s="59"/>
      <c r="D295" s="59"/>
      <c r="E295" s="59"/>
      <c r="F295" s="59"/>
    </row>
    <row r="296" ht="12.75" customHeight="1">
      <c r="A296" s="25"/>
      <c r="B296" s="59"/>
      <c r="C296" s="59"/>
      <c r="D296" s="59"/>
      <c r="E296" s="59"/>
      <c r="F296" s="59"/>
    </row>
    <row r="297" ht="12.75" customHeight="1">
      <c r="A297" s="25"/>
      <c r="B297" s="59"/>
      <c r="C297" s="59"/>
      <c r="D297" s="59"/>
      <c r="E297" s="59"/>
      <c r="F297" s="59"/>
    </row>
    <row r="298" ht="12.75" customHeight="1">
      <c r="A298" s="25"/>
      <c r="B298" s="59"/>
      <c r="C298" s="59"/>
      <c r="D298" s="59"/>
      <c r="E298" s="59"/>
      <c r="F298" s="59"/>
    </row>
    <row r="299" ht="12.75" customHeight="1">
      <c r="A299" s="25"/>
      <c r="B299" s="59"/>
      <c r="C299" s="59"/>
      <c r="D299" s="59"/>
      <c r="E299" s="59"/>
      <c r="F299" s="59"/>
    </row>
    <row r="300" ht="12.75" customHeight="1">
      <c r="A300" s="25"/>
      <c r="B300" s="59"/>
      <c r="C300" s="59"/>
      <c r="D300" s="59"/>
      <c r="E300" s="59"/>
      <c r="F300" s="59"/>
    </row>
    <row r="301" ht="12.75" customHeight="1">
      <c r="A301" s="25"/>
      <c r="B301" s="59"/>
      <c r="C301" s="59"/>
      <c r="D301" s="59"/>
      <c r="E301" s="59"/>
      <c r="F301" s="59"/>
    </row>
    <row r="302" ht="12.75" customHeight="1">
      <c r="A302" s="25"/>
      <c r="B302" s="59"/>
      <c r="C302" s="59"/>
      <c r="D302" s="59"/>
      <c r="E302" s="59"/>
      <c r="F302" s="59"/>
    </row>
    <row r="303" ht="12.75" customHeight="1">
      <c r="A303" s="25"/>
      <c r="B303" s="59"/>
      <c r="C303" s="59"/>
      <c r="D303" s="59"/>
      <c r="E303" s="59"/>
      <c r="F303" s="59"/>
    </row>
    <row r="304" ht="12.75" customHeight="1">
      <c r="A304" s="25"/>
      <c r="B304" s="59"/>
      <c r="C304" s="59"/>
      <c r="D304" s="59"/>
      <c r="E304" s="59"/>
      <c r="F304" s="59"/>
    </row>
    <row r="305" ht="12.75" customHeight="1">
      <c r="A305" s="25"/>
      <c r="B305" s="59"/>
      <c r="C305" s="59"/>
      <c r="D305" s="59"/>
      <c r="E305" s="59"/>
      <c r="F305" s="59"/>
    </row>
    <row r="306" ht="12.75" customHeight="1">
      <c r="A306" s="25"/>
      <c r="B306" s="59"/>
      <c r="C306" s="59"/>
      <c r="D306" s="59"/>
      <c r="E306" s="59"/>
      <c r="F306" s="59"/>
    </row>
    <row r="307" ht="12.75" customHeight="1">
      <c r="A307" s="25"/>
      <c r="B307" s="59"/>
      <c r="C307" s="59"/>
      <c r="D307" s="59"/>
      <c r="E307" s="59"/>
      <c r="F307" s="59"/>
    </row>
    <row r="308" ht="12.75" customHeight="1">
      <c r="A308" s="25"/>
      <c r="B308" s="59"/>
      <c r="C308" s="59"/>
      <c r="D308" s="59"/>
      <c r="E308" s="59"/>
      <c r="F308" s="59"/>
    </row>
    <row r="309" ht="12.75" customHeight="1">
      <c r="A309" s="25"/>
      <c r="B309" s="59"/>
      <c r="C309" s="59"/>
      <c r="D309" s="59"/>
      <c r="E309" s="59"/>
      <c r="F309" s="59"/>
    </row>
    <row r="310" ht="12.75" customHeight="1">
      <c r="A310" s="25"/>
      <c r="B310" s="59"/>
      <c r="C310" s="59"/>
      <c r="D310" s="59"/>
      <c r="E310" s="59"/>
      <c r="F310" s="59"/>
    </row>
    <row r="311" ht="12.75" customHeight="1">
      <c r="A311" s="25"/>
      <c r="B311" s="59"/>
      <c r="C311" s="59"/>
      <c r="D311" s="59"/>
      <c r="E311" s="59"/>
      <c r="F311" s="59"/>
    </row>
    <row r="312" ht="12.75" customHeight="1">
      <c r="A312" s="25"/>
      <c r="B312" s="59"/>
      <c r="C312" s="59"/>
      <c r="D312" s="59"/>
      <c r="E312" s="59"/>
      <c r="F312" s="59"/>
    </row>
    <row r="313" ht="12.75" customHeight="1">
      <c r="A313" s="25"/>
      <c r="B313" s="59"/>
      <c r="C313" s="59"/>
      <c r="D313" s="59"/>
      <c r="E313" s="59"/>
      <c r="F313" s="59"/>
    </row>
    <row r="314" ht="12.75" customHeight="1">
      <c r="A314" s="25"/>
      <c r="B314" s="59"/>
      <c r="C314" s="59"/>
      <c r="D314" s="59"/>
      <c r="E314" s="59"/>
      <c r="F314" s="59"/>
    </row>
    <row r="315" ht="12.75" customHeight="1">
      <c r="A315" s="25"/>
      <c r="B315" s="59"/>
      <c r="C315" s="59"/>
      <c r="D315" s="59"/>
      <c r="E315" s="59"/>
      <c r="F315" s="59"/>
    </row>
    <row r="316" ht="12.75" customHeight="1">
      <c r="A316" s="25"/>
      <c r="B316" s="59"/>
      <c r="C316" s="59"/>
      <c r="D316" s="59"/>
      <c r="E316" s="59"/>
      <c r="F316" s="59"/>
    </row>
    <row r="317" ht="12.75" customHeight="1">
      <c r="A317" s="25"/>
      <c r="B317" s="59"/>
      <c r="C317" s="59"/>
      <c r="D317" s="59"/>
      <c r="E317" s="59"/>
      <c r="F317" s="59"/>
    </row>
    <row r="318" ht="12.75" customHeight="1">
      <c r="A318" s="25"/>
      <c r="B318" s="59"/>
      <c r="C318" s="59"/>
      <c r="D318" s="59"/>
      <c r="E318" s="59"/>
      <c r="F318" s="59"/>
    </row>
    <row r="319" ht="12.75" customHeight="1">
      <c r="A319" s="25"/>
      <c r="B319" s="59"/>
      <c r="C319" s="59"/>
      <c r="D319" s="59"/>
      <c r="E319" s="59"/>
      <c r="F319" s="59"/>
    </row>
    <row r="320" ht="12.75" customHeight="1">
      <c r="A320" s="25"/>
      <c r="B320" s="59"/>
      <c r="C320" s="59"/>
      <c r="D320" s="59"/>
      <c r="E320" s="59"/>
      <c r="F320" s="59"/>
    </row>
    <row r="321" ht="12.75" customHeight="1">
      <c r="A321" s="25"/>
      <c r="B321" s="59"/>
      <c r="C321" s="59"/>
      <c r="D321" s="59"/>
      <c r="E321" s="59"/>
      <c r="F321" s="59"/>
    </row>
    <row r="322" ht="12.75" customHeight="1">
      <c r="A322" s="25"/>
      <c r="B322" s="59"/>
      <c r="C322" s="59"/>
      <c r="D322" s="59"/>
      <c r="E322" s="59"/>
      <c r="F322" s="59"/>
    </row>
    <row r="323" ht="12.75" customHeight="1">
      <c r="A323" s="25"/>
      <c r="B323" s="59"/>
      <c r="C323" s="59"/>
      <c r="D323" s="59"/>
      <c r="E323" s="59"/>
      <c r="F323" s="59"/>
    </row>
    <row r="324" ht="12.75" customHeight="1">
      <c r="A324" s="25"/>
      <c r="B324" s="59"/>
      <c r="C324" s="59"/>
      <c r="D324" s="59"/>
      <c r="E324" s="59"/>
      <c r="F324" s="59"/>
    </row>
    <row r="325" ht="12.75" customHeight="1">
      <c r="A325" s="25"/>
      <c r="B325" s="59"/>
      <c r="C325" s="59"/>
      <c r="D325" s="59"/>
      <c r="E325" s="59"/>
      <c r="F325" s="59"/>
    </row>
    <row r="326" ht="12.75" customHeight="1">
      <c r="A326" s="25"/>
      <c r="B326" s="59"/>
      <c r="C326" s="59"/>
      <c r="D326" s="59"/>
      <c r="E326" s="59"/>
      <c r="F326" s="59"/>
    </row>
    <row r="327" ht="12.75" customHeight="1">
      <c r="A327" s="25"/>
      <c r="B327" s="59"/>
      <c r="C327" s="59"/>
      <c r="D327" s="59"/>
      <c r="E327" s="59"/>
      <c r="F327" s="59"/>
    </row>
    <row r="328" ht="12.75" customHeight="1">
      <c r="A328" s="25"/>
      <c r="B328" s="59"/>
      <c r="C328" s="59"/>
      <c r="D328" s="59"/>
      <c r="E328" s="59"/>
      <c r="F328" s="59"/>
    </row>
    <row r="329" ht="12.75" customHeight="1">
      <c r="A329" s="25"/>
      <c r="B329" s="59"/>
      <c r="C329" s="59"/>
      <c r="D329" s="59"/>
      <c r="E329" s="59"/>
      <c r="F329" s="59"/>
    </row>
    <row r="330" ht="12.75" customHeight="1">
      <c r="A330" s="25"/>
      <c r="B330" s="59"/>
      <c r="C330" s="59"/>
      <c r="D330" s="59"/>
      <c r="E330" s="59"/>
      <c r="F330" s="59"/>
    </row>
    <row r="331" ht="12.75" customHeight="1">
      <c r="A331" s="25"/>
      <c r="B331" s="59"/>
      <c r="C331" s="59"/>
      <c r="D331" s="59"/>
      <c r="E331" s="59"/>
      <c r="F331" s="59"/>
    </row>
    <row r="332" ht="12.75" customHeight="1">
      <c r="A332" s="25"/>
      <c r="B332" s="59"/>
      <c r="C332" s="59"/>
      <c r="D332" s="59"/>
      <c r="E332" s="59"/>
      <c r="F332" s="59"/>
    </row>
    <row r="333" ht="12.75" customHeight="1">
      <c r="A333" s="25"/>
      <c r="B333" s="59"/>
      <c r="C333" s="59"/>
      <c r="D333" s="59"/>
      <c r="E333" s="59"/>
      <c r="F333" s="59"/>
    </row>
    <row r="334" ht="12.75" customHeight="1">
      <c r="A334" s="25"/>
      <c r="B334" s="59"/>
      <c r="C334" s="59"/>
      <c r="D334" s="59"/>
      <c r="E334" s="59"/>
      <c r="F334" s="59"/>
    </row>
    <row r="335" ht="12.75" customHeight="1">
      <c r="A335" s="25"/>
      <c r="B335" s="59"/>
      <c r="C335" s="59"/>
      <c r="D335" s="59"/>
      <c r="E335" s="59"/>
      <c r="F335" s="59"/>
    </row>
    <row r="336" ht="12.75" customHeight="1">
      <c r="A336" s="25"/>
      <c r="B336" s="59"/>
      <c r="C336" s="59"/>
      <c r="D336" s="59"/>
      <c r="E336" s="59"/>
      <c r="F336" s="59"/>
    </row>
    <row r="337" ht="12.75" customHeight="1">
      <c r="A337" s="25"/>
      <c r="B337" s="59"/>
      <c r="C337" s="59"/>
      <c r="D337" s="59"/>
      <c r="E337" s="59"/>
      <c r="F337" s="59"/>
    </row>
    <row r="338" ht="12.75" customHeight="1">
      <c r="A338" s="25"/>
      <c r="B338" s="59"/>
      <c r="C338" s="59"/>
      <c r="D338" s="59"/>
      <c r="E338" s="59"/>
      <c r="F338" s="59"/>
    </row>
    <row r="339" ht="12.75" customHeight="1">
      <c r="A339" s="25"/>
      <c r="B339" s="59"/>
      <c r="C339" s="59"/>
      <c r="D339" s="59"/>
      <c r="E339" s="59"/>
      <c r="F339" s="59"/>
    </row>
    <row r="340" ht="12.75" customHeight="1">
      <c r="A340" s="25"/>
      <c r="B340" s="59"/>
      <c r="C340" s="59"/>
      <c r="D340" s="59"/>
      <c r="E340" s="59"/>
      <c r="F340" s="59"/>
    </row>
    <row r="341" ht="12.75" customHeight="1">
      <c r="A341" s="25"/>
      <c r="B341" s="59"/>
      <c r="C341" s="59"/>
      <c r="D341" s="59"/>
      <c r="E341" s="59"/>
      <c r="F341" s="59"/>
    </row>
    <row r="342" ht="12.75" customHeight="1">
      <c r="A342" s="25"/>
      <c r="B342" s="59"/>
      <c r="C342" s="59"/>
      <c r="D342" s="59"/>
      <c r="E342" s="59"/>
      <c r="F342" s="59"/>
    </row>
    <row r="343" ht="12.75" customHeight="1">
      <c r="A343" s="25"/>
      <c r="B343" s="59"/>
      <c r="C343" s="59"/>
      <c r="D343" s="59"/>
      <c r="E343" s="59"/>
      <c r="F343" s="59"/>
    </row>
    <row r="344" ht="12.75" customHeight="1">
      <c r="A344" s="25"/>
      <c r="B344" s="59"/>
      <c r="C344" s="59"/>
      <c r="D344" s="59"/>
      <c r="E344" s="59"/>
      <c r="F344" s="59"/>
    </row>
    <row r="345" ht="12.75" customHeight="1">
      <c r="A345" s="25"/>
      <c r="B345" s="59"/>
      <c r="C345" s="59"/>
      <c r="D345" s="59"/>
      <c r="E345" s="59"/>
      <c r="F345" s="59"/>
    </row>
    <row r="346" ht="12.75" customHeight="1">
      <c r="A346" s="25"/>
      <c r="B346" s="59"/>
      <c r="C346" s="59"/>
      <c r="D346" s="59"/>
      <c r="E346" s="59"/>
      <c r="F346" s="59"/>
    </row>
    <row r="347" ht="12.75" customHeight="1">
      <c r="A347" s="25"/>
      <c r="B347" s="59"/>
      <c r="C347" s="59"/>
      <c r="D347" s="59"/>
      <c r="E347" s="59"/>
      <c r="F347" s="59"/>
    </row>
    <row r="348" ht="12.75" customHeight="1">
      <c r="A348" s="25"/>
      <c r="B348" s="59"/>
      <c r="C348" s="59"/>
      <c r="D348" s="59"/>
      <c r="E348" s="59"/>
      <c r="F348" s="59"/>
    </row>
    <row r="349" ht="12.75" customHeight="1">
      <c r="A349" s="25"/>
      <c r="B349" s="59"/>
      <c r="C349" s="59"/>
      <c r="D349" s="59"/>
      <c r="E349" s="59"/>
      <c r="F349" s="59"/>
    </row>
    <row r="350" ht="12.75" customHeight="1">
      <c r="A350" s="25"/>
      <c r="B350" s="59"/>
      <c r="C350" s="59"/>
      <c r="D350" s="59"/>
      <c r="E350" s="59"/>
      <c r="F350" s="59"/>
    </row>
    <row r="351" ht="12.75" customHeight="1">
      <c r="A351" s="25"/>
      <c r="B351" s="59"/>
      <c r="C351" s="59"/>
      <c r="D351" s="59"/>
      <c r="E351" s="59"/>
      <c r="F351" s="59"/>
    </row>
    <row r="352" ht="12.75" customHeight="1">
      <c r="A352" s="25"/>
      <c r="B352" s="59"/>
      <c r="C352" s="59"/>
      <c r="D352" s="59"/>
      <c r="E352" s="59"/>
      <c r="F352" s="59"/>
    </row>
    <row r="353" ht="12.75" customHeight="1">
      <c r="A353" s="25"/>
      <c r="B353" s="59"/>
      <c r="C353" s="59"/>
      <c r="D353" s="59"/>
      <c r="E353" s="59"/>
      <c r="F353" s="59"/>
    </row>
    <row r="354" ht="12.75" customHeight="1">
      <c r="A354" s="25"/>
      <c r="B354" s="59"/>
      <c r="C354" s="59"/>
      <c r="D354" s="59"/>
      <c r="E354" s="59"/>
      <c r="F354" s="59"/>
    </row>
    <row r="355" ht="12.75" customHeight="1">
      <c r="A355" s="25"/>
      <c r="B355" s="59"/>
      <c r="C355" s="59"/>
      <c r="D355" s="59"/>
      <c r="E355" s="59"/>
      <c r="F355" s="59"/>
    </row>
    <row r="356" ht="12.75" customHeight="1">
      <c r="A356" s="25"/>
      <c r="B356" s="59"/>
      <c r="C356" s="59"/>
      <c r="D356" s="59"/>
      <c r="E356" s="59"/>
      <c r="F356" s="59"/>
    </row>
    <row r="357" ht="12.75" customHeight="1">
      <c r="A357" s="25"/>
      <c r="B357" s="59"/>
      <c r="C357" s="59"/>
      <c r="D357" s="59"/>
      <c r="E357" s="59"/>
      <c r="F357" s="59"/>
    </row>
    <row r="358" ht="12.75" customHeight="1">
      <c r="A358" s="25"/>
      <c r="B358" s="59"/>
      <c r="C358" s="59"/>
      <c r="D358" s="59"/>
      <c r="E358" s="59"/>
      <c r="F358" s="59"/>
    </row>
    <row r="359" ht="12.75" customHeight="1">
      <c r="A359" s="25"/>
      <c r="B359" s="59"/>
      <c r="C359" s="59"/>
      <c r="D359" s="59"/>
      <c r="E359" s="59"/>
      <c r="F359" s="59"/>
    </row>
    <row r="360" ht="12.75" customHeight="1">
      <c r="A360" s="25"/>
      <c r="B360" s="59"/>
      <c r="C360" s="59"/>
      <c r="D360" s="59"/>
      <c r="E360" s="59"/>
      <c r="F360" s="59"/>
    </row>
    <row r="361" ht="12.75" customHeight="1">
      <c r="A361" s="25"/>
      <c r="B361" s="59"/>
      <c r="C361" s="59"/>
      <c r="D361" s="59"/>
      <c r="E361" s="59"/>
      <c r="F361" s="59"/>
    </row>
    <row r="362" ht="12.75" customHeight="1">
      <c r="A362" s="25"/>
      <c r="B362" s="59"/>
      <c r="C362" s="59"/>
      <c r="D362" s="59"/>
      <c r="E362" s="59"/>
      <c r="F362" s="59"/>
    </row>
    <row r="363" ht="12.75" customHeight="1">
      <c r="A363" s="25"/>
      <c r="B363" s="59"/>
      <c r="C363" s="59"/>
      <c r="D363" s="59"/>
      <c r="E363" s="59"/>
      <c r="F363" s="59"/>
    </row>
    <row r="364" ht="12.75" customHeight="1">
      <c r="A364" s="25"/>
      <c r="B364" s="59"/>
      <c r="C364" s="59"/>
      <c r="D364" s="59"/>
      <c r="E364" s="59"/>
      <c r="F364" s="59"/>
    </row>
    <row r="365" ht="12.75" customHeight="1">
      <c r="A365" s="25"/>
      <c r="B365" s="59"/>
      <c r="C365" s="59"/>
      <c r="D365" s="59"/>
      <c r="E365" s="59"/>
      <c r="F365" s="59"/>
    </row>
    <row r="366" ht="12.75" customHeight="1">
      <c r="A366" s="25"/>
      <c r="B366" s="59"/>
      <c r="C366" s="59"/>
      <c r="D366" s="59"/>
      <c r="E366" s="59"/>
      <c r="F366" s="59"/>
    </row>
    <row r="367" ht="12.75" customHeight="1">
      <c r="A367" s="25"/>
      <c r="B367" s="59"/>
      <c r="C367" s="59"/>
      <c r="D367" s="59"/>
      <c r="E367" s="59"/>
      <c r="F367" s="59"/>
    </row>
    <row r="368" ht="12.75" customHeight="1">
      <c r="A368" s="25"/>
      <c r="B368" s="59"/>
      <c r="C368" s="59"/>
      <c r="D368" s="59"/>
      <c r="E368" s="59"/>
      <c r="F368" s="59"/>
    </row>
    <row r="369" ht="12.75" customHeight="1">
      <c r="A369" s="25"/>
      <c r="B369" s="59"/>
      <c r="C369" s="59"/>
      <c r="D369" s="59"/>
      <c r="E369" s="59"/>
      <c r="F369" s="59"/>
    </row>
    <row r="370" ht="12.75" customHeight="1">
      <c r="A370" s="25"/>
      <c r="B370" s="59"/>
      <c r="C370" s="59"/>
      <c r="D370" s="59"/>
      <c r="E370" s="59"/>
      <c r="F370" s="59"/>
    </row>
    <row r="371" ht="12.75" customHeight="1">
      <c r="A371" s="25"/>
      <c r="B371" s="59"/>
      <c r="C371" s="59"/>
      <c r="D371" s="59"/>
      <c r="E371" s="59"/>
      <c r="F371" s="59"/>
    </row>
    <row r="372" ht="12.75" customHeight="1">
      <c r="A372" s="25"/>
      <c r="B372" s="59"/>
      <c r="C372" s="59"/>
      <c r="D372" s="59"/>
      <c r="E372" s="59"/>
      <c r="F372" s="59"/>
    </row>
    <row r="373" ht="12.75" customHeight="1">
      <c r="A373" s="25"/>
      <c r="B373" s="59"/>
      <c r="C373" s="59"/>
      <c r="D373" s="59"/>
      <c r="E373" s="59"/>
      <c r="F373" s="59"/>
    </row>
    <row r="374" ht="12.75" customHeight="1">
      <c r="A374" s="25"/>
      <c r="B374" s="59"/>
      <c r="C374" s="59"/>
      <c r="D374" s="59"/>
      <c r="E374" s="59"/>
      <c r="F374" s="59"/>
    </row>
    <row r="375" ht="12.75" customHeight="1">
      <c r="A375" s="25"/>
      <c r="B375" s="59"/>
      <c r="C375" s="59"/>
      <c r="D375" s="59"/>
      <c r="E375" s="59"/>
      <c r="F375" s="59"/>
    </row>
    <row r="376" ht="12.75" customHeight="1">
      <c r="A376" s="25"/>
      <c r="B376" s="59"/>
      <c r="C376" s="59"/>
      <c r="D376" s="59"/>
      <c r="E376" s="59"/>
      <c r="F376" s="59"/>
    </row>
    <row r="377" ht="12.75" customHeight="1">
      <c r="A377" s="25"/>
      <c r="B377" s="59"/>
      <c r="C377" s="59"/>
      <c r="D377" s="59"/>
      <c r="E377" s="59"/>
      <c r="F377" s="59"/>
    </row>
    <row r="378" ht="12.75" customHeight="1">
      <c r="A378" s="25"/>
      <c r="B378" s="59"/>
      <c r="C378" s="59"/>
      <c r="D378" s="59"/>
      <c r="E378" s="59"/>
      <c r="F378" s="59"/>
    </row>
    <row r="379" ht="12.75" customHeight="1">
      <c r="A379" s="25"/>
      <c r="B379" s="59"/>
      <c r="C379" s="59"/>
      <c r="D379" s="59"/>
      <c r="E379" s="59"/>
      <c r="F379" s="59"/>
    </row>
    <row r="380" ht="12.75" customHeight="1">
      <c r="A380" s="25"/>
      <c r="B380" s="59"/>
      <c r="C380" s="59"/>
      <c r="D380" s="59"/>
      <c r="E380" s="59"/>
      <c r="F380" s="59"/>
    </row>
    <row r="381" ht="12.75" customHeight="1">
      <c r="A381" s="25"/>
      <c r="B381" s="59"/>
      <c r="C381" s="59"/>
      <c r="D381" s="59"/>
      <c r="E381" s="59"/>
      <c r="F381" s="59"/>
    </row>
    <row r="382" ht="12.75" customHeight="1">
      <c r="A382" s="25"/>
      <c r="B382" s="59"/>
      <c r="C382" s="59"/>
      <c r="D382" s="59"/>
      <c r="E382" s="59"/>
      <c r="F382" s="59"/>
    </row>
    <row r="383" ht="12.75" customHeight="1">
      <c r="A383" s="25"/>
      <c r="B383" s="59"/>
      <c r="C383" s="59"/>
      <c r="D383" s="59"/>
      <c r="E383" s="59"/>
      <c r="F383" s="59"/>
    </row>
    <row r="384" ht="12.75" customHeight="1">
      <c r="A384" s="25"/>
      <c r="B384" s="59"/>
      <c r="C384" s="59"/>
      <c r="D384" s="59"/>
      <c r="E384" s="59"/>
      <c r="F384" s="59"/>
    </row>
    <row r="385" ht="12.75" customHeight="1">
      <c r="A385" s="25"/>
      <c r="B385" s="59"/>
      <c r="C385" s="59"/>
      <c r="D385" s="59"/>
      <c r="E385" s="59"/>
      <c r="F385" s="59"/>
    </row>
    <row r="386" ht="12.75" customHeight="1">
      <c r="A386" s="25"/>
      <c r="B386" s="59"/>
      <c r="C386" s="59"/>
      <c r="D386" s="59"/>
      <c r="E386" s="59"/>
      <c r="F386" s="59"/>
    </row>
    <row r="387" ht="12.75" customHeight="1">
      <c r="A387" s="25"/>
      <c r="B387" s="59"/>
      <c r="C387" s="59"/>
      <c r="D387" s="59"/>
      <c r="E387" s="59"/>
      <c r="F387" s="59"/>
    </row>
    <row r="388" ht="12.75" customHeight="1">
      <c r="A388" s="25"/>
      <c r="B388" s="59"/>
      <c r="C388" s="59"/>
      <c r="D388" s="59"/>
      <c r="E388" s="59"/>
      <c r="F388" s="59"/>
    </row>
    <row r="389" ht="12.75" customHeight="1">
      <c r="A389" s="25"/>
      <c r="B389" s="59"/>
      <c r="C389" s="59"/>
      <c r="D389" s="59"/>
      <c r="E389" s="59"/>
      <c r="F389" s="59"/>
    </row>
    <row r="390" ht="12.75" customHeight="1">
      <c r="A390" s="25"/>
      <c r="B390" s="59"/>
      <c r="C390" s="59"/>
      <c r="D390" s="59"/>
      <c r="E390" s="59"/>
      <c r="F390" s="59"/>
    </row>
    <row r="391" ht="12.75" customHeight="1">
      <c r="A391" s="25"/>
      <c r="B391" s="59"/>
      <c r="C391" s="59"/>
      <c r="D391" s="59"/>
      <c r="E391" s="59"/>
      <c r="F391" s="59"/>
    </row>
    <row r="392" ht="12.75" customHeight="1">
      <c r="A392" s="25"/>
      <c r="B392" s="59"/>
      <c r="C392" s="59"/>
      <c r="D392" s="59"/>
      <c r="E392" s="59"/>
      <c r="F392" s="59"/>
    </row>
    <row r="393" ht="12.75" customHeight="1">
      <c r="A393" s="25"/>
      <c r="B393" s="59"/>
      <c r="C393" s="59"/>
      <c r="D393" s="59"/>
      <c r="E393" s="59"/>
      <c r="F393" s="59"/>
    </row>
    <row r="394" ht="12.75" customHeight="1">
      <c r="A394" s="25"/>
      <c r="B394" s="59"/>
      <c r="C394" s="59"/>
      <c r="D394" s="59"/>
      <c r="E394" s="59"/>
      <c r="F394" s="59"/>
    </row>
    <row r="395" ht="12.75" customHeight="1">
      <c r="A395" s="25"/>
      <c r="B395" s="59"/>
      <c r="C395" s="59"/>
      <c r="D395" s="59"/>
      <c r="E395" s="59"/>
      <c r="F395" s="59"/>
    </row>
    <row r="396" ht="12.75" customHeight="1">
      <c r="A396" s="25"/>
      <c r="B396" s="59"/>
      <c r="C396" s="59"/>
      <c r="D396" s="59"/>
      <c r="E396" s="59"/>
      <c r="F396" s="59"/>
    </row>
    <row r="397" ht="12.75" customHeight="1">
      <c r="A397" s="25"/>
      <c r="B397" s="59"/>
      <c r="C397" s="59"/>
      <c r="D397" s="59"/>
      <c r="E397" s="59"/>
      <c r="F397" s="59"/>
    </row>
    <row r="398" ht="12.75" customHeight="1">
      <c r="A398" s="25"/>
      <c r="B398" s="59"/>
      <c r="C398" s="59"/>
      <c r="D398" s="59"/>
      <c r="E398" s="59"/>
      <c r="F398" s="59"/>
    </row>
    <row r="399" ht="12.75" customHeight="1">
      <c r="A399" s="25"/>
      <c r="B399" s="59"/>
      <c r="C399" s="59"/>
      <c r="D399" s="59"/>
      <c r="E399" s="59"/>
      <c r="F399" s="59"/>
    </row>
    <row r="400" ht="12.75" customHeight="1">
      <c r="A400" s="25"/>
      <c r="B400" s="59"/>
      <c r="C400" s="59"/>
      <c r="D400" s="59"/>
      <c r="E400" s="59"/>
      <c r="F400" s="59"/>
    </row>
    <row r="401" ht="12.75" customHeight="1">
      <c r="A401" s="25"/>
      <c r="B401" s="59"/>
      <c r="C401" s="59"/>
      <c r="D401" s="59"/>
      <c r="E401" s="59"/>
      <c r="F401" s="59"/>
    </row>
    <row r="402" ht="12.75" customHeight="1">
      <c r="A402" s="25"/>
      <c r="B402" s="59"/>
      <c r="C402" s="59"/>
      <c r="D402" s="59"/>
      <c r="E402" s="59"/>
      <c r="F402" s="59"/>
    </row>
    <row r="403" ht="12.75" customHeight="1">
      <c r="A403" s="25"/>
      <c r="B403" s="59"/>
      <c r="C403" s="59"/>
      <c r="D403" s="59"/>
      <c r="E403" s="59"/>
      <c r="F403" s="59"/>
    </row>
    <row r="404" ht="12.75" customHeight="1">
      <c r="A404" s="25"/>
      <c r="B404" s="59"/>
      <c r="C404" s="59"/>
      <c r="D404" s="59"/>
      <c r="E404" s="59"/>
      <c r="F404" s="59"/>
    </row>
    <row r="405" ht="12.75" customHeight="1">
      <c r="A405" s="25"/>
      <c r="B405" s="59"/>
      <c r="C405" s="59"/>
      <c r="D405" s="59"/>
      <c r="E405" s="59"/>
      <c r="F405" s="59"/>
    </row>
    <row r="406" ht="12.75" customHeight="1">
      <c r="A406" s="25"/>
      <c r="B406" s="59"/>
      <c r="C406" s="59"/>
      <c r="D406" s="59"/>
      <c r="E406" s="59"/>
      <c r="F406" s="59"/>
    </row>
    <row r="407" ht="12.75" customHeight="1">
      <c r="A407" s="25"/>
      <c r="B407" s="59"/>
      <c r="C407" s="59"/>
      <c r="D407" s="59"/>
      <c r="E407" s="59"/>
      <c r="F407" s="59"/>
    </row>
    <row r="408" ht="12.75" customHeight="1">
      <c r="A408" s="25"/>
      <c r="B408" s="59"/>
      <c r="C408" s="59"/>
      <c r="D408" s="59"/>
      <c r="E408" s="59"/>
      <c r="F408" s="59"/>
    </row>
    <row r="409" ht="12.75" customHeight="1">
      <c r="A409" s="25"/>
      <c r="B409" s="59"/>
      <c r="C409" s="59"/>
      <c r="D409" s="59"/>
      <c r="E409" s="59"/>
      <c r="F409" s="59"/>
    </row>
    <row r="410" ht="12.75" customHeight="1">
      <c r="A410" s="25"/>
      <c r="B410" s="59"/>
      <c r="C410" s="59"/>
      <c r="D410" s="59"/>
      <c r="E410" s="59"/>
      <c r="F410" s="59"/>
    </row>
    <row r="411" ht="12.75" customHeight="1">
      <c r="A411" s="25"/>
      <c r="B411" s="59"/>
      <c r="C411" s="59"/>
      <c r="D411" s="59"/>
      <c r="E411" s="59"/>
      <c r="F411" s="59"/>
    </row>
    <row r="412" ht="12.75" customHeight="1">
      <c r="A412" s="25"/>
      <c r="B412" s="59"/>
      <c r="C412" s="59"/>
      <c r="D412" s="59"/>
      <c r="E412" s="59"/>
      <c r="F412" s="59"/>
    </row>
    <row r="413" ht="12.75" customHeight="1">
      <c r="A413" s="25"/>
      <c r="B413" s="59"/>
      <c r="C413" s="59"/>
      <c r="D413" s="59"/>
      <c r="E413" s="59"/>
      <c r="F413" s="59"/>
    </row>
    <row r="414" ht="12.75" customHeight="1">
      <c r="A414" s="25"/>
      <c r="B414" s="59"/>
      <c r="C414" s="59"/>
      <c r="D414" s="59"/>
      <c r="E414" s="59"/>
      <c r="F414" s="59"/>
    </row>
    <row r="415" ht="12.75" customHeight="1">
      <c r="A415" s="25"/>
      <c r="B415" s="59"/>
      <c r="C415" s="59"/>
      <c r="D415" s="59"/>
      <c r="E415" s="59"/>
      <c r="F415" s="59"/>
    </row>
    <row r="416" ht="12.75" customHeight="1">
      <c r="A416" s="25"/>
      <c r="B416" s="59"/>
      <c r="C416" s="59"/>
      <c r="D416" s="59"/>
      <c r="E416" s="59"/>
      <c r="F416" s="59"/>
    </row>
    <row r="417" ht="12.75" customHeight="1">
      <c r="A417" s="25"/>
      <c r="B417" s="59"/>
      <c r="C417" s="59"/>
      <c r="D417" s="59"/>
      <c r="E417" s="59"/>
      <c r="F417" s="59"/>
    </row>
    <row r="418" ht="12.75" customHeight="1">
      <c r="A418" s="25"/>
      <c r="B418" s="59"/>
      <c r="C418" s="59"/>
      <c r="D418" s="59"/>
      <c r="E418" s="59"/>
      <c r="F418" s="59"/>
    </row>
    <row r="419" ht="12.75" customHeight="1">
      <c r="A419" s="25"/>
      <c r="B419" s="59"/>
      <c r="C419" s="59"/>
      <c r="D419" s="59"/>
      <c r="E419" s="59"/>
      <c r="F419" s="59"/>
    </row>
    <row r="420" ht="12.75" customHeight="1">
      <c r="A420" s="25"/>
      <c r="B420" s="59"/>
      <c r="C420" s="59"/>
      <c r="D420" s="59"/>
      <c r="E420" s="59"/>
      <c r="F420" s="59"/>
    </row>
    <row r="421" ht="12.75" customHeight="1">
      <c r="A421" s="25"/>
      <c r="B421" s="59"/>
      <c r="C421" s="59"/>
      <c r="D421" s="59"/>
      <c r="E421" s="59"/>
      <c r="F421" s="59"/>
    </row>
    <row r="422" ht="12.75" customHeight="1">
      <c r="A422" s="25"/>
      <c r="B422" s="59"/>
      <c r="C422" s="59"/>
      <c r="D422" s="59"/>
      <c r="E422" s="59"/>
      <c r="F422" s="59"/>
    </row>
    <row r="423" ht="12.75" customHeight="1">
      <c r="A423" s="25"/>
      <c r="B423" s="59"/>
      <c r="C423" s="59"/>
      <c r="D423" s="59"/>
      <c r="E423" s="59"/>
      <c r="F423" s="59"/>
    </row>
    <row r="424" ht="12.75" customHeight="1">
      <c r="A424" s="25"/>
      <c r="B424" s="59"/>
      <c r="C424" s="59"/>
      <c r="D424" s="59"/>
      <c r="E424" s="59"/>
      <c r="F424" s="59"/>
    </row>
    <row r="425" ht="12.75" customHeight="1">
      <c r="A425" s="25"/>
      <c r="B425" s="59"/>
      <c r="C425" s="59"/>
      <c r="D425" s="59"/>
      <c r="E425" s="59"/>
      <c r="F425" s="59"/>
    </row>
    <row r="426" ht="12.75" customHeight="1">
      <c r="A426" s="25"/>
      <c r="B426" s="59"/>
      <c r="C426" s="59"/>
      <c r="D426" s="59"/>
      <c r="E426" s="59"/>
      <c r="F426" s="59"/>
    </row>
    <row r="427" ht="12.75" customHeight="1">
      <c r="A427" s="25"/>
      <c r="B427" s="59"/>
      <c r="C427" s="59"/>
      <c r="D427" s="59"/>
      <c r="E427" s="59"/>
      <c r="F427" s="59"/>
    </row>
    <row r="428" ht="12.75" customHeight="1">
      <c r="A428" s="25"/>
      <c r="B428" s="59"/>
      <c r="C428" s="59"/>
      <c r="D428" s="59"/>
      <c r="E428" s="59"/>
      <c r="F428" s="59"/>
    </row>
    <row r="429" ht="12.75" customHeight="1">
      <c r="A429" s="25"/>
      <c r="B429" s="59"/>
      <c r="C429" s="59"/>
      <c r="D429" s="59"/>
      <c r="E429" s="59"/>
      <c r="F429" s="59"/>
    </row>
    <row r="430" ht="12.75" customHeight="1">
      <c r="A430" s="25"/>
      <c r="B430" s="59"/>
      <c r="C430" s="59"/>
      <c r="D430" s="59"/>
      <c r="E430" s="59"/>
      <c r="F430" s="59"/>
    </row>
    <row r="431" ht="12.75" customHeight="1">
      <c r="A431" s="25"/>
      <c r="B431" s="59"/>
      <c r="C431" s="59"/>
      <c r="D431" s="59"/>
      <c r="E431" s="59"/>
      <c r="F431" s="59"/>
    </row>
    <row r="432" ht="12.75" customHeight="1">
      <c r="A432" s="25"/>
      <c r="B432" s="59"/>
      <c r="C432" s="59"/>
      <c r="D432" s="59"/>
      <c r="E432" s="59"/>
      <c r="F432" s="59"/>
    </row>
    <row r="433" ht="12.75" customHeight="1">
      <c r="A433" s="25"/>
      <c r="B433" s="59"/>
      <c r="C433" s="59"/>
      <c r="D433" s="59"/>
      <c r="E433" s="59"/>
      <c r="F433" s="59"/>
    </row>
    <row r="434" ht="12.75" customHeight="1">
      <c r="A434" s="25"/>
      <c r="B434" s="59"/>
      <c r="C434" s="59"/>
      <c r="D434" s="59"/>
      <c r="E434" s="59"/>
      <c r="F434" s="59"/>
    </row>
    <row r="435" ht="12.75" customHeight="1">
      <c r="A435" s="25"/>
      <c r="B435" s="59"/>
      <c r="C435" s="59"/>
      <c r="D435" s="59"/>
      <c r="E435" s="59"/>
      <c r="F435" s="59"/>
    </row>
    <row r="436" ht="12.75" customHeight="1">
      <c r="A436" s="25"/>
      <c r="B436" s="59"/>
      <c r="C436" s="59"/>
      <c r="D436" s="59"/>
      <c r="E436" s="59"/>
      <c r="F436" s="59"/>
    </row>
    <row r="437" ht="12.75" customHeight="1">
      <c r="A437" s="25"/>
      <c r="B437" s="59"/>
      <c r="C437" s="59"/>
      <c r="D437" s="59"/>
      <c r="E437" s="59"/>
      <c r="F437" s="59"/>
    </row>
    <row r="438" ht="12.75" customHeight="1">
      <c r="A438" s="25"/>
      <c r="B438" s="59"/>
      <c r="C438" s="59"/>
      <c r="D438" s="59"/>
      <c r="E438" s="59"/>
      <c r="F438" s="59"/>
    </row>
    <row r="439" ht="12.75" customHeight="1">
      <c r="A439" s="25"/>
      <c r="B439" s="59"/>
      <c r="C439" s="59"/>
      <c r="D439" s="59"/>
      <c r="E439" s="59"/>
      <c r="F439" s="59"/>
    </row>
    <row r="440" ht="12.75" customHeight="1">
      <c r="A440" s="25"/>
      <c r="B440" s="59"/>
      <c r="C440" s="59"/>
      <c r="D440" s="59"/>
      <c r="E440" s="59"/>
      <c r="F440" s="59"/>
    </row>
    <row r="441" ht="12.75" customHeight="1">
      <c r="A441" s="25"/>
      <c r="B441" s="59"/>
      <c r="C441" s="59"/>
      <c r="D441" s="59"/>
      <c r="E441" s="59"/>
      <c r="F441" s="59"/>
    </row>
    <row r="442" ht="12.75" customHeight="1">
      <c r="A442" s="25"/>
      <c r="B442" s="59"/>
      <c r="C442" s="59"/>
      <c r="D442" s="59"/>
      <c r="E442" s="59"/>
      <c r="F442" s="59"/>
    </row>
    <row r="443" ht="12.75" customHeight="1">
      <c r="A443" s="25"/>
      <c r="B443" s="59"/>
      <c r="C443" s="59"/>
      <c r="D443" s="59"/>
      <c r="E443" s="59"/>
      <c r="F443" s="59"/>
    </row>
    <row r="444" ht="12.75" customHeight="1">
      <c r="A444" s="25"/>
      <c r="B444" s="59"/>
      <c r="C444" s="59"/>
      <c r="D444" s="59"/>
      <c r="E444" s="59"/>
      <c r="F444" s="59"/>
    </row>
    <row r="445" ht="12.75" customHeight="1">
      <c r="A445" s="25"/>
      <c r="B445" s="59"/>
      <c r="C445" s="59"/>
      <c r="D445" s="59"/>
      <c r="E445" s="59"/>
      <c r="F445" s="59"/>
    </row>
    <row r="446" ht="12.75" customHeight="1">
      <c r="A446" s="25"/>
      <c r="B446" s="59"/>
      <c r="C446" s="59"/>
      <c r="D446" s="59"/>
      <c r="E446" s="59"/>
      <c r="F446" s="59"/>
    </row>
    <row r="447" ht="12.75" customHeight="1">
      <c r="A447" s="25"/>
      <c r="B447" s="59"/>
      <c r="C447" s="59"/>
      <c r="D447" s="59"/>
      <c r="E447" s="59"/>
      <c r="F447" s="59"/>
    </row>
    <row r="448" ht="12.75" customHeight="1">
      <c r="A448" s="25"/>
      <c r="B448" s="59"/>
      <c r="C448" s="59"/>
      <c r="D448" s="59"/>
      <c r="E448" s="59"/>
      <c r="F448" s="59"/>
    </row>
    <row r="449" ht="12.75" customHeight="1">
      <c r="A449" s="25"/>
      <c r="B449" s="59"/>
      <c r="C449" s="59"/>
      <c r="D449" s="59"/>
      <c r="E449" s="59"/>
      <c r="F449" s="59"/>
    </row>
    <row r="450" ht="12.75" customHeight="1">
      <c r="A450" s="25"/>
      <c r="B450" s="59"/>
      <c r="C450" s="59"/>
      <c r="D450" s="59"/>
      <c r="E450" s="59"/>
      <c r="F450" s="59"/>
    </row>
    <row r="451" ht="12.75" customHeight="1">
      <c r="A451" s="25"/>
      <c r="B451" s="59"/>
      <c r="C451" s="59"/>
      <c r="D451" s="59"/>
      <c r="E451" s="59"/>
      <c r="F451" s="59"/>
    </row>
    <row r="452" ht="12.75" customHeight="1">
      <c r="A452" s="25"/>
      <c r="B452" s="59"/>
      <c r="C452" s="59"/>
      <c r="D452" s="59"/>
      <c r="E452" s="59"/>
      <c r="F452" s="59"/>
    </row>
    <row r="453" ht="12.75" customHeight="1">
      <c r="A453" s="25"/>
      <c r="B453" s="59"/>
      <c r="C453" s="59"/>
      <c r="D453" s="59"/>
      <c r="E453" s="59"/>
      <c r="F453" s="59"/>
    </row>
    <row r="454" ht="12.75" customHeight="1">
      <c r="A454" s="25"/>
      <c r="B454" s="59"/>
      <c r="C454" s="59"/>
      <c r="D454" s="59"/>
      <c r="E454" s="59"/>
      <c r="F454" s="59"/>
    </row>
    <row r="455" ht="12.75" customHeight="1">
      <c r="A455" s="25"/>
      <c r="B455" s="59"/>
      <c r="C455" s="59"/>
      <c r="D455" s="59"/>
      <c r="E455" s="59"/>
      <c r="F455" s="59"/>
    </row>
    <row r="456" ht="12.75" customHeight="1">
      <c r="A456" s="25"/>
      <c r="B456" s="59"/>
      <c r="C456" s="59"/>
      <c r="D456" s="59"/>
      <c r="E456" s="59"/>
      <c r="F456" s="59"/>
    </row>
    <row r="457" ht="12.75" customHeight="1">
      <c r="A457" s="25"/>
      <c r="B457" s="59"/>
      <c r="C457" s="59"/>
      <c r="D457" s="59"/>
      <c r="E457" s="59"/>
      <c r="F457" s="59"/>
    </row>
    <row r="458" ht="12.75" customHeight="1">
      <c r="A458" s="25"/>
      <c r="B458" s="59"/>
      <c r="C458" s="59"/>
      <c r="D458" s="59"/>
      <c r="E458" s="59"/>
      <c r="F458" s="59"/>
    </row>
    <row r="459" ht="12.75" customHeight="1">
      <c r="A459" s="25"/>
      <c r="B459" s="59"/>
      <c r="C459" s="59"/>
      <c r="D459" s="59"/>
      <c r="E459" s="59"/>
      <c r="F459" s="59"/>
    </row>
    <row r="460" ht="12.75" customHeight="1">
      <c r="A460" s="25"/>
      <c r="B460" s="59"/>
      <c r="C460" s="59"/>
      <c r="D460" s="59"/>
      <c r="E460" s="59"/>
      <c r="F460" s="59"/>
    </row>
    <row r="461" ht="12.75" customHeight="1">
      <c r="A461" s="25"/>
      <c r="B461" s="59"/>
      <c r="C461" s="59"/>
      <c r="D461" s="59"/>
      <c r="E461" s="59"/>
      <c r="F461" s="59"/>
    </row>
    <row r="462" ht="12.75" customHeight="1">
      <c r="A462" s="25"/>
      <c r="B462" s="59"/>
      <c r="C462" s="59"/>
      <c r="D462" s="59"/>
      <c r="E462" s="59"/>
      <c r="F462" s="59"/>
    </row>
    <row r="463" ht="12.75" customHeight="1">
      <c r="A463" s="25"/>
      <c r="B463" s="59"/>
      <c r="C463" s="59"/>
      <c r="D463" s="59"/>
      <c r="E463" s="59"/>
      <c r="F463" s="59"/>
    </row>
    <row r="464" ht="12.75" customHeight="1">
      <c r="A464" s="25"/>
      <c r="B464" s="59"/>
      <c r="C464" s="59"/>
      <c r="D464" s="59"/>
      <c r="E464" s="59"/>
      <c r="F464" s="59"/>
    </row>
    <row r="465" ht="12.75" customHeight="1">
      <c r="A465" s="25"/>
      <c r="B465" s="59"/>
      <c r="C465" s="59"/>
      <c r="D465" s="59"/>
      <c r="E465" s="59"/>
      <c r="F465" s="59"/>
    </row>
    <row r="466" ht="12.75" customHeight="1">
      <c r="A466" s="25"/>
      <c r="B466" s="59"/>
      <c r="C466" s="59"/>
      <c r="D466" s="59"/>
      <c r="E466" s="59"/>
      <c r="F466" s="59"/>
    </row>
    <row r="467" ht="12.75" customHeight="1">
      <c r="A467" s="25"/>
      <c r="B467" s="59"/>
      <c r="C467" s="59"/>
      <c r="D467" s="59"/>
      <c r="E467" s="59"/>
      <c r="F467" s="59"/>
    </row>
    <row r="468" ht="12.75" customHeight="1">
      <c r="A468" s="25"/>
      <c r="B468" s="59"/>
      <c r="C468" s="59"/>
      <c r="D468" s="59"/>
      <c r="E468" s="59"/>
      <c r="F468" s="59"/>
    </row>
    <row r="469" ht="12.75" customHeight="1">
      <c r="A469" s="25"/>
      <c r="B469" s="59"/>
      <c r="C469" s="59"/>
      <c r="D469" s="59"/>
      <c r="E469" s="59"/>
      <c r="F469" s="59"/>
    </row>
    <row r="470" ht="12.75" customHeight="1">
      <c r="A470" s="25"/>
      <c r="B470" s="59"/>
      <c r="C470" s="59"/>
      <c r="D470" s="59"/>
      <c r="E470" s="59"/>
      <c r="F470" s="59"/>
    </row>
    <row r="471" ht="12.75" customHeight="1">
      <c r="A471" s="25"/>
      <c r="B471" s="59"/>
      <c r="C471" s="59"/>
      <c r="D471" s="59"/>
      <c r="E471" s="59"/>
      <c r="F471" s="59"/>
    </row>
    <row r="472" ht="12.75" customHeight="1">
      <c r="A472" s="25"/>
      <c r="B472" s="59"/>
      <c r="C472" s="59"/>
      <c r="D472" s="59"/>
      <c r="E472" s="59"/>
      <c r="F472" s="59"/>
    </row>
    <row r="473" ht="12.75" customHeight="1">
      <c r="A473" s="25"/>
      <c r="B473" s="59"/>
      <c r="C473" s="59"/>
      <c r="D473" s="59"/>
      <c r="E473" s="59"/>
      <c r="F473" s="59"/>
    </row>
    <row r="474" ht="12.75" customHeight="1">
      <c r="A474" s="25"/>
      <c r="B474" s="59"/>
      <c r="C474" s="59"/>
      <c r="D474" s="59"/>
      <c r="E474" s="59"/>
      <c r="F474" s="59"/>
    </row>
    <row r="475" ht="12.75" customHeight="1">
      <c r="A475" s="25"/>
      <c r="B475" s="59"/>
      <c r="C475" s="59"/>
      <c r="D475" s="59"/>
      <c r="E475" s="59"/>
      <c r="F475" s="59"/>
    </row>
    <row r="476" ht="12.75" customHeight="1">
      <c r="A476" s="25"/>
      <c r="B476" s="59"/>
      <c r="C476" s="59"/>
      <c r="D476" s="59"/>
      <c r="E476" s="59"/>
      <c r="F476" s="59"/>
    </row>
    <row r="477" ht="12.75" customHeight="1">
      <c r="A477" s="25"/>
      <c r="B477" s="59"/>
      <c r="C477" s="59"/>
      <c r="D477" s="59"/>
      <c r="E477" s="59"/>
      <c r="F477" s="59"/>
    </row>
    <row r="478" ht="12.75" customHeight="1">
      <c r="A478" s="25"/>
      <c r="B478" s="59"/>
      <c r="C478" s="59"/>
      <c r="D478" s="59"/>
      <c r="E478" s="59"/>
      <c r="F478" s="59"/>
    </row>
    <row r="479" ht="12.75" customHeight="1">
      <c r="A479" s="25"/>
      <c r="B479" s="59"/>
      <c r="C479" s="59"/>
      <c r="D479" s="59"/>
      <c r="E479" s="59"/>
      <c r="F479" s="59"/>
    </row>
    <row r="480" ht="12.75" customHeight="1">
      <c r="A480" s="25"/>
      <c r="B480" s="59"/>
      <c r="C480" s="59"/>
      <c r="D480" s="59"/>
      <c r="E480" s="59"/>
      <c r="F480" s="59"/>
    </row>
    <row r="481" ht="12.75" customHeight="1">
      <c r="A481" s="25"/>
      <c r="B481" s="59"/>
      <c r="C481" s="59"/>
      <c r="D481" s="59"/>
      <c r="E481" s="59"/>
      <c r="F481" s="59"/>
    </row>
    <row r="482" ht="12.75" customHeight="1">
      <c r="A482" s="25"/>
      <c r="B482" s="59"/>
      <c r="C482" s="59"/>
      <c r="D482" s="59"/>
      <c r="E482" s="59"/>
      <c r="F482" s="59"/>
    </row>
    <row r="483" ht="12.75" customHeight="1">
      <c r="A483" s="25"/>
      <c r="B483" s="59"/>
      <c r="C483" s="59"/>
      <c r="D483" s="59"/>
      <c r="E483" s="59"/>
      <c r="F483" s="59"/>
    </row>
    <row r="484" ht="12.75" customHeight="1">
      <c r="A484" s="25"/>
      <c r="B484" s="59"/>
      <c r="C484" s="59"/>
      <c r="D484" s="59"/>
      <c r="E484" s="59"/>
      <c r="F484" s="59"/>
    </row>
    <row r="485" ht="12.75" customHeight="1">
      <c r="A485" s="25"/>
      <c r="B485" s="59"/>
      <c r="C485" s="59"/>
      <c r="D485" s="59"/>
      <c r="E485" s="59"/>
      <c r="F485" s="59"/>
    </row>
    <row r="486" ht="12.75" customHeight="1">
      <c r="A486" s="25"/>
      <c r="B486" s="59"/>
      <c r="C486" s="59"/>
      <c r="D486" s="59"/>
      <c r="E486" s="59"/>
      <c r="F486" s="59"/>
    </row>
    <row r="487" ht="12.75" customHeight="1">
      <c r="A487" s="25"/>
      <c r="B487" s="59"/>
      <c r="C487" s="59"/>
      <c r="D487" s="59"/>
      <c r="E487" s="59"/>
      <c r="F487" s="59"/>
    </row>
    <row r="488" ht="12.75" customHeight="1">
      <c r="A488" s="25"/>
      <c r="B488" s="59"/>
      <c r="C488" s="59"/>
      <c r="D488" s="59"/>
      <c r="E488" s="59"/>
      <c r="F488" s="59"/>
    </row>
    <row r="489" ht="12.75" customHeight="1">
      <c r="A489" s="25"/>
      <c r="B489" s="59"/>
      <c r="C489" s="59"/>
      <c r="D489" s="59"/>
      <c r="E489" s="59"/>
      <c r="F489" s="59"/>
    </row>
    <row r="490" ht="12.75" customHeight="1">
      <c r="A490" s="25"/>
      <c r="B490" s="59"/>
      <c r="C490" s="59"/>
      <c r="D490" s="59"/>
      <c r="E490" s="59"/>
      <c r="F490" s="59"/>
    </row>
    <row r="491" ht="12.75" customHeight="1">
      <c r="A491" s="25"/>
      <c r="B491" s="59"/>
      <c r="C491" s="59"/>
      <c r="D491" s="59"/>
      <c r="E491" s="59"/>
      <c r="F491" s="59"/>
    </row>
    <row r="492" ht="12.75" customHeight="1">
      <c r="A492" s="25"/>
      <c r="B492" s="59"/>
      <c r="C492" s="59"/>
      <c r="D492" s="59"/>
      <c r="E492" s="59"/>
      <c r="F492" s="59"/>
    </row>
    <row r="493" ht="12.75" customHeight="1">
      <c r="A493" s="25"/>
      <c r="B493" s="59"/>
      <c r="C493" s="59"/>
      <c r="D493" s="59"/>
      <c r="E493" s="59"/>
      <c r="F493" s="59"/>
    </row>
    <row r="494" ht="12.75" customHeight="1">
      <c r="A494" s="25"/>
      <c r="B494" s="59"/>
      <c r="C494" s="59"/>
      <c r="D494" s="59"/>
      <c r="E494" s="59"/>
      <c r="F494" s="59"/>
    </row>
    <row r="495" ht="12.75" customHeight="1">
      <c r="A495" s="25"/>
      <c r="B495" s="59"/>
      <c r="C495" s="59"/>
      <c r="D495" s="59"/>
      <c r="E495" s="59"/>
      <c r="F495" s="59"/>
    </row>
    <row r="496" ht="12.75" customHeight="1">
      <c r="A496" s="25"/>
      <c r="B496" s="59"/>
      <c r="C496" s="59"/>
      <c r="D496" s="59"/>
      <c r="E496" s="59"/>
      <c r="F496" s="59"/>
    </row>
    <row r="497" ht="12.75" customHeight="1">
      <c r="A497" s="25"/>
      <c r="B497" s="59"/>
      <c r="C497" s="59"/>
      <c r="D497" s="59"/>
      <c r="E497" s="59"/>
      <c r="F497" s="59"/>
    </row>
    <row r="498" ht="12.75" customHeight="1">
      <c r="A498" s="25"/>
      <c r="B498" s="59"/>
      <c r="C498" s="59"/>
      <c r="D498" s="59"/>
      <c r="E498" s="59"/>
      <c r="F498" s="59"/>
    </row>
    <row r="499" ht="12.75" customHeight="1">
      <c r="A499" s="25"/>
      <c r="B499" s="59"/>
      <c r="C499" s="59"/>
      <c r="D499" s="59"/>
      <c r="E499" s="59"/>
      <c r="F499" s="59"/>
    </row>
    <row r="500" ht="12.75" customHeight="1">
      <c r="A500" s="25"/>
      <c r="B500" s="59"/>
      <c r="C500" s="59"/>
      <c r="D500" s="59"/>
      <c r="E500" s="59"/>
      <c r="F500" s="59"/>
    </row>
    <row r="501" ht="12.75" customHeight="1">
      <c r="A501" s="25"/>
      <c r="B501" s="59"/>
      <c r="C501" s="59"/>
      <c r="D501" s="59"/>
      <c r="E501" s="59"/>
      <c r="F501" s="59"/>
    </row>
    <row r="502" ht="12.75" customHeight="1">
      <c r="A502" s="25"/>
      <c r="B502" s="59"/>
      <c r="C502" s="59"/>
      <c r="D502" s="59"/>
      <c r="E502" s="59"/>
      <c r="F502" s="59"/>
    </row>
    <row r="503" ht="12.75" customHeight="1">
      <c r="A503" s="25"/>
      <c r="B503" s="59"/>
      <c r="C503" s="59"/>
      <c r="D503" s="59"/>
      <c r="E503" s="59"/>
      <c r="F503" s="59"/>
    </row>
    <row r="504" ht="12.75" customHeight="1">
      <c r="A504" s="25"/>
      <c r="B504" s="59"/>
      <c r="C504" s="59"/>
      <c r="D504" s="59"/>
      <c r="E504" s="59"/>
      <c r="F504" s="59"/>
    </row>
    <row r="505" ht="12.75" customHeight="1">
      <c r="A505" s="25"/>
      <c r="B505" s="59"/>
      <c r="C505" s="59"/>
      <c r="D505" s="59"/>
      <c r="E505" s="59"/>
      <c r="F505" s="59"/>
    </row>
    <row r="506" ht="12.75" customHeight="1">
      <c r="A506" s="25"/>
      <c r="B506" s="59"/>
      <c r="C506" s="59"/>
      <c r="D506" s="59"/>
      <c r="E506" s="59"/>
      <c r="F506" s="59"/>
    </row>
    <row r="507" ht="12.75" customHeight="1">
      <c r="A507" s="25"/>
      <c r="B507" s="59"/>
      <c r="C507" s="59"/>
      <c r="D507" s="59"/>
      <c r="E507" s="59"/>
      <c r="F507" s="59"/>
    </row>
    <row r="508" ht="12.75" customHeight="1">
      <c r="A508" s="25"/>
      <c r="B508" s="59"/>
      <c r="C508" s="59"/>
      <c r="D508" s="59"/>
      <c r="E508" s="59"/>
      <c r="F508" s="59"/>
    </row>
    <row r="509" ht="12.75" customHeight="1">
      <c r="A509" s="25"/>
      <c r="B509" s="59"/>
      <c r="C509" s="59"/>
      <c r="D509" s="59"/>
      <c r="E509" s="59"/>
      <c r="F509" s="59"/>
    </row>
    <row r="510" ht="12.75" customHeight="1">
      <c r="A510" s="25"/>
      <c r="B510" s="59"/>
      <c r="C510" s="59"/>
      <c r="D510" s="59"/>
      <c r="E510" s="59"/>
      <c r="F510" s="59"/>
    </row>
    <row r="511" ht="12.75" customHeight="1">
      <c r="A511" s="25"/>
      <c r="B511" s="59"/>
      <c r="C511" s="59"/>
      <c r="D511" s="59"/>
      <c r="E511" s="59"/>
      <c r="F511" s="59"/>
    </row>
    <row r="512" ht="12.75" customHeight="1">
      <c r="A512" s="25"/>
      <c r="B512" s="59"/>
      <c r="C512" s="59"/>
      <c r="D512" s="59"/>
      <c r="E512" s="59"/>
      <c r="F512" s="59"/>
    </row>
    <row r="513" ht="12.75" customHeight="1">
      <c r="A513" s="25"/>
      <c r="B513" s="59"/>
      <c r="C513" s="59"/>
      <c r="D513" s="59"/>
      <c r="E513" s="59"/>
      <c r="F513" s="59"/>
    </row>
    <row r="514" ht="12.75" customHeight="1">
      <c r="A514" s="25"/>
      <c r="B514" s="59"/>
      <c r="C514" s="59"/>
      <c r="D514" s="59"/>
      <c r="E514" s="59"/>
      <c r="F514" s="59"/>
    </row>
    <row r="515" ht="12.75" customHeight="1">
      <c r="A515" s="25"/>
      <c r="B515" s="59"/>
      <c r="C515" s="59"/>
      <c r="D515" s="59"/>
      <c r="E515" s="59"/>
      <c r="F515" s="59"/>
    </row>
    <row r="516" ht="12.75" customHeight="1">
      <c r="A516" s="25"/>
      <c r="B516" s="59"/>
      <c r="C516" s="59"/>
      <c r="D516" s="59"/>
      <c r="E516" s="59"/>
      <c r="F516" s="59"/>
    </row>
    <row r="517" ht="12.75" customHeight="1">
      <c r="A517" s="25"/>
      <c r="B517" s="59"/>
      <c r="C517" s="59"/>
      <c r="D517" s="59"/>
      <c r="E517" s="59"/>
      <c r="F517" s="59"/>
    </row>
    <row r="518" ht="12.75" customHeight="1">
      <c r="A518" s="25"/>
      <c r="B518" s="59"/>
      <c r="C518" s="59"/>
      <c r="D518" s="59"/>
      <c r="E518" s="59"/>
      <c r="F518" s="59"/>
    </row>
    <row r="519" ht="12.75" customHeight="1">
      <c r="A519" s="25"/>
      <c r="B519" s="59"/>
      <c r="C519" s="59"/>
      <c r="D519" s="59"/>
      <c r="E519" s="59"/>
      <c r="F519" s="59"/>
    </row>
    <row r="520" ht="12.75" customHeight="1">
      <c r="A520" s="25"/>
      <c r="B520" s="59"/>
      <c r="C520" s="59"/>
      <c r="D520" s="59"/>
      <c r="E520" s="59"/>
      <c r="F520" s="59"/>
    </row>
    <row r="521" ht="12.75" customHeight="1">
      <c r="A521" s="25"/>
      <c r="B521" s="59"/>
      <c r="C521" s="59"/>
      <c r="D521" s="59"/>
      <c r="E521" s="59"/>
      <c r="F521" s="59"/>
    </row>
    <row r="522" ht="12.75" customHeight="1">
      <c r="A522" s="25"/>
      <c r="B522" s="59"/>
      <c r="C522" s="59"/>
      <c r="D522" s="59"/>
      <c r="E522" s="59"/>
      <c r="F522" s="59"/>
    </row>
    <row r="523" ht="12.75" customHeight="1">
      <c r="A523" s="25"/>
      <c r="B523" s="59"/>
      <c r="C523" s="59"/>
      <c r="D523" s="59"/>
      <c r="E523" s="59"/>
      <c r="F523" s="59"/>
    </row>
    <row r="524" ht="12.75" customHeight="1">
      <c r="A524" s="25"/>
      <c r="B524" s="59"/>
      <c r="C524" s="59"/>
      <c r="D524" s="59"/>
      <c r="E524" s="59"/>
      <c r="F524" s="59"/>
    </row>
    <row r="525" ht="12.75" customHeight="1">
      <c r="A525" s="25"/>
      <c r="B525" s="59"/>
      <c r="C525" s="59"/>
      <c r="D525" s="59"/>
      <c r="E525" s="59"/>
      <c r="F525" s="59"/>
    </row>
    <row r="526" ht="12.75" customHeight="1">
      <c r="A526" s="25"/>
      <c r="B526" s="59"/>
      <c r="C526" s="59"/>
      <c r="D526" s="59"/>
      <c r="E526" s="59"/>
      <c r="F526" s="59"/>
    </row>
    <row r="527" ht="12.75" customHeight="1">
      <c r="A527" s="25"/>
      <c r="B527" s="59"/>
      <c r="C527" s="59"/>
      <c r="D527" s="59"/>
      <c r="E527" s="59"/>
      <c r="F527" s="59"/>
    </row>
    <row r="528" ht="12.75" customHeight="1">
      <c r="A528" s="25"/>
      <c r="B528" s="59"/>
      <c r="C528" s="59"/>
      <c r="D528" s="59"/>
      <c r="E528" s="59"/>
      <c r="F528" s="59"/>
    </row>
    <row r="529" ht="12.75" customHeight="1">
      <c r="A529" s="25"/>
      <c r="B529" s="59"/>
      <c r="C529" s="59"/>
      <c r="D529" s="59"/>
      <c r="E529" s="59"/>
      <c r="F529" s="59"/>
    </row>
    <row r="530" ht="12.75" customHeight="1">
      <c r="A530" s="25"/>
      <c r="B530" s="59"/>
      <c r="C530" s="59"/>
      <c r="D530" s="59"/>
      <c r="E530" s="59"/>
      <c r="F530" s="59"/>
    </row>
    <row r="531" ht="12.75" customHeight="1">
      <c r="A531" s="25"/>
      <c r="B531" s="59"/>
      <c r="C531" s="59"/>
      <c r="D531" s="59"/>
      <c r="E531" s="59"/>
      <c r="F531" s="59"/>
    </row>
    <row r="532" ht="12.75" customHeight="1">
      <c r="A532" s="25"/>
      <c r="B532" s="59"/>
      <c r="C532" s="59"/>
      <c r="D532" s="59"/>
      <c r="E532" s="59"/>
      <c r="F532" s="59"/>
    </row>
    <row r="533" ht="12.75" customHeight="1">
      <c r="A533" s="25"/>
      <c r="B533" s="59"/>
      <c r="C533" s="59"/>
      <c r="D533" s="59"/>
      <c r="E533" s="59"/>
      <c r="F533" s="59"/>
    </row>
    <row r="534" ht="12.75" customHeight="1">
      <c r="A534" s="25"/>
      <c r="B534" s="59"/>
      <c r="C534" s="59"/>
      <c r="D534" s="59"/>
      <c r="E534" s="59"/>
      <c r="F534" s="59"/>
    </row>
    <row r="535" ht="12.75" customHeight="1">
      <c r="A535" s="25"/>
      <c r="B535" s="59"/>
      <c r="C535" s="59"/>
      <c r="D535" s="59"/>
      <c r="E535" s="59"/>
      <c r="F535" s="59"/>
    </row>
    <row r="536" ht="12.75" customHeight="1">
      <c r="A536" s="25"/>
      <c r="B536" s="59"/>
      <c r="C536" s="59"/>
      <c r="D536" s="59"/>
      <c r="E536" s="59"/>
      <c r="F536" s="59"/>
    </row>
    <row r="537" ht="12.75" customHeight="1">
      <c r="A537" s="25"/>
      <c r="B537" s="59"/>
      <c r="C537" s="59"/>
      <c r="D537" s="59"/>
      <c r="E537" s="59"/>
      <c r="F537" s="59"/>
    </row>
    <row r="538" ht="12.75" customHeight="1">
      <c r="A538" s="25"/>
      <c r="B538" s="59"/>
      <c r="C538" s="59"/>
      <c r="D538" s="59"/>
      <c r="E538" s="59"/>
      <c r="F538" s="59"/>
    </row>
    <row r="539" ht="12.75" customHeight="1">
      <c r="A539" s="25"/>
      <c r="B539" s="59"/>
      <c r="C539" s="59"/>
      <c r="D539" s="59"/>
      <c r="E539" s="59"/>
      <c r="F539" s="59"/>
    </row>
    <row r="540" ht="12.75" customHeight="1">
      <c r="A540" s="25"/>
      <c r="B540" s="59"/>
      <c r="C540" s="59"/>
      <c r="D540" s="59"/>
      <c r="E540" s="59"/>
      <c r="F540" s="59"/>
    </row>
    <row r="541" ht="12.75" customHeight="1">
      <c r="A541" s="25"/>
      <c r="B541" s="59"/>
      <c r="C541" s="59"/>
      <c r="D541" s="59"/>
      <c r="E541" s="59"/>
      <c r="F541" s="59"/>
    </row>
    <row r="542" ht="12.75" customHeight="1">
      <c r="A542" s="25"/>
      <c r="B542" s="59"/>
      <c r="C542" s="59"/>
      <c r="D542" s="59"/>
      <c r="E542" s="59"/>
      <c r="F542" s="59"/>
    </row>
    <row r="543" ht="12.75" customHeight="1">
      <c r="A543" s="25"/>
      <c r="B543" s="59"/>
      <c r="C543" s="59"/>
      <c r="D543" s="59"/>
      <c r="E543" s="59"/>
      <c r="F543" s="59"/>
    </row>
    <row r="544" ht="12.75" customHeight="1">
      <c r="A544" s="25"/>
      <c r="B544" s="59"/>
      <c r="C544" s="59"/>
      <c r="D544" s="59"/>
      <c r="E544" s="59"/>
      <c r="F544" s="59"/>
    </row>
    <row r="545" ht="12.75" customHeight="1">
      <c r="A545" s="25"/>
      <c r="B545" s="59"/>
      <c r="C545" s="59"/>
      <c r="D545" s="59"/>
      <c r="E545" s="59"/>
      <c r="F545" s="59"/>
    </row>
    <row r="546" ht="12.75" customHeight="1">
      <c r="A546" s="25"/>
      <c r="B546" s="59"/>
      <c r="C546" s="59"/>
      <c r="D546" s="59"/>
      <c r="E546" s="59"/>
      <c r="F546" s="59"/>
    </row>
    <row r="547" ht="12.75" customHeight="1">
      <c r="A547" s="25"/>
      <c r="B547" s="59"/>
      <c r="C547" s="59"/>
      <c r="D547" s="59"/>
      <c r="E547" s="59"/>
      <c r="F547" s="59"/>
    </row>
    <row r="548" ht="12.75" customHeight="1">
      <c r="A548" s="25"/>
      <c r="B548" s="59"/>
      <c r="C548" s="59"/>
      <c r="D548" s="59"/>
      <c r="E548" s="59"/>
      <c r="F548" s="59"/>
    </row>
    <row r="549" ht="12.75" customHeight="1">
      <c r="A549" s="25"/>
      <c r="B549" s="59"/>
      <c r="C549" s="59"/>
      <c r="D549" s="59"/>
      <c r="E549" s="59"/>
      <c r="F549" s="59"/>
    </row>
    <row r="550" ht="12.75" customHeight="1">
      <c r="A550" s="25"/>
      <c r="B550" s="59"/>
      <c r="C550" s="59"/>
      <c r="D550" s="59"/>
      <c r="E550" s="59"/>
      <c r="F550" s="59"/>
    </row>
    <row r="551" ht="12.75" customHeight="1">
      <c r="A551" s="25"/>
      <c r="B551" s="59"/>
      <c r="C551" s="59"/>
      <c r="D551" s="59"/>
      <c r="E551" s="59"/>
      <c r="F551" s="59"/>
    </row>
    <row r="552" ht="12.75" customHeight="1">
      <c r="A552" s="25"/>
      <c r="B552" s="59"/>
      <c r="C552" s="59"/>
      <c r="D552" s="59"/>
      <c r="E552" s="59"/>
      <c r="F552" s="59"/>
    </row>
    <row r="553" ht="12.75" customHeight="1">
      <c r="A553" s="25"/>
      <c r="B553" s="59"/>
      <c r="C553" s="59"/>
      <c r="D553" s="59"/>
      <c r="E553" s="59"/>
      <c r="F553" s="59"/>
    </row>
    <row r="554" ht="12.75" customHeight="1">
      <c r="A554" s="25"/>
      <c r="B554" s="59"/>
      <c r="C554" s="59"/>
      <c r="D554" s="59"/>
      <c r="E554" s="59"/>
      <c r="F554" s="59"/>
    </row>
    <row r="555" ht="12.75" customHeight="1">
      <c r="A555" s="25"/>
      <c r="B555" s="59"/>
      <c r="C555" s="59"/>
      <c r="D555" s="59"/>
      <c r="E555" s="59"/>
      <c r="F555" s="59"/>
    </row>
    <row r="556" ht="12.75" customHeight="1">
      <c r="A556" s="25"/>
      <c r="B556" s="59"/>
      <c r="C556" s="59"/>
      <c r="D556" s="59"/>
      <c r="E556" s="59"/>
      <c r="F556" s="59"/>
    </row>
    <row r="557" ht="12.75" customHeight="1">
      <c r="A557" s="25"/>
      <c r="B557" s="59"/>
      <c r="C557" s="59"/>
      <c r="D557" s="59"/>
      <c r="E557" s="59"/>
      <c r="F557" s="59"/>
    </row>
    <row r="558" ht="12.75" customHeight="1">
      <c r="A558" s="25"/>
      <c r="B558" s="59"/>
      <c r="C558" s="59"/>
      <c r="D558" s="59"/>
      <c r="E558" s="59"/>
      <c r="F558" s="59"/>
    </row>
    <row r="559" ht="12.75" customHeight="1">
      <c r="A559" s="25"/>
      <c r="B559" s="59"/>
      <c r="C559" s="59"/>
      <c r="D559" s="59"/>
      <c r="E559" s="59"/>
      <c r="F559" s="59"/>
    </row>
    <row r="560" ht="12.75" customHeight="1">
      <c r="A560" s="25"/>
      <c r="B560" s="59"/>
      <c r="C560" s="59"/>
      <c r="D560" s="59"/>
      <c r="E560" s="59"/>
      <c r="F560" s="59"/>
    </row>
    <row r="561" ht="12.75" customHeight="1">
      <c r="A561" s="25"/>
      <c r="B561" s="59"/>
      <c r="C561" s="59"/>
      <c r="D561" s="59"/>
      <c r="E561" s="59"/>
      <c r="F561" s="59"/>
    </row>
    <row r="562" ht="12.75" customHeight="1">
      <c r="A562" s="25"/>
      <c r="B562" s="59"/>
      <c r="C562" s="59"/>
      <c r="D562" s="59"/>
      <c r="E562" s="59"/>
      <c r="F562" s="59"/>
    </row>
    <row r="563" ht="12.75" customHeight="1">
      <c r="A563" s="25"/>
      <c r="B563" s="59"/>
      <c r="C563" s="59"/>
      <c r="D563" s="59"/>
      <c r="E563" s="59"/>
      <c r="F563" s="59"/>
    </row>
    <row r="564" ht="12.75" customHeight="1">
      <c r="A564" s="25"/>
      <c r="B564" s="59"/>
      <c r="C564" s="59"/>
      <c r="D564" s="59"/>
      <c r="E564" s="59"/>
      <c r="F564" s="59"/>
    </row>
    <row r="565" ht="12.75" customHeight="1">
      <c r="A565" s="25"/>
      <c r="B565" s="59"/>
      <c r="C565" s="59"/>
      <c r="D565" s="59"/>
      <c r="E565" s="59"/>
      <c r="F565" s="59"/>
    </row>
    <row r="566" ht="12.75" customHeight="1">
      <c r="A566" s="25"/>
      <c r="B566" s="59"/>
      <c r="C566" s="59"/>
      <c r="D566" s="59"/>
      <c r="E566" s="59"/>
      <c r="F566" s="59"/>
    </row>
    <row r="567" ht="12.75" customHeight="1">
      <c r="A567" s="25"/>
      <c r="B567" s="59"/>
      <c r="C567" s="59"/>
      <c r="D567" s="59"/>
      <c r="E567" s="59"/>
      <c r="F567" s="59"/>
    </row>
    <row r="568" ht="12.75" customHeight="1">
      <c r="A568" s="25"/>
      <c r="B568" s="59"/>
      <c r="C568" s="59"/>
      <c r="D568" s="59"/>
      <c r="E568" s="59"/>
      <c r="F568" s="59"/>
    </row>
    <row r="569" ht="12.75" customHeight="1">
      <c r="A569" s="25"/>
      <c r="B569" s="59"/>
      <c r="C569" s="59"/>
      <c r="D569" s="59"/>
      <c r="E569" s="59"/>
      <c r="F569" s="59"/>
    </row>
    <row r="570" ht="12.75" customHeight="1">
      <c r="A570" s="25"/>
      <c r="B570" s="59"/>
      <c r="C570" s="59"/>
      <c r="D570" s="59"/>
      <c r="E570" s="59"/>
      <c r="F570" s="59"/>
    </row>
    <row r="571" ht="12.75" customHeight="1">
      <c r="A571" s="25"/>
      <c r="B571" s="59"/>
      <c r="C571" s="59"/>
      <c r="D571" s="59"/>
      <c r="E571" s="59"/>
      <c r="F571" s="59"/>
    </row>
    <row r="572" ht="12.75" customHeight="1">
      <c r="A572" s="25"/>
      <c r="B572" s="59"/>
      <c r="C572" s="59"/>
      <c r="D572" s="59"/>
      <c r="E572" s="59"/>
      <c r="F572" s="59"/>
    </row>
    <row r="573" ht="12.75" customHeight="1">
      <c r="A573" s="25"/>
      <c r="B573" s="59"/>
      <c r="C573" s="59"/>
      <c r="D573" s="59"/>
      <c r="E573" s="59"/>
      <c r="F573" s="59"/>
    </row>
    <row r="574" ht="12.75" customHeight="1">
      <c r="A574" s="25"/>
      <c r="B574" s="59"/>
      <c r="C574" s="59"/>
      <c r="D574" s="59"/>
      <c r="E574" s="59"/>
      <c r="F574" s="59"/>
    </row>
    <row r="575" ht="12.75" customHeight="1">
      <c r="A575" s="25"/>
      <c r="B575" s="59"/>
      <c r="C575" s="59"/>
      <c r="D575" s="59"/>
      <c r="E575" s="59"/>
      <c r="F575" s="59"/>
    </row>
    <row r="576" ht="12.75" customHeight="1">
      <c r="A576" s="25"/>
      <c r="B576" s="59"/>
      <c r="C576" s="59"/>
      <c r="D576" s="59"/>
      <c r="E576" s="59"/>
      <c r="F576" s="59"/>
    </row>
    <row r="577" ht="12.75" customHeight="1">
      <c r="A577" s="25"/>
      <c r="B577" s="59"/>
      <c r="C577" s="59"/>
      <c r="D577" s="59"/>
      <c r="E577" s="59"/>
      <c r="F577" s="59"/>
    </row>
    <row r="578" ht="12.75" customHeight="1">
      <c r="A578" s="25"/>
      <c r="B578" s="59"/>
      <c r="C578" s="59"/>
      <c r="D578" s="59"/>
      <c r="E578" s="59"/>
      <c r="F578" s="59"/>
    </row>
    <row r="579" ht="12.75" customHeight="1">
      <c r="A579" s="25"/>
      <c r="B579" s="59"/>
      <c r="C579" s="59"/>
      <c r="D579" s="59"/>
      <c r="E579" s="59"/>
      <c r="F579" s="59"/>
    </row>
    <row r="580" ht="12.75" customHeight="1">
      <c r="A580" s="25"/>
      <c r="B580" s="59"/>
      <c r="C580" s="59"/>
      <c r="D580" s="59"/>
      <c r="E580" s="59"/>
      <c r="F580" s="59"/>
    </row>
    <row r="581" ht="12.75" customHeight="1">
      <c r="A581" s="25"/>
      <c r="B581" s="59"/>
      <c r="C581" s="59"/>
      <c r="D581" s="59"/>
      <c r="E581" s="59"/>
      <c r="F581" s="59"/>
    </row>
    <row r="582" ht="12.75" customHeight="1">
      <c r="A582" s="25"/>
      <c r="B582" s="59"/>
      <c r="C582" s="59"/>
      <c r="D582" s="59"/>
      <c r="E582" s="59"/>
      <c r="F582" s="59"/>
    </row>
    <row r="583" ht="12.75" customHeight="1">
      <c r="A583" s="25"/>
      <c r="B583" s="59"/>
      <c r="C583" s="59"/>
      <c r="D583" s="59"/>
      <c r="E583" s="59"/>
      <c r="F583" s="59"/>
    </row>
    <row r="584" ht="12.75" customHeight="1">
      <c r="A584" s="25"/>
      <c r="B584" s="59"/>
      <c r="C584" s="59"/>
      <c r="D584" s="59"/>
      <c r="E584" s="59"/>
      <c r="F584" s="59"/>
    </row>
    <row r="585" ht="12.75" customHeight="1">
      <c r="A585" s="25"/>
      <c r="B585" s="59"/>
      <c r="C585" s="59"/>
      <c r="D585" s="59"/>
      <c r="E585" s="59"/>
      <c r="F585" s="59"/>
    </row>
    <row r="586" ht="12.75" customHeight="1">
      <c r="A586" s="25"/>
      <c r="B586" s="59"/>
      <c r="C586" s="59"/>
      <c r="D586" s="59"/>
      <c r="E586" s="59"/>
      <c r="F586" s="59"/>
    </row>
    <row r="587" ht="12.75" customHeight="1">
      <c r="A587" s="25"/>
      <c r="B587" s="59"/>
      <c r="C587" s="59"/>
      <c r="D587" s="59"/>
      <c r="E587" s="59"/>
      <c r="F587" s="59"/>
    </row>
    <row r="588" ht="12.75" customHeight="1">
      <c r="A588" s="25"/>
      <c r="B588" s="59"/>
      <c r="C588" s="59"/>
      <c r="D588" s="59"/>
      <c r="E588" s="59"/>
      <c r="F588" s="59"/>
    </row>
    <row r="589" ht="12.75" customHeight="1">
      <c r="A589" s="25"/>
      <c r="B589" s="59"/>
      <c r="C589" s="59"/>
      <c r="D589" s="59"/>
      <c r="E589" s="59"/>
      <c r="F589" s="59"/>
    </row>
    <row r="590" ht="12.75" customHeight="1">
      <c r="A590" s="25"/>
      <c r="B590" s="59"/>
      <c r="C590" s="59"/>
      <c r="D590" s="59"/>
      <c r="E590" s="59"/>
      <c r="F590" s="59"/>
    </row>
    <row r="591" ht="12.75" customHeight="1">
      <c r="A591" s="25"/>
      <c r="B591" s="59"/>
      <c r="C591" s="59"/>
      <c r="D591" s="59"/>
      <c r="E591" s="59"/>
      <c r="F591" s="59"/>
    </row>
    <row r="592" ht="12.75" customHeight="1">
      <c r="A592" s="25"/>
      <c r="B592" s="59"/>
      <c r="C592" s="59"/>
      <c r="D592" s="59"/>
      <c r="E592" s="59"/>
      <c r="F592" s="59"/>
    </row>
    <row r="593" ht="12.75" customHeight="1">
      <c r="A593" s="25"/>
      <c r="B593" s="59"/>
      <c r="C593" s="59"/>
      <c r="D593" s="59"/>
      <c r="E593" s="59"/>
      <c r="F593" s="59"/>
    </row>
    <row r="594" ht="12.75" customHeight="1">
      <c r="A594" s="25"/>
      <c r="B594" s="59"/>
      <c r="C594" s="59"/>
      <c r="D594" s="59"/>
      <c r="E594" s="59"/>
      <c r="F594" s="59"/>
    </row>
    <row r="595" ht="12.75" customHeight="1">
      <c r="A595" s="25"/>
      <c r="B595" s="59"/>
      <c r="C595" s="59"/>
      <c r="D595" s="59"/>
      <c r="E595" s="59"/>
      <c r="F595" s="59"/>
    </row>
    <row r="596" ht="12.75" customHeight="1">
      <c r="A596" s="25"/>
      <c r="B596" s="59"/>
      <c r="C596" s="59"/>
      <c r="D596" s="59"/>
      <c r="E596" s="59"/>
      <c r="F596" s="59"/>
    </row>
    <row r="597" ht="12.75" customHeight="1">
      <c r="A597" s="25"/>
      <c r="B597" s="59"/>
      <c r="C597" s="59"/>
      <c r="D597" s="59"/>
      <c r="E597" s="59"/>
      <c r="F597" s="59"/>
    </row>
    <row r="598" ht="12.75" customHeight="1">
      <c r="A598" s="25"/>
      <c r="B598" s="59"/>
      <c r="C598" s="59"/>
      <c r="D598" s="59"/>
      <c r="E598" s="59"/>
      <c r="F598" s="59"/>
    </row>
    <row r="599" ht="12.75" customHeight="1">
      <c r="A599" s="25"/>
      <c r="B599" s="59"/>
      <c r="C599" s="59"/>
      <c r="D599" s="59"/>
      <c r="E599" s="59"/>
      <c r="F599" s="59"/>
    </row>
    <row r="600" ht="12.75" customHeight="1">
      <c r="A600" s="25"/>
      <c r="B600" s="59"/>
      <c r="C600" s="59"/>
      <c r="D600" s="59"/>
      <c r="E600" s="59"/>
      <c r="F600" s="59"/>
    </row>
    <row r="601" ht="12.75" customHeight="1">
      <c r="A601" s="25"/>
      <c r="B601" s="59"/>
      <c r="C601" s="59"/>
      <c r="D601" s="59"/>
      <c r="E601" s="59"/>
      <c r="F601" s="59"/>
    </row>
    <row r="602" ht="12.75" customHeight="1">
      <c r="A602" s="25"/>
      <c r="B602" s="59"/>
      <c r="C602" s="59"/>
      <c r="D602" s="59"/>
      <c r="E602" s="59"/>
      <c r="F602" s="59"/>
    </row>
    <row r="603" ht="12.75" customHeight="1">
      <c r="A603" s="25"/>
      <c r="B603" s="59"/>
      <c r="C603" s="59"/>
      <c r="D603" s="59"/>
      <c r="E603" s="59"/>
      <c r="F603" s="59"/>
    </row>
    <row r="604" ht="12.75" customHeight="1">
      <c r="A604" s="25"/>
      <c r="B604" s="59"/>
      <c r="C604" s="59"/>
      <c r="D604" s="59"/>
      <c r="E604" s="59"/>
      <c r="F604" s="59"/>
    </row>
    <row r="605" ht="12.75" customHeight="1">
      <c r="A605" s="25"/>
      <c r="B605" s="59"/>
      <c r="C605" s="59"/>
      <c r="D605" s="59"/>
      <c r="E605" s="59"/>
      <c r="F605" s="59"/>
    </row>
    <row r="606" ht="12.75" customHeight="1">
      <c r="A606" s="25"/>
      <c r="B606" s="59"/>
      <c r="C606" s="59"/>
      <c r="D606" s="59"/>
      <c r="E606" s="59"/>
      <c r="F606" s="59"/>
    </row>
    <row r="607" ht="12.75" customHeight="1">
      <c r="A607" s="25"/>
      <c r="B607" s="59"/>
      <c r="C607" s="59"/>
      <c r="D607" s="59"/>
      <c r="E607" s="59"/>
      <c r="F607" s="59"/>
    </row>
    <row r="608" ht="12.75" customHeight="1">
      <c r="A608" s="25"/>
      <c r="B608" s="59"/>
      <c r="C608" s="59"/>
      <c r="D608" s="59"/>
      <c r="E608" s="59"/>
      <c r="F608" s="59"/>
    </row>
    <row r="609" ht="12.75" customHeight="1">
      <c r="A609" s="25"/>
      <c r="B609" s="59"/>
      <c r="C609" s="59"/>
      <c r="D609" s="59"/>
      <c r="E609" s="59"/>
      <c r="F609" s="59"/>
    </row>
    <row r="610" ht="12.75" customHeight="1">
      <c r="A610" s="25"/>
      <c r="B610" s="59"/>
      <c r="C610" s="59"/>
      <c r="D610" s="59"/>
      <c r="E610" s="59"/>
      <c r="F610" s="59"/>
    </row>
    <row r="611" ht="12.75" customHeight="1">
      <c r="A611" s="25"/>
      <c r="B611" s="59"/>
      <c r="C611" s="59"/>
      <c r="D611" s="59"/>
      <c r="E611" s="59"/>
      <c r="F611" s="59"/>
    </row>
    <row r="612" ht="12.75" customHeight="1">
      <c r="A612" s="25"/>
      <c r="B612" s="59"/>
      <c r="C612" s="59"/>
      <c r="D612" s="59"/>
      <c r="E612" s="59"/>
      <c r="F612" s="59"/>
    </row>
    <row r="613" ht="12.75" customHeight="1">
      <c r="A613" s="25"/>
      <c r="B613" s="59"/>
      <c r="C613" s="59"/>
      <c r="D613" s="59"/>
      <c r="E613" s="59"/>
      <c r="F613" s="59"/>
    </row>
    <row r="614" ht="12.75" customHeight="1">
      <c r="A614" s="25"/>
      <c r="B614" s="59"/>
      <c r="C614" s="59"/>
      <c r="D614" s="59"/>
      <c r="E614" s="59"/>
      <c r="F614" s="59"/>
    </row>
    <row r="615" ht="12.75" customHeight="1">
      <c r="A615" s="25"/>
      <c r="B615" s="59"/>
      <c r="C615" s="59"/>
      <c r="D615" s="59"/>
      <c r="E615" s="59"/>
      <c r="F615" s="59"/>
    </row>
    <row r="616" ht="12.75" customHeight="1">
      <c r="A616" s="25"/>
      <c r="B616" s="59"/>
      <c r="C616" s="59"/>
      <c r="D616" s="59"/>
      <c r="E616" s="59"/>
      <c r="F616" s="59"/>
    </row>
    <row r="617" ht="12.75" customHeight="1">
      <c r="A617" s="25"/>
      <c r="B617" s="59"/>
      <c r="C617" s="59"/>
      <c r="D617" s="59"/>
      <c r="E617" s="59"/>
      <c r="F617" s="59"/>
    </row>
    <row r="618" ht="12.75" customHeight="1">
      <c r="A618" s="25"/>
      <c r="B618" s="59"/>
      <c r="C618" s="59"/>
      <c r="D618" s="59"/>
      <c r="E618" s="59"/>
      <c r="F618" s="59"/>
    </row>
    <row r="619" ht="12.75" customHeight="1">
      <c r="A619" s="25"/>
      <c r="B619" s="59"/>
      <c r="C619" s="59"/>
      <c r="D619" s="59"/>
      <c r="E619" s="59"/>
      <c r="F619" s="59"/>
    </row>
    <row r="620" ht="12.75" customHeight="1">
      <c r="A620" s="25"/>
      <c r="B620" s="59"/>
      <c r="C620" s="59"/>
      <c r="D620" s="59"/>
      <c r="E620" s="59"/>
      <c r="F620" s="59"/>
    </row>
    <row r="621" ht="12.75" customHeight="1">
      <c r="A621" s="25"/>
      <c r="B621" s="59"/>
      <c r="C621" s="59"/>
      <c r="D621" s="59"/>
      <c r="E621" s="59"/>
      <c r="F621" s="59"/>
    </row>
    <row r="622" ht="12.75" customHeight="1">
      <c r="A622" s="25"/>
      <c r="B622" s="59"/>
      <c r="C622" s="59"/>
      <c r="D622" s="59"/>
      <c r="E622" s="59"/>
      <c r="F622" s="59"/>
    </row>
    <row r="623" ht="12.75" customHeight="1">
      <c r="A623" s="25"/>
      <c r="B623" s="59"/>
      <c r="C623" s="59"/>
      <c r="D623" s="59"/>
      <c r="E623" s="59"/>
      <c r="F623" s="59"/>
    </row>
    <row r="624" ht="12.75" customHeight="1">
      <c r="A624" s="25"/>
      <c r="B624" s="59"/>
      <c r="C624" s="59"/>
      <c r="D624" s="59"/>
      <c r="E624" s="59"/>
      <c r="F624" s="59"/>
    </row>
    <row r="625" ht="12.75" customHeight="1">
      <c r="A625" s="25"/>
      <c r="B625" s="59"/>
      <c r="C625" s="59"/>
      <c r="D625" s="59"/>
      <c r="E625" s="59"/>
      <c r="F625" s="59"/>
    </row>
    <row r="626" ht="12.75" customHeight="1">
      <c r="A626" s="25"/>
      <c r="B626" s="59"/>
      <c r="C626" s="59"/>
      <c r="D626" s="59"/>
      <c r="E626" s="59"/>
      <c r="F626" s="59"/>
    </row>
    <row r="627" ht="12.75" customHeight="1">
      <c r="A627" s="25"/>
      <c r="B627" s="59"/>
      <c r="C627" s="59"/>
      <c r="D627" s="59"/>
      <c r="E627" s="59"/>
      <c r="F627" s="59"/>
    </row>
    <row r="628" ht="12.75" customHeight="1">
      <c r="A628" s="25"/>
      <c r="B628" s="59"/>
      <c r="C628" s="59"/>
      <c r="D628" s="59"/>
      <c r="E628" s="59"/>
      <c r="F628" s="59"/>
    </row>
    <row r="629" ht="12.75" customHeight="1">
      <c r="A629" s="25"/>
      <c r="B629" s="59"/>
      <c r="C629" s="59"/>
      <c r="D629" s="59"/>
      <c r="E629" s="59"/>
      <c r="F629" s="59"/>
    </row>
    <row r="630" ht="12.75" customHeight="1">
      <c r="A630" s="25"/>
      <c r="B630" s="59"/>
      <c r="C630" s="59"/>
      <c r="D630" s="59"/>
      <c r="E630" s="59"/>
      <c r="F630" s="59"/>
    </row>
    <row r="631" ht="12.75" customHeight="1">
      <c r="A631" s="25"/>
      <c r="B631" s="59"/>
      <c r="C631" s="59"/>
      <c r="D631" s="59"/>
      <c r="E631" s="59"/>
      <c r="F631" s="59"/>
    </row>
    <row r="632" ht="12.75" customHeight="1">
      <c r="A632" s="25"/>
      <c r="B632" s="59"/>
      <c r="C632" s="59"/>
      <c r="D632" s="59"/>
      <c r="E632" s="59"/>
      <c r="F632" s="59"/>
    </row>
    <row r="633" ht="12.75" customHeight="1">
      <c r="A633" s="25"/>
      <c r="B633" s="59"/>
      <c r="C633" s="59"/>
      <c r="D633" s="59"/>
      <c r="E633" s="59"/>
      <c r="F633" s="59"/>
    </row>
    <row r="634" ht="12.75" customHeight="1">
      <c r="A634" s="25"/>
      <c r="B634" s="59"/>
      <c r="C634" s="59"/>
      <c r="D634" s="59"/>
      <c r="E634" s="59"/>
      <c r="F634" s="59"/>
    </row>
    <row r="635" ht="12.75" customHeight="1">
      <c r="A635" s="25"/>
      <c r="B635" s="59"/>
      <c r="C635" s="59"/>
      <c r="D635" s="59"/>
      <c r="E635" s="59"/>
      <c r="F635" s="59"/>
    </row>
    <row r="636" ht="12.75" customHeight="1">
      <c r="A636" s="25"/>
      <c r="B636" s="59"/>
      <c r="C636" s="59"/>
      <c r="D636" s="59"/>
      <c r="E636" s="59"/>
      <c r="F636" s="59"/>
    </row>
    <row r="637" ht="12.75" customHeight="1">
      <c r="A637" s="25"/>
      <c r="B637" s="59"/>
      <c r="C637" s="59"/>
      <c r="D637" s="59"/>
      <c r="E637" s="59"/>
      <c r="F637" s="59"/>
    </row>
    <row r="638" ht="12.75" customHeight="1">
      <c r="A638" s="25"/>
      <c r="B638" s="59"/>
      <c r="C638" s="59"/>
      <c r="D638" s="59"/>
      <c r="E638" s="59"/>
      <c r="F638" s="59"/>
    </row>
    <row r="639" ht="12.75" customHeight="1">
      <c r="A639" s="25"/>
      <c r="B639" s="59"/>
      <c r="C639" s="59"/>
      <c r="D639" s="59"/>
      <c r="E639" s="59"/>
      <c r="F639" s="59"/>
    </row>
    <row r="640" ht="12.75" customHeight="1">
      <c r="A640" s="25"/>
      <c r="B640" s="59"/>
      <c r="C640" s="59"/>
      <c r="D640" s="59"/>
      <c r="E640" s="59"/>
      <c r="F640" s="59"/>
    </row>
    <row r="641" ht="12.75" customHeight="1">
      <c r="A641" s="25"/>
      <c r="B641" s="59"/>
      <c r="C641" s="59"/>
      <c r="D641" s="59"/>
      <c r="E641" s="59"/>
      <c r="F641" s="59"/>
    </row>
    <row r="642" ht="12.75" customHeight="1">
      <c r="A642" s="25"/>
      <c r="B642" s="59"/>
      <c r="C642" s="59"/>
      <c r="D642" s="59"/>
      <c r="E642" s="59"/>
      <c r="F642" s="59"/>
    </row>
    <row r="643" ht="12.75" customHeight="1">
      <c r="A643" s="25"/>
      <c r="B643" s="59"/>
      <c r="C643" s="59"/>
      <c r="D643" s="59"/>
      <c r="E643" s="59"/>
      <c r="F643" s="59"/>
    </row>
    <row r="644" ht="12.75" customHeight="1">
      <c r="A644" s="25"/>
      <c r="B644" s="59"/>
      <c r="C644" s="59"/>
      <c r="D644" s="59"/>
      <c r="E644" s="59"/>
      <c r="F644" s="59"/>
    </row>
    <row r="645" ht="12.75" customHeight="1">
      <c r="A645" s="25"/>
      <c r="B645" s="59"/>
      <c r="C645" s="59"/>
      <c r="D645" s="59"/>
      <c r="E645" s="59"/>
      <c r="F645" s="59"/>
    </row>
    <row r="646" ht="12.75" customHeight="1">
      <c r="A646" s="25"/>
      <c r="B646" s="59"/>
      <c r="C646" s="59"/>
      <c r="D646" s="59"/>
      <c r="E646" s="59"/>
      <c r="F646" s="59"/>
    </row>
    <row r="647" ht="12.75" customHeight="1">
      <c r="A647" s="25"/>
      <c r="B647" s="59"/>
      <c r="C647" s="59"/>
      <c r="D647" s="59"/>
      <c r="E647" s="59"/>
      <c r="F647" s="59"/>
    </row>
    <row r="648" ht="12.75" customHeight="1">
      <c r="A648" s="25"/>
      <c r="B648" s="59"/>
      <c r="C648" s="59"/>
      <c r="D648" s="59"/>
      <c r="E648" s="59"/>
      <c r="F648" s="59"/>
    </row>
    <row r="649" ht="12.75" customHeight="1">
      <c r="A649" s="25"/>
      <c r="B649" s="59"/>
      <c r="C649" s="59"/>
      <c r="D649" s="59"/>
      <c r="E649" s="59"/>
      <c r="F649" s="59"/>
    </row>
    <row r="650" ht="12.75" customHeight="1">
      <c r="A650" s="25"/>
      <c r="B650" s="59"/>
      <c r="C650" s="59"/>
      <c r="D650" s="59"/>
      <c r="E650" s="59"/>
      <c r="F650" s="59"/>
    </row>
    <row r="651" ht="12.75" customHeight="1">
      <c r="A651" s="25"/>
      <c r="B651" s="59"/>
      <c r="C651" s="59"/>
      <c r="D651" s="59"/>
      <c r="E651" s="59"/>
      <c r="F651" s="59"/>
    </row>
    <row r="652" ht="12.75" customHeight="1">
      <c r="A652" s="25"/>
      <c r="B652" s="59"/>
      <c r="C652" s="59"/>
      <c r="D652" s="59"/>
      <c r="E652" s="59"/>
      <c r="F652" s="59"/>
    </row>
    <row r="653" ht="12.75" customHeight="1">
      <c r="A653" s="25"/>
      <c r="B653" s="59"/>
      <c r="C653" s="59"/>
      <c r="D653" s="59"/>
      <c r="E653" s="59"/>
      <c r="F653" s="59"/>
    </row>
    <row r="654" ht="12.75" customHeight="1">
      <c r="A654" s="25"/>
      <c r="B654" s="59"/>
      <c r="C654" s="59"/>
      <c r="D654" s="59"/>
      <c r="E654" s="59"/>
      <c r="F654" s="59"/>
    </row>
    <row r="655" ht="12.75" customHeight="1">
      <c r="A655" s="25"/>
      <c r="B655" s="59"/>
      <c r="C655" s="59"/>
      <c r="D655" s="59"/>
      <c r="E655" s="59"/>
      <c r="F655" s="59"/>
    </row>
    <row r="656" ht="12.75" customHeight="1">
      <c r="A656" s="25"/>
      <c r="B656" s="59"/>
      <c r="C656" s="59"/>
      <c r="D656" s="59"/>
      <c r="E656" s="59"/>
      <c r="F656" s="59"/>
    </row>
    <row r="657" ht="12.75" customHeight="1">
      <c r="A657" s="25"/>
      <c r="B657" s="59"/>
      <c r="C657" s="59"/>
      <c r="D657" s="59"/>
      <c r="E657" s="59"/>
      <c r="F657" s="59"/>
    </row>
    <row r="658" ht="12.75" customHeight="1">
      <c r="A658" s="25"/>
      <c r="B658" s="59"/>
      <c r="C658" s="59"/>
      <c r="D658" s="59"/>
      <c r="E658" s="59"/>
      <c r="F658" s="59"/>
    </row>
    <row r="659" ht="12.75" customHeight="1">
      <c r="A659" s="25"/>
      <c r="B659" s="59"/>
      <c r="C659" s="59"/>
      <c r="D659" s="59"/>
      <c r="E659" s="59"/>
      <c r="F659" s="59"/>
    </row>
    <row r="660" ht="12.75" customHeight="1">
      <c r="A660" s="25"/>
      <c r="B660" s="59"/>
      <c r="C660" s="59"/>
      <c r="D660" s="59"/>
      <c r="E660" s="59"/>
      <c r="F660" s="59"/>
    </row>
    <row r="661" ht="12.75" customHeight="1">
      <c r="A661" s="25"/>
      <c r="B661" s="59"/>
      <c r="C661" s="59"/>
      <c r="D661" s="59"/>
      <c r="E661" s="59"/>
      <c r="F661" s="59"/>
    </row>
    <row r="662" ht="12.75" customHeight="1">
      <c r="A662" s="25"/>
      <c r="B662" s="59"/>
      <c r="C662" s="59"/>
      <c r="D662" s="59"/>
      <c r="E662" s="59"/>
      <c r="F662" s="59"/>
    </row>
    <row r="663" ht="12.75" customHeight="1">
      <c r="A663" s="25"/>
      <c r="B663" s="59"/>
      <c r="C663" s="59"/>
      <c r="D663" s="59"/>
      <c r="E663" s="59"/>
      <c r="F663" s="59"/>
    </row>
    <row r="664" ht="12.75" customHeight="1">
      <c r="A664" s="25"/>
      <c r="B664" s="59"/>
      <c r="C664" s="59"/>
      <c r="D664" s="59"/>
      <c r="E664" s="59"/>
      <c r="F664" s="59"/>
    </row>
    <row r="665" ht="12.75" customHeight="1">
      <c r="A665" s="25"/>
      <c r="B665" s="59"/>
      <c r="C665" s="59"/>
      <c r="D665" s="59"/>
      <c r="E665" s="59"/>
      <c r="F665" s="59"/>
    </row>
    <row r="666" ht="12.75" customHeight="1">
      <c r="A666" s="25"/>
      <c r="B666" s="59"/>
      <c r="C666" s="59"/>
      <c r="D666" s="59"/>
      <c r="E666" s="59"/>
      <c r="F666" s="59"/>
    </row>
    <row r="667" ht="12.75" customHeight="1">
      <c r="A667" s="25"/>
      <c r="B667" s="59"/>
      <c r="C667" s="59"/>
      <c r="D667" s="59"/>
      <c r="E667" s="59"/>
      <c r="F667" s="59"/>
    </row>
    <row r="668" ht="12.75" customHeight="1">
      <c r="A668" s="25"/>
      <c r="B668" s="59"/>
      <c r="C668" s="59"/>
      <c r="D668" s="59"/>
      <c r="E668" s="59"/>
      <c r="F668" s="59"/>
    </row>
    <row r="669" ht="12.75" customHeight="1">
      <c r="A669" s="25"/>
      <c r="B669" s="59"/>
      <c r="C669" s="59"/>
      <c r="D669" s="59"/>
      <c r="E669" s="59"/>
      <c r="F669" s="59"/>
    </row>
    <row r="670" ht="12.75" customHeight="1">
      <c r="A670" s="25"/>
      <c r="B670" s="59"/>
      <c r="C670" s="59"/>
      <c r="D670" s="59"/>
      <c r="E670" s="59"/>
      <c r="F670" s="59"/>
    </row>
    <row r="671" ht="12.75" customHeight="1">
      <c r="A671" s="25"/>
      <c r="B671" s="59"/>
      <c r="C671" s="59"/>
      <c r="D671" s="59"/>
      <c r="E671" s="59"/>
      <c r="F671" s="59"/>
    </row>
    <row r="672" ht="12.75" customHeight="1">
      <c r="A672" s="25"/>
      <c r="B672" s="59"/>
      <c r="C672" s="59"/>
      <c r="D672" s="59"/>
      <c r="E672" s="59"/>
      <c r="F672" s="59"/>
    </row>
    <row r="673" ht="12.75" customHeight="1">
      <c r="A673" s="25"/>
      <c r="B673" s="59"/>
      <c r="C673" s="59"/>
      <c r="D673" s="59"/>
      <c r="E673" s="59"/>
      <c r="F673" s="59"/>
    </row>
    <row r="674" ht="12.75" customHeight="1">
      <c r="A674" s="25"/>
      <c r="B674" s="59"/>
      <c r="C674" s="59"/>
      <c r="D674" s="59"/>
      <c r="E674" s="59"/>
      <c r="F674" s="59"/>
    </row>
    <row r="675" ht="12.75" customHeight="1">
      <c r="A675" s="25"/>
      <c r="B675" s="59"/>
      <c r="C675" s="59"/>
      <c r="D675" s="59"/>
      <c r="E675" s="59"/>
      <c r="F675" s="59"/>
    </row>
    <row r="676" ht="12.75" customHeight="1">
      <c r="A676" s="25"/>
      <c r="B676" s="59"/>
      <c r="C676" s="59"/>
      <c r="D676" s="59"/>
      <c r="E676" s="59"/>
      <c r="F676" s="59"/>
    </row>
    <row r="677" ht="12.75" customHeight="1">
      <c r="A677" s="25"/>
      <c r="B677" s="59"/>
      <c r="C677" s="59"/>
      <c r="D677" s="59"/>
      <c r="E677" s="59"/>
      <c r="F677" s="59"/>
    </row>
    <row r="678" ht="12.75" customHeight="1">
      <c r="A678" s="25"/>
      <c r="B678" s="59"/>
      <c r="C678" s="59"/>
      <c r="D678" s="59"/>
      <c r="E678" s="59"/>
      <c r="F678" s="59"/>
    </row>
    <row r="679" ht="12.75" customHeight="1">
      <c r="A679" s="25"/>
      <c r="B679" s="59"/>
      <c r="C679" s="59"/>
      <c r="D679" s="59"/>
      <c r="E679" s="59"/>
      <c r="F679" s="59"/>
    </row>
    <row r="680" ht="12.75" customHeight="1">
      <c r="A680" s="25"/>
      <c r="B680" s="59"/>
      <c r="C680" s="59"/>
      <c r="D680" s="59"/>
      <c r="E680" s="59"/>
      <c r="F680" s="59"/>
    </row>
    <row r="681" ht="12.75" customHeight="1">
      <c r="A681" s="25"/>
      <c r="B681" s="59"/>
      <c r="C681" s="59"/>
      <c r="D681" s="59"/>
      <c r="E681" s="59"/>
      <c r="F681" s="59"/>
    </row>
    <row r="682" ht="12.75" customHeight="1">
      <c r="A682" s="25"/>
      <c r="B682" s="59"/>
      <c r="C682" s="59"/>
      <c r="D682" s="59"/>
      <c r="E682" s="59"/>
      <c r="F682" s="59"/>
    </row>
    <row r="683" ht="12.75" customHeight="1">
      <c r="A683" s="25"/>
      <c r="B683" s="59"/>
      <c r="C683" s="59"/>
      <c r="D683" s="59"/>
      <c r="E683" s="59"/>
      <c r="F683" s="59"/>
    </row>
    <row r="684" ht="12.75" customHeight="1">
      <c r="A684" s="25"/>
      <c r="B684" s="59"/>
      <c r="C684" s="59"/>
      <c r="D684" s="59"/>
      <c r="E684" s="59"/>
      <c r="F684" s="59"/>
    </row>
    <row r="685" ht="12.75" customHeight="1">
      <c r="A685" s="25"/>
      <c r="B685" s="59"/>
      <c r="C685" s="59"/>
      <c r="D685" s="59"/>
      <c r="E685" s="59"/>
      <c r="F685" s="59"/>
    </row>
    <row r="686" ht="12.75" customHeight="1">
      <c r="A686" s="25"/>
      <c r="B686" s="59"/>
      <c r="C686" s="59"/>
      <c r="D686" s="59"/>
      <c r="E686" s="59"/>
      <c r="F686" s="59"/>
    </row>
    <row r="687" ht="12.75" customHeight="1">
      <c r="A687" s="25"/>
      <c r="B687" s="59"/>
      <c r="C687" s="59"/>
      <c r="D687" s="59"/>
      <c r="E687" s="59"/>
      <c r="F687" s="59"/>
    </row>
    <row r="688" ht="12.75" customHeight="1">
      <c r="A688" s="25"/>
      <c r="B688" s="59"/>
      <c r="C688" s="59"/>
      <c r="D688" s="59"/>
      <c r="E688" s="59"/>
      <c r="F688" s="59"/>
    </row>
    <row r="689" ht="12.75" customHeight="1">
      <c r="A689" s="25"/>
      <c r="B689" s="59"/>
      <c r="C689" s="59"/>
      <c r="D689" s="59"/>
      <c r="E689" s="59"/>
      <c r="F689" s="59"/>
    </row>
    <row r="690" ht="12.75" customHeight="1">
      <c r="A690" s="25"/>
      <c r="B690" s="59"/>
      <c r="C690" s="59"/>
      <c r="D690" s="59"/>
      <c r="E690" s="59"/>
      <c r="F690" s="59"/>
    </row>
    <row r="691" ht="12.75" customHeight="1">
      <c r="A691" s="25"/>
      <c r="B691" s="59"/>
      <c r="C691" s="59"/>
      <c r="D691" s="59"/>
      <c r="E691" s="59"/>
      <c r="F691" s="59"/>
    </row>
    <row r="692" ht="12.75" customHeight="1">
      <c r="A692" s="25"/>
      <c r="B692" s="59"/>
      <c r="C692" s="59"/>
      <c r="D692" s="59"/>
      <c r="E692" s="59"/>
      <c r="F692" s="59"/>
    </row>
    <row r="693" ht="12.75" customHeight="1">
      <c r="A693" s="25"/>
      <c r="B693" s="59"/>
      <c r="C693" s="59"/>
      <c r="D693" s="59"/>
      <c r="E693" s="59"/>
      <c r="F693" s="59"/>
    </row>
    <row r="694" ht="12.75" customHeight="1">
      <c r="A694" s="25"/>
      <c r="B694" s="59"/>
      <c r="C694" s="59"/>
      <c r="D694" s="59"/>
      <c r="E694" s="59"/>
      <c r="F694" s="59"/>
    </row>
    <row r="695" ht="12.75" customHeight="1">
      <c r="A695" s="25"/>
      <c r="B695" s="59"/>
      <c r="C695" s="59"/>
      <c r="D695" s="59"/>
      <c r="E695" s="59"/>
      <c r="F695" s="59"/>
    </row>
    <row r="696" ht="12.75" customHeight="1">
      <c r="A696" s="25"/>
      <c r="B696" s="59"/>
      <c r="C696" s="59"/>
      <c r="D696" s="59"/>
      <c r="E696" s="59"/>
      <c r="F696" s="59"/>
    </row>
    <row r="697" ht="12.75" customHeight="1">
      <c r="A697" s="25"/>
      <c r="B697" s="59"/>
      <c r="C697" s="59"/>
      <c r="D697" s="59"/>
      <c r="E697" s="59"/>
      <c r="F697" s="59"/>
    </row>
    <row r="698" ht="12.75" customHeight="1">
      <c r="A698" s="25"/>
      <c r="B698" s="59"/>
      <c r="C698" s="59"/>
      <c r="D698" s="59"/>
      <c r="E698" s="59"/>
      <c r="F698" s="59"/>
    </row>
    <row r="699" ht="12.75" customHeight="1">
      <c r="A699" s="25"/>
      <c r="B699" s="59"/>
      <c r="C699" s="59"/>
      <c r="D699" s="59"/>
      <c r="E699" s="59"/>
      <c r="F699" s="59"/>
    </row>
    <row r="700" ht="12.75" customHeight="1">
      <c r="A700" s="25"/>
      <c r="B700" s="59"/>
      <c r="C700" s="59"/>
      <c r="D700" s="59"/>
      <c r="E700" s="59"/>
      <c r="F700" s="59"/>
    </row>
    <row r="701" ht="12.75" customHeight="1">
      <c r="A701" s="25"/>
      <c r="B701" s="59"/>
      <c r="C701" s="59"/>
      <c r="D701" s="59"/>
      <c r="E701" s="59"/>
      <c r="F701" s="59"/>
    </row>
    <row r="702" ht="12.75" customHeight="1">
      <c r="A702" s="25"/>
      <c r="B702" s="59"/>
      <c r="C702" s="59"/>
      <c r="D702" s="59"/>
      <c r="E702" s="59"/>
      <c r="F702" s="59"/>
    </row>
    <row r="703" ht="12.75" customHeight="1">
      <c r="A703" s="25"/>
      <c r="B703" s="59"/>
      <c r="C703" s="59"/>
      <c r="D703" s="59"/>
      <c r="E703" s="59"/>
      <c r="F703" s="59"/>
    </row>
    <row r="704" ht="12.75" customHeight="1">
      <c r="A704" s="25"/>
      <c r="B704" s="59"/>
      <c r="C704" s="59"/>
      <c r="D704" s="59"/>
      <c r="E704" s="59"/>
      <c r="F704" s="59"/>
    </row>
    <row r="705" ht="12.75" customHeight="1">
      <c r="A705" s="25"/>
      <c r="B705" s="59"/>
      <c r="C705" s="59"/>
      <c r="D705" s="59"/>
      <c r="E705" s="59"/>
      <c r="F705" s="59"/>
    </row>
    <row r="706" ht="12.75" customHeight="1">
      <c r="A706" s="25"/>
      <c r="B706" s="59"/>
      <c r="C706" s="59"/>
      <c r="D706" s="59"/>
      <c r="E706" s="59"/>
      <c r="F706" s="59"/>
    </row>
    <row r="707" ht="12.75" customHeight="1">
      <c r="A707" s="25"/>
      <c r="B707" s="59"/>
      <c r="C707" s="59"/>
      <c r="D707" s="59"/>
      <c r="E707" s="59"/>
      <c r="F707" s="59"/>
    </row>
    <row r="708" ht="12.75" customHeight="1">
      <c r="A708" s="25"/>
      <c r="B708" s="59"/>
      <c r="C708" s="59"/>
      <c r="D708" s="59"/>
      <c r="E708" s="59"/>
      <c r="F708" s="59"/>
    </row>
    <row r="709" ht="12.75" customHeight="1">
      <c r="A709" s="25"/>
      <c r="B709" s="59"/>
      <c r="C709" s="59"/>
      <c r="D709" s="59"/>
      <c r="E709" s="59"/>
      <c r="F709" s="59"/>
    </row>
    <row r="710" ht="12.75" customHeight="1">
      <c r="A710" s="25"/>
      <c r="B710" s="59"/>
      <c r="C710" s="59"/>
      <c r="D710" s="59"/>
      <c r="E710" s="59"/>
      <c r="F710" s="59"/>
    </row>
    <row r="711" ht="12.75" customHeight="1">
      <c r="A711" s="25"/>
      <c r="B711" s="59"/>
      <c r="C711" s="59"/>
      <c r="D711" s="59"/>
      <c r="E711" s="59"/>
      <c r="F711" s="59"/>
    </row>
    <row r="712" ht="12.75" customHeight="1">
      <c r="A712" s="25"/>
      <c r="B712" s="59"/>
      <c r="C712" s="59"/>
      <c r="D712" s="59"/>
      <c r="E712" s="59"/>
      <c r="F712" s="59"/>
    </row>
    <row r="713" ht="12.75" customHeight="1">
      <c r="A713" s="25"/>
      <c r="B713" s="59"/>
      <c r="C713" s="59"/>
      <c r="D713" s="59"/>
      <c r="E713" s="59"/>
      <c r="F713" s="59"/>
    </row>
    <row r="714" ht="12.75" customHeight="1">
      <c r="A714" s="25"/>
      <c r="B714" s="59"/>
      <c r="C714" s="59"/>
      <c r="D714" s="59"/>
      <c r="E714" s="59"/>
      <c r="F714" s="59"/>
    </row>
    <row r="715" ht="12.75" customHeight="1">
      <c r="A715" s="25"/>
      <c r="B715" s="59"/>
      <c r="C715" s="59"/>
      <c r="D715" s="59"/>
      <c r="E715" s="59"/>
      <c r="F715" s="59"/>
    </row>
    <row r="716" ht="12.75" customHeight="1">
      <c r="A716" s="25"/>
      <c r="B716" s="59"/>
      <c r="C716" s="59"/>
      <c r="D716" s="59"/>
      <c r="E716" s="59"/>
      <c r="F716" s="59"/>
    </row>
    <row r="717" ht="12.75" customHeight="1">
      <c r="A717" s="25"/>
      <c r="B717" s="59"/>
      <c r="C717" s="59"/>
      <c r="D717" s="59"/>
      <c r="E717" s="59"/>
      <c r="F717" s="59"/>
    </row>
    <row r="718" ht="12.75" customHeight="1">
      <c r="A718" s="25"/>
      <c r="B718" s="59"/>
      <c r="C718" s="59"/>
      <c r="D718" s="59"/>
      <c r="E718" s="59"/>
      <c r="F718" s="59"/>
    </row>
    <row r="719" ht="12.75" customHeight="1">
      <c r="A719" s="25"/>
      <c r="B719" s="59"/>
      <c r="C719" s="59"/>
      <c r="D719" s="59"/>
      <c r="E719" s="59"/>
      <c r="F719" s="59"/>
    </row>
    <row r="720" ht="12.75" customHeight="1">
      <c r="A720" s="25"/>
      <c r="B720" s="59"/>
      <c r="C720" s="59"/>
      <c r="D720" s="59"/>
      <c r="E720" s="59"/>
      <c r="F720" s="59"/>
    </row>
    <row r="721" ht="12.75" customHeight="1">
      <c r="A721" s="25"/>
      <c r="B721" s="59"/>
      <c r="C721" s="59"/>
      <c r="D721" s="59"/>
      <c r="E721" s="59"/>
      <c r="F721" s="59"/>
    </row>
    <row r="722" ht="12.75" customHeight="1">
      <c r="A722" s="25"/>
      <c r="B722" s="59"/>
      <c r="C722" s="59"/>
      <c r="D722" s="59"/>
      <c r="E722" s="59"/>
      <c r="F722" s="59"/>
    </row>
    <row r="723" ht="12.75" customHeight="1">
      <c r="A723" s="25"/>
      <c r="B723" s="59"/>
      <c r="C723" s="59"/>
      <c r="D723" s="59"/>
      <c r="E723" s="59"/>
      <c r="F723" s="59"/>
    </row>
    <row r="724" ht="12.75" customHeight="1">
      <c r="A724" s="25"/>
      <c r="B724" s="59"/>
      <c r="C724" s="59"/>
      <c r="D724" s="59"/>
      <c r="E724" s="59"/>
      <c r="F724" s="59"/>
    </row>
    <row r="725" ht="12.75" customHeight="1">
      <c r="A725" s="25"/>
      <c r="B725" s="59"/>
      <c r="C725" s="59"/>
      <c r="D725" s="59"/>
      <c r="E725" s="59"/>
      <c r="F725" s="59"/>
    </row>
    <row r="726" ht="12.75" customHeight="1">
      <c r="A726" s="25"/>
      <c r="B726" s="59"/>
      <c r="C726" s="59"/>
      <c r="D726" s="59"/>
      <c r="E726" s="59"/>
      <c r="F726" s="59"/>
    </row>
    <row r="727" ht="12.75" customHeight="1">
      <c r="A727" s="25"/>
      <c r="B727" s="59"/>
      <c r="C727" s="59"/>
      <c r="D727" s="59"/>
      <c r="E727" s="59"/>
      <c r="F727" s="59"/>
    </row>
    <row r="728" ht="12.75" customHeight="1">
      <c r="A728" s="25"/>
      <c r="B728" s="59"/>
      <c r="C728" s="59"/>
      <c r="D728" s="59"/>
      <c r="E728" s="59"/>
      <c r="F728" s="59"/>
    </row>
    <row r="729" ht="12.75" customHeight="1">
      <c r="A729" s="25"/>
      <c r="B729" s="59"/>
      <c r="C729" s="59"/>
      <c r="D729" s="59"/>
      <c r="E729" s="59"/>
      <c r="F729" s="59"/>
    </row>
    <row r="730" ht="12.75" customHeight="1">
      <c r="A730" s="25"/>
      <c r="B730" s="59"/>
      <c r="C730" s="59"/>
      <c r="D730" s="59"/>
      <c r="E730" s="59"/>
      <c r="F730" s="59"/>
    </row>
    <row r="731" ht="12.75" customHeight="1">
      <c r="A731" s="25"/>
      <c r="B731" s="59"/>
      <c r="C731" s="59"/>
      <c r="D731" s="59"/>
      <c r="E731" s="59"/>
      <c r="F731" s="59"/>
    </row>
    <row r="732" ht="12.75" customHeight="1">
      <c r="A732" s="25"/>
      <c r="B732" s="59"/>
      <c r="C732" s="59"/>
      <c r="D732" s="59"/>
      <c r="E732" s="59"/>
      <c r="F732" s="59"/>
    </row>
    <row r="733" ht="12.75" customHeight="1">
      <c r="A733" s="25"/>
      <c r="B733" s="59"/>
      <c r="C733" s="59"/>
      <c r="D733" s="59"/>
      <c r="E733" s="59"/>
      <c r="F733" s="59"/>
    </row>
    <row r="734" ht="12.75" customHeight="1">
      <c r="A734" s="25"/>
      <c r="B734" s="59"/>
      <c r="C734" s="59"/>
      <c r="D734" s="59"/>
      <c r="E734" s="59"/>
      <c r="F734" s="59"/>
    </row>
    <row r="735" ht="12.75" customHeight="1">
      <c r="A735" s="25"/>
      <c r="B735" s="59"/>
      <c r="C735" s="59"/>
      <c r="D735" s="59"/>
      <c r="E735" s="59"/>
      <c r="F735" s="59"/>
    </row>
    <row r="736" ht="12.75" customHeight="1">
      <c r="A736" s="25"/>
      <c r="B736" s="59"/>
      <c r="C736" s="59"/>
      <c r="D736" s="59"/>
      <c r="E736" s="59"/>
      <c r="F736" s="59"/>
    </row>
    <row r="737" ht="12.75" customHeight="1">
      <c r="A737" s="25"/>
      <c r="B737" s="59"/>
      <c r="C737" s="59"/>
      <c r="D737" s="59"/>
      <c r="E737" s="59"/>
      <c r="F737" s="59"/>
    </row>
    <row r="738" ht="12.75" customHeight="1">
      <c r="A738" s="25"/>
      <c r="B738" s="59"/>
      <c r="C738" s="59"/>
      <c r="D738" s="59"/>
      <c r="E738" s="59"/>
      <c r="F738" s="59"/>
    </row>
    <row r="739" ht="12.75" customHeight="1">
      <c r="A739" s="25"/>
      <c r="B739" s="59"/>
      <c r="C739" s="59"/>
      <c r="D739" s="59"/>
      <c r="E739" s="59"/>
      <c r="F739" s="59"/>
    </row>
    <row r="740" ht="12.75" customHeight="1">
      <c r="A740" s="25"/>
      <c r="B740" s="59"/>
      <c r="C740" s="59"/>
      <c r="D740" s="59"/>
      <c r="E740" s="59"/>
      <c r="F740" s="59"/>
    </row>
    <row r="741" ht="12.75" customHeight="1">
      <c r="A741" s="25"/>
      <c r="B741" s="59"/>
      <c r="C741" s="59"/>
      <c r="D741" s="59"/>
      <c r="E741" s="59"/>
      <c r="F741" s="59"/>
    </row>
    <row r="742" ht="12.75" customHeight="1">
      <c r="A742" s="25"/>
      <c r="B742" s="59"/>
      <c r="C742" s="59"/>
      <c r="D742" s="59"/>
      <c r="E742" s="59"/>
      <c r="F742" s="59"/>
    </row>
    <row r="743" ht="12.75" customHeight="1">
      <c r="A743" s="25"/>
      <c r="B743" s="59"/>
      <c r="C743" s="59"/>
      <c r="D743" s="59"/>
      <c r="E743" s="59"/>
      <c r="F743" s="59"/>
    </row>
    <row r="744" ht="12.75" customHeight="1">
      <c r="A744" s="25"/>
      <c r="B744" s="59"/>
      <c r="C744" s="59"/>
      <c r="D744" s="59"/>
      <c r="E744" s="59"/>
      <c r="F744" s="59"/>
    </row>
    <row r="745" ht="12.75" customHeight="1">
      <c r="A745" s="25"/>
      <c r="B745" s="59"/>
      <c r="C745" s="59"/>
      <c r="D745" s="59"/>
      <c r="E745" s="59"/>
      <c r="F745" s="59"/>
    </row>
    <row r="746" ht="12.75" customHeight="1">
      <c r="A746" s="25"/>
      <c r="B746" s="59"/>
      <c r="C746" s="59"/>
      <c r="D746" s="59"/>
      <c r="E746" s="59"/>
      <c r="F746" s="59"/>
    </row>
    <row r="747" ht="12.75" customHeight="1">
      <c r="A747" s="25"/>
      <c r="B747" s="59"/>
      <c r="C747" s="59"/>
      <c r="D747" s="59"/>
      <c r="E747" s="59"/>
      <c r="F747" s="59"/>
    </row>
    <row r="748" ht="12.75" customHeight="1">
      <c r="A748" s="25"/>
      <c r="B748" s="59"/>
      <c r="C748" s="59"/>
      <c r="D748" s="59"/>
      <c r="E748" s="59"/>
      <c r="F748" s="59"/>
    </row>
    <row r="749" ht="12.75" customHeight="1">
      <c r="A749" s="25"/>
      <c r="B749" s="59"/>
      <c r="C749" s="59"/>
      <c r="D749" s="59"/>
      <c r="E749" s="59"/>
      <c r="F749" s="59"/>
    </row>
    <row r="750" ht="12.75" customHeight="1">
      <c r="A750" s="25"/>
      <c r="B750" s="59"/>
      <c r="C750" s="59"/>
      <c r="D750" s="59"/>
      <c r="E750" s="59"/>
      <c r="F750" s="59"/>
    </row>
    <row r="751" ht="12.75" customHeight="1">
      <c r="A751" s="25"/>
      <c r="B751" s="59"/>
      <c r="C751" s="59"/>
      <c r="D751" s="59"/>
      <c r="E751" s="59"/>
      <c r="F751" s="59"/>
    </row>
    <row r="752" ht="12.75" customHeight="1">
      <c r="A752" s="25"/>
      <c r="B752" s="59"/>
      <c r="C752" s="59"/>
      <c r="D752" s="59"/>
      <c r="E752" s="59"/>
      <c r="F752" s="59"/>
    </row>
    <row r="753" ht="12.75" customHeight="1">
      <c r="A753" s="25"/>
      <c r="B753" s="59"/>
      <c r="C753" s="59"/>
      <c r="D753" s="59"/>
      <c r="E753" s="59"/>
      <c r="F753" s="59"/>
    </row>
    <row r="754" ht="12.75" customHeight="1">
      <c r="A754" s="25"/>
      <c r="B754" s="59"/>
      <c r="C754" s="59"/>
      <c r="D754" s="59"/>
      <c r="E754" s="59"/>
      <c r="F754" s="59"/>
    </row>
    <row r="755" ht="12.75" customHeight="1">
      <c r="A755" s="25"/>
      <c r="B755" s="59"/>
      <c r="C755" s="59"/>
      <c r="D755" s="59"/>
      <c r="E755" s="59"/>
      <c r="F755" s="59"/>
    </row>
    <row r="756" ht="12.75" customHeight="1">
      <c r="A756" s="25"/>
      <c r="B756" s="59"/>
      <c r="C756" s="59"/>
      <c r="D756" s="59"/>
      <c r="E756" s="59"/>
      <c r="F756" s="59"/>
    </row>
    <row r="757" ht="12.75" customHeight="1">
      <c r="A757" s="25"/>
      <c r="B757" s="59"/>
      <c r="C757" s="59"/>
      <c r="D757" s="59"/>
      <c r="E757" s="59"/>
      <c r="F757" s="59"/>
    </row>
    <row r="758" ht="12.75" customHeight="1">
      <c r="A758" s="25"/>
      <c r="B758" s="59"/>
      <c r="C758" s="59"/>
      <c r="D758" s="59"/>
      <c r="E758" s="59"/>
      <c r="F758" s="59"/>
    </row>
    <row r="759" ht="12.75" customHeight="1">
      <c r="A759" s="25"/>
      <c r="B759" s="59"/>
      <c r="C759" s="59"/>
      <c r="D759" s="59"/>
      <c r="E759" s="59"/>
      <c r="F759" s="59"/>
    </row>
    <row r="760" ht="12.75" customHeight="1">
      <c r="A760" s="25"/>
      <c r="B760" s="59"/>
      <c r="C760" s="59"/>
      <c r="D760" s="59"/>
      <c r="E760" s="59"/>
      <c r="F760" s="59"/>
    </row>
    <row r="761" ht="12.75" customHeight="1">
      <c r="A761" s="25"/>
      <c r="B761" s="59"/>
      <c r="C761" s="59"/>
      <c r="D761" s="59"/>
      <c r="E761" s="59"/>
      <c r="F761" s="59"/>
    </row>
    <row r="762" ht="12.75" customHeight="1">
      <c r="A762" s="25"/>
      <c r="B762" s="59"/>
      <c r="C762" s="59"/>
      <c r="D762" s="59"/>
      <c r="E762" s="59"/>
      <c r="F762" s="59"/>
    </row>
    <row r="763" ht="12.75" customHeight="1">
      <c r="A763" s="25"/>
      <c r="B763" s="59"/>
      <c r="C763" s="59"/>
      <c r="D763" s="59"/>
      <c r="E763" s="59"/>
      <c r="F763" s="59"/>
    </row>
    <row r="764" ht="12.75" customHeight="1">
      <c r="A764" s="25"/>
      <c r="B764" s="59"/>
      <c r="C764" s="59"/>
      <c r="D764" s="59"/>
      <c r="E764" s="59"/>
      <c r="F764" s="59"/>
    </row>
    <row r="765" ht="12.75" customHeight="1">
      <c r="A765" s="25"/>
      <c r="B765" s="59"/>
      <c r="C765" s="59"/>
      <c r="D765" s="59"/>
      <c r="E765" s="59"/>
      <c r="F765" s="59"/>
    </row>
    <row r="766" ht="12.75" customHeight="1">
      <c r="A766" s="25"/>
      <c r="B766" s="59"/>
      <c r="C766" s="59"/>
      <c r="D766" s="59"/>
      <c r="E766" s="59"/>
      <c r="F766" s="59"/>
    </row>
    <row r="767" ht="12.75" customHeight="1">
      <c r="A767" s="25"/>
      <c r="B767" s="59"/>
      <c r="C767" s="59"/>
      <c r="D767" s="59"/>
      <c r="E767" s="59"/>
      <c r="F767" s="59"/>
    </row>
    <row r="768" ht="12.75" customHeight="1">
      <c r="A768" s="25"/>
      <c r="B768" s="59"/>
      <c r="C768" s="59"/>
      <c r="D768" s="59"/>
      <c r="E768" s="59"/>
      <c r="F768" s="59"/>
    </row>
    <row r="769" ht="12.75" customHeight="1">
      <c r="A769" s="25"/>
      <c r="B769" s="59"/>
      <c r="C769" s="59"/>
      <c r="D769" s="59"/>
      <c r="E769" s="59"/>
      <c r="F769" s="59"/>
    </row>
    <row r="770" ht="12.75" customHeight="1">
      <c r="A770" s="25"/>
      <c r="B770" s="59"/>
      <c r="C770" s="59"/>
      <c r="D770" s="59"/>
      <c r="E770" s="59"/>
      <c r="F770" s="59"/>
    </row>
    <row r="771" ht="12.75" customHeight="1">
      <c r="A771" s="25"/>
      <c r="B771" s="59"/>
      <c r="C771" s="59"/>
      <c r="D771" s="59"/>
      <c r="E771" s="59"/>
      <c r="F771" s="59"/>
    </row>
    <row r="772" ht="12.75" customHeight="1">
      <c r="A772" s="25"/>
      <c r="B772" s="59"/>
      <c r="C772" s="59"/>
      <c r="D772" s="59"/>
      <c r="E772" s="59"/>
      <c r="F772" s="59"/>
    </row>
    <row r="773" ht="12.75" customHeight="1">
      <c r="A773" s="25"/>
      <c r="B773" s="59"/>
      <c r="C773" s="59"/>
      <c r="D773" s="59"/>
      <c r="E773" s="59"/>
      <c r="F773" s="59"/>
    </row>
    <row r="774" ht="12.75" customHeight="1">
      <c r="A774" s="25"/>
      <c r="B774" s="59"/>
      <c r="C774" s="59"/>
      <c r="D774" s="59"/>
      <c r="E774" s="59"/>
      <c r="F774" s="59"/>
    </row>
    <row r="775" ht="12.75" customHeight="1">
      <c r="A775" s="25"/>
      <c r="B775" s="59"/>
      <c r="C775" s="59"/>
      <c r="D775" s="59"/>
      <c r="E775" s="59"/>
      <c r="F775" s="59"/>
    </row>
    <row r="776" ht="12.75" customHeight="1">
      <c r="A776" s="25"/>
      <c r="B776" s="59"/>
      <c r="C776" s="59"/>
      <c r="D776" s="59"/>
      <c r="E776" s="59"/>
      <c r="F776" s="59"/>
    </row>
    <row r="777" ht="12.75" customHeight="1">
      <c r="A777" s="25"/>
      <c r="B777" s="59"/>
      <c r="C777" s="59"/>
      <c r="D777" s="59"/>
      <c r="E777" s="59"/>
      <c r="F777" s="59"/>
    </row>
    <row r="778" ht="12.75" customHeight="1">
      <c r="A778" s="25"/>
      <c r="B778" s="59"/>
      <c r="C778" s="59"/>
      <c r="D778" s="59"/>
      <c r="E778" s="59"/>
      <c r="F778" s="59"/>
    </row>
    <row r="779" ht="12.75" customHeight="1">
      <c r="A779" s="25"/>
      <c r="B779" s="59"/>
      <c r="C779" s="59"/>
      <c r="D779" s="59"/>
      <c r="E779" s="59"/>
      <c r="F779" s="59"/>
    </row>
    <row r="780" ht="12.75" customHeight="1">
      <c r="A780" s="25"/>
      <c r="B780" s="59"/>
      <c r="C780" s="59"/>
      <c r="D780" s="59"/>
      <c r="E780" s="59"/>
      <c r="F780" s="59"/>
    </row>
    <row r="781" ht="12.75" customHeight="1">
      <c r="A781" s="25"/>
      <c r="B781" s="59"/>
      <c r="C781" s="59"/>
      <c r="D781" s="59"/>
      <c r="E781" s="59"/>
      <c r="F781" s="59"/>
    </row>
    <row r="782" ht="12.75" customHeight="1">
      <c r="A782" s="25"/>
      <c r="B782" s="59"/>
      <c r="C782" s="59"/>
      <c r="D782" s="59"/>
      <c r="E782" s="59"/>
      <c r="F782" s="59"/>
    </row>
    <row r="783" ht="12.75" customHeight="1">
      <c r="A783" s="25"/>
      <c r="B783" s="59"/>
      <c r="C783" s="59"/>
      <c r="D783" s="59"/>
      <c r="E783" s="59"/>
      <c r="F783" s="59"/>
    </row>
    <row r="784" ht="12.75" customHeight="1">
      <c r="A784" s="25"/>
      <c r="B784" s="59"/>
      <c r="C784" s="59"/>
      <c r="D784" s="59"/>
      <c r="E784" s="59"/>
      <c r="F784" s="59"/>
    </row>
    <row r="785" ht="12.75" customHeight="1">
      <c r="A785" s="25"/>
      <c r="B785" s="59"/>
      <c r="C785" s="59"/>
      <c r="D785" s="59"/>
      <c r="E785" s="59"/>
      <c r="F785" s="59"/>
    </row>
    <row r="786" ht="12.75" customHeight="1">
      <c r="A786" s="25"/>
      <c r="B786" s="59"/>
      <c r="C786" s="59"/>
      <c r="D786" s="59"/>
      <c r="E786" s="59"/>
      <c r="F786" s="59"/>
    </row>
    <row r="787" ht="12.75" customHeight="1">
      <c r="A787" s="25"/>
      <c r="B787" s="59"/>
      <c r="C787" s="59"/>
      <c r="D787" s="59"/>
      <c r="E787" s="59"/>
      <c r="F787" s="59"/>
    </row>
    <row r="788" ht="12.75" customHeight="1">
      <c r="A788" s="25"/>
      <c r="B788" s="59"/>
      <c r="C788" s="59"/>
      <c r="D788" s="59"/>
      <c r="E788" s="59"/>
      <c r="F788" s="59"/>
    </row>
    <row r="789" ht="12.75" customHeight="1">
      <c r="A789" s="25"/>
      <c r="B789" s="59"/>
      <c r="C789" s="59"/>
      <c r="D789" s="59"/>
      <c r="E789" s="59"/>
      <c r="F789" s="59"/>
    </row>
    <row r="790" ht="12.75" customHeight="1">
      <c r="A790" s="25"/>
      <c r="B790" s="59"/>
      <c r="C790" s="59"/>
      <c r="D790" s="59"/>
      <c r="E790" s="59"/>
      <c r="F790" s="59"/>
    </row>
    <row r="791" ht="12.75" customHeight="1">
      <c r="A791" s="25"/>
      <c r="B791" s="59"/>
      <c r="C791" s="59"/>
      <c r="D791" s="59"/>
      <c r="E791" s="59"/>
      <c r="F791" s="59"/>
    </row>
    <row r="792" ht="12.75" customHeight="1">
      <c r="A792" s="25"/>
      <c r="B792" s="59"/>
      <c r="C792" s="59"/>
      <c r="D792" s="59"/>
      <c r="E792" s="59"/>
      <c r="F792" s="59"/>
    </row>
    <row r="793" ht="12.75" customHeight="1">
      <c r="A793" s="25"/>
      <c r="B793" s="59"/>
      <c r="C793" s="59"/>
      <c r="D793" s="59"/>
      <c r="E793" s="59"/>
      <c r="F793" s="59"/>
    </row>
    <row r="794" ht="12.75" customHeight="1">
      <c r="A794" s="25"/>
      <c r="B794" s="59"/>
      <c r="C794" s="59"/>
      <c r="D794" s="59"/>
      <c r="E794" s="59"/>
      <c r="F794" s="59"/>
    </row>
    <row r="795" ht="12.75" customHeight="1">
      <c r="A795" s="25"/>
      <c r="B795" s="59"/>
      <c r="C795" s="59"/>
      <c r="D795" s="59"/>
      <c r="E795" s="59"/>
      <c r="F795" s="59"/>
    </row>
    <row r="796" ht="12.75" customHeight="1">
      <c r="A796" s="25"/>
      <c r="B796" s="59"/>
      <c r="C796" s="59"/>
      <c r="D796" s="59"/>
      <c r="E796" s="59"/>
      <c r="F796" s="59"/>
    </row>
    <row r="797" ht="12.75" customHeight="1">
      <c r="A797" s="25"/>
      <c r="B797" s="59"/>
      <c r="C797" s="59"/>
      <c r="D797" s="59"/>
      <c r="E797" s="59"/>
      <c r="F797" s="59"/>
    </row>
    <row r="798" ht="12.75" customHeight="1">
      <c r="A798" s="25"/>
      <c r="B798" s="59"/>
      <c r="C798" s="59"/>
      <c r="D798" s="59"/>
      <c r="E798" s="59"/>
      <c r="F798" s="59"/>
    </row>
    <row r="799" ht="12.75" customHeight="1">
      <c r="A799" s="25"/>
      <c r="B799" s="59"/>
      <c r="C799" s="59"/>
      <c r="D799" s="59"/>
      <c r="E799" s="59"/>
      <c r="F799" s="59"/>
    </row>
    <row r="800" ht="12.75" customHeight="1">
      <c r="A800" s="25"/>
      <c r="B800" s="59"/>
      <c r="C800" s="59"/>
      <c r="D800" s="59"/>
      <c r="E800" s="59"/>
      <c r="F800" s="59"/>
    </row>
    <row r="801" ht="12.75" customHeight="1">
      <c r="A801" s="25"/>
      <c r="B801" s="59"/>
      <c r="C801" s="59"/>
      <c r="D801" s="59"/>
      <c r="E801" s="59"/>
      <c r="F801" s="59"/>
    </row>
    <row r="802" ht="12.75" customHeight="1">
      <c r="A802" s="25"/>
      <c r="B802" s="59"/>
      <c r="C802" s="59"/>
      <c r="D802" s="59"/>
      <c r="E802" s="59"/>
      <c r="F802" s="59"/>
    </row>
    <row r="803" ht="12.75" customHeight="1">
      <c r="A803" s="25"/>
      <c r="B803" s="59"/>
      <c r="C803" s="59"/>
      <c r="D803" s="59"/>
      <c r="E803" s="59"/>
      <c r="F803" s="59"/>
    </row>
    <row r="804" ht="12.75" customHeight="1">
      <c r="A804" s="25"/>
      <c r="B804" s="59"/>
      <c r="C804" s="59"/>
      <c r="D804" s="59"/>
      <c r="E804" s="59"/>
      <c r="F804" s="59"/>
    </row>
    <row r="805" ht="12.75" customHeight="1">
      <c r="A805" s="25"/>
      <c r="B805" s="59"/>
      <c r="C805" s="59"/>
      <c r="D805" s="59"/>
      <c r="E805" s="59"/>
      <c r="F805" s="59"/>
    </row>
    <row r="806" ht="12.75" customHeight="1">
      <c r="A806" s="25"/>
      <c r="B806" s="59"/>
      <c r="C806" s="59"/>
      <c r="D806" s="59"/>
      <c r="E806" s="59"/>
      <c r="F806" s="59"/>
    </row>
    <row r="807" ht="12.75" customHeight="1">
      <c r="A807" s="25"/>
      <c r="B807" s="59"/>
      <c r="C807" s="59"/>
      <c r="D807" s="59"/>
      <c r="E807" s="59"/>
      <c r="F807" s="59"/>
    </row>
    <row r="808" ht="12.75" customHeight="1">
      <c r="A808" s="25"/>
      <c r="B808" s="59"/>
      <c r="C808" s="59"/>
      <c r="D808" s="59"/>
      <c r="E808" s="59"/>
      <c r="F808" s="59"/>
    </row>
    <row r="809" ht="12.75" customHeight="1">
      <c r="A809" s="25"/>
      <c r="B809" s="59"/>
      <c r="C809" s="59"/>
      <c r="D809" s="59"/>
      <c r="E809" s="59"/>
      <c r="F809" s="59"/>
    </row>
    <row r="810" ht="12.75" customHeight="1">
      <c r="A810" s="25"/>
      <c r="B810" s="59"/>
      <c r="C810" s="59"/>
      <c r="D810" s="59"/>
      <c r="E810" s="59"/>
      <c r="F810" s="59"/>
    </row>
    <row r="811" ht="12.75" customHeight="1">
      <c r="A811" s="25"/>
      <c r="B811" s="59"/>
      <c r="C811" s="59"/>
      <c r="D811" s="59"/>
      <c r="E811" s="59"/>
      <c r="F811" s="59"/>
    </row>
    <row r="812" ht="12.75" customHeight="1">
      <c r="A812" s="25"/>
      <c r="B812" s="59"/>
      <c r="C812" s="59"/>
      <c r="D812" s="59"/>
      <c r="E812" s="59"/>
      <c r="F812" s="59"/>
    </row>
    <row r="813" ht="12.75" customHeight="1">
      <c r="A813" s="25"/>
      <c r="B813" s="59"/>
      <c r="C813" s="59"/>
      <c r="D813" s="59"/>
      <c r="E813" s="59"/>
      <c r="F813" s="59"/>
    </row>
    <row r="814" ht="12.75" customHeight="1">
      <c r="A814" s="25"/>
      <c r="B814" s="59"/>
      <c r="C814" s="59"/>
      <c r="D814" s="59"/>
      <c r="E814" s="59"/>
      <c r="F814" s="59"/>
    </row>
    <row r="815" ht="12.75" customHeight="1">
      <c r="A815" s="25"/>
      <c r="B815" s="59"/>
      <c r="C815" s="59"/>
      <c r="D815" s="59"/>
      <c r="E815" s="59"/>
      <c r="F815" s="59"/>
    </row>
    <row r="816" ht="12.75" customHeight="1">
      <c r="A816" s="25"/>
      <c r="B816" s="59"/>
      <c r="C816" s="59"/>
      <c r="D816" s="59"/>
      <c r="E816" s="59"/>
      <c r="F816" s="59"/>
    </row>
    <row r="817" ht="12.75" customHeight="1">
      <c r="A817" s="25"/>
      <c r="B817" s="59"/>
      <c r="C817" s="59"/>
      <c r="D817" s="59"/>
      <c r="E817" s="59"/>
      <c r="F817" s="59"/>
    </row>
    <row r="818" ht="12.75" customHeight="1">
      <c r="A818" s="25"/>
      <c r="B818" s="59"/>
      <c r="C818" s="59"/>
      <c r="D818" s="59"/>
      <c r="E818" s="59"/>
      <c r="F818" s="59"/>
    </row>
    <row r="819" ht="12.75" customHeight="1">
      <c r="A819" s="25"/>
      <c r="B819" s="59"/>
      <c r="C819" s="59"/>
      <c r="D819" s="59"/>
      <c r="E819" s="59"/>
      <c r="F819" s="59"/>
    </row>
    <row r="820" ht="12.75" customHeight="1">
      <c r="A820" s="25"/>
      <c r="B820" s="59"/>
      <c r="C820" s="59"/>
      <c r="D820" s="59"/>
      <c r="E820" s="59"/>
      <c r="F820" s="59"/>
    </row>
    <row r="821" ht="12.75" customHeight="1">
      <c r="A821" s="25"/>
      <c r="B821" s="59"/>
      <c r="C821" s="59"/>
      <c r="D821" s="59"/>
      <c r="E821" s="59"/>
      <c r="F821" s="59"/>
    </row>
    <row r="822" ht="12.75" customHeight="1">
      <c r="A822" s="25"/>
      <c r="B822" s="59"/>
      <c r="C822" s="59"/>
      <c r="D822" s="59"/>
      <c r="E822" s="59"/>
      <c r="F822" s="59"/>
    </row>
    <row r="823" ht="12.75" customHeight="1">
      <c r="A823" s="25"/>
      <c r="B823" s="59"/>
      <c r="C823" s="59"/>
      <c r="D823" s="59"/>
      <c r="E823" s="59"/>
      <c r="F823" s="59"/>
    </row>
    <row r="824" ht="12.75" customHeight="1">
      <c r="A824" s="25"/>
      <c r="B824" s="59"/>
      <c r="C824" s="59"/>
      <c r="D824" s="59"/>
      <c r="E824" s="59"/>
      <c r="F824" s="59"/>
    </row>
    <row r="825" ht="12.75" customHeight="1">
      <c r="A825" s="25"/>
      <c r="B825" s="59"/>
      <c r="C825" s="59"/>
      <c r="D825" s="59"/>
      <c r="E825" s="59"/>
      <c r="F825" s="59"/>
    </row>
    <row r="826" ht="12.75" customHeight="1">
      <c r="A826" s="25"/>
      <c r="B826" s="59"/>
      <c r="C826" s="59"/>
      <c r="D826" s="59"/>
      <c r="E826" s="59"/>
      <c r="F826" s="59"/>
    </row>
    <row r="827" ht="12.75" customHeight="1">
      <c r="A827" s="25"/>
      <c r="B827" s="59"/>
      <c r="C827" s="59"/>
      <c r="D827" s="59"/>
      <c r="E827" s="59"/>
      <c r="F827" s="59"/>
    </row>
    <row r="828" ht="12.75" customHeight="1">
      <c r="A828" s="25"/>
      <c r="B828" s="59"/>
      <c r="C828" s="59"/>
      <c r="D828" s="59"/>
      <c r="E828" s="59"/>
      <c r="F828" s="59"/>
    </row>
    <row r="829" ht="12.75" customHeight="1">
      <c r="A829" s="25"/>
      <c r="B829" s="59"/>
      <c r="C829" s="59"/>
      <c r="D829" s="59"/>
      <c r="E829" s="59"/>
      <c r="F829" s="59"/>
    </row>
    <row r="830" ht="12.75" customHeight="1">
      <c r="A830" s="25"/>
      <c r="B830" s="59"/>
      <c r="C830" s="59"/>
      <c r="D830" s="59"/>
      <c r="E830" s="59"/>
      <c r="F830" s="59"/>
    </row>
    <row r="831" ht="12.75" customHeight="1">
      <c r="A831" s="25"/>
      <c r="B831" s="59"/>
      <c r="C831" s="59"/>
      <c r="D831" s="59"/>
      <c r="E831" s="59"/>
      <c r="F831" s="59"/>
    </row>
    <row r="832" ht="12.75" customHeight="1">
      <c r="A832" s="25"/>
      <c r="B832" s="59"/>
      <c r="C832" s="59"/>
      <c r="D832" s="59"/>
      <c r="E832" s="59"/>
      <c r="F832" s="59"/>
    </row>
    <row r="833" ht="12.75" customHeight="1">
      <c r="A833" s="25"/>
      <c r="B833" s="59"/>
      <c r="C833" s="59"/>
      <c r="D833" s="59"/>
      <c r="E833" s="59"/>
      <c r="F833" s="59"/>
    </row>
    <row r="834" ht="12.75" customHeight="1">
      <c r="A834" s="25"/>
      <c r="B834" s="59"/>
      <c r="C834" s="59"/>
      <c r="D834" s="59"/>
      <c r="E834" s="59"/>
      <c r="F834" s="59"/>
    </row>
    <row r="835" ht="12.75" customHeight="1">
      <c r="A835" s="25"/>
      <c r="B835" s="59"/>
      <c r="C835" s="59"/>
      <c r="D835" s="59"/>
      <c r="E835" s="59"/>
      <c r="F835" s="59"/>
    </row>
    <row r="836" ht="12.75" customHeight="1">
      <c r="A836" s="25"/>
      <c r="B836" s="59"/>
      <c r="C836" s="59"/>
      <c r="D836" s="59"/>
      <c r="E836" s="59"/>
      <c r="F836" s="59"/>
    </row>
    <row r="837" ht="12.75" customHeight="1">
      <c r="A837" s="25"/>
      <c r="B837" s="59"/>
      <c r="C837" s="59"/>
      <c r="D837" s="59"/>
      <c r="E837" s="59"/>
      <c r="F837" s="59"/>
    </row>
    <row r="838" ht="12.75" customHeight="1">
      <c r="A838" s="25"/>
      <c r="B838" s="59"/>
      <c r="C838" s="59"/>
      <c r="D838" s="59"/>
      <c r="E838" s="59"/>
      <c r="F838" s="59"/>
    </row>
    <row r="839" ht="12.75" customHeight="1">
      <c r="A839" s="25"/>
      <c r="B839" s="59"/>
      <c r="C839" s="59"/>
      <c r="D839" s="59"/>
      <c r="E839" s="59"/>
      <c r="F839" s="59"/>
    </row>
    <row r="840" ht="12.75" customHeight="1">
      <c r="A840" s="25"/>
      <c r="B840" s="59"/>
      <c r="C840" s="59"/>
      <c r="D840" s="59"/>
      <c r="E840" s="59"/>
      <c r="F840" s="59"/>
    </row>
    <row r="841" ht="12.75" customHeight="1">
      <c r="A841" s="25"/>
      <c r="B841" s="59"/>
      <c r="C841" s="59"/>
      <c r="D841" s="59"/>
      <c r="E841" s="59"/>
      <c r="F841" s="59"/>
    </row>
    <row r="842" ht="12.75" customHeight="1">
      <c r="A842" s="25"/>
      <c r="B842" s="59"/>
      <c r="C842" s="59"/>
      <c r="D842" s="59"/>
      <c r="E842" s="59"/>
      <c r="F842" s="59"/>
    </row>
    <row r="843" ht="12.75" customHeight="1">
      <c r="A843" s="25"/>
      <c r="B843" s="59"/>
      <c r="C843" s="59"/>
      <c r="D843" s="59"/>
      <c r="E843" s="59"/>
      <c r="F843" s="59"/>
    </row>
    <row r="844" ht="12.75" customHeight="1">
      <c r="A844" s="25"/>
      <c r="B844" s="59"/>
      <c r="C844" s="59"/>
      <c r="D844" s="59"/>
      <c r="E844" s="59"/>
      <c r="F844" s="59"/>
    </row>
    <row r="845" ht="12.75" customHeight="1">
      <c r="A845" s="25"/>
      <c r="B845" s="59"/>
      <c r="C845" s="59"/>
      <c r="D845" s="59"/>
      <c r="E845" s="59"/>
      <c r="F845" s="59"/>
    </row>
    <row r="846" ht="12.75" customHeight="1">
      <c r="A846" s="25"/>
      <c r="B846" s="59"/>
      <c r="C846" s="59"/>
      <c r="D846" s="59"/>
      <c r="E846" s="59"/>
      <c r="F846" s="59"/>
    </row>
    <row r="847" ht="12.75" customHeight="1">
      <c r="A847" s="25"/>
      <c r="B847" s="59"/>
      <c r="C847" s="59"/>
      <c r="D847" s="59"/>
      <c r="E847" s="59"/>
      <c r="F847" s="59"/>
    </row>
    <row r="848" ht="12.75" customHeight="1">
      <c r="A848" s="25"/>
      <c r="B848" s="59"/>
      <c r="C848" s="59"/>
      <c r="D848" s="59"/>
      <c r="E848" s="59"/>
      <c r="F848" s="59"/>
    </row>
    <row r="849" ht="12.75" customHeight="1">
      <c r="A849" s="25"/>
      <c r="B849" s="59"/>
      <c r="C849" s="59"/>
      <c r="D849" s="59"/>
      <c r="E849" s="59"/>
      <c r="F849" s="59"/>
    </row>
    <row r="850" ht="12.75" customHeight="1">
      <c r="A850" s="25"/>
      <c r="B850" s="59"/>
      <c r="C850" s="59"/>
      <c r="D850" s="59"/>
      <c r="E850" s="59"/>
      <c r="F850" s="59"/>
    </row>
    <row r="851" ht="12.75" customHeight="1">
      <c r="A851" s="25"/>
      <c r="B851" s="59"/>
      <c r="C851" s="59"/>
      <c r="D851" s="59"/>
      <c r="E851" s="59"/>
      <c r="F851" s="59"/>
    </row>
    <row r="852" ht="12.75" customHeight="1">
      <c r="A852" s="25"/>
      <c r="B852" s="59"/>
      <c r="C852" s="59"/>
      <c r="D852" s="59"/>
      <c r="E852" s="59"/>
      <c r="F852" s="59"/>
    </row>
    <row r="853" ht="12.75" customHeight="1">
      <c r="A853" s="25"/>
      <c r="B853" s="59"/>
      <c r="C853" s="59"/>
      <c r="D853" s="59"/>
      <c r="E853" s="59"/>
      <c r="F853" s="59"/>
    </row>
    <row r="854" ht="12.75" customHeight="1">
      <c r="A854" s="25"/>
      <c r="B854" s="59"/>
      <c r="C854" s="59"/>
      <c r="D854" s="59"/>
      <c r="E854" s="59"/>
      <c r="F854" s="59"/>
    </row>
    <row r="855" ht="12.75" customHeight="1">
      <c r="A855" s="25"/>
      <c r="B855" s="59"/>
      <c r="C855" s="59"/>
      <c r="D855" s="59"/>
      <c r="E855" s="59"/>
      <c r="F855" s="59"/>
    </row>
    <row r="856" ht="12.75" customHeight="1">
      <c r="A856" s="25"/>
      <c r="B856" s="59"/>
      <c r="C856" s="59"/>
      <c r="D856" s="59"/>
      <c r="E856" s="59"/>
      <c r="F856" s="59"/>
    </row>
    <row r="857" ht="12.75" customHeight="1">
      <c r="A857" s="25"/>
      <c r="B857" s="59"/>
      <c r="C857" s="59"/>
      <c r="D857" s="59"/>
      <c r="E857" s="59"/>
      <c r="F857" s="59"/>
    </row>
    <row r="858" ht="12.75" customHeight="1">
      <c r="A858" s="25"/>
      <c r="B858" s="59"/>
      <c r="C858" s="59"/>
      <c r="D858" s="59"/>
      <c r="E858" s="59"/>
      <c r="F858" s="59"/>
    </row>
    <row r="859" ht="12.75" customHeight="1">
      <c r="A859" s="25"/>
      <c r="B859" s="59"/>
      <c r="C859" s="59"/>
      <c r="D859" s="59"/>
      <c r="E859" s="59"/>
      <c r="F859" s="59"/>
    </row>
    <row r="860" ht="12.75" customHeight="1">
      <c r="A860" s="25"/>
      <c r="B860" s="59"/>
      <c r="C860" s="59"/>
      <c r="D860" s="59"/>
      <c r="E860" s="59"/>
      <c r="F860" s="59"/>
    </row>
    <row r="861" ht="12.75" customHeight="1">
      <c r="A861" s="25"/>
      <c r="B861" s="59"/>
      <c r="C861" s="59"/>
      <c r="D861" s="59"/>
      <c r="E861" s="59"/>
      <c r="F861" s="59"/>
    </row>
    <row r="862" ht="12.75" customHeight="1">
      <c r="A862" s="25"/>
      <c r="B862" s="59"/>
      <c r="C862" s="59"/>
      <c r="D862" s="59"/>
      <c r="E862" s="59"/>
      <c r="F862" s="59"/>
    </row>
    <row r="863" ht="12.75" customHeight="1">
      <c r="A863" s="25"/>
      <c r="B863" s="59"/>
      <c r="C863" s="59"/>
      <c r="D863" s="59"/>
      <c r="E863" s="59"/>
      <c r="F863" s="59"/>
    </row>
    <row r="864" ht="12.75" customHeight="1">
      <c r="A864" s="25"/>
      <c r="B864" s="59"/>
      <c r="C864" s="59"/>
      <c r="D864" s="59"/>
      <c r="E864" s="59"/>
      <c r="F864" s="59"/>
    </row>
    <row r="865" ht="12.75" customHeight="1">
      <c r="A865" s="25"/>
      <c r="B865" s="59"/>
      <c r="C865" s="59"/>
      <c r="D865" s="59"/>
      <c r="E865" s="59"/>
      <c r="F865" s="59"/>
    </row>
    <row r="866" ht="12.75" customHeight="1">
      <c r="A866" s="25"/>
      <c r="B866" s="59"/>
      <c r="C866" s="59"/>
      <c r="D866" s="59"/>
      <c r="E866" s="59"/>
      <c r="F866" s="59"/>
    </row>
    <row r="867" ht="12.75" customHeight="1">
      <c r="A867" s="25"/>
      <c r="B867" s="59"/>
      <c r="C867" s="59"/>
      <c r="D867" s="59"/>
      <c r="E867" s="59"/>
      <c r="F867" s="59"/>
    </row>
    <row r="868" ht="12.75" customHeight="1">
      <c r="A868" s="25"/>
      <c r="B868" s="59"/>
      <c r="C868" s="59"/>
      <c r="D868" s="59"/>
      <c r="E868" s="59"/>
      <c r="F868" s="59"/>
    </row>
    <row r="869" ht="12.75" customHeight="1">
      <c r="A869" s="25"/>
      <c r="B869" s="59"/>
      <c r="C869" s="59"/>
      <c r="D869" s="59"/>
      <c r="E869" s="59"/>
      <c r="F869" s="59"/>
    </row>
    <row r="870" ht="12.75" customHeight="1">
      <c r="A870" s="25"/>
      <c r="B870" s="59"/>
      <c r="C870" s="59"/>
      <c r="D870" s="59"/>
      <c r="E870" s="59"/>
      <c r="F870" s="59"/>
    </row>
    <row r="871" ht="12.75" customHeight="1">
      <c r="A871" s="25"/>
      <c r="B871" s="59"/>
      <c r="C871" s="59"/>
      <c r="D871" s="59"/>
      <c r="E871" s="59"/>
      <c r="F871" s="59"/>
    </row>
    <row r="872" ht="12.75" customHeight="1">
      <c r="A872" s="25"/>
      <c r="B872" s="59"/>
      <c r="C872" s="59"/>
      <c r="D872" s="59"/>
      <c r="E872" s="59"/>
      <c r="F872" s="59"/>
    </row>
    <row r="873" ht="12.75" customHeight="1">
      <c r="A873" s="25"/>
      <c r="B873" s="59"/>
      <c r="C873" s="59"/>
      <c r="D873" s="59"/>
      <c r="E873" s="59"/>
      <c r="F873" s="59"/>
    </row>
    <row r="874" ht="12.75" customHeight="1">
      <c r="A874" s="25"/>
      <c r="B874" s="59"/>
      <c r="C874" s="59"/>
      <c r="D874" s="59"/>
      <c r="E874" s="59"/>
      <c r="F874" s="59"/>
    </row>
    <row r="875" ht="12.75" customHeight="1">
      <c r="A875" s="25"/>
      <c r="B875" s="59"/>
      <c r="C875" s="59"/>
      <c r="D875" s="59"/>
      <c r="E875" s="59"/>
      <c r="F875" s="59"/>
    </row>
    <row r="876" ht="12.75" customHeight="1">
      <c r="A876" s="25"/>
      <c r="B876" s="59"/>
      <c r="C876" s="59"/>
      <c r="D876" s="59"/>
      <c r="E876" s="59"/>
      <c r="F876" s="59"/>
    </row>
    <row r="877" ht="12.75" customHeight="1">
      <c r="A877" s="25"/>
      <c r="B877" s="59"/>
      <c r="C877" s="59"/>
      <c r="D877" s="59"/>
      <c r="E877" s="59"/>
      <c r="F877" s="59"/>
    </row>
    <row r="878" ht="12.75" customHeight="1">
      <c r="A878" s="25"/>
      <c r="B878" s="59"/>
      <c r="C878" s="59"/>
      <c r="D878" s="59"/>
      <c r="E878" s="59"/>
      <c r="F878" s="59"/>
    </row>
    <row r="879" ht="12.75" customHeight="1">
      <c r="A879" s="25"/>
      <c r="B879" s="59"/>
      <c r="C879" s="59"/>
      <c r="D879" s="59"/>
      <c r="E879" s="59"/>
      <c r="F879" s="59"/>
    </row>
    <row r="880" ht="12.75" customHeight="1">
      <c r="A880" s="25"/>
      <c r="B880" s="59"/>
      <c r="C880" s="59"/>
      <c r="D880" s="59"/>
      <c r="E880" s="59"/>
      <c r="F880" s="59"/>
    </row>
    <row r="881" ht="12.75" customHeight="1">
      <c r="A881" s="25"/>
      <c r="B881" s="59"/>
      <c r="C881" s="59"/>
      <c r="D881" s="59"/>
      <c r="E881" s="59"/>
      <c r="F881" s="59"/>
    </row>
    <row r="882" ht="12.75" customHeight="1">
      <c r="A882" s="25"/>
      <c r="B882" s="59"/>
      <c r="C882" s="59"/>
      <c r="D882" s="59"/>
      <c r="E882" s="59"/>
      <c r="F882" s="59"/>
    </row>
    <row r="883" ht="12.75" customHeight="1">
      <c r="A883" s="25"/>
      <c r="B883" s="59"/>
      <c r="C883" s="59"/>
      <c r="D883" s="59"/>
      <c r="E883" s="59"/>
      <c r="F883" s="59"/>
    </row>
    <row r="884" ht="12.75" customHeight="1">
      <c r="A884" s="25"/>
      <c r="B884" s="59"/>
      <c r="C884" s="59"/>
      <c r="D884" s="59"/>
      <c r="E884" s="59"/>
      <c r="F884" s="59"/>
    </row>
    <row r="885" ht="12.75" customHeight="1">
      <c r="A885" s="25"/>
      <c r="B885" s="59"/>
      <c r="C885" s="59"/>
      <c r="D885" s="59"/>
      <c r="E885" s="59"/>
      <c r="F885" s="59"/>
    </row>
    <row r="886" ht="12.75" customHeight="1">
      <c r="A886" s="25"/>
      <c r="B886" s="59"/>
      <c r="C886" s="59"/>
      <c r="D886" s="59"/>
      <c r="E886" s="59"/>
      <c r="F886" s="59"/>
    </row>
    <row r="887" ht="12.75" customHeight="1">
      <c r="A887" s="25"/>
      <c r="B887" s="59"/>
      <c r="C887" s="59"/>
      <c r="D887" s="59"/>
      <c r="E887" s="59"/>
      <c r="F887" s="59"/>
    </row>
    <row r="888" ht="12.75" customHeight="1">
      <c r="A888" s="25"/>
      <c r="B888" s="59"/>
      <c r="C888" s="59"/>
      <c r="D888" s="59"/>
      <c r="E888" s="59"/>
      <c r="F888" s="59"/>
    </row>
    <row r="889" ht="12.75" customHeight="1">
      <c r="A889" s="25"/>
      <c r="B889" s="59"/>
      <c r="C889" s="59"/>
      <c r="D889" s="59"/>
      <c r="E889" s="59"/>
      <c r="F889" s="59"/>
    </row>
    <row r="890" ht="12.75" customHeight="1">
      <c r="A890" s="25"/>
      <c r="B890" s="59"/>
      <c r="C890" s="59"/>
      <c r="D890" s="59"/>
      <c r="E890" s="59"/>
      <c r="F890" s="59"/>
    </row>
    <row r="891" ht="12.75" customHeight="1">
      <c r="A891" s="25"/>
      <c r="B891" s="59"/>
      <c r="C891" s="59"/>
      <c r="D891" s="59"/>
      <c r="E891" s="59"/>
      <c r="F891" s="59"/>
    </row>
    <row r="892" ht="12.75" customHeight="1">
      <c r="A892" s="25"/>
      <c r="B892" s="59"/>
      <c r="C892" s="59"/>
      <c r="D892" s="59"/>
      <c r="E892" s="59"/>
      <c r="F892" s="59"/>
    </row>
    <row r="893" ht="12.75" customHeight="1">
      <c r="A893" s="25"/>
      <c r="B893" s="59"/>
      <c r="C893" s="59"/>
      <c r="D893" s="59"/>
      <c r="E893" s="59"/>
      <c r="F893" s="59"/>
    </row>
    <row r="894" ht="12.75" customHeight="1">
      <c r="A894" s="25"/>
      <c r="B894" s="59"/>
      <c r="C894" s="59"/>
      <c r="D894" s="59"/>
      <c r="E894" s="59"/>
      <c r="F894" s="59"/>
    </row>
    <row r="895" ht="12.75" customHeight="1">
      <c r="A895" s="25"/>
      <c r="B895" s="59"/>
      <c r="C895" s="59"/>
      <c r="D895" s="59"/>
      <c r="E895" s="59"/>
      <c r="F895" s="59"/>
    </row>
    <row r="896" ht="12.75" customHeight="1">
      <c r="A896" s="25"/>
      <c r="B896" s="59"/>
      <c r="C896" s="59"/>
      <c r="D896" s="59"/>
      <c r="E896" s="59"/>
      <c r="F896" s="59"/>
    </row>
    <row r="897" ht="12.75" customHeight="1">
      <c r="A897" s="25"/>
      <c r="B897" s="59"/>
      <c r="C897" s="59"/>
      <c r="D897" s="59"/>
      <c r="E897" s="59"/>
      <c r="F897" s="59"/>
    </row>
    <row r="898" ht="12.75" customHeight="1">
      <c r="A898" s="25"/>
      <c r="B898" s="59"/>
      <c r="C898" s="59"/>
      <c r="D898" s="59"/>
      <c r="E898" s="59"/>
      <c r="F898" s="59"/>
    </row>
    <row r="899" ht="12.75" customHeight="1">
      <c r="A899" s="25"/>
      <c r="B899" s="59"/>
      <c r="C899" s="59"/>
      <c r="D899" s="59"/>
      <c r="E899" s="59"/>
      <c r="F899" s="59"/>
    </row>
    <row r="900" ht="12.75" customHeight="1">
      <c r="A900" s="25"/>
      <c r="B900" s="59"/>
      <c r="C900" s="59"/>
      <c r="D900" s="59"/>
      <c r="E900" s="59"/>
      <c r="F900" s="59"/>
    </row>
    <row r="901" ht="12.75" customHeight="1">
      <c r="A901" s="25"/>
      <c r="B901" s="59"/>
      <c r="C901" s="59"/>
      <c r="D901" s="59"/>
      <c r="E901" s="59"/>
      <c r="F901" s="59"/>
    </row>
    <row r="902" ht="12.75" customHeight="1">
      <c r="A902" s="25"/>
      <c r="B902" s="59"/>
      <c r="C902" s="59"/>
      <c r="D902" s="59"/>
      <c r="E902" s="59"/>
      <c r="F902" s="59"/>
    </row>
    <row r="903" ht="12.75" customHeight="1">
      <c r="A903" s="25"/>
      <c r="B903" s="59"/>
      <c r="C903" s="59"/>
      <c r="D903" s="59"/>
      <c r="E903" s="59"/>
      <c r="F903" s="59"/>
    </row>
    <row r="904" ht="12.75" customHeight="1">
      <c r="A904" s="25"/>
      <c r="B904" s="59"/>
      <c r="C904" s="59"/>
      <c r="D904" s="59"/>
      <c r="E904" s="59"/>
      <c r="F904" s="59"/>
    </row>
    <row r="905" ht="12.75" customHeight="1">
      <c r="A905" s="25"/>
      <c r="B905" s="59"/>
      <c r="C905" s="59"/>
      <c r="D905" s="59"/>
      <c r="E905" s="59"/>
      <c r="F905" s="59"/>
    </row>
    <row r="906" ht="12.75" customHeight="1">
      <c r="A906" s="25"/>
      <c r="B906" s="59"/>
      <c r="C906" s="59"/>
      <c r="D906" s="59"/>
      <c r="E906" s="59"/>
      <c r="F906" s="59"/>
    </row>
    <row r="907" ht="12.75" customHeight="1">
      <c r="A907" s="25"/>
      <c r="B907" s="59"/>
      <c r="C907" s="59"/>
      <c r="D907" s="59"/>
      <c r="E907" s="59"/>
      <c r="F907" s="59"/>
    </row>
    <row r="908" ht="12.75" customHeight="1">
      <c r="A908" s="25"/>
      <c r="B908" s="59"/>
      <c r="C908" s="59"/>
      <c r="D908" s="59"/>
      <c r="E908" s="59"/>
      <c r="F908" s="59"/>
    </row>
    <row r="909" ht="12.75" customHeight="1">
      <c r="A909" s="25"/>
      <c r="B909" s="59"/>
      <c r="C909" s="59"/>
      <c r="D909" s="59"/>
      <c r="E909" s="59"/>
      <c r="F909" s="59"/>
    </row>
    <row r="910" ht="12.75" customHeight="1">
      <c r="A910" s="25"/>
      <c r="B910" s="59"/>
      <c r="C910" s="59"/>
      <c r="D910" s="59"/>
      <c r="E910" s="59"/>
      <c r="F910" s="59"/>
    </row>
    <row r="911" ht="12.75" customHeight="1">
      <c r="A911" s="25"/>
      <c r="B911" s="59"/>
      <c r="C911" s="59"/>
      <c r="D911" s="59"/>
      <c r="E911" s="59"/>
      <c r="F911" s="59"/>
    </row>
    <row r="912" ht="12.75" customHeight="1">
      <c r="A912" s="25"/>
      <c r="B912" s="59"/>
      <c r="C912" s="59"/>
      <c r="D912" s="59"/>
      <c r="E912" s="59"/>
      <c r="F912" s="59"/>
    </row>
    <row r="913" ht="12.75" customHeight="1">
      <c r="A913" s="25"/>
      <c r="B913" s="59"/>
      <c r="C913" s="59"/>
      <c r="D913" s="59"/>
      <c r="E913" s="59"/>
      <c r="F913" s="59"/>
    </row>
    <row r="914" ht="12.75" customHeight="1">
      <c r="A914" s="25"/>
      <c r="B914" s="59"/>
      <c r="C914" s="59"/>
      <c r="D914" s="59"/>
      <c r="E914" s="59"/>
      <c r="F914" s="59"/>
    </row>
    <row r="915" ht="12.75" customHeight="1">
      <c r="A915" s="25"/>
      <c r="B915" s="59"/>
      <c r="C915" s="59"/>
      <c r="D915" s="59"/>
      <c r="E915" s="59"/>
      <c r="F915" s="59"/>
    </row>
    <row r="916" ht="12.75" customHeight="1">
      <c r="A916" s="25"/>
      <c r="B916" s="59"/>
      <c r="C916" s="59"/>
      <c r="D916" s="59"/>
      <c r="E916" s="59"/>
      <c r="F916" s="59"/>
    </row>
    <row r="917" ht="12.75" customHeight="1">
      <c r="A917" s="25"/>
      <c r="B917" s="59"/>
      <c r="C917" s="59"/>
      <c r="D917" s="59"/>
      <c r="E917" s="59"/>
      <c r="F917" s="59"/>
    </row>
    <row r="918" ht="12.75" customHeight="1">
      <c r="A918" s="25"/>
      <c r="B918" s="59"/>
      <c r="C918" s="59"/>
      <c r="D918" s="59"/>
      <c r="E918" s="59"/>
      <c r="F918" s="59"/>
    </row>
    <row r="919" ht="12.75" customHeight="1">
      <c r="A919" s="25"/>
      <c r="B919" s="59"/>
      <c r="C919" s="59"/>
      <c r="D919" s="59"/>
      <c r="E919" s="59"/>
      <c r="F919" s="59"/>
    </row>
    <row r="920" ht="12.75" customHeight="1">
      <c r="A920" s="25"/>
      <c r="B920" s="59"/>
      <c r="C920" s="59"/>
      <c r="D920" s="59"/>
      <c r="E920" s="59"/>
      <c r="F920" s="59"/>
    </row>
    <row r="921" ht="12.75" customHeight="1">
      <c r="A921" s="25"/>
      <c r="B921" s="59"/>
      <c r="C921" s="59"/>
      <c r="D921" s="59"/>
      <c r="E921" s="59"/>
      <c r="F921" s="59"/>
    </row>
    <row r="922" ht="12.75" customHeight="1">
      <c r="A922" s="25"/>
      <c r="B922" s="59"/>
      <c r="C922" s="59"/>
      <c r="D922" s="59"/>
      <c r="E922" s="59"/>
      <c r="F922" s="59"/>
    </row>
    <row r="923" ht="12.75" customHeight="1">
      <c r="A923" s="25"/>
      <c r="B923" s="59"/>
      <c r="C923" s="59"/>
      <c r="D923" s="59"/>
      <c r="E923" s="59"/>
      <c r="F923" s="59"/>
    </row>
    <row r="924" ht="12.75" customHeight="1">
      <c r="A924" s="25"/>
      <c r="B924" s="59"/>
      <c r="C924" s="59"/>
      <c r="D924" s="59"/>
      <c r="E924" s="59"/>
      <c r="F924" s="59"/>
    </row>
    <row r="925" ht="12.75" customHeight="1">
      <c r="A925" s="25"/>
      <c r="B925" s="59"/>
      <c r="C925" s="59"/>
      <c r="D925" s="59"/>
      <c r="E925" s="59"/>
      <c r="F925" s="59"/>
    </row>
    <row r="926" ht="12.75" customHeight="1">
      <c r="A926" s="25"/>
      <c r="B926" s="59"/>
      <c r="C926" s="59"/>
      <c r="D926" s="59"/>
      <c r="E926" s="59"/>
      <c r="F926" s="59"/>
    </row>
    <row r="927" ht="12.75" customHeight="1">
      <c r="A927" s="25"/>
      <c r="B927" s="59"/>
      <c r="C927" s="59"/>
      <c r="D927" s="59"/>
      <c r="E927" s="59"/>
      <c r="F927" s="59"/>
    </row>
    <row r="928" ht="12.75" customHeight="1">
      <c r="A928" s="25"/>
      <c r="B928" s="59"/>
      <c r="C928" s="59"/>
      <c r="D928" s="59"/>
      <c r="E928" s="59"/>
      <c r="F928" s="59"/>
    </row>
    <row r="929" ht="12.75" customHeight="1">
      <c r="A929" s="25"/>
      <c r="B929" s="59"/>
      <c r="C929" s="59"/>
      <c r="D929" s="59"/>
      <c r="E929" s="59"/>
      <c r="F929" s="59"/>
    </row>
    <row r="930" ht="12.75" customHeight="1">
      <c r="A930" s="25"/>
      <c r="B930" s="59"/>
      <c r="C930" s="59"/>
      <c r="D930" s="59"/>
      <c r="E930" s="59"/>
      <c r="F930" s="59"/>
    </row>
    <row r="931" ht="12.75" customHeight="1">
      <c r="A931" s="25"/>
      <c r="B931" s="59"/>
      <c r="C931" s="59"/>
      <c r="D931" s="59"/>
      <c r="E931" s="59"/>
      <c r="F931" s="59"/>
    </row>
    <row r="932" ht="12.75" customHeight="1">
      <c r="A932" s="25"/>
      <c r="B932" s="59"/>
      <c r="C932" s="59"/>
      <c r="D932" s="59"/>
      <c r="E932" s="59"/>
      <c r="F932" s="59"/>
    </row>
    <row r="933" ht="12.75" customHeight="1">
      <c r="A933" s="25"/>
      <c r="B933" s="59"/>
      <c r="C933" s="59"/>
      <c r="D933" s="59"/>
      <c r="E933" s="59"/>
      <c r="F933" s="59"/>
    </row>
    <row r="934" ht="12.75" customHeight="1">
      <c r="A934" s="25"/>
      <c r="B934" s="59"/>
      <c r="C934" s="59"/>
      <c r="D934" s="59"/>
      <c r="E934" s="59"/>
      <c r="F934" s="59"/>
    </row>
    <row r="935" ht="12.75" customHeight="1">
      <c r="A935" s="25"/>
      <c r="B935" s="59"/>
      <c r="C935" s="59"/>
      <c r="D935" s="59"/>
      <c r="E935" s="59"/>
      <c r="F935" s="59"/>
    </row>
    <row r="936" ht="12.75" customHeight="1">
      <c r="A936" s="25"/>
      <c r="B936" s="59"/>
      <c r="C936" s="59"/>
      <c r="D936" s="59"/>
      <c r="E936" s="59"/>
      <c r="F936" s="59"/>
    </row>
    <row r="937" ht="12.75" customHeight="1">
      <c r="A937" s="25"/>
      <c r="B937" s="59"/>
      <c r="C937" s="59"/>
      <c r="D937" s="59"/>
      <c r="E937" s="59"/>
      <c r="F937" s="59"/>
    </row>
    <row r="938" ht="12.75" customHeight="1">
      <c r="A938" s="25"/>
      <c r="B938" s="59"/>
      <c r="C938" s="59"/>
      <c r="D938" s="59"/>
      <c r="E938" s="59"/>
      <c r="F938" s="59"/>
    </row>
    <row r="939" ht="12.75" customHeight="1">
      <c r="A939" s="25"/>
      <c r="B939" s="59"/>
      <c r="C939" s="59"/>
      <c r="D939" s="59"/>
      <c r="E939" s="59"/>
      <c r="F939" s="59"/>
    </row>
    <row r="940" ht="12.75" customHeight="1">
      <c r="A940" s="25"/>
      <c r="B940" s="59"/>
      <c r="C940" s="59"/>
      <c r="D940" s="59"/>
      <c r="E940" s="59"/>
      <c r="F940" s="59"/>
    </row>
    <row r="941" ht="12.75" customHeight="1">
      <c r="A941" s="25"/>
      <c r="B941" s="59"/>
      <c r="C941" s="59"/>
      <c r="D941" s="59"/>
      <c r="E941" s="59"/>
      <c r="F941" s="59"/>
    </row>
    <row r="942" ht="12.75" customHeight="1">
      <c r="A942" s="25"/>
      <c r="B942" s="59"/>
      <c r="C942" s="59"/>
      <c r="D942" s="59"/>
      <c r="E942" s="59"/>
      <c r="F942" s="59"/>
    </row>
    <row r="943" ht="12.75" customHeight="1">
      <c r="A943" s="25"/>
      <c r="B943" s="59"/>
      <c r="C943" s="59"/>
      <c r="D943" s="59"/>
      <c r="E943" s="59"/>
      <c r="F943" s="59"/>
    </row>
    <row r="944" ht="12.75" customHeight="1">
      <c r="A944" s="25"/>
      <c r="B944" s="59"/>
      <c r="C944" s="59"/>
      <c r="D944" s="59"/>
      <c r="E944" s="59"/>
      <c r="F944" s="59"/>
    </row>
    <row r="945" ht="12.75" customHeight="1">
      <c r="A945" s="25"/>
      <c r="B945" s="59"/>
      <c r="C945" s="59"/>
      <c r="D945" s="59"/>
      <c r="E945" s="59"/>
      <c r="F945" s="59"/>
    </row>
    <row r="946" ht="12.75" customHeight="1">
      <c r="A946" s="25"/>
      <c r="B946" s="59"/>
      <c r="C946" s="59"/>
      <c r="D946" s="59"/>
      <c r="E946" s="59"/>
      <c r="F946" s="59"/>
    </row>
    <row r="947" ht="12.75" customHeight="1">
      <c r="A947" s="25"/>
      <c r="B947" s="59"/>
      <c r="C947" s="59"/>
      <c r="D947" s="59"/>
      <c r="E947" s="59"/>
      <c r="F947" s="59"/>
    </row>
    <row r="948" ht="12.75" customHeight="1">
      <c r="A948" s="25"/>
      <c r="B948" s="59"/>
      <c r="C948" s="59"/>
      <c r="D948" s="59"/>
      <c r="E948" s="59"/>
      <c r="F948" s="59"/>
    </row>
    <row r="949" ht="12.75" customHeight="1">
      <c r="A949" s="25"/>
      <c r="B949" s="59"/>
      <c r="C949" s="59"/>
      <c r="D949" s="59"/>
      <c r="E949" s="59"/>
      <c r="F949" s="59"/>
    </row>
    <row r="950" ht="12.75" customHeight="1">
      <c r="A950" s="25"/>
      <c r="B950" s="59"/>
      <c r="C950" s="59"/>
      <c r="D950" s="59"/>
      <c r="E950" s="59"/>
      <c r="F950" s="59"/>
    </row>
    <row r="951" ht="12.75" customHeight="1">
      <c r="A951" s="25"/>
      <c r="B951" s="59"/>
      <c r="C951" s="59"/>
      <c r="D951" s="59"/>
      <c r="E951" s="59"/>
      <c r="F951" s="59"/>
    </row>
    <row r="952" ht="12.75" customHeight="1">
      <c r="A952" s="25"/>
      <c r="B952" s="59"/>
      <c r="C952" s="59"/>
      <c r="D952" s="59"/>
      <c r="E952" s="59"/>
      <c r="F952" s="59"/>
    </row>
    <row r="953" ht="12.75" customHeight="1">
      <c r="A953" s="25"/>
      <c r="B953" s="59"/>
      <c r="C953" s="59"/>
      <c r="D953" s="59"/>
      <c r="E953" s="59"/>
      <c r="F953" s="59"/>
    </row>
    <row r="954" ht="12.75" customHeight="1">
      <c r="A954" s="25"/>
      <c r="B954" s="59"/>
      <c r="C954" s="59"/>
      <c r="D954" s="59"/>
      <c r="E954" s="59"/>
      <c r="F954" s="59"/>
    </row>
    <row r="955" ht="12.75" customHeight="1">
      <c r="A955" s="25"/>
      <c r="B955" s="59"/>
      <c r="C955" s="59"/>
      <c r="D955" s="59"/>
      <c r="E955" s="59"/>
      <c r="F955" s="59"/>
    </row>
    <row r="956" ht="12.75" customHeight="1">
      <c r="A956" s="25"/>
      <c r="B956" s="59"/>
      <c r="C956" s="59"/>
      <c r="D956" s="59"/>
      <c r="E956" s="59"/>
      <c r="F956" s="59"/>
    </row>
    <row r="957" ht="12.75" customHeight="1">
      <c r="A957" s="25"/>
      <c r="B957" s="59"/>
      <c r="C957" s="59"/>
      <c r="D957" s="59"/>
      <c r="E957" s="59"/>
      <c r="F957" s="59"/>
    </row>
    <row r="958" ht="12.75" customHeight="1">
      <c r="A958" s="25"/>
      <c r="B958" s="59"/>
      <c r="C958" s="59"/>
      <c r="D958" s="59"/>
      <c r="E958" s="59"/>
      <c r="F958" s="59"/>
    </row>
    <row r="959" ht="12.75" customHeight="1">
      <c r="A959" s="25"/>
      <c r="B959" s="59"/>
      <c r="C959" s="59"/>
      <c r="D959" s="59"/>
      <c r="E959" s="59"/>
      <c r="F959" s="59"/>
    </row>
    <row r="960" ht="12.75" customHeight="1">
      <c r="A960" s="25"/>
      <c r="B960" s="59"/>
      <c r="C960" s="59"/>
      <c r="D960" s="59"/>
      <c r="E960" s="59"/>
      <c r="F960" s="59"/>
    </row>
    <row r="961" ht="12.75" customHeight="1">
      <c r="A961" s="25"/>
      <c r="B961" s="59"/>
      <c r="C961" s="59"/>
      <c r="D961" s="59"/>
      <c r="E961" s="59"/>
      <c r="F961" s="59"/>
    </row>
    <row r="962" ht="12.75" customHeight="1">
      <c r="A962" s="25"/>
      <c r="B962" s="59"/>
      <c r="C962" s="59"/>
      <c r="D962" s="59"/>
      <c r="E962" s="59"/>
      <c r="F962" s="59"/>
    </row>
    <row r="963" ht="12.75" customHeight="1">
      <c r="A963" s="25"/>
      <c r="B963" s="59"/>
      <c r="C963" s="59"/>
      <c r="D963" s="59"/>
      <c r="E963" s="59"/>
      <c r="F963" s="59"/>
    </row>
    <row r="964" ht="12.75" customHeight="1">
      <c r="A964" s="25"/>
      <c r="B964" s="59"/>
      <c r="C964" s="59"/>
      <c r="D964" s="59"/>
      <c r="E964" s="59"/>
      <c r="F964" s="59"/>
    </row>
    <row r="965" ht="12.75" customHeight="1">
      <c r="A965" s="25"/>
      <c r="B965" s="59"/>
      <c r="C965" s="59"/>
      <c r="D965" s="59"/>
      <c r="E965" s="59"/>
      <c r="F965" s="59"/>
    </row>
    <row r="966" ht="12.75" customHeight="1">
      <c r="A966" s="25"/>
      <c r="B966" s="59"/>
      <c r="C966" s="59"/>
      <c r="D966" s="59"/>
      <c r="E966" s="59"/>
      <c r="F966" s="59"/>
    </row>
    <row r="967" ht="12.75" customHeight="1">
      <c r="A967" s="25"/>
      <c r="B967" s="59"/>
      <c r="C967" s="59"/>
      <c r="D967" s="59"/>
      <c r="E967" s="59"/>
      <c r="F967" s="59"/>
    </row>
    <row r="968" ht="12.75" customHeight="1">
      <c r="A968" s="25"/>
      <c r="B968" s="59"/>
      <c r="C968" s="59"/>
      <c r="D968" s="59"/>
      <c r="E968" s="59"/>
      <c r="F968" s="59"/>
    </row>
    <row r="969" ht="12.75" customHeight="1">
      <c r="A969" s="25"/>
      <c r="B969" s="59"/>
      <c r="C969" s="59"/>
      <c r="D969" s="59"/>
      <c r="E969" s="59"/>
      <c r="F969" s="59"/>
    </row>
    <row r="970" ht="12.75" customHeight="1">
      <c r="A970" s="25"/>
      <c r="B970" s="59"/>
      <c r="C970" s="59"/>
      <c r="D970" s="59"/>
      <c r="E970" s="59"/>
      <c r="F970" s="59"/>
    </row>
    <row r="971" ht="12.75" customHeight="1">
      <c r="A971" s="25"/>
      <c r="B971" s="59"/>
      <c r="C971" s="59"/>
      <c r="D971" s="59"/>
      <c r="E971" s="59"/>
      <c r="F971" s="59"/>
    </row>
    <row r="972" ht="12.75" customHeight="1">
      <c r="A972" s="25"/>
      <c r="B972" s="59"/>
      <c r="C972" s="59"/>
      <c r="D972" s="59"/>
      <c r="E972" s="59"/>
      <c r="F972" s="59"/>
    </row>
    <row r="973" ht="12.75" customHeight="1">
      <c r="A973" s="25"/>
      <c r="B973" s="59"/>
      <c r="C973" s="59"/>
      <c r="D973" s="59"/>
      <c r="E973" s="59"/>
      <c r="F973" s="59"/>
    </row>
    <row r="974" ht="12.75" customHeight="1">
      <c r="A974" s="25"/>
      <c r="B974" s="59"/>
      <c r="C974" s="59"/>
      <c r="D974" s="59"/>
      <c r="E974" s="59"/>
      <c r="F974" s="59"/>
    </row>
    <row r="975" ht="12.75" customHeight="1">
      <c r="A975" s="25"/>
      <c r="B975" s="59"/>
      <c r="C975" s="59"/>
      <c r="D975" s="59"/>
      <c r="E975" s="59"/>
      <c r="F975" s="59"/>
    </row>
    <row r="976" ht="12.75" customHeight="1">
      <c r="A976" s="25"/>
      <c r="B976" s="59"/>
      <c r="C976" s="59"/>
      <c r="D976" s="59"/>
      <c r="E976" s="59"/>
      <c r="F976" s="59"/>
    </row>
    <row r="977" ht="12.75" customHeight="1">
      <c r="A977" s="25"/>
      <c r="B977" s="59"/>
      <c r="C977" s="59"/>
      <c r="D977" s="59"/>
      <c r="E977" s="59"/>
      <c r="F977" s="59"/>
    </row>
    <row r="978" ht="12.75" customHeight="1">
      <c r="A978" s="25"/>
      <c r="B978" s="59"/>
      <c r="C978" s="59"/>
      <c r="D978" s="59"/>
      <c r="E978" s="59"/>
      <c r="F978" s="59"/>
    </row>
    <row r="979" ht="12.75" customHeight="1">
      <c r="A979" s="25"/>
      <c r="B979" s="59"/>
      <c r="C979" s="59"/>
      <c r="D979" s="59"/>
      <c r="E979" s="59"/>
      <c r="F979" s="59"/>
    </row>
    <row r="980" ht="12.75" customHeight="1">
      <c r="A980" s="25"/>
      <c r="B980" s="59"/>
      <c r="C980" s="59"/>
      <c r="D980" s="59"/>
      <c r="E980" s="59"/>
      <c r="F980" s="59"/>
    </row>
    <row r="981" ht="12.75" customHeight="1">
      <c r="A981" s="25"/>
      <c r="B981" s="59"/>
      <c r="C981" s="59"/>
      <c r="D981" s="59"/>
      <c r="E981" s="59"/>
      <c r="F981" s="59"/>
    </row>
    <row r="982" ht="12.75" customHeight="1">
      <c r="A982" s="25"/>
      <c r="B982" s="59"/>
      <c r="C982" s="59"/>
      <c r="D982" s="59"/>
      <c r="E982" s="59"/>
      <c r="F982" s="59"/>
    </row>
    <row r="983" ht="12.75" customHeight="1">
      <c r="A983" s="25"/>
      <c r="B983" s="59"/>
      <c r="C983" s="59"/>
      <c r="D983" s="59"/>
      <c r="E983" s="59"/>
      <c r="F983" s="59"/>
    </row>
    <row r="984" ht="12.75" customHeight="1">
      <c r="A984" s="25"/>
      <c r="B984" s="59"/>
      <c r="C984" s="59"/>
      <c r="D984" s="59"/>
      <c r="E984" s="59"/>
      <c r="F984" s="59"/>
    </row>
    <row r="985" ht="12.75" customHeight="1">
      <c r="A985" s="25"/>
      <c r="B985" s="59"/>
      <c r="C985" s="59"/>
      <c r="D985" s="59"/>
      <c r="E985" s="59"/>
      <c r="F985" s="59"/>
    </row>
    <row r="986" ht="12.75" customHeight="1">
      <c r="A986" s="25"/>
      <c r="B986" s="59"/>
      <c r="C986" s="59"/>
      <c r="D986" s="59"/>
      <c r="E986" s="59"/>
      <c r="F986" s="59"/>
    </row>
    <row r="987" ht="12.75" customHeight="1">
      <c r="A987" s="25"/>
      <c r="B987" s="59"/>
      <c r="C987" s="59"/>
      <c r="D987" s="59"/>
      <c r="E987" s="59"/>
      <c r="F987" s="59"/>
    </row>
    <row r="988" ht="12.75" customHeight="1">
      <c r="A988" s="25"/>
      <c r="B988" s="59"/>
      <c r="C988" s="59"/>
      <c r="D988" s="59"/>
      <c r="E988" s="59"/>
      <c r="F988" s="59"/>
    </row>
    <row r="989" ht="12.75" customHeight="1">
      <c r="A989" s="25"/>
      <c r="B989" s="59"/>
      <c r="C989" s="59"/>
      <c r="D989" s="59"/>
      <c r="E989" s="59"/>
      <c r="F989" s="59"/>
    </row>
    <row r="990" ht="12.75" customHeight="1">
      <c r="A990" s="25"/>
      <c r="B990" s="59"/>
      <c r="C990" s="59"/>
      <c r="D990" s="59"/>
      <c r="E990" s="59"/>
      <c r="F990" s="59"/>
    </row>
    <row r="991" ht="12.75" customHeight="1">
      <c r="A991" s="25"/>
      <c r="B991" s="59"/>
      <c r="C991" s="59"/>
      <c r="D991" s="59"/>
      <c r="E991" s="59"/>
      <c r="F991" s="59"/>
    </row>
    <row r="992" ht="12.75" customHeight="1">
      <c r="A992" s="25"/>
      <c r="B992" s="59"/>
      <c r="C992" s="59"/>
      <c r="D992" s="59"/>
      <c r="E992" s="59"/>
      <c r="F992" s="59"/>
    </row>
    <row r="993" ht="12.75" customHeight="1">
      <c r="A993" s="25"/>
      <c r="B993" s="59"/>
      <c r="C993" s="59"/>
      <c r="D993" s="59"/>
      <c r="E993" s="59"/>
      <c r="F993" s="59"/>
    </row>
    <row r="994" ht="12.75" customHeight="1">
      <c r="A994" s="25"/>
      <c r="B994" s="59"/>
      <c r="C994" s="59"/>
      <c r="D994" s="59"/>
      <c r="E994" s="59"/>
      <c r="F994" s="59"/>
    </row>
    <row r="995" ht="12.75" customHeight="1">
      <c r="A995" s="25"/>
      <c r="B995" s="59"/>
      <c r="C995" s="59"/>
      <c r="D995" s="59"/>
      <c r="E995" s="59"/>
      <c r="F995" s="59"/>
    </row>
    <row r="996" ht="12.75" customHeight="1">
      <c r="A996" s="25"/>
      <c r="B996" s="59"/>
      <c r="C996" s="59"/>
      <c r="D996" s="59"/>
      <c r="E996" s="59"/>
      <c r="F996" s="59"/>
    </row>
    <row r="997" ht="12.75" customHeight="1">
      <c r="A997" s="25"/>
      <c r="B997" s="59"/>
      <c r="C997" s="59"/>
      <c r="D997" s="59"/>
      <c r="E997" s="59"/>
      <c r="F997" s="59"/>
    </row>
    <row r="998" ht="12.75" customHeight="1">
      <c r="A998" s="25"/>
      <c r="B998" s="59"/>
      <c r="C998" s="59"/>
      <c r="D998" s="59"/>
      <c r="E998" s="59"/>
      <c r="F998" s="59"/>
    </row>
    <row r="999" ht="12.75" customHeight="1">
      <c r="A999" s="25"/>
      <c r="B999" s="59"/>
      <c r="C999" s="59"/>
      <c r="D999" s="59"/>
      <c r="E999" s="59"/>
      <c r="F999" s="59"/>
    </row>
    <row r="1000" ht="12.75" customHeight="1">
      <c r="A1000" s="25"/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0.63"/>
    <col customWidth="1" min="3" max="3" width="13.75"/>
    <col customWidth="1" min="4" max="26" width="10.63"/>
  </cols>
  <sheetData>
    <row r="1" ht="12.75" customHeight="1">
      <c r="A1" s="41">
        <v>1.0</v>
      </c>
      <c r="B1" s="59">
        <f t="shared" ref="B1:B31" si="1">D1-C1</f>
        <v>1681</v>
      </c>
      <c r="C1" s="59">
        <v>319.0</v>
      </c>
      <c r="D1" s="59">
        <v>2000.0</v>
      </c>
      <c r="E1" s="59">
        <f t="shared" ref="E1:E31" si="2">D1*2.3681%</f>
        <v>47.362</v>
      </c>
      <c r="F1" s="59">
        <f t="shared" ref="F1:F31" si="3">D1-E1</f>
        <v>1952.638</v>
      </c>
      <c r="G1" s="37" t="s">
        <v>3329</v>
      </c>
    </row>
    <row r="2" ht="12.75" customHeight="1">
      <c r="A2" s="41">
        <v>1.0</v>
      </c>
      <c r="B2" s="59">
        <f t="shared" si="1"/>
        <v>3782</v>
      </c>
      <c r="C2" s="59">
        <v>718.0</v>
      </c>
      <c r="D2" s="59">
        <v>4500.0</v>
      </c>
      <c r="E2" s="59">
        <f t="shared" si="2"/>
        <v>106.5645</v>
      </c>
      <c r="F2" s="59">
        <f t="shared" si="3"/>
        <v>4393.4355</v>
      </c>
      <c r="G2" s="37" t="s">
        <v>3330</v>
      </c>
    </row>
    <row r="3" ht="12.75" customHeight="1">
      <c r="A3" s="41">
        <v>0.0</v>
      </c>
      <c r="B3" s="59">
        <f t="shared" si="1"/>
        <v>0</v>
      </c>
      <c r="C3" s="59">
        <v>0.0</v>
      </c>
      <c r="D3" s="59">
        <v>0.0</v>
      </c>
      <c r="E3" s="59">
        <f t="shared" si="2"/>
        <v>0</v>
      </c>
      <c r="F3" s="59">
        <f t="shared" si="3"/>
        <v>0</v>
      </c>
    </row>
    <row r="4" ht="12.75" customHeight="1">
      <c r="A4" s="41">
        <v>4.0</v>
      </c>
      <c r="B4" s="59">
        <f t="shared" si="1"/>
        <v>24034</v>
      </c>
      <c r="C4" s="59">
        <f>479+2395+798+894</f>
        <v>4566</v>
      </c>
      <c r="D4" s="59">
        <f>3000+15000+5000+5600</f>
        <v>28600</v>
      </c>
      <c r="E4" s="59">
        <f t="shared" si="2"/>
        <v>677.2766</v>
      </c>
      <c r="F4" s="59">
        <f t="shared" si="3"/>
        <v>27922.7234</v>
      </c>
      <c r="G4" s="37" t="s">
        <v>3331</v>
      </c>
    </row>
    <row r="5" ht="12.75" customHeight="1">
      <c r="A5" s="41">
        <v>5.0</v>
      </c>
      <c r="B5" s="59">
        <f t="shared" si="1"/>
        <v>36009</v>
      </c>
      <c r="C5" s="59">
        <f>319+1333+798+2283+2108</f>
        <v>6841</v>
      </c>
      <c r="D5" s="59">
        <f>2000+8350+5000+14300+13200</f>
        <v>42850</v>
      </c>
      <c r="E5" s="59">
        <f t="shared" si="2"/>
        <v>1014.73085</v>
      </c>
      <c r="F5" s="59">
        <f t="shared" si="3"/>
        <v>41835.26915</v>
      </c>
    </row>
    <row r="6" ht="12.75" customHeight="1">
      <c r="A6" s="41">
        <v>6.0</v>
      </c>
      <c r="B6" s="59">
        <f t="shared" si="1"/>
        <v>92984</v>
      </c>
      <c r="C6" s="59">
        <f>990+4391+7983+319+790+3193</f>
        <v>17666</v>
      </c>
      <c r="D6" s="59">
        <f>6200+27500+50000+2000+4950+20000</f>
        <v>110650</v>
      </c>
      <c r="E6" s="59">
        <f t="shared" si="2"/>
        <v>2620.30265</v>
      </c>
      <c r="F6" s="59">
        <f t="shared" si="3"/>
        <v>108029.6974</v>
      </c>
    </row>
    <row r="7" ht="12.75" customHeight="1">
      <c r="A7" s="41">
        <v>8.0</v>
      </c>
      <c r="B7" s="59">
        <f t="shared" si="1"/>
        <v>42775</v>
      </c>
      <c r="C7" s="59">
        <f>479+718+383+2187+479+1692+1277+910</f>
        <v>8125</v>
      </c>
      <c r="D7" s="59">
        <f>3000+4500+2400+13700+3000+10600+8000+5700</f>
        <v>50900</v>
      </c>
      <c r="E7" s="59">
        <f t="shared" si="2"/>
        <v>1205.3629</v>
      </c>
      <c r="F7" s="59">
        <f t="shared" si="3"/>
        <v>49694.6371</v>
      </c>
      <c r="G7" s="37" t="s">
        <v>3332</v>
      </c>
    </row>
    <row r="8" ht="12.75" customHeight="1">
      <c r="A8" s="41">
        <v>5.0</v>
      </c>
      <c r="B8" s="59">
        <f t="shared" si="1"/>
        <v>22437</v>
      </c>
      <c r="C8" s="59">
        <f>1389+287+1054+208+1325</f>
        <v>4263</v>
      </c>
      <c r="D8" s="59">
        <f>8700+1800+6600+1300+8300</f>
        <v>26700</v>
      </c>
      <c r="E8" s="59">
        <f t="shared" si="2"/>
        <v>632.2827</v>
      </c>
      <c r="F8" s="59">
        <f t="shared" si="3"/>
        <v>26067.7173</v>
      </c>
      <c r="G8" s="37" t="s">
        <v>3333</v>
      </c>
    </row>
    <row r="9" ht="12.75" customHeight="1">
      <c r="A9" s="41">
        <v>1.0</v>
      </c>
      <c r="B9" s="59">
        <f t="shared" si="1"/>
        <v>1681</v>
      </c>
      <c r="C9" s="59">
        <v>319.0</v>
      </c>
      <c r="D9" s="59">
        <v>2000.0</v>
      </c>
      <c r="E9" s="59">
        <f t="shared" si="2"/>
        <v>47.362</v>
      </c>
      <c r="F9" s="59">
        <f t="shared" si="3"/>
        <v>1952.638</v>
      </c>
      <c r="G9" s="37" t="s">
        <v>3334</v>
      </c>
    </row>
    <row r="10" ht="12.75" customHeight="1">
      <c r="A10" s="41">
        <v>5.0</v>
      </c>
      <c r="B10" s="59">
        <f t="shared" si="1"/>
        <v>18749</v>
      </c>
      <c r="C10" s="59">
        <f>479+153+1413+319+1197</f>
        <v>3561</v>
      </c>
      <c r="D10" s="59">
        <f>3000+960+8850+2000+7500</f>
        <v>22310</v>
      </c>
      <c r="E10" s="59">
        <f t="shared" si="2"/>
        <v>528.32311</v>
      </c>
      <c r="F10" s="59">
        <f t="shared" si="3"/>
        <v>21781.67689</v>
      </c>
      <c r="G10" s="37" t="s">
        <v>3335</v>
      </c>
    </row>
    <row r="11" ht="12.75" customHeight="1">
      <c r="A11" s="41">
        <v>4.0</v>
      </c>
      <c r="B11" s="59">
        <f t="shared" si="1"/>
        <v>24160</v>
      </c>
      <c r="C11" s="59">
        <f>958+878+982+1772</f>
        <v>4590</v>
      </c>
      <c r="D11" s="59">
        <f>6000+5500+6150+11100</f>
        <v>28750</v>
      </c>
      <c r="E11" s="59">
        <f t="shared" si="2"/>
        <v>680.82875</v>
      </c>
      <c r="F11" s="59">
        <f t="shared" si="3"/>
        <v>28069.17125</v>
      </c>
      <c r="G11" s="37" t="s">
        <v>3336</v>
      </c>
    </row>
    <row r="12" ht="12.75" customHeight="1">
      <c r="A12" s="41">
        <v>1.0</v>
      </c>
      <c r="B12" s="59">
        <f t="shared" si="1"/>
        <v>26050</v>
      </c>
      <c r="C12" s="59">
        <v>4950.0</v>
      </c>
      <c r="D12" s="59">
        <v>31000.0</v>
      </c>
      <c r="E12" s="59">
        <f t="shared" si="2"/>
        <v>734.111</v>
      </c>
      <c r="F12" s="59">
        <f t="shared" si="3"/>
        <v>30265.889</v>
      </c>
    </row>
    <row r="13" ht="12.75" customHeight="1">
      <c r="A13" s="41">
        <v>6.0</v>
      </c>
      <c r="B13" s="59">
        <f t="shared" si="1"/>
        <v>38276</v>
      </c>
      <c r="C13" s="59">
        <f>144+1621+1469+1517+1597+926</f>
        <v>7274</v>
      </c>
      <c r="D13" s="59">
        <f>900+10150+9200+9500+10000+5800</f>
        <v>45550</v>
      </c>
      <c r="E13" s="59">
        <f t="shared" si="2"/>
        <v>1078.66955</v>
      </c>
      <c r="F13" s="59">
        <f t="shared" si="3"/>
        <v>44471.33045</v>
      </c>
    </row>
    <row r="14" ht="12.75" customHeight="1">
      <c r="A14" s="41">
        <v>3.0</v>
      </c>
      <c r="B14" s="59">
        <f t="shared" si="1"/>
        <v>3992</v>
      </c>
      <c r="C14" s="59">
        <f>311+160+287</f>
        <v>758</v>
      </c>
      <c r="D14" s="59">
        <f>1950+1000+1800</f>
        <v>4750</v>
      </c>
      <c r="E14" s="59">
        <f t="shared" si="2"/>
        <v>112.48475</v>
      </c>
      <c r="F14" s="59">
        <f t="shared" si="3"/>
        <v>4637.51525</v>
      </c>
      <c r="G14" s="37" t="s">
        <v>3337</v>
      </c>
    </row>
    <row r="15" ht="12.75" customHeight="1">
      <c r="A15" s="41">
        <v>2.0</v>
      </c>
      <c r="B15" s="59">
        <f t="shared" si="1"/>
        <v>4874</v>
      </c>
      <c r="C15" s="59">
        <f>479+447</f>
        <v>926</v>
      </c>
      <c r="D15" s="59">
        <f>3000+2800</f>
        <v>5800</v>
      </c>
      <c r="E15" s="59">
        <f t="shared" si="2"/>
        <v>137.3498</v>
      </c>
      <c r="F15" s="59">
        <f t="shared" si="3"/>
        <v>5662.6502</v>
      </c>
    </row>
    <row r="16" ht="12.75" customHeight="1">
      <c r="A16" s="41">
        <v>4.0</v>
      </c>
      <c r="B16" s="59">
        <f t="shared" si="1"/>
        <v>10504</v>
      </c>
      <c r="C16" s="59">
        <f>192+327+942+535</f>
        <v>1996</v>
      </c>
      <c r="D16" s="59">
        <f>1200+2050+5900+3350</f>
        <v>12500</v>
      </c>
      <c r="E16" s="59">
        <f t="shared" si="2"/>
        <v>296.0125</v>
      </c>
      <c r="F16" s="59">
        <f t="shared" si="3"/>
        <v>12203.9875</v>
      </c>
      <c r="G16" s="37" t="s">
        <v>3338</v>
      </c>
    </row>
    <row r="17" ht="12.75" customHeight="1">
      <c r="A17" s="41">
        <v>5.0</v>
      </c>
      <c r="B17" s="59">
        <f t="shared" si="1"/>
        <v>21597</v>
      </c>
      <c r="C17" s="59">
        <f>479+479+559+2347+239</f>
        <v>4103</v>
      </c>
      <c r="D17" s="59">
        <f>3000+3000+3500+14700+1500</f>
        <v>25700</v>
      </c>
      <c r="E17" s="59">
        <f t="shared" si="2"/>
        <v>608.6017</v>
      </c>
      <c r="F17" s="59">
        <f t="shared" si="3"/>
        <v>25091.3983</v>
      </c>
      <c r="G17" s="37" t="s">
        <v>3339</v>
      </c>
    </row>
    <row r="18" ht="12.75" customHeight="1">
      <c r="A18" s="41">
        <v>1.0</v>
      </c>
      <c r="B18" s="59">
        <f t="shared" si="1"/>
        <v>1765</v>
      </c>
      <c r="C18" s="59">
        <v>335.0</v>
      </c>
      <c r="D18" s="59">
        <v>2100.0</v>
      </c>
      <c r="E18" s="59">
        <f t="shared" si="2"/>
        <v>49.7301</v>
      </c>
      <c r="F18" s="59">
        <f t="shared" si="3"/>
        <v>2050.2699</v>
      </c>
      <c r="G18" s="37" t="s">
        <v>3340</v>
      </c>
    </row>
    <row r="19" ht="12.75" customHeight="1">
      <c r="A19" s="41">
        <v>1.0</v>
      </c>
      <c r="B19" s="59">
        <f t="shared" si="1"/>
        <v>4202</v>
      </c>
      <c r="C19" s="59">
        <v>798.0</v>
      </c>
      <c r="D19" s="59">
        <v>5000.0</v>
      </c>
      <c r="E19" s="59">
        <f t="shared" si="2"/>
        <v>118.405</v>
      </c>
      <c r="F19" s="59">
        <f t="shared" si="3"/>
        <v>4881.595</v>
      </c>
    </row>
    <row r="20" ht="12.75" customHeight="1">
      <c r="A20" s="41">
        <v>4.0</v>
      </c>
      <c r="B20" s="59">
        <f t="shared" si="1"/>
        <v>12774</v>
      </c>
      <c r="C20" s="59">
        <f>431+319+399+1277</f>
        <v>2426</v>
      </c>
      <c r="D20" s="59">
        <f>2700+2000+2500+8000</f>
        <v>15200</v>
      </c>
      <c r="E20" s="59">
        <f t="shared" si="2"/>
        <v>359.9512</v>
      </c>
      <c r="F20" s="59">
        <f t="shared" si="3"/>
        <v>14840.0488</v>
      </c>
    </row>
    <row r="21" ht="12.75" customHeight="1">
      <c r="A21" s="41">
        <v>5.0</v>
      </c>
      <c r="B21" s="59">
        <f t="shared" si="1"/>
        <v>24621</v>
      </c>
      <c r="C21" s="59">
        <f>1134+1501+319+639+1086</f>
        <v>4679</v>
      </c>
      <c r="D21" s="59">
        <f>7100+9400+2000+4000+6800</f>
        <v>29300</v>
      </c>
      <c r="E21" s="59">
        <f t="shared" si="2"/>
        <v>693.8533</v>
      </c>
      <c r="F21" s="59">
        <f t="shared" si="3"/>
        <v>28606.1467</v>
      </c>
      <c r="G21" s="37" t="s">
        <v>3341</v>
      </c>
    </row>
    <row r="22" ht="12.75" customHeight="1">
      <c r="A22" s="41">
        <v>3.0</v>
      </c>
      <c r="B22" s="59">
        <f t="shared" si="1"/>
        <v>10966</v>
      </c>
      <c r="C22" s="59">
        <f>224+271+1589</f>
        <v>2084</v>
      </c>
      <c r="D22" s="59">
        <f>1400+1700+9950</f>
        <v>13050</v>
      </c>
      <c r="E22" s="59">
        <f t="shared" si="2"/>
        <v>309.03705</v>
      </c>
      <c r="F22" s="59">
        <f t="shared" si="3"/>
        <v>12740.96295</v>
      </c>
      <c r="G22" s="37" t="s">
        <v>3342</v>
      </c>
    </row>
    <row r="23" ht="12.75" customHeight="1">
      <c r="A23" s="41">
        <v>8.0</v>
      </c>
      <c r="B23" s="59">
        <f t="shared" si="1"/>
        <v>43108</v>
      </c>
      <c r="C23" s="59">
        <f>399+2124+679+679+703+918+870+1820</f>
        <v>8192</v>
      </c>
      <c r="D23" s="59">
        <f>2500+13300+4250+4250+4400+5750+5450+11400</f>
        <v>51300</v>
      </c>
      <c r="E23" s="59">
        <f t="shared" si="2"/>
        <v>1214.8353</v>
      </c>
      <c r="F23" s="59">
        <f t="shared" si="3"/>
        <v>50085.1647</v>
      </c>
      <c r="G23" s="37" t="s">
        <v>3343</v>
      </c>
    </row>
    <row r="24" ht="12.75" customHeight="1">
      <c r="A24" s="41">
        <v>5.0</v>
      </c>
      <c r="B24" s="59">
        <f t="shared" si="1"/>
        <v>25841</v>
      </c>
      <c r="C24" s="59">
        <f>2179+1788+208+447+287</f>
        <v>4909</v>
      </c>
      <c r="D24" s="59">
        <f>13650+11200+1300+2800+1800</f>
        <v>30750</v>
      </c>
      <c r="E24" s="59">
        <f t="shared" si="2"/>
        <v>728.19075</v>
      </c>
      <c r="F24" s="59">
        <f t="shared" si="3"/>
        <v>30021.80925</v>
      </c>
      <c r="G24" s="37" t="s">
        <v>3344</v>
      </c>
    </row>
    <row r="25" ht="12.75" customHeight="1">
      <c r="A25" s="41">
        <v>2.0</v>
      </c>
      <c r="B25" s="59">
        <f t="shared" si="1"/>
        <v>15211</v>
      </c>
      <c r="C25" s="59">
        <f>2634+255</f>
        <v>2889</v>
      </c>
      <c r="D25" s="59">
        <f>16500+1600</f>
        <v>18100</v>
      </c>
      <c r="E25" s="59">
        <f t="shared" si="2"/>
        <v>428.6261</v>
      </c>
      <c r="F25" s="59">
        <f t="shared" si="3"/>
        <v>17671.3739</v>
      </c>
      <c r="G25" s="37" t="s">
        <v>3345</v>
      </c>
    </row>
    <row r="26" ht="12.75" customHeight="1">
      <c r="A26" s="41">
        <v>1.0</v>
      </c>
      <c r="B26" s="59">
        <f t="shared" si="1"/>
        <v>15126</v>
      </c>
      <c r="C26" s="59">
        <v>2874.0</v>
      </c>
      <c r="D26" s="59">
        <v>18000.0</v>
      </c>
      <c r="E26" s="59">
        <f t="shared" si="2"/>
        <v>426.258</v>
      </c>
      <c r="F26" s="59">
        <f t="shared" si="3"/>
        <v>17573.742</v>
      </c>
    </row>
    <row r="27" ht="12.75" customHeight="1">
      <c r="A27" s="41">
        <v>8.0</v>
      </c>
      <c r="B27" s="59">
        <f t="shared" si="1"/>
        <v>25714</v>
      </c>
      <c r="C27" s="59">
        <f>1876+423+319+176+399+607+495+591</f>
        <v>4886</v>
      </c>
      <c r="D27" s="59">
        <f>11750+2650+2000+1100+2500+3800+3100+3700</f>
        <v>30600</v>
      </c>
      <c r="E27" s="59">
        <f t="shared" si="2"/>
        <v>724.6386</v>
      </c>
      <c r="F27" s="59">
        <f t="shared" si="3"/>
        <v>29875.3614</v>
      </c>
    </row>
    <row r="28" ht="12.75" customHeight="1">
      <c r="A28" s="41">
        <v>6.0</v>
      </c>
      <c r="B28" s="59">
        <f t="shared" si="1"/>
        <v>17269</v>
      </c>
      <c r="C28" s="59">
        <f>679+319+798+623+543+319</f>
        <v>3281</v>
      </c>
      <c r="D28" s="59">
        <f>4250+2000+5000+3900+3400+2000</f>
        <v>20550</v>
      </c>
      <c r="E28" s="59">
        <f t="shared" si="2"/>
        <v>486.64455</v>
      </c>
      <c r="F28" s="59">
        <f t="shared" si="3"/>
        <v>20063.35545</v>
      </c>
      <c r="G28" s="41" t="s">
        <v>3346</v>
      </c>
    </row>
    <row r="29" ht="12.75" customHeight="1">
      <c r="A29" s="41">
        <v>5.0</v>
      </c>
      <c r="B29" s="59">
        <f t="shared" si="1"/>
        <v>17101</v>
      </c>
      <c r="C29" s="59">
        <f>1006+511+718+591+423</f>
        <v>3249</v>
      </c>
      <c r="D29" s="59">
        <f>6300+3200+4500+3700+2650</f>
        <v>20350</v>
      </c>
      <c r="E29" s="59">
        <f t="shared" si="2"/>
        <v>481.90835</v>
      </c>
      <c r="F29" s="59">
        <f t="shared" si="3"/>
        <v>19868.09165</v>
      </c>
      <c r="G29" s="41" t="s">
        <v>3346</v>
      </c>
    </row>
    <row r="30" ht="12.75" customHeight="1">
      <c r="A30" s="41">
        <v>0.0</v>
      </c>
      <c r="B30" s="59">
        <f t="shared" si="1"/>
        <v>0</v>
      </c>
      <c r="C30" s="59">
        <v>0.0</v>
      </c>
      <c r="D30" s="59">
        <v>0.0</v>
      </c>
      <c r="E30" s="59">
        <f t="shared" si="2"/>
        <v>0</v>
      </c>
      <c r="F30" s="59">
        <f t="shared" si="3"/>
        <v>0</v>
      </c>
    </row>
    <row r="31" ht="12.75" customHeight="1">
      <c r="A31" s="41">
        <v>0.0</v>
      </c>
      <c r="B31" s="59">
        <f t="shared" si="1"/>
        <v>0</v>
      </c>
      <c r="C31" s="59">
        <v>0.0</v>
      </c>
      <c r="D31" s="59">
        <v>0.0</v>
      </c>
      <c r="E31" s="59">
        <f t="shared" si="2"/>
        <v>0</v>
      </c>
      <c r="F31" s="59">
        <f t="shared" si="3"/>
        <v>0</v>
      </c>
    </row>
    <row r="32" ht="12.75" customHeight="1">
      <c r="A32" s="65">
        <f t="shared" ref="A32:F32" si="4">SUM(A1:A31)</f>
        <v>110</v>
      </c>
      <c r="B32" s="66">
        <f t="shared" si="4"/>
        <v>587283</v>
      </c>
      <c r="C32" s="66">
        <f t="shared" si="4"/>
        <v>111577</v>
      </c>
      <c r="D32" s="66">
        <f t="shared" si="4"/>
        <v>698860</v>
      </c>
      <c r="E32" s="67">
        <f t="shared" si="4"/>
        <v>16549.70366</v>
      </c>
      <c r="F32" s="67">
        <f t="shared" si="4"/>
        <v>682310.2963</v>
      </c>
    </row>
    <row r="33" ht="12.75" customHeight="1"/>
    <row r="34" ht="12.75" customHeight="1"/>
    <row r="35" ht="12.75" customHeight="1">
      <c r="C35" s="78" t="s">
        <v>3218</v>
      </c>
      <c r="D35" s="78">
        <f>D32*2.3681%</f>
        <v>16549.70366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38"/>
    <col customWidth="1" min="3" max="3" width="13.75"/>
    <col customWidth="1" min="4" max="6" width="11.38"/>
    <col customWidth="1" min="7" max="26" width="10.63"/>
  </cols>
  <sheetData>
    <row r="1" ht="12.75" customHeight="1">
      <c r="A1" s="41">
        <v>7.0</v>
      </c>
      <c r="B1" s="59">
        <f t="shared" ref="B1:B30" si="1">D1-C1</f>
        <v>59076</v>
      </c>
      <c r="C1" s="59">
        <f>575+287+718+1038+1309+463+6834</f>
        <v>11224</v>
      </c>
      <c r="D1" s="59">
        <f>3600+1800+4500+6500+8200+2900+42800</f>
        <v>70300</v>
      </c>
      <c r="E1" s="59">
        <f t="shared" ref="E1:E30" si="2">D1*2.3681%</f>
        <v>1664.7743</v>
      </c>
      <c r="F1" s="59">
        <f t="shared" ref="F1:F30" si="3">D1-E1</f>
        <v>68635.2257</v>
      </c>
    </row>
    <row r="2" ht="12.75" customHeight="1">
      <c r="A2" s="41">
        <v>3.0</v>
      </c>
      <c r="B2" s="59">
        <f t="shared" si="1"/>
        <v>63949</v>
      </c>
      <c r="C2" s="59">
        <f>2874+7361+1916</f>
        <v>12151</v>
      </c>
      <c r="D2" s="59">
        <f>18000+46100+12000</f>
        <v>76100</v>
      </c>
      <c r="E2" s="59">
        <f t="shared" si="2"/>
        <v>1802.1241</v>
      </c>
      <c r="F2" s="59">
        <f t="shared" si="3"/>
        <v>74297.8759</v>
      </c>
      <c r="G2" s="41" t="s">
        <v>3347</v>
      </c>
    </row>
    <row r="3" ht="12.75" customHeight="1">
      <c r="A3" s="41">
        <v>7.0</v>
      </c>
      <c r="B3" s="59">
        <f t="shared" si="1"/>
        <v>25211</v>
      </c>
      <c r="C3" s="59">
        <f>447+463+774+1748+399+527+431</f>
        <v>4789</v>
      </c>
      <c r="D3" s="59">
        <f>2800+2900+4850+10950+2500+3300+2700</f>
        <v>30000</v>
      </c>
      <c r="E3" s="59">
        <f t="shared" si="2"/>
        <v>710.43</v>
      </c>
      <c r="F3" s="59">
        <f t="shared" si="3"/>
        <v>29289.57</v>
      </c>
      <c r="G3" s="41" t="s">
        <v>3348</v>
      </c>
    </row>
    <row r="4" ht="12.75" customHeight="1">
      <c r="A4" s="41">
        <v>8.0</v>
      </c>
      <c r="B4" s="59">
        <f t="shared" si="1"/>
        <v>28488</v>
      </c>
      <c r="C4" s="59">
        <f>615+128+718+479+742+655+830+1245</f>
        <v>5412</v>
      </c>
      <c r="D4" s="59">
        <f>3850+800+4500+3000+4650+4100+5200+7800</f>
        <v>33900</v>
      </c>
      <c r="E4" s="59">
        <f t="shared" si="2"/>
        <v>802.7859</v>
      </c>
      <c r="F4" s="59">
        <f t="shared" si="3"/>
        <v>33097.2141</v>
      </c>
      <c r="G4" s="41" t="s">
        <v>3348</v>
      </c>
    </row>
    <row r="5" ht="12.75" customHeight="1">
      <c r="A5" s="41">
        <v>7.0</v>
      </c>
      <c r="B5" s="59">
        <f t="shared" si="1"/>
        <v>92059</v>
      </c>
      <c r="C5" s="59">
        <f>639+1916+5508+3672+4670+607+479</f>
        <v>17491</v>
      </c>
      <c r="D5" s="59">
        <f>4000+12000+34500+23000+29250+3800+3000</f>
        <v>109550</v>
      </c>
      <c r="E5" s="59">
        <f t="shared" si="2"/>
        <v>2594.25355</v>
      </c>
      <c r="F5" s="59">
        <f t="shared" si="3"/>
        <v>106955.7465</v>
      </c>
      <c r="G5" s="41" t="s">
        <v>3349</v>
      </c>
    </row>
    <row r="6" ht="12.75" customHeight="1">
      <c r="A6" s="41">
        <v>8.0</v>
      </c>
      <c r="B6" s="59">
        <f t="shared" si="1"/>
        <v>42607</v>
      </c>
      <c r="C6" s="59">
        <f>1229+1740+543+479+271+718+399+2714</f>
        <v>8093</v>
      </c>
      <c r="D6" s="59">
        <f>7700+10900+3400+3000+1700+4500+2500+17000</f>
        <v>50700</v>
      </c>
      <c r="E6" s="59">
        <f t="shared" si="2"/>
        <v>1200.6267</v>
      </c>
      <c r="F6" s="59">
        <f t="shared" si="3"/>
        <v>49499.3733</v>
      </c>
      <c r="G6" s="41" t="s">
        <v>3350</v>
      </c>
    </row>
    <row r="7" ht="12.75" customHeight="1">
      <c r="A7" s="41">
        <v>1.0</v>
      </c>
      <c r="B7" s="59">
        <f t="shared" si="1"/>
        <v>2731</v>
      </c>
      <c r="C7" s="59">
        <v>519.0</v>
      </c>
      <c r="D7" s="59">
        <v>3250.0</v>
      </c>
      <c r="E7" s="59">
        <f t="shared" si="2"/>
        <v>76.96325</v>
      </c>
      <c r="F7" s="59">
        <f t="shared" si="3"/>
        <v>3173.03675</v>
      </c>
    </row>
    <row r="8" ht="12.75" customHeight="1">
      <c r="A8" s="41">
        <v>3.0</v>
      </c>
      <c r="B8" s="59">
        <f t="shared" si="1"/>
        <v>14958</v>
      </c>
      <c r="C8" s="59">
        <f>192+1804+846</f>
        <v>2842</v>
      </c>
      <c r="D8" s="59">
        <f>1200+11300+5300</f>
        <v>17800</v>
      </c>
      <c r="E8" s="59">
        <f t="shared" si="2"/>
        <v>421.5218</v>
      </c>
      <c r="F8" s="59">
        <f t="shared" si="3"/>
        <v>17378.4782</v>
      </c>
    </row>
    <row r="9" ht="12.75" customHeight="1">
      <c r="A9" s="41">
        <v>3.0</v>
      </c>
      <c r="B9" s="59">
        <f t="shared" si="1"/>
        <v>10042</v>
      </c>
      <c r="C9" s="59">
        <f>798+439+671</f>
        <v>1908</v>
      </c>
      <c r="D9" s="59">
        <f>5000+2750+4200</f>
        <v>11950</v>
      </c>
      <c r="E9" s="59">
        <f t="shared" si="2"/>
        <v>282.98795</v>
      </c>
      <c r="F9" s="59">
        <f t="shared" si="3"/>
        <v>11667.01205</v>
      </c>
      <c r="G9" s="41" t="s">
        <v>3351</v>
      </c>
    </row>
    <row r="10" ht="12.75" customHeight="1">
      <c r="A10" s="41">
        <v>10.0</v>
      </c>
      <c r="B10" s="59">
        <f t="shared" si="1"/>
        <v>44791</v>
      </c>
      <c r="C10" s="59">
        <f>239+224+623+1237+2746+894+790+1118+319+319</f>
        <v>8509</v>
      </c>
      <c r="D10" s="59">
        <f>1500+1400+3900+7750+17200+5600+4950+7000+2000+2000</f>
        <v>53300</v>
      </c>
      <c r="E10" s="59">
        <f t="shared" si="2"/>
        <v>1262.1973</v>
      </c>
      <c r="F10" s="59">
        <f t="shared" si="3"/>
        <v>52037.8027</v>
      </c>
      <c r="G10" s="41" t="s">
        <v>3352</v>
      </c>
    </row>
    <row r="11" ht="12.75" customHeight="1">
      <c r="A11" s="41">
        <v>4.0</v>
      </c>
      <c r="B11" s="59">
        <f t="shared" si="1"/>
        <v>14454</v>
      </c>
      <c r="C11" s="59">
        <f>1293+543+766+144</f>
        <v>2746</v>
      </c>
      <c r="D11" s="59">
        <f>8100+3400+4800+900</f>
        <v>17200</v>
      </c>
      <c r="E11" s="59">
        <f t="shared" si="2"/>
        <v>407.3132</v>
      </c>
      <c r="F11" s="59">
        <f t="shared" si="3"/>
        <v>16792.6868</v>
      </c>
      <c r="G11" s="41" t="s">
        <v>3353</v>
      </c>
    </row>
    <row r="12" ht="12.75" customHeight="1">
      <c r="A12" s="41">
        <v>4.0</v>
      </c>
      <c r="B12" s="59">
        <f t="shared" si="1"/>
        <v>22942</v>
      </c>
      <c r="C12" s="59">
        <f>2155+479+1006+718</f>
        <v>4358</v>
      </c>
      <c r="D12" s="59">
        <f>13500+3000+6300+4500</f>
        <v>27300</v>
      </c>
      <c r="E12" s="59">
        <f t="shared" si="2"/>
        <v>646.4913</v>
      </c>
      <c r="F12" s="59">
        <f t="shared" si="3"/>
        <v>26653.5087</v>
      </c>
      <c r="G12" s="41" t="s">
        <v>3354</v>
      </c>
    </row>
    <row r="13" ht="12.75" customHeight="1">
      <c r="A13" s="41">
        <v>3.0</v>
      </c>
      <c r="B13" s="59">
        <f t="shared" si="1"/>
        <v>26807</v>
      </c>
      <c r="C13" s="59">
        <f>1182+718+3193</f>
        <v>5093</v>
      </c>
      <c r="D13" s="59">
        <f>7400+4500+20000</f>
        <v>31900</v>
      </c>
      <c r="E13" s="59">
        <f t="shared" si="2"/>
        <v>755.4239</v>
      </c>
      <c r="F13" s="59">
        <f t="shared" si="3"/>
        <v>31144.5761</v>
      </c>
      <c r="G13" s="41" t="s">
        <v>3355</v>
      </c>
    </row>
    <row r="14" ht="12.75" customHeight="1">
      <c r="A14" s="41">
        <v>4.0</v>
      </c>
      <c r="B14" s="59">
        <f t="shared" si="1"/>
        <v>26303</v>
      </c>
      <c r="C14" s="59">
        <f>2443+1996+319+239</f>
        <v>4997</v>
      </c>
      <c r="D14" s="59">
        <f>15300+12500+2000+1500</f>
        <v>31300</v>
      </c>
      <c r="E14" s="59">
        <f t="shared" si="2"/>
        <v>741.2153</v>
      </c>
      <c r="F14" s="59">
        <f t="shared" si="3"/>
        <v>30558.7847</v>
      </c>
    </row>
    <row r="15" ht="12.75" customHeight="1">
      <c r="A15" s="41">
        <v>12.0</v>
      </c>
      <c r="B15" s="59">
        <f t="shared" si="1"/>
        <v>58951</v>
      </c>
      <c r="C15" s="59">
        <f>255+319+894+2571+1581+750+1493+902+878+798+367+391</f>
        <v>11199</v>
      </c>
      <c r="D15" s="59">
        <f>1600+2000+5600+16100+9900+4700+9350+5650+5500+5000+2300+2450</f>
        <v>70150</v>
      </c>
      <c r="E15" s="59">
        <f t="shared" si="2"/>
        <v>1661.22215</v>
      </c>
      <c r="F15" s="59">
        <f t="shared" si="3"/>
        <v>68488.77785</v>
      </c>
    </row>
    <row r="16" ht="12.75" customHeight="1">
      <c r="A16" s="41">
        <v>6.0</v>
      </c>
      <c r="B16" s="59">
        <f t="shared" si="1"/>
        <v>52773</v>
      </c>
      <c r="C16" s="59">
        <f>383+1086+3656+639+1868+2395</f>
        <v>10027</v>
      </c>
      <c r="D16" s="59">
        <f>2400+6800+22900+4000+11700+15000</f>
        <v>62800</v>
      </c>
      <c r="E16" s="59">
        <f t="shared" si="2"/>
        <v>1487.1668</v>
      </c>
      <c r="F16" s="59">
        <f t="shared" si="3"/>
        <v>61312.8332</v>
      </c>
      <c r="G16" s="41" t="s">
        <v>3356</v>
      </c>
    </row>
    <row r="17" ht="12.75" customHeight="1">
      <c r="A17" s="41">
        <v>4.0</v>
      </c>
      <c r="B17" s="59">
        <f t="shared" si="1"/>
        <v>15462</v>
      </c>
      <c r="C17" s="59">
        <f>687+1772+160+319</f>
        <v>2938</v>
      </c>
      <c r="D17" s="59">
        <f>4300+11100+1000+2000</f>
        <v>18400</v>
      </c>
      <c r="E17" s="59">
        <f t="shared" si="2"/>
        <v>435.7304</v>
      </c>
      <c r="F17" s="59">
        <f t="shared" si="3"/>
        <v>17964.2696</v>
      </c>
      <c r="G17" s="41" t="s">
        <v>3356</v>
      </c>
    </row>
    <row r="18" ht="12.75" customHeight="1">
      <c r="A18" s="41">
        <v>1.0</v>
      </c>
      <c r="B18" s="59">
        <f t="shared" si="1"/>
        <v>12059</v>
      </c>
      <c r="C18" s="59">
        <v>2291.0</v>
      </c>
      <c r="D18" s="59">
        <v>14350.0</v>
      </c>
      <c r="E18" s="59">
        <f t="shared" si="2"/>
        <v>339.82235</v>
      </c>
      <c r="F18" s="59">
        <f t="shared" si="3"/>
        <v>14010.17765</v>
      </c>
      <c r="G18" s="41" t="s">
        <v>3357</v>
      </c>
    </row>
    <row r="19" ht="12.75" customHeight="1">
      <c r="A19" s="41">
        <v>5.0</v>
      </c>
      <c r="B19" s="59">
        <f t="shared" si="1"/>
        <v>27522</v>
      </c>
      <c r="C19" s="59">
        <f>1261+1277+359+319+2012</f>
        <v>5228</v>
      </c>
      <c r="D19" s="59">
        <f>7900+8000+2250+2000+12600</f>
        <v>32750</v>
      </c>
      <c r="E19" s="59">
        <f t="shared" si="2"/>
        <v>775.55275</v>
      </c>
      <c r="F19" s="59">
        <f t="shared" si="3"/>
        <v>31974.44725</v>
      </c>
    </row>
    <row r="20" ht="12.75" customHeight="1">
      <c r="A20" s="41">
        <v>6.0</v>
      </c>
      <c r="B20" s="59">
        <f t="shared" si="1"/>
        <v>40421</v>
      </c>
      <c r="C20" s="59">
        <f>447+958+447+878+1277+3672</f>
        <v>7679</v>
      </c>
      <c r="D20" s="59">
        <f>2800+6000+2800+5500+8000+23000</f>
        <v>48100</v>
      </c>
      <c r="E20" s="59">
        <f t="shared" si="2"/>
        <v>1139.0561</v>
      </c>
      <c r="F20" s="59">
        <f t="shared" si="3"/>
        <v>46960.9439</v>
      </c>
      <c r="G20" s="41" t="s">
        <v>3358</v>
      </c>
    </row>
    <row r="21" ht="12.75" customHeight="1">
      <c r="A21" s="41">
        <v>4.0</v>
      </c>
      <c r="B21" s="59">
        <f t="shared" si="1"/>
        <v>43823</v>
      </c>
      <c r="C21" s="59">
        <f>4790+2475+447+615</f>
        <v>8327</v>
      </c>
      <c r="D21" s="59">
        <f>30000+15500+2800+3850</f>
        <v>52150</v>
      </c>
      <c r="E21" s="59">
        <f t="shared" si="2"/>
        <v>1234.96415</v>
      </c>
      <c r="F21" s="59">
        <f t="shared" si="3"/>
        <v>50915.03585</v>
      </c>
    </row>
    <row r="22" ht="12.75" customHeight="1">
      <c r="A22" s="41">
        <v>1.0</v>
      </c>
      <c r="B22" s="59">
        <f t="shared" si="1"/>
        <v>6303</v>
      </c>
      <c r="C22" s="59">
        <v>1197.0</v>
      </c>
      <c r="D22" s="59">
        <v>7500.0</v>
      </c>
      <c r="E22" s="59">
        <f t="shared" si="2"/>
        <v>177.6075</v>
      </c>
      <c r="F22" s="59">
        <f t="shared" si="3"/>
        <v>7322.3925</v>
      </c>
    </row>
    <row r="23" ht="12.75" customHeight="1">
      <c r="A23" s="41">
        <v>3.0</v>
      </c>
      <c r="B23" s="59">
        <f t="shared" si="1"/>
        <v>29286</v>
      </c>
      <c r="C23" s="59">
        <f>2419+1229+1916</f>
        <v>5564</v>
      </c>
      <c r="D23" s="59">
        <f>15150+7700+12000</f>
        <v>34850</v>
      </c>
      <c r="E23" s="59">
        <f t="shared" si="2"/>
        <v>825.28285</v>
      </c>
      <c r="F23" s="59">
        <f t="shared" si="3"/>
        <v>34024.71715</v>
      </c>
      <c r="G23" s="41" t="s">
        <v>3359</v>
      </c>
    </row>
    <row r="24" ht="12.75" customHeight="1">
      <c r="A24" s="41">
        <v>5.0</v>
      </c>
      <c r="B24" s="59">
        <f t="shared" si="1"/>
        <v>55378</v>
      </c>
      <c r="C24" s="59">
        <f>319+1597+1022+7185+399</f>
        <v>10522</v>
      </c>
      <c r="D24" s="59">
        <f>2000+10000+6400+45000+2500</f>
        <v>65900</v>
      </c>
      <c r="E24" s="59">
        <f t="shared" si="2"/>
        <v>1560.5779</v>
      </c>
      <c r="F24" s="59">
        <f t="shared" si="3"/>
        <v>64339.4221</v>
      </c>
      <c r="G24" s="41" t="s">
        <v>3360</v>
      </c>
    </row>
    <row r="25" ht="12.75" customHeight="1">
      <c r="A25" s="41">
        <v>1.0</v>
      </c>
      <c r="B25" s="59">
        <f t="shared" si="1"/>
        <v>5378</v>
      </c>
      <c r="C25" s="59">
        <v>1022.0</v>
      </c>
      <c r="D25" s="59">
        <v>6400.0</v>
      </c>
      <c r="E25" s="59">
        <f t="shared" si="2"/>
        <v>151.5584</v>
      </c>
      <c r="F25" s="59">
        <f t="shared" si="3"/>
        <v>6248.4416</v>
      </c>
      <c r="G25" s="41" t="s">
        <v>3360</v>
      </c>
    </row>
    <row r="26" ht="12.75" customHeight="1">
      <c r="A26" s="41">
        <v>0.0</v>
      </c>
      <c r="B26" s="59">
        <f t="shared" si="1"/>
        <v>0</v>
      </c>
      <c r="C26" s="59">
        <v>0.0</v>
      </c>
      <c r="D26" s="59">
        <v>0.0</v>
      </c>
      <c r="E26" s="59">
        <f t="shared" si="2"/>
        <v>0</v>
      </c>
      <c r="F26" s="59">
        <f t="shared" si="3"/>
        <v>0</v>
      </c>
    </row>
    <row r="27" ht="12.75" customHeight="1">
      <c r="A27" s="41">
        <v>2.0</v>
      </c>
      <c r="B27" s="59">
        <f t="shared" si="1"/>
        <v>4706</v>
      </c>
      <c r="C27" s="59">
        <f>734+160</f>
        <v>894</v>
      </c>
      <c r="D27" s="59">
        <f>4600+1000</f>
        <v>5600</v>
      </c>
      <c r="E27" s="59">
        <f t="shared" si="2"/>
        <v>132.6136</v>
      </c>
      <c r="F27" s="59">
        <f t="shared" si="3"/>
        <v>5467.3864</v>
      </c>
      <c r="G27" s="41" t="s">
        <v>3361</v>
      </c>
    </row>
    <row r="28" ht="12.75" customHeight="1">
      <c r="A28" s="41">
        <v>1.0</v>
      </c>
      <c r="B28" s="59">
        <f t="shared" si="1"/>
        <v>6134</v>
      </c>
      <c r="C28" s="59">
        <v>1166.0</v>
      </c>
      <c r="D28" s="59">
        <v>7300.0</v>
      </c>
      <c r="E28" s="59">
        <f t="shared" si="2"/>
        <v>172.8713</v>
      </c>
      <c r="F28" s="59">
        <f t="shared" si="3"/>
        <v>7127.1287</v>
      </c>
    </row>
    <row r="29" ht="12.75" customHeight="1">
      <c r="A29" s="41">
        <v>3.0</v>
      </c>
      <c r="B29" s="59">
        <f t="shared" si="1"/>
        <v>13109</v>
      </c>
      <c r="C29" s="59">
        <f>1868+543+80</f>
        <v>2491</v>
      </c>
      <c r="D29" s="59">
        <f>11700+3400+500</f>
        <v>15600</v>
      </c>
      <c r="E29" s="59">
        <f t="shared" si="2"/>
        <v>369.4236</v>
      </c>
      <c r="F29" s="59">
        <f t="shared" si="3"/>
        <v>15230.5764</v>
      </c>
    </row>
    <row r="30" ht="12.75" customHeight="1">
      <c r="A30" s="41">
        <v>5.0</v>
      </c>
      <c r="B30" s="59">
        <f t="shared" si="1"/>
        <v>23444</v>
      </c>
      <c r="C30" s="59">
        <f>160+208+575+607+2906</f>
        <v>4456</v>
      </c>
      <c r="D30" s="59">
        <f>1000+1300+3600+3800+18200</f>
        <v>27900</v>
      </c>
      <c r="E30" s="59">
        <f t="shared" si="2"/>
        <v>660.6999</v>
      </c>
      <c r="F30" s="59">
        <f t="shared" si="3"/>
        <v>27239.3001</v>
      </c>
      <c r="G30" s="41" t="s">
        <v>3329</v>
      </c>
    </row>
    <row r="31" ht="12.75" customHeight="1">
      <c r="A31" s="65">
        <f t="shared" ref="A31:F31" si="4">SUM(A1:A30)</f>
        <v>131</v>
      </c>
      <c r="B31" s="66">
        <f t="shared" si="4"/>
        <v>869167</v>
      </c>
      <c r="C31" s="66">
        <f t="shared" si="4"/>
        <v>165133</v>
      </c>
      <c r="D31" s="66">
        <f t="shared" si="4"/>
        <v>1034300</v>
      </c>
      <c r="E31" s="67">
        <f t="shared" si="4"/>
        <v>24493.2583</v>
      </c>
      <c r="F31" s="67">
        <f t="shared" si="4"/>
        <v>1009806.742</v>
      </c>
    </row>
    <row r="32" ht="12.75" customHeight="1">
      <c r="B32" s="59"/>
      <c r="C32" s="59"/>
      <c r="D32" s="59"/>
      <c r="E32" s="59"/>
      <c r="F32" s="59"/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78" t="s">
        <v>3218</v>
      </c>
      <c r="D34" s="78">
        <f>D31*2.3681%</f>
        <v>24493.2583</v>
      </c>
      <c r="E34" s="59"/>
      <c r="F34" s="59"/>
    </row>
    <row r="35" ht="12.75" customHeight="1">
      <c r="B35" s="59"/>
      <c r="C35" s="59"/>
      <c r="D35" s="59"/>
      <c r="E35" s="59"/>
      <c r="F35" s="59"/>
    </row>
    <row r="36" ht="12.75" customHeight="1">
      <c r="B36" s="59">
        <f t="shared" ref="B36:D36" si="5">B35-B31</f>
        <v>-869167</v>
      </c>
      <c r="C36" s="59">
        <f t="shared" si="5"/>
        <v>-165133</v>
      </c>
      <c r="D36" s="59">
        <f t="shared" si="5"/>
        <v>-1034300</v>
      </c>
      <c r="E36" s="59"/>
      <c r="F36" s="59"/>
    </row>
    <row r="37" ht="12.75" customHeight="1">
      <c r="B37" s="59"/>
      <c r="C37" s="59"/>
      <c r="D37" s="59"/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38"/>
    <col customWidth="1" min="3" max="3" width="13.75"/>
    <col customWidth="1" min="4" max="6" width="11.38"/>
    <col customWidth="1" min="7" max="26" width="10.63"/>
  </cols>
  <sheetData>
    <row r="1" ht="12.75" customHeight="1">
      <c r="A1" s="41">
        <v>4.0</v>
      </c>
      <c r="B1" s="59">
        <f t="shared" ref="B1:B31" si="1">D1-C1</f>
        <v>20504</v>
      </c>
      <c r="C1" s="59">
        <f>303+1437+527+1629</f>
        <v>3896</v>
      </c>
      <c r="D1" s="59">
        <f>1900+9000+3300+10200</f>
        <v>24400</v>
      </c>
      <c r="E1" s="59">
        <f t="shared" ref="E1:E31" si="2">D1*2.3681%</f>
        <v>577.8164</v>
      </c>
      <c r="F1" s="59">
        <f t="shared" ref="F1:F31" si="3">D1-E1</f>
        <v>23822.1836</v>
      </c>
      <c r="G1" s="37" t="s">
        <v>3362</v>
      </c>
    </row>
    <row r="2" ht="12.75" customHeight="1">
      <c r="A2" s="41">
        <v>1.0</v>
      </c>
      <c r="B2" s="59">
        <f t="shared" si="1"/>
        <v>7395</v>
      </c>
      <c r="C2" s="59">
        <v>1405.0</v>
      </c>
      <c r="D2" s="59">
        <v>8800.0</v>
      </c>
      <c r="E2" s="59">
        <f t="shared" si="2"/>
        <v>208.3928</v>
      </c>
      <c r="F2" s="59">
        <f t="shared" si="3"/>
        <v>8591.6072</v>
      </c>
      <c r="G2" s="37" t="s">
        <v>3363</v>
      </c>
    </row>
    <row r="3" ht="12.75" customHeight="1">
      <c r="A3" s="41">
        <v>3.0</v>
      </c>
      <c r="B3" s="59">
        <f t="shared" si="1"/>
        <v>9328</v>
      </c>
      <c r="C3" s="59">
        <f>575+399+798</f>
        <v>1772</v>
      </c>
      <c r="D3" s="59">
        <f>3600+2500+5000</f>
        <v>11100</v>
      </c>
      <c r="E3" s="59">
        <f t="shared" si="2"/>
        <v>262.8591</v>
      </c>
      <c r="F3" s="59">
        <f t="shared" si="3"/>
        <v>10837.1409</v>
      </c>
    </row>
    <row r="4" ht="12.75" customHeight="1">
      <c r="A4" s="41">
        <v>10.0</v>
      </c>
      <c r="B4" s="59">
        <f t="shared" si="1"/>
        <v>44286</v>
      </c>
      <c r="C4" s="59">
        <f>2076+407+407+1613+814+447+998+766+271+615</f>
        <v>8414</v>
      </c>
      <c r="D4" s="59">
        <f>13000+2550+2550+10100+5100+2800+6250+4800+1700+3850</f>
        <v>52700</v>
      </c>
      <c r="E4" s="59">
        <f t="shared" si="2"/>
        <v>1247.9887</v>
      </c>
      <c r="F4" s="59">
        <f t="shared" si="3"/>
        <v>51452.0113</v>
      </c>
    </row>
    <row r="5" ht="12.75" customHeight="1">
      <c r="A5" s="41">
        <v>11.0</v>
      </c>
      <c r="B5" s="59">
        <f t="shared" si="1"/>
        <v>77605</v>
      </c>
      <c r="C5" s="59">
        <f>1118+734+160+734+1309+3066+671+838+208+3193+2714</f>
        <v>14745</v>
      </c>
      <c r="D5" s="59">
        <f>7000+4600+1000+4600+8200+19200+4200+5250+1300+20000+17000</f>
        <v>92350</v>
      </c>
      <c r="E5" s="59">
        <f t="shared" si="2"/>
        <v>2186.94035</v>
      </c>
      <c r="F5" s="59">
        <f t="shared" si="3"/>
        <v>90163.05965</v>
      </c>
      <c r="G5" s="73">
        <v>45418.0</v>
      </c>
    </row>
    <row r="6" ht="12.75" customHeight="1">
      <c r="A6" s="41">
        <v>1.0</v>
      </c>
      <c r="B6" s="59">
        <f t="shared" si="1"/>
        <v>1092</v>
      </c>
      <c r="C6" s="59">
        <v>208.0</v>
      </c>
      <c r="D6" s="59">
        <v>1300.0</v>
      </c>
      <c r="E6" s="59">
        <f t="shared" si="2"/>
        <v>30.7853</v>
      </c>
      <c r="F6" s="59">
        <f t="shared" si="3"/>
        <v>1269.2147</v>
      </c>
      <c r="G6" s="37" t="s">
        <v>3364</v>
      </c>
    </row>
    <row r="7" ht="12.75" customHeight="1">
      <c r="A7" s="41">
        <v>2.0</v>
      </c>
      <c r="B7" s="59">
        <f t="shared" si="1"/>
        <v>6513</v>
      </c>
      <c r="C7" s="59">
        <f>998+239</f>
        <v>1237</v>
      </c>
      <c r="D7" s="59">
        <f>6250+1500</f>
        <v>7750</v>
      </c>
      <c r="E7" s="59">
        <f t="shared" si="2"/>
        <v>183.52775</v>
      </c>
      <c r="F7" s="59">
        <f t="shared" si="3"/>
        <v>7566.47225</v>
      </c>
      <c r="G7" s="37" t="s">
        <v>3365</v>
      </c>
    </row>
    <row r="8" ht="12.75" customHeight="1">
      <c r="A8" s="41">
        <v>2.0</v>
      </c>
      <c r="B8" s="59">
        <f t="shared" si="1"/>
        <v>14874</v>
      </c>
      <c r="C8" s="59">
        <f>2347+479</f>
        <v>2826</v>
      </c>
      <c r="D8" s="59">
        <f>14700+3000</f>
        <v>17700</v>
      </c>
      <c r="E8" s="59">
        <f t="shared" si="2"/>
        <v>419.1537</v>
      </c>
      <c r="F8" s="59">
        <f t="shared" si="3"/>
        <v>17280.8463</v>
      </c>
      <c r="G8" s="37" t="s">
        <v>3366</v>
      </c>
    </row>
    <row r="9" ht="12.75" customHeight="1">
      <c r="A9" s="41">
        <v>5.0</v>
      </c>
      <c r="B9" s="59">
        <f t="shared" si="1"/>
        <v>14286</v>
      </c>
      <c r="C9" s="59">
        <f>319+88+511+998+798</f>
        <v>2714</v>
      </c>
      <c r="D9" s="59">
        <f>2000+550+3200+6250+5000</f>
        <v>17000</v>
      </c>
      <c r="E9" s="59">
        <f t="shared" si="2"/>
        <v>402.577</v>
      </c>
      <c r="F9" s="59">
        <f t="shared" si="3"/>
        <v>16597.423</v>
      </c>
      <c r="G9" s="37" t="s">
        <v>3367</v>
      </c>
    </row>
    <row r="10" ht="12.75" customHeight="1">
      <c r="A10" s="41">
        <v>2.0</v>
      </c>
      <c r="B10" s="59">
        <f t="shared" si="1"/>
        <v>5781</v>
      </c>
      <c r="C10" s="59">
        <f>575+524</f>
        <v>1099</v>
      </c>
      <c r="D10" s="59">
        <f>3600+3280</f>
        <v>6880</v>
      </c>
      <c r="E10" s="59">
        <f t="shared" si="2"/>
        <v>162.92528</v>
      </c>
      <c r="F10" s="59">
        <f t="shared" si="3"/>
        <v>6717.07472</v>
      </c>
    </row>
    <row r="11" ht="12.75" customHeight="1">
      <c r="A11" s="41">
        <v>6.0</v>
      </c>
      <c r="B11" s="59">
        <f t="shared" si="1"/>
        <v>24118</v>
      </c>
      <c r="C11" s="59">
        <f>1237+695+798+479+990+383</f>
        <v>4582</v>
      </c>
      <c r="D11" s="59">
        <f>7750+4350+5000+3000+6200+2400</f>
        <v>28700</v>
      </c>
      <c r="E11" s="59">
        <f t="shared" si="2"/>
        <v>679.6447</v>
      </c>
      <c r="F11" s="59">
        <f t="shared" si="3"/>
        <v>28020.3553</v>
      </c>
    </row>
    <row r="12" ht="12.75" customHeight="1">
      <c r="A12" s="41">
        <v>2.0</v>
      </c>
      <c r="B12" s="59">
        <f t="shared" si="1"/>
        <v>19202</v>
      </c>
      <c r="C12" s="59">
        <f>3193+455</f>
        <v>3648</v>
      </c>
      <c r="D12" s="59">
        <f>20000+2850</f>
        <v>22850</v>
      </c>
      <c r="E12" s="59">
        <f t="shared" si="2"/>
        <v>541.11085</v>
      </c>
      <c r="F12" s="59">
        <f t="shared" si="3"/>
        <v>22308.88915</v>
      </c>
      <c r="G12" s="37" t="s">
        <v>3368</v>
      </c>
    </row>
    <row r="13" ht="12.75" customHeight="1">
      <c r="A13" s="41">
        <v>5.0</v>
      </c>
      <c r="B13" s="59">
        <f t="shared" si="1"/>
        <v>34453</v>
      </c>
      <c r="C13" s="59">
        <f>1277+511+575+1597+2587</f>
        <v>6547</v>
      </c>
      <c r="D13" s="59">
        <f>8000+3200+3600+10000+16200</f>
        <v>41000</v>
      </c>
      <c r="E13" s="59">
        <f t="shared" si="2"/>
        <v>970.921</v>
      </c>
      <c r="F13" s="59">
        <f t="shared" si="3"/>
        <v>40029.079</v>
      </c>
      <c r="G13" s="37" t="s">
        <v>3369</v>
      </c>
    </row>
    <row r="14" ht="12.75" customHeight="1">
      <c r="A14" s="41">
        <v>5.0</v>
      </c>
      <c r="B14" s="59">
        <f t="shared" si="1"/>
        <v>16386</v>
      </c>
      <c r="C14" s="59">
        <f>255+671+144+1405+639</f>
        <v>3114</v>
      </c>
      <c r="D14" s="59">
        <f>1600+4200+900+8800+4000</f>
        <v>19500</v>
      </c>
      <c r="E14" s="59">
        <f t="shared" si="2"/>
        <v>461.7795</v>
      </c>
      <c r="F14" s="59">
        <f t="shared" si="3"/>
        <v>19038.2205</v>
      </c>
      <c r="G14" s="37" t="s">
        <v>3370</v>
      </c>
    </row>
    <row r="15" ht="12.75" customHeight="1">
      <c r="A15" s="41">
        <v>1.0</v>
      </c>
      <c r="B15" s="59">
        <f t="shared" si="1"/>
        <v>4496</v>
      </c>
      <c r="C15" s="59">
        <v>854.0</v>
      </c>
      <c r="D15" s="59">
        <v>5350.0</v>
      </c>
      <c r="E15" s="59">
        <f t="shared" si="2"/>
        <v>126.69335</v>
      </c>
      <c r="F15" s="59">
        <f t="shared" si="3"/>
        <v>5223.30665</v>
      </c>
      <c r="G15" s="37" t="s">
        <v>3371</v>
      </c>
    </row>
    <row r="16" ht="12.75" customHeight="1">
      <c r="A16" s="41">
        <v>4.0</v>
      </c>
      <c r="B16" s="59">
        <f t="shared" si="1"/>
        <v>31681</v>
      </c>
      <c r="C16" s="59">
        <f>958+3832+319+910</f>
        <v>6019</v>
      </c>
      <c r="D16" s="59">
        <f>6000+24000+2000+5700</f>
        <v>37700</v>
      </c>
      <c r="E16" s="59">
        <f t="shared" si="2"/>
        <v>892.7737</v>
      </c>
      <c r="F16" s="59">
        <f t="shared" si="3"/>
        <v>36807.2263</v>
      </c>
      <c r="G16" s="37" t="s">
        <v>3372</v>
      </c>
    </row>
    <row r="17" ht="12.75" customHeight="1">
      <c r="A17" s="41">
        <v>2.0</v>
      </c>
      <c r="B17" s="59">
        <f t="shared" si="1"/>
        <v>12857</v>
      </c>
      <c r="C17" s="59">
        <f>1086+1357</f>
        <v>2443</v>
      </c>
      <c r="D17" s="59">
        <f>6800+8500</f>
        <v>15300</v>
      </c>
      <c r="E17" s="59">
        <f t="shared" si="2"/>
        <v>362.3193</v>
      </c>
      <c r="F17" s="59">
        <f t="shared" si="3"/>
        <v>14937.6807</v>
      </c>
    </row>
    <row r="18" ht="12.75" customHeight="1">
      <c r="A18" s="41">
        <v>2.0</v>
      </c>
      <c r="B18" s="59">
        <f t="shared" si="1"/>
        <v>13194</v>
      </c>
      <c r="C18" s="59">
        <f>351+2155</f>
        <v>2506</v>
      </c>
      <c r="D18" s="59">
        <f>2200+13500</f>
        <v>15700</v>
      </c>
      <c r="E18" s="59">
        <f t="shared" si="2"/>
        <v>371.7917</v>
      </c>
      <c r="F18" s="59">
        <f t="shared" si="3"/>
        <v>15328.2083</v>
      </c>
      <c r="G18" s="37" t="s">
        <v>3373</v>
      </c>
    </row>
    <row r="19" ht="12.75" customHeight="1">
      <c r="A19" s="41">
        <v>0.0</v>
      </c>
      <c r="B19" s="59">
        <f t="shared" si="1"/>
        <v>0</v>
      </c>
      <c r="C19" s="59">
        <v>0.0</v>
      </c>
      <c r="D19" s="59">
        <v>0.0</v>
      </c>
      <c r="E19" s="59">
        <f t="shared" si="2"/>
        <v>0</v>
      </c>
      <c r="F19" s="59">
        <f t="shared" si="3"/>
        <v>0</v>
      </c>
    </row>
    <row r="20" ht="12.75" customHeight="1">
      <c r="A20" s="41">
        <v>4.0</v>
      </c>
      <c r="B20" s="59">
        <f t="shared" si="1"/>
        <v>53782</v>
      </c>
      <c r="C20" s="59">
        <f>7983+64+319+1852</f>
        <v>10218</v>
      </c>
      <c r="D20" s="59">
        <f>50000+400+2000+11600</f>
        <v>64000</v>
      </c>
      <c r="E20" s="59">
        <f t="shared" si="2"/>
        <v>1515.584</v>
      </c>
      <c r="F20" s="59">
        <f t="shared" si="3"/>
        <v>62484.416</v>
      </c>
    </row>
    <row r="21" ht="12.75" customHeight="1">
      <c r="A21" s="41">
        <v>6.0</v>
      </c>
      <c r="B21" s="59">
        <f t="shared" si="1"/>
        <v>32562</v>
      </c>
      <c r="C21" s="59">
        <f>655+663+399+798+3513+160</f>
        <v>6188</v>
      </c>
      <c r="D21" s="59">
        <f>4100+4150+2500+5000+22000+1000</f>
        <v>38750</v>
      </c>
      <c r="E21" s="59">
        <f t="shared" si="2"/>
        <v>917.63875</v>
      </c>
      <c r="F21" s="59">
        <f t="shared" si="3"/>
        <v>37832.36125</v>
      </c>
      <c r="G21" s="37" t="s">
        <v>3374</v>
      </c>
    </row>
    <row r="22" ht="12.75" customHeight="1">
      <c r="A22" s="41">
        <v>0.0</v>
      </c>
      <c r="B22" s="59">
        <f t="shared" si="1"/>
        <v>0</v>
      </c>
      <c r="C22" s="59">
        <v>0.0</v>
      </c>
      <c r="D22" s="59">
        <v>0.0</v>
      </c>
      <c r="E22" s="59">
        <f t="shared" si="2"/>
        <v>0</v>
      </c>
      <c r="F22" s="59">
        <f t="shared" si="3"/>
        <v>0</v>
      </c>
    </row>
    <row r="23" ht="12.75" customHeight="1">
      <c r="A23" s="41">
        <v>5.0</v>
      </c>
      <c r="B23" s="59">
        <f t="shared" si="1"/>
        <v>12606</v>
      </c>
      <c r="C23" s="59">
        <f>718+224+846+287+319</f>
        <v>2394</v>
      </c>
      <c r="D23" s="59">
        <f>4500+1400+5300+1800+2000</f>
        <v>15000</v>
      </c>
      <c r="E23" s="59">
        <f t="shared" si="2"/>
        <v>355.215</v>
      </c>
      <c r="F23" s="59">
        <f t="shared" si="3"/>
        <v>14644.785</v>
      </c>
      <c r="G23" s="37" t="s">
        <v>3375</v>
      </c>
    </row>
    <row r="24" ht="12.75" customHeight="1">
      <c r="A24" s="41">
        <v>3.0</v>
      </c>
      <c r="B24" s="59">
        <f t="shared" si="1"/>
        <v>5715</v>
      </c>
      <c r="C24" s="59">
        <f>479+287+319</f>
        <v>1085</v>
      </c>
      <c r="D24" s="59">
        <f>3000+1800+2000</f>
        <v>6800</v>
      </c>
      <c r="E24" s="59">
        <f t="shared" si="2"/>
        <v>161.0308</v>
      </c>
      <c r="F24" s="59">
        <f t="shared" si="3"/>
        <v>6638.9692</v>
      </c>
    </row>
    <row r="25" ht="12.75" customHeight="1">
      <c r="A25" s="41">
        <v>2.0</v>
      </c>
      <c r="B25" s="59">
        <f t="shared" si="1"/>
        <v>18824</v>
      </c>
      <c r="C25" s="59">
        <f>431+3145</f>
        <v>3576</v>
      </c>
      <c r="D25" s="59">
        <f>2700+19700</f>
        <v>22400</v>
      </c>
      <c r="E25" s="59">
        <f t="shared" si="2"/>
        <v>530.4544</v>
      </c>
      <c r="F25" s="59">
        <f t="shared" si="3"/>
        <v>21869.5456</v>
      </c>
    </row>
    <row r="26" ht="12.75" customHeight="1">
      <c r="A26" s="41">
        <v>4.0</v>
      </c>
      <c r="B26" s="59">
        <f t="shared" si="1"/>
        <v>42436</v>
      </c>
      <c r="C26" s="59">
        <f>1118+479+4918+1549</f>
        <v>8064</v>
      </c>
      <c r="D26" s="59">
        <f>7000+3000+30800+9700</f>
        <v>50500</v>
      </c>
      <c r="E26" s="59">
        <f t="shared" si="2"/>
        <v>1195.8905</v>
      </c>
      <c r="F26" s="59">
        <f t="shared" si="3"/>
        <v>49304.1095</v>
      </c>
      <c r="G26" s="73">
        <v>45439.0</v>
      </c>
    </row>
    <row r="27" ht="12.75" customHeight="1">
      <c r="A27" s="41">
        <v>3.0</v>
      </c>
      <c r="B27" s="59">
        <f t="shared" si="1"/>
        <v>16470</v>
      </c>
      <c r="C27" s="59">
        <f>854+631+1645</f>
        <v>3130</v>
      </c>
      <c r="D27" s="59">
        <f>5350+3950+10300</f>
        <v>19600</v>
      </c>
      <c r="E27" s="59">
        <f t="shared" si="2"/>
        <v>464.1476</v>
      </c>
      <c r="F27" s="59">
        <f t="shared" si="3"/>
        <v>19135.8524</v>
      </c>
      <c r="G27" s="37" t="s">
        <v>3376</v>
      </c>
    </row>
    <row r="28" ht="12.75" customHeight="1">
      <c r="A28" s="41">
        <v>6.0</v>
      </c>
      <c r="B28" s="59">
        <f t="shared" si="1"/>
        <v>22648</v>
      </c>
      <c r="C28" s="59">
        <f>239+1597+758+774+335+599</f>
        <v>4302</v>
      </c>
      <c r="D28" s="59">
        <f>1500+10000+4750+4850+2100+3750</f>
        <v>26950</v>
      </c>
      <c r="E28" s="59">
        <f t="shared" si="2"/>
        <v>638.20295</v>
      </c>
      <c r="F28" s="59">
        <f t="shared" si="3"/>
        <v>26311.79705</v>
      </c>
      <c r="G28" s="37" t="s">
        <v>3377</v>
      </c>
    </row>
    <row r="29" ht="12.75" customHeight="1">
      <c r="A29" s="41">
        <v>1.0</v>
      </c>
      <c r="B29" s="59">
        <f t="shared" si="1"/>
        <v>1387</v>
      </c>
      <c r="C29" s="59">
        <v>263.0</v>
      </c>
      <c r="D29" s="59">
        <v>1650.0</v>
      </c>
      <c r="E29" s="59">
        <f t="shared" si="2"/>
        <v>39.07365</v>
      </c>
      <c r="F29" s="59">
        <f t="shared" si="3"/>
        <v>1610.92635</v>
      </c>
      <c r="G29" s="37" t="s">
        <v>3378</v>
      </c>
    </row>
    <row r="30" ht="12.75" customHeight="1">
      <c r="A30" s="41">
        <v>3.0</v>
      </c>
      <c r="B30" s="59">
        <f t="shared" si="1"/>
        <v>8823</v>
      </c>
      <c r="C30" s="59">
        <f>415+96+1166</f>
        <v>1677</v>
      </c>
      <c r="D30" s="59">
        <f>2600+600+7300</f>
        <v>10500</v>
      </c>
      <c r="E30" s="59">
        <f t="shared" si="2"/>
        <v>248.6505</v>
      </c>
      <c r="F30" s="59">
        <f t="shared" si="3"/>
        <v>10251.3495</v>
      </c>
      <c r="G30" s="37" t="s">
        <v>3379</v>
      </c>
    </row>
    <row r="31" ht="12.75" customHeight="1">
      <c r="A31" s="41">
        <v>1.0</v>
      </c>
      <c r="B31" s="59">
        <f t="shared" si="1"/>
        <v>2101</v>
      </c>
      <c r="C31" s="59">
        <v>399.0</v>
      </c>
      <c r="D31" s="59">
        <v>2500.0</v>
      </c>
      <c r="E31" s="59">
        <f t="shared" si="2"/>
        <v>59.2025</v>
      </c>
      <c r="F31" s="59">
        <f t="shared" si="3"/>
        <v>2440.7975</v>
      </c>
      <c r="G31" s="37" t="s">
        <v>3347</v>
      </c>
    </row>
    <row r="32" ht="12.75" customHeight="1">
      <c r="A32" s="69">
        <f t="shared" ref="A32:F32" si="4">SUM(A1:A31)</f>
        <v>106</v>
      </c>
      <c r="B32" s="66">
        <f t="shared" si="4"/>
        <v>575405</v>
      </c>
      <c r="C32" s="66">
        <f t="shared" si="4"/>
        <v>109325</v>
      </c>
      <c r="D32" s="66">
        <f t="shared" si="4"/>
        <v>684730</v>
      </c>
      <c r="E32" s="67">
        <f t="shared" si="4"/>
        <v>16215.09113</v>
      </c>
      <c r="F32" s="67">
        <f t="shared" si="4"/>
        <v>668514.9089</v>
      </c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59"/>
      <c r="D34" s="59"/>
      <c r="E34" s="59"/>
      <c r="F34" s="59"/>
    </row>
    <row r="35" ht="12.75" customHeight="1">
      <c r="B35" s="59"/>
      <c r="C35" s="78" t="s">
        <v>3218</v>
      </c>
      <c r="D35" s="78">
        <f>D32*2.3681%</f>
        <v>16215.09113</v>
      </c>
      <c r="E35" s="59"/>
      <c r="F35" s="59"/>
    </row>
    <row r="36" ht="12.75" customHeight="1">
      <c r="B36" s="59"/>
      <c r="C36" s="59"/>
      <c r="D36" s="59"/>
      <c r="E36" s="59"/>
      <c r="F36" s="59"/>
    </row>
    <row r="37" ht="12.75" customHeight="1">
      <c r="B37" s="59">
        <f t="shared" ref="B37:D37" si="5">B36-B32</f>
        <v>-575405</v>
      </c>
      <c r="C37" s="59">
        <f t="shared" si="5"/>
        <v>-109325</v>
      </c>
      <c r="D37" s="59">
        <f t="shared" si="5"/>
        <v>-684730</v>
      </c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1.38"/>
    <col customWidth="1" min="3" max="3" width="13.75"/>
    <col customWidth="1" min="4" max="6" width="11.38"/>
    <col customWidth="1" min="7" max="26" width="10.63"/>
  </cols>
  <sheetData>
    <row r="1" ht="12.75" customHeight="1">
      <c r="A1" s="41">
        <v>3.0</v>
      </c>
      <c r="B1" s="59">
        <f t="shared" ref="B1:B30" si="1">D1-C1</f>
        <v>10547</v>
      </c>
      <c r="C1" s="59">
        <f>718+1046+239</f>
        <v>2003</v>
      </c>
      <c r="D1" s="59">
        <f>4500+6550+1500</f>
        <v>12550</v>
      </c>
      <c r="E1" s="59">
        <f t="shared" ref="E1:E30" si="2">D1*2.3681%</f>
        <v>297.19655</v>
      </c>
      <c r="F1" s="59">
        <f t="shared" ref="F1:F30" si="3">D1-E1</f>
        <v>12252.80345</v>
      </c>
    </row>
    <row r="2" ht="12.75" customHeight="1">
      <c r="A2" s="41">
        <v>0.0</v>
      </c>
      <c r="B2" s="59">
        <f t="shared" si="1"/>
        <v>0</v>
      </c>
      <c r="C2" s="59">
        <v>0.0</v>
      </c>
      <c r="D2" s="59">
        <v>0.0</v>
      </c>
      <c r="E2" s="59">
        <f t="shared" si="2"/>
        <v>0</v>
      </c>
      <c r="F2" s="59">
        <f t="shared" si="3"/>
        <v>0</v>
      </c>
    </row>
    <row r="3" ht="12.75" customHeight="1">
      <c r="A3" s="41">
        <v>1.0</v>
      </c>
      <c r="B3" s="59">
        <f t="shared" si="1"/>
        <v>1008</v>
      </c>
      <c r="C3" s="59">
        <v>192.0</v>
      </c>
      <c r="D3" s="59">
        <v>1200.0</v>
      </c>
      <c r="E3" s="59">
        <f t="shared" si="2"/>
        <v>28.4172</v>
      </c>
      <c r="F3" s="59">
        <f t="shared" si="3"/>
        <v>1171.5828</v>
      </c>
    </row>
    <row r="4" ht="12.75" customHeight="1">
      <c r="A4" s="41">
        <v>1.0</v>
      </c>
      <c r="B4" s="59">
        <f t="shared" si="1"/>
        <v>4370</v>
      </c>
      <c r="C4" s="59">
        <v>830.0</v>
      </c>
      <c r="D4" s="59">
        <v>5200.0</v>
      </c>
      <c r="E4" s="59">
        <f t="shared" si="2"/>
        <v>123.1412</v>
      </c>
      <c r="F4" s="59">
        <f t="shared" si="3"/>
        <v>5076.8588</v>
      </c>
    </row>
    <row r="5" ht="12.75" customHeight="1">
      <c r="A5" s="41">
        <v>2.0</v>
      </c>
      <c r="B5" s="59">
        <f t="shared" si="1"/>
        <v>41176</v>
      </c>
      <c r="C5" s="59">
        <f>7345+479</f>
        <v>7824</v>
      </c>
      <c r="D5" s="59">
        <f>46000+3000</f>
        <v>49000</v>
      </c>
      <c r="E5" s="59">
        <f t="shared" si="2"/>
        <v>1160.369</v>
      </c>
      <c r="F5" s="59">
        <f t="shared" si="3"/>
        <v>47839.631</v>
      </c>
    </row>
    <row r="6" ht="12.75" customHeight="1">
      <c r="A6" s="41">
        <v>3.0</v>
      </c>
      <c r="B6" s="59">
        <f t="shared" si="1"/>
        <v>5210</v>
      </c>
      <c r="C6" s="59">
        <f>319+192+479</f>
        <v>990</v>
      </c>
      <c r="D6" s="59">
        <f>2000+1200+3000</f>
        <v>6200</v>
      </c>
      <c r="E6" s="59">
        <f t="shared" si="2"/>
        <v>146.8222</v>
      </c>
      <c r="F6" s="59">
        <f t="shared" si="3"/>
        <v>6053.1778</v>
      </c>
    </row>
    <row r="7" ht="12.75" customHeight="1">
      <c r="A7" s="41">
        <v>0.0</v>
      </c>
      <c r="B7" s="59">
        <f t="shared" si="1"/>
        <v>0</v>
      </c>
      <c r="C7" s="59">
        <v>0.0</v>
      </c>
      <c r="D7" s="59">
        <v>0.0</v>
      </c>
      <c r="E7" s="59">
        <f t="shared" si="2"/>
        <v>0</v>
      </c>
      <c r="F7" s="59">
        <f t="shared" si="3"/>
        <v>0</v>
      </c>
    </row>
    <row r="8" ht="12.75" customHeight="1">
      <c r="A8" s="41">
        <v>2.0</v>
      </c>
      <c r="B8" s="59">
        <f t="shared" si="1"/>
        <v>13445</v>
      </c>
      <c r="C8" s="59">
        <f>639+1916</f>
        <v>2555</v>
      </c>
      <c r="D8" s="59">
        <f>4000+12000</f>
        <v>16000</v>
      </c>
      <c r="E8" s="59">
        <f t="shared" si="2"/>
        <v>378.896</v>
      </c>
      <c r="F8" s="59">
        <f t="shared" si="3"/>
        <v>15621.104</v>
      </c>
    </row>
    <row r="9" ht="12.75" customHeight="1">
      <c r="A9" s="41">
        <v>3.0</v>
      </c>
      <c r="B9" s="59">
        <f t="shared" si="1"/>
        <v>25084</v>
      </c>
      <c r="C9" s="59">
        <f>224+958+3584</f>
        <v>4766</v>
      </c>
      <c r="D9" s="59">
        <f>1400+6000+22450</f>
        <v>29850</v>
      </c>
      <c r="E9" s="59">
        <f t="shared" si="2"/>
        <v>706.87785</v>
      </c>
      <c r="F9" s="59">
        <f t="shared" si="3"/>
        <v>29143.12215</v>
      </c>
    </row>
    <row r="10" ht="12.75" customHeight="1">
      <c r="A10" s="41">
        <v>2.0</v>
      </c>
      <c r="B10" s="59">
        <f t="shared" si="1"/>
        <v>20588</v>
      </c>
      <c r="C10" s="59">
        <f>3513+399</f>
        <v>3912</v>
      </c>
      <c r="D10" s="59">
        <f>22000+2500</f>
        <v>24500</v>
      </c>
      <c r="E10" s="59">
        <f t="shared" si="2"/>
        <v>580.1845</v>
      </c>
      <c r="F10" s="59">
        <f t="shared" si="3"/>
        <v>23919.8155</v>
      </c>
    </row>
    <row r="11" ht="12.75" customHeight="1">
      <c r="A11" s="41">
        <v>4.0</v>
      </c>
      <c r="B11" s="59">
        <f t="shared" si="1"/>
        <v>7143</v>
      </c>
      <c r="C11" s="59">
        <f>239+415+64+639</f>
        <v>1357</v>
      </c>
      <c r="D11" s="59">
        <f>1500+2600+400+4000</f>
        <v>8500</v>
      </c>
      <c r="E11" s="59">
        <f t="shared" si="2"/>
        <v>201.2885</v>
      </c>
      <c r="F11" s="59">
        <f t="shared" si="3"/>
        <v>8298.7115</v>
      </c>
    </row>
    <row r="12" ht="12.75" customHeight="1">
      <c r="A12" s="41">
        <v>3.0</v>
      </c>
      <c r="B12" s="59">
        <f t="shared" si="1"/>
        <v>18404</v>
      </c>
      <c r="C12" s="59">
        <f>1469+1708+319</f>
        <v>3496</v>
      </c>
      <c r="D12" s="59">
        <f>9200+10700+2000</f>
        <v>21900</v>
      </c>
      <c r="E12" s="59">
        <f t="shared" si="2"/>
        <v>518.6139</v>
      </c>
      <c r="F12" s="59">
        <f t="shared" si="3"/>
        <v>21381.3861</v>
      </c>
    </row>
    <row r="13" ht="12.75" customHeight="1">
      <c r="A13" s="41">
        <v>4.0</v>
      </c>
      <c r="B13" s="59">
        <f t="shared" si="1"/>
        <v>31302</v>
      </c>
      <c r="C13" s="59">
        <f>1142+3225+1182+399</f>
        <v>5948</v>
      </c>
      <c r="D13" s="59">
        <f>7150+20200+7400+2500</f>
        <v>37250</v>
      </c>
      <c r="E13" s="59">
        <f t="shared" si="2"/>
        <v>882.11725</v>
      </c>
      <c r="F13" s="59">
        <f t="shared" si="3"/>
        <v>36367.88275</v>
      </c>
    </row>
    <row r="14" ht="12.75" customHeight="1">
      <c r="A14" s="41">
        <v>9.0</v>
      </c>
      <c r="B14" s="59">
        <f t="shared" si="1"/>
        <v>67354</v>
      </c>
      <c r="C14" s="59">
        <f>2507+2235+239+463+1645+718+758+1836+2395</f>
        <v>12796</v>
      </c>
      <c r="D14" s="59">
        <f>15700+14000+1500+2900+10300+4500+4750+11500+15000</f>
        <v>80150</v>
      </c>
      <c r="E14" s="59">
        <f t="shared" si="2"/>
        <v>1898.03215</v>
      </c>
      <c r="F14" s="59">
        <f t="shared" si="3"/>
        <v>78251.96785</v>
      </c>
    </row>
    <row r="15" ht="12.75" customHeight="1">
      <c r="A15" s="41">
        <v>3.0</v>
      </c>
      <c r="B15" s="59">
        <f t="shared" si="1"/>
        <v>17479</v>
      </c>
      <c r="C15" s="59">
        <f>958+239+2124</f>
        <v>3321</v>
      </c>
      <c r="D15" s="59">
        <f>6000+1500+13300</f>
        <v>20800</v>
      </c>
      <c r="E15" s="59">
        <f t="shared" si="2"/>
        <v>492.5648</v>
      </c>
      <c r="F15" s="59">
        <f t="shared" si="3"/>
        <v>20307.4352</v>
      </c>
    </row>
    <row r="16" ht="12.75" customHeight="1">
      <c r="A16" s="41">
        <v>1.0</v>
      </c>
      <c r="B16" s="59">
        <f t="shared" si="1"/>
        <v>1429</v>
      </c>
      <c r="C16" s="59">
        <v>271.0</v>
      </c>
      <c r="D16" s="59">
        <v>1700.0</v>
      </c>
      <c r="E16" s="59">
        <f t="shared" si="2"/>
        <v>40.2577</v>
      </c>
      <c r="F16" s="59">
        <f t="shared" si="3"/>
        <v>1659.7423</v>
      </c>
    </row>
    <row r="17" ht="12.75" customHeight="1">
      <c r="A17" s="41">
        <v>4.0</v>
      </c>
      <c r="B17" s="59">
        <f t="shared" si="1"/>
        <v>8908</v>
      </c>
      <c r="C17" s="59">
        <f>958+407+239+88</f>
        <v>1692</v>
      </c>
      <c r="D17" s="59">
        <f>6000+2550+1500+550</f>
        <v>10600</v>
      </c>
      <c r="E17" s="59">
        <f t="shared" si="2"/>
        <v>251.0186</v>
      </c>
      <c r="F17" s="59">
        <f t="shared" si="3"/>
        <v>10348.9814</v>
      </c>
    </row>
    <row r="18" ht="12.75" customHeight="1">
      <c r="A18" s="41">
        <v>3.0</v>
      </c>
      <c r="B18" s="59">
        <f t="shared" si="1"/>
        <v>5967</v>
      </c>
      <c r="C18" s="59">
        <f>447+303+383</f>
        <v>1133</v>
      </c>
      <c r="D18" s="59">
        <f>2800+1900+2400</f>
        <v>7100</v>
      </c>
      <c r="E18" s="59">
        <f t="shared" si="2"/>
        <v>168.1351</v>
      </c>
      <c r="F18" s="59">
        <f t="shared" si="3"/>
        <v>6931.8649</v>
      </c>
    </row>
    <row r="19" ht="12.75" customHeight="1">
      <c r="A19" s="41">
        <v>2.0</v>
      </c>
      <c r="B19" s="59">
        <f t="shared" si="1"/>
        <v>13614</v>
      </c>
      <c r="C19" s="59">
        <f>2235+351</f>
        <v>2586</v>
      </c>
      <c r="D19" s="59">
        <f>14000+2200</f>
        <v>16200</v>
      </c>
      <c r="E19" s="59">
        <f t="shared" si="2"/>
        <v>383.6322</v>
      </c>
      <c r="F19" s="59">
        <f t="shared" si="3"/>
        <v>15816.3678</v>
      </c>
    </row>
    <row r="20" ht="12.75" customHeight="1">
      <c r="A20" s="41">
        <v>6.0</v>
      </c>
      <c r="B20" s="59">
        <f t="shared" si="1"/>
        <v>25966</v>
      </c>
      <c r="C20" s="59">
        <f>160+575+2579+822+319+479</f>
        <v>4934</v>
      </c>
      <c r="D20" s="59">
        <f>1000+3600+16150+5150+2000+3000</f>
        <v>30900</v>
      </c>
      <c r="E20" s="59">
        <f t="shared" si="2"/>
        <v>731.7429</v>
      </c>
      <c r="F20" s="59">
        <f t="shared" si="3"/>
        <v>30168.2571</v>
      </c>
    </row>
    <row r="21" ht="12.75" customHeight="1">
      <c r="A21" s="41">
        <v>3.0</v>
      </c>
      <c r="B21" s="59">
        <f t="shared" si="1"/>
        <v>8236</v>
      </c>
      <c r="C21" s="59">
        <f>319+367+878</f>
        <v>1564</v>
      </c>
      <c r="D21" s="59">
        <f>2000+2300+5500</f>
        <v>9800</v>
      </c>
      <c r="E21" s="59">
        <f t="shared" si="2"/>
        <v>232.0738</v>
      </c>
      <c r="F21" s="59">
        <f t="shared" si="3"/>
        <v>9567.9262</v>
      </c>
    </row>
    <row r="22" ht="12.75" customHeight="1">
      <c r="A22" s="41">
        <v>4.0</v>
      </c>
      <c r="B22" s="59">
        <f t="shared" si="1"/>
        <v>30924</v>
      </c>
      <c r="C22" s="59">
        <f>559+639+2395+2283</f>
        <v>5876</v>
      </c>
      <c r="D22" s="59">
        <f>3500+4000+15000+14300</f>
        <v>36800</v>
      </c>
      <c r="E22" s="59">
        <f t="shared" si="2"/>
        <v>871.4608</v>
      </c>
      <c r="F22" s="59">
        <f t="shared" si="3"/>
        <v>35928.5392</v>
      </c>
    </row>
    <row r="23" ht="12.75" customHeight="1">
      <c r="A23" s="41">
        <v>5.0</v>
      </c>
      <c r="B23" s="59">
        <f t="shared" si="1"/>
        <v>13237</v>
      </c>
      <c r="C23" s="59">
        <f>1325+327+383+239+239</f>
        <v>2513</v>
      </c>
      <c r="D23" s="59">
        <f>8300+2050+2400+1500+1500</f>
        <v>15750</v>
      </c>
      <c r="E23" s="59">
        <f t="shared" si="2"/>
        <v>372.97575</v>
      </c>
      <c r="F23" s="59">
        <f t="shared" si="3"/>
        <v>15377.02425</v>
      </c>
    </row>
    <row r="24" ht="12.75" customHeight="1">
      <c r="A24" s="41">
        <v>8.0</v>
      </c>
      <c r="B24" s="59">
        <f t="shared" si="1"/>
        <v>22479</v>
      </c>
      <c r="C24" s="59">
        <f>559+439+886+335+80+894+703+375</f>
        <v>4271</v>
      </c>
      <c r="D24" s="59">
        <f>3500+2750+5550+2100+500+5600+4400+2350</f>
        <v>26750</v>
      </c>
      <c r="E24" s="59">
        <f t="shared" si="2"/>
        <v>633.46675</v>
      </c>
      <c r="F24" s="59">
        <f t="shared" si="3"/>
        <v>26116.53325</v>
      </c>
    </row>
    <row r="25" ht="12.75" customHeight="1">
      <c r="A25" s="41">
        <v>3.0</v>
      </c>
      <c r="B25" s="59">
        <f t="shared" si="1"/>
        <v>3487</v>
      </c>
      <c r="C25" s="59">
        <f>176+287+200</f>
        <v>663</v>
      </c>
      <c r="D25" s="59">
        <f>1100+1800+1250</f>
        <v>4150</v>
      </c>
      <c r="E25" s="59">
        <f t="shared" si="2"/>
        <v>98.27615</v>
      </c>
      <c r="F25" s="59">
        <f t="shared" si="3"/>
        <v>4051.72385</v>
      </c>
      <c r="G25" s="37" t="s">
        <v>3380</v>
      </c>
    </row>
    <row r="26" ht="12.75" customHeight="1">
      <c r="A26" s="41">
        <v>5.0</v>
      </c>
      <c r="B26" s="59">
        <f t="shared" si="1"/>
        <v>20756</v>
      </c>
      <c r="C26" s="59">
        <f>279+2547+351+208+559</f>
        <v>3944</v>
      </c>
      <c r="D26" s="59">
        <f>1750+15950+2200+1300+3500</f>
        <v>24700</v>
      </c>
      <c r="E26" s="59">
        <f t="shared" si="2"/>
        <v>584.9207</v>
      </c>
      <c r="F26" s="59">
        <f t="shared" si="3"/>
        <v>24115.0793</v>
      </c>
    </row>
    <row r="27" ht="12.75" customHeight="1">
      <c r="A27" s="41">
        <v>0.0</v>
      </c>
      <c r="B27" s="59">
        <f t="shared" si="1"/>
        <v>0</v>
      </c>
      <c r="C27" s="59">
        <v>0.0</v>
      </c>
      <c r="D27" s="59">
        <v>0.0</v>
      </c>
      <c r="E27" s="59">
        <f t="shared" si="2"/>
        <v>0</v>
      </c>
      <c r="F27" s="59">
        <f t="shared" si="3"/>
        <v>0</v>
      </c>
    </row>
    <row r="28" ht="12.75" customHeight="1">
      <c r="A28" s="41">
        <v>5.0</v>
      </c>
      <c r="B28" s="59">
        <f t="shared" si="1"/>
        <v>15841</v>
      </c>
      <c r="C28" s="59">
        <f>128+838+1213+335+495</f>
        <v>3009</v>
      </c>
      <c r="D28" s="59">
        <f>800+5250+7600+2100+3100</f>
        <v>18850</v>
      </c>
      <c r="E28" s="59">
        <f t="shared" si="2"/>
        <v>446.38685</v>
      </c>
      <c r="F28" s="59">
        <f t="shared" si="3"/>
        <v>18403.61315</v>
      </c>
      <c r="G28" s="41" t="s">
        <v>3178</v>
      </c>
      <c r="I28" s="81" t="s">
        <v>1</v>
      </c>
      <c r="J28" s="81" t="s">
        <v>2</v>
      </c>
    </row>
    <row r="29" ht="12.75" customHeight="1">
      <c r="A29" s="41">
        <v>0.0</v>
      </c>
      <c r="B29" s="59">
        <f t="shared" si="1"/>
        <v>0</v>
      </c>
      <c r="C29" s="59">
        <v>0.0</v>
      </c>
      <c r="D29" s="59">
        <v>0.0</v>
      </c>
      <c r="E29" s="59">
        <f t="shared" si="2"/>
        <v>0</v>
      </c>
      <c r="F29" s="59">
        <f t="shared" si="3"/>
        <v>0</v>
      </c>
    </row>
    <row r="30" ht="12.75" customHeight="1">
      <c r="A30" s="41">
        <v>4.0</v>
      </c>
      <c r="B30" s="59">
        <f t="shared" si="1"/>
        <v>28404</v>
      </c>
      <c r="C30" s="59">
        <f>742+391+3513+750</f>
        <v>5396</v>
      </c>
      <c r="D30" s="59">
        <f>4650+2450+22000+4700</f>
        <v>33800</v>
      </c>
      <c r="E30" s="59">
        <f t="shared" si="2"/>
        <v>800.4178</v>
      </c>
      <c r="F30" s="59">
        <f t="shared" si="3"/>
        <v>32999.5822</v>
      </c>
      <c r="G30" s="37" t="s">
        <v>3362</v>
      </c>
      <c r="H30" s="81" t="s">
        <v>3381</v>
      </c>
    </row>
    <row r="31" ht="12.75" customHeight="1">
      <c r="A31" s="82">
        <f t="shared" ref="A31:F31" si="4">SUM(A1:A30)</f>
        <v>93</v>
      </c>
      <c r="B31" s="66">
        <f t="shared" si="4"/>
        <v>462358</v>
      </c>
      <c r="C31" s="66">
        <f t="shared" si="4"/>
        <v>87842</v>
      </c>
      <c r="D31" s="66">
        <f t="shared" si="4"/>
        <v>550200</v>
      </c>
      <c r="E31" s="83">
        <f t="shared" si="4"/>
        <v>13029.2862</v>
      </c>
      <c r="F31" s="83">
        <f t="shared" si="4"/>
        <v>537170.7138</v>
      </c>
    </row>
    <row r="32" ht="12.75" customHeight="1">
      <c r="B32" s="59"/>
      <c r="C32" s="59"/>
      <c r="D32" s="59"/>
      <c r="E32" s="59"/>
      <c r="F32" s="59"/>
    </row>
    <row r="33" ht="12.75" customHeight="1">
      <c r="B33" s="59"/>
      <c r="C33" s="59"/>
      <c r="D33" s="59"/>
      <c r="E33" s="59"/>
      <c r="F33" s="59"/>
    </row>
    <row r="34" ht="12.75" customHeight="1">
      <c r="B34" s="59"/>
      <c r="C34" s="78" t="s">
        <v>3218</v>
      </c>
      <c r="D34" s="78">
        <f>D31*2.3681%</f>
        <v>13029.2862</v>
      </c>
      <c r="E34" s="59"/>
      <c r="F34" s="59"/>
    </row>
    <row r="35" ht="12.75" customHeight="1">
      <c r="B35" s="59">
        <v>462349.0</v>
      </c>
      <c r="C35" s="59">
        <v>87851.0</v>
      </c>
      <c r="D35" s="59">
        <v>550200.0</v>
      </c>
      <c r="E35" s="59"/>
      <c r="F35" s="59"/>
    </row>
    <row r="36" ht="12.75" customHeight="1">
      <c r="B36" s="59">
        <f t="shared" ref="B36:D36" si="5">B35-B31</f>
        <v>-9</v>
      </c>
      <c r="C36" s="59">
        <f t="shared" si="5"/>
        <v>9</v>
      </c>
      <c r="D36" s="59">
        <f t="shared" si="5"/>
        <v>0</v>
      </c>
      <c r="E36" s="59"/>
      <c r="F36" s="59"/>
    </row>
    <row r="37" ht="12.75" customHeight="1">
      <c r="B37" s="59"/>
      <c r="C37" s="59"/>
      <c r="D37" s="59"/>
      <c r="E37" s="59"/>
      <c r="F37" s="59"/>
    </row>
    <row r="38" ht="12.75" customHeight="1">
      <c r="B38" s="59"/>
      <c r="C38" s="59"/>
      <c r="D38" s="59"/>
      <c r="E38" s="59"/>
      <c r="F38" s="59"/>
    </row>
    <row r="39" ht="12.75" customHeight="1">
      <c r="B39" s="59"/>
      <c r="C39" s="59"/>
      <c r="D39" s="59"/>
      <c r="E39" s="59"/>
      <c r="F39" s="59"/>
    </row>
    <row r="40" ht="12.75" customHeight="1">
      <c r="B40" s="59"/>
      <c r="C40" s="59"/>
      <c r="D40" s="59"/>
      <c r="E40" s="59"/>
      <c r="F40" s="59"/>
    </row>
    <row r="41" ht="12.75" customHeight="1">
      <c r="B41" s="59"/>
      <c r="C41" s="59"/>
      <c r="D41" s="59"/>
      <c r="E41" s="59"/>
      <c r="F41" s="59"/>
    </row>
    <row r="42" ht="12.75" customHeight="1">
      <c r="B42" s="59"/>
      <c r="C42" s="59"/>
      <c r="D42" s="59"/>
      <c r="E42" s="59"/>
      <c r="F42" s="59"/>
    </row>
    <row r="43" ht="12.75" customHeight="1">
      <c r="B43" s="59"/>
      <c r="C43" s="59"/>
      <c r="D43" s="59"/>
      <c r="E43" s="59"/>
      <c r="F43" s="59"/>
    </row>
    <row r="44" ht="12.75" customHeight="1">
      <c r="B44" s="59"/>
      <c r="C44" s="59"/>
      <c r="D44" s="59"/>
      <c r="E44" s="59"/>
      <c r="F44" s="59"/>
    </row>
    <row r="45" ht="12.75" customHeight="1">
      <c r="B45" s="59"/>
      <c r="C45" s="59"/>
      <c r="D45" s="59"/>
      <c r="E45" s="59"/>
      <c r="F45" s="59"/>
    </row>
    <row r="46" ht="12.75" customHeight="1">
      <c r="B46" s="59"/>
      <c r="C46" s="59"/>
      <c r="D46" s="59"/>
      <c r="E46" s="59"/>
      <c r="F46" s="59"/>
    </row>
    <row r="47" ht="12.75" customHeight="1">
      <c r="B47" s="59"/>
      <c r="C47" s="59"/>
      <c r="D47" s="59"/>
      <c r="E47" s="59"/>
      <c r="F47" s="59"/>
    </row>
    <row r="48" ht="12.75" customHeight="1">
      <c r="B48" s="59"/>
      <c r="C48" s="59"/>
      <c r="D48" s="59"/>
      <c r="E48" s="59"/>
      <c r="F48" s="59"/>
    </row>
    <row r="49" ht="12.75" customHeight="1">
      <c r="B49" s="59"/>
      <c r="C49" s="59"/>
      <c r="D49" s="59"/>
      <c r="E49" s="59"/>
      <c r="F49" s="59"/>
    </row>
    <row r="50" ht="12.75" customHeight="1">
      <c r="B50" s="59"/>
      <c r="C50" s="59"/>
      <c r="D50" s="59"/>
      <c r="E50" s="59"/>
      <c r="F50" s="59"/>
    </row>
    <row r="51" ht="12.75" customHeight="1">
      <c r="B51" s="59"/>
      <c r="C51" s="59"/>
      <c r="D51" s="59"/>
      <c r="E51" s="59"/>
      <c r="F51" s="59"/>
    </row>
    <row r="52" ht="12.75" customHeight="1">
      <c r="B52" s="59"/>
      <c r="C52" s="59"/>
      <c r="D52" s="59"/>
      <c r="E52" s="59"/>
      <c r="F52" s="59"/>
    </row>
    <row r="53" ht="12.75" customHeight="1">
      <c r="B53" s="59"/>
      <c r="C53" s="59"/>
      <c r="D53" s="59"/>
      <c r="E53" s="59"/>
      <c r="F53" s="59"/>
    </row>
    <row r="54" ht="12.75" customHeight="1">
      <c r="B54" s="59"/>
      <c r="C54" s="59"/>
      <c r="D54" s="59"/>
      <c r="E54" s="59"/>
      <c r="F54" s="59"/>
    </row>
    <row r="55" ht="12.75" customHeight="1">
      <c r="B55" s="59"/>
      <c r="C55" s="59"/>
      <c r="D55" s="59"/>
      <c r="E55" s="59"/>
      <c r="F55" s="59"/>
    </row>
    <row r="56" ht="12.75" customHeight="1">
      <c r="B56" s="59"/>
      <c r="C56" s="59"/>
      <c r="D56" s="59"/>
      <c r="E56" s="59"/>
      <c r="F56" s="59"/>
    </row>
    <row r="57" ht="12.75" customHeight="1">
      <c r="B57" s="59"/>
      <c r="C57" s="59"/>
      <c r="D57" s="59"/>
      <c r="E57" s="59"/>
      <c r="F57" s="59"/>
    </row>
    <row r="58" ht="12.75" customHeight="1">
      <c r="B58" s="59"/>
      <c r="C58" s="59"/>
      <c r="D58" s="59"/>
      <c r="E58" s="59"/>
      <c r="F58" s="59"/>
    </row>
    <row r="59" ht="12.75" customHeight="1">
      <c r="B59" s="59"/>
      <c r="C59" s="59"/>
      <c r="D59" s="59"/>
      <c r="E59" s="59"/>
      <c r="F59" s="59"/>
    </row>
    <row r="60" ht="12.75" customHeight="1">
      <c r="B60" s="59"/>
      <c r="C60" s="59"/>
      <c r="D60" s="59"/>
      <c r="E60" s="59"/>
      <c r="F60" s="59"/>
    </row>
    <row r="61" ht="12.75" customHeight="1">
      <c r="B61" s="59"/>
      <c r="C61" s="59"/>
      <c r="D61" s="59"/>
      <c r="E61" s="59"/>
      <c r="F61" s="59"/>
    </row>
    <row r="62" ht="12.75" customHeight="1">
      <c r="B62" s="59"/>
      <c r="C62" s="59"/>
      <c r="D62" s="59"/>
      <c r="E62" s="59"/>
      <c r="F62" s="59"/>
    </row>
    <row r="63" ht="12.75" customHeight="1">
      <c r="B63" s="59"/>
      <c r="C63" s="59"/>
      <c r="D63" s="59"/>
      <c r="E63" s="59"/>
      <c r="F63" s="59"/>
    </row>
    <row r="64" ht="12.75" customHeight="1">
      <c r="B64" s="59"/>
      <c r="C64" s="59"/>
      <c r="D64" s="59"/>
      <c r="E64" s="59"/>
      <c r="F64" s="59"/>
    </row>
    <row r="65" ht="12.75" customHeight="1">
      <c r="B65" s="59"/>
      <c r="C65" s="59"/>
      <c r="D65" s="59"/>
      <c r="E65" s="59"/>
      <c r="F65" s="59"/>
    </row>
    <row r="66" ht="12.75" customHeight="1">
      <c r="B66" s="59"/>
      <c r="C66" s="59"/>
      <c r="D66" s="59"/>
      <c r="E66" s="59"/>
      <c r="F66" s="59"/>
    </row>
    <row r="67" ht="12.75" customHeight="1">
      <c r="B67" s="59"/>
      <c r="C67" s="59"/>
      <c r="D67" s="59"/>
      <c r="E67" s="59"/>
      <c r="F67" s="59"/>
    </row>
    <row r="68" ht="12.75" customHeight="1">
      <c r="B68" s="59"/>
      <c r="C68" s="59"/>
      <c r="D68" s="59"/>
      <c r="E68" s="59"/>
      <c r="F68" s="59"/>
    </row>
    <row r="69" ht="12.75" customHeight="1">
      <c r="B69" s="59"/>
      <c r="C69" s="59"/>
      <c r="D69" s="59"/>
      <c r="E69" s="59"/>
      <c r="F69" s="59"/>
    </row>
    <row r="70" ht="12.75" customHeight="1">
      <c r="B70" s="59"/>
      <c r="C70" s="59"/>
      <c r="D70" s="59"/>
      <c r="E70" s="59"/>
      <c r="F70" s="59"/>
    </row>
    <row r="71" ht="12.75" customHeight="1">
      <c r="B71" s="59"/>
      <c r="C71" s="59"/>
      <c r="D71" s="59"/>
      <c r="E71" s="59"/>
      <c r="F71" s="59"/>
    </row>
    <row r="72" ht="12.75" customHeight="1">
      <c r="B72" s="59"/>
      <c r="C72" s="59"/>
      <c r="D72" s="59"/>
      <c r="E72" s="59"/>
      <c r="F72" s="59"/>
    </row>
    <row r="73" ht="12.75" customHeight="1">
      <c r="B73" s="59"/>
      <c r="C73" s="59"/>
      <c r="D73" s="59"/>
      <c r="E73" s="59"/>
      <c r="F73" s="59"/>
    </row>
    <row r="74" ht="12.75" customHeight="1">
      <c r="B74" s="59"/>
      <c r="C74" s="59"/>
      <c r="D74" s="59"/>
      <c r="E74" s="59"/>
      <c r="F74" s="59"/>
    </row>
    <row r="75" ht="12.75" customHeight="1">
      <c r="B75" s="59"/>
      <c r="C75" s="59"/>
      <c r="D75" s="59"/>
      <c r="E75" s="59"/>
      <c r="F75" s="59"/>
    </row>
    <row r="76" ht="12.75" customHeight="1">
      <c r="B76" s="59"/>
      <c r="C76" s="59"/>
      <c r="D76" s="59"/>
      <c r="E76" s="59"/>
      <c r="F76" s="59"/>
    </row>
    <row r="77" ht="12.75" customHeight="1">
      <c r="B77" s="59"/>
      <c r="C77" s="59"/>
      <c r="D77" s="59"/>
      <c r="E77" s="59"/>
      <c r="F77" s="59"/>
    </row>
    <row r="78" ht="12.75" customHeight="1">
      <c r="B78" s="59"/>
      <c r="C78" s="59"/>
      <c r="D78" s="59"/>
      <c r="E78" s="59"/>
      <c r="F78" s="59"/>
    </row>
    <row r="79" ht="12.75" customHeight="1">
      <c r="B79" s="59"/>
      <c r="C79" s="59"/>
      <c r="D79" s="59"/>
      <c r="E79" s="59"/>
      <c r="F79" s="59"/>
    </row>
    <row r="80" ht="12.75" customHeight="1">
      <c r="B80" s="59"/>
      <c r="C80" s="59"/>
      <c r="D80" s="59"/>
      <c r="E80" s="59"/>
      <c r="F80" s="59"/>
    </row>
    <row r="81" ht="12.75" customHeight="1">
      <c r="B81" s="59"/>
      <c r="C81" s="59"/>
      <c r="D81" s="59"/>
      <c r="E81" s="59"/>
      <c r="F81" s="59"/>
    </row>
    <row r="82" ht="12.75" customHeight="1">
      <c r="B82" s="59"/>
      <c r="C82" s="59"/>
      <c r="D82" s="59"/>
      <c r="E82" s="59"/>
      <c r="F82" s="59"/>
    </row>
    <row r="83" ht="12.75" customHeight="1">
      <c r="B83" s="59"/>
      <c r="C83" s="59"/>
      <c r="D83" s="59"/>
      <c r="E83" s="59"/>
      <c r="F83" s="59"/>
    </row>
    <row r="84" ht="12.75" customHeight="1">
      <c r="B84" s="59"/>
      <c r="C84" s="59"/>
      <c r="D84" s="59"/>
      <c r="E84" s="59"/>
      <c r="F84" s="59"/>
    </row>
    <row r="85" ht="12.75" customHeight="1">
      <c r="B85" s="59"/>
      <c r="C85" s="59"/>
      <c r="D85" s="59"/>
      <c r="E85" s="59"/>
      <c r="F85" s="59"/>
    </row>
    <row r="86" ht="12.75" customHeight="1">
      <c r="B86" s="59"/>
      <c r="C86" s="59"/>
      <c r="D86" s="59"/>
      <c r="E86" s="59"/>
      <c r="F86" s="59"/>
    </row>
    <row r="87" ht="12.75" customHeight="1">
      <c r="B87" s="59"/>
      <c r="C87" s="59"/>
      <c r="D87" s="59"/>
      <c r="E87" s="59"/>
      <c r="F87" s="59"/>
    </row>
    <row r="88" ht="12.75" customHeight="1">
      <c r="B88" s="59"/>
      <c r="C88" s="59"/>
      <c r="D88" s="59"/>
      <c r="E88" s="59"/>
      <c r="F88" s="59"/>
    </row>
    <row r="89" ht="12.75" customHeight="1">
      <c r="B89" s="59"/>
      <c r="C89" s="59"/>
      <c r="D89" s="59"/>
      <c r="E89" s="59"/>
      <c r="F89" s="59"/>
    </row>
    <row r="90" ht="12.75" customHeight="1">
      <c r="B90" s="59"/>
      <c r="C90" s="59"/>
      <c r="D90" s="59"/>
      <c r="E90" s="59"/>
      <c r="F90" s="59"/>
    </row>
    <row r="91" ht="12.75" customHeight="1">
      <c r="B91" s="59"/>
      <c r="C91" s="59"/>
      <c r="D91" s="59"/>
      <c r="E91" s="59"/>
      <c r="F91" s="59"/>
    </row>
    <row r="92" ht="12.75" customHeight="1">
      <c r="B92" s="59"/>
      <c r="C92" s="59"/>
      <c r="D92" s="59"/>
      <c r="E92" s="59"/>
      <c r="F92" s="59"/>
    </row>
    <row r="93" ht="12.75" customHeight="1">
      <c r="B93" s="59"/>
      <c r="C93" s="59"/>
      <c r="D93" s="59"/>
      <c r="E93" s="59"/>
      <c r="F93" s="59"/>
    </row>
    <row r="94" ht="12.75" customHeight="1">
      <c r="B94" s="59"/>
      <c r="C94" s="59"/>
      <c r="D94" s="59"/>
      <c r="E94" s="59"/>
      <c r="F94" s="59"/>
    </row>
    <row r="95" ht="12.75" customHeight="1">
      <c r="B95" s="59"/>
      <c r="C95" s="59"/>
      <c r="D95" s="59"/>
      <c r="E95" s="59"/>
      <c r="F95" s="59"/>
    </row>
    <row r="96" ht="12.75" customHeight="1">
      <c r="B96" s="59"/>
      <c r="C96" s="59"/>
      <c r="D96" s="59"/>
      <c r="E96" s="59"/>
      <c r="F96" s="59"/>
    </row>
    <row r="97" ht="12.75" customHeight="1">
      <c r="B97" s="59"/>
      <c r="C97" s="59"/>
      <c r="D97" s="59"/>
      <c r="E97" s="59"/>
      <c r="F97" s="59"/>
    </row>
    <row r="98" ht="12.75" customHeight="1">
      <c r="B98" s="59"/>
      <c r="C98" s="59"/>
      <c r="D98" s="59"/>
      <c r="E98" s="59"/>
      <c r="F98" s="59"/>
    </row>
    <row r="99" ht="12.75" customHeight="1">
      <c r="B99" s="59"/>
      <c r="C99" s="59"/>
      <c r="D99" s="59"/>
      <c r="E99" s="59"/>
      <c r="F99" s="59"/>
    </row>
    <row r="100" ht="12.75" customHeight="1">
      <c r="B100" s="59"/>
      <c r="C100" s="59"/>
      <c r="D100" s="59"/>
      <c r="E100" s="59"/>
      <c r="F100" s="59"/>
    </row>
    <row r="101" ht="12.75" customHeight="1">
      <c r="B101" s="59"/>
      <c r="C101" s="59"/>
      <c r="D101" s="59"/>
      <c r="E101" s="59"/>
      <c r="F101" s="59"/>
    </row>
    <row r="102" ht="12.75" customHeight="1">
      <c r="B102" s="59"/>
      <c r="C102" s="59"/>
      <c r="D102" s="59"/>
      <c r="E102" s="59"/>
      <c r="F102" s="59"/>
    </row>
    <row r="103" ht="12.75" customHeight="1">
      <c r="B103" s="59"/>
      <c r="C103" s="59"/>
      <c r="D103" s="59"/>
      <c r="E103" s="59"/>
      <c r="F103" s="59"/>
    </row>
    <row r="104" ht="12.75" customHeight="1">
      <c r="B104" s="59"/>
      <c r="C104" s="59"/>
      <c r="D104" s="59"/>
      <c r="E104" s="59"/>
      <c r="F104" s="59"/>
    </row>
    <row r="105" ht="12.75" customHeight="1">
      <c r="B105" s="59"/>
      <c r="C105" s="59"/>
      <c r="D105" s="59"/>
      <c r="E105" s="59"/>
      <c r="F105" s="59"/>
    </row>
    <row r="106" ht="12.75" customHeight="1">
      <c r="B106" s="59"/>
      <c r="C106" s="59"/>
      <c r="D106" s="59"/>
      <c r="E106" s="59"/>
      <c r="F106" s="59"/>
    </row>
    <row r="107" ht="12.75" customHeight="1">
      <c r="B107" s="59"/>
      <c r="C107" s="59"/>
      <c r="D107" s="59"/>
      <c r="E107" s="59"/>
      <c r="F107" s="59"/>
    </row>
    <row r="108" ht="12.75" customHeight="1">
      <c r="B108" s="59"/>
      <c r="C108" s="59"/>
      <c r="D108" s="59"/>
      <c r="E108" s="59"/>
      <c r="F108" s="59"/>
    </row>
    <row r="109" ht="12.75" customHeight="1">
      <c r="B109" s="59"/>
      <c r="C109" s="59"/>
      <c r="D109" s="59"/>
      <c r="E109" s="59"/>
      <c r="F109" s="59"/>
    </row>
    <row r="110" ht="12.75" customHeight="1">
      <c r="B110" s="59"/>
      <c r="C110" s="59"/>
      <c r="D110" s="59"/>
      <c r="E110" s="59"/>
      <c r="F110" s="59"/>
    </row>
    <row r="111" ht="12.75" customHeight="1">
      <c r="B111" s="59"/>
      <c r="C111" s="59"/>
      <c r="D111" s="59"/>
      <c r="E111" s="59"/>
      <c r="F111" s="59"/>
    </row>
    <row r="112" ht="12.75" customHeight="1">
      <c r="B112" s="59"/>
      <c r="C112" s="59"/>
      <c r="D112" s="59"/>
      <c r="E112" s="59"/>
      <c r="F112" s="59"/>
    </row>
    <row r="113" ht="12.75" customHeight="1">
      <c r="B113" s="59"/>
      <c r="C113" s="59"/>
      <c r="D113" s="59"/>
      <c r="E113" s="59"/>
      <c r="F113" s="59"/>
    </row>
    <row r="114" ht="12.75" customHeight="1">
      <c r="B114" s="59"/>
      <c r="C114" s="59"/>
      <c r="D114" s="59"/>
      <c r="E114" s="59"/>
      <c r="F114" s="59"/>
    </row>
    <row r="115" ht="12.75" customHeight="1">
      <c r="B115" s="59"/>
      <c r="C115" s="59"/>
      <c r="D115" s="59"/>
      <c r="E115" s="59"/>
      <c r="F115" s="59"/>
    </row>
    <row r="116" ht="12.75" customHeight="1">
      <c r="B116" s="59"/>
      <c r="C116" s="59"/>
      <c r="D116" s="59"/>
      <c r="E116" s="59"/>
      <c r="F116" s="59"/>
    </row>
    <row r="117" ht="12.75" customHeight="1">
      <c r="B117" s="59"/>
      <c r="C117" s="59"/>
      <c r="D117" s="59"/>
      <c r="E117" s="59"/>
      <c r="F117" s="59"/>
    </row>
    <row r="118" ht="12.75" customHeight="1">
      <c r="B118" s="59"/>
      <c r="C118" s="59"/>
      <c r="D118" s="59"/>
      <c r="E118" s="59"/>
      <c r="F118" s="59"/>
    </row>
    <row r="119" ht="12.75" customHeight="1">
      <c r="B119" s="59"/>
      <c r="C119" s="59"/>
      <c r="D119" s="59"/>
      <c r="E119" s="59"/>
      <c r="F119" s="59"/>
    </row>
    <row r="120" ht="12.75" customHeight="1">
      <c r="B120" s="59"/>
      <c r="C120" s="59"/>
      <c r="D120" s="59"/>
      <c r="E120" s="59"/>
      <c r="F120" s="59"/>
    </row>
    <row r="121" ht="12.75" customHeight="1">
      <c r="B121" s="59"/>
      <c r="C121" s="59"/>
      <c r="D121" s="59"/>
      <c r="E121" s="59"/>
      <c r="F121" s="59"/>
    </row>
    <row r="122" ht="12.75" customHeight="1">
      <c r="B122" s="59"/>
      <c r="C122" s="59"/>
      <c r="D122" s="59"/>
      <c r="E122" s="59"/>
      <c r="F122" s="59"/>
    </row>
    <row r="123" ht="12.75" customHeight="1">
      <c r="B123" s="59"/>
      <c r="C123" s="59"/>
      <c r="D123" s="59"/>
      <c r="E123" s="59"/>
      <c r="F123" s="59"/>
    </row>
    <row r="124" ht="12.75" customHeight="1">
      <c r="B124" s="59"/>
      <c r="C124" s="59"/>
      <c r="D124" s="59"/>
      <c r="E124" s="59"/>
      <c r="F124" s="59"/>
    </row>
    <row r="125" ht="12.75" customHeight="1">
      <c r="B125" s="59"/>
      <c r="C125" s="59"/>
      <c r="D125" s="59"/>
      <c r="E125" s="59"/>
      <c r="F125" s="59"/>
    </row>
    <row r="126" ht="12.75" customHeight="1">
      <c r="B126" s="59"/>
      <c r="C126" s="59"/>
      <c r="D126" s="59"/>
      <c r="E126" s="59"/>
      <c r="F126" s="59"/>
    </row>
    <row r="127" ht="12.75" customHeight="1">
      <c r="B127" s="59"/>
      <c r="C127" s="59"/>
      <c r="D127" s="59"/>
      <c r="E127" s="59"/>
      <c r="F127" s="59"/>
    </row>
    <row r="128" ht="12.75" customHeight="1">
      <c r="B128" s="59"/>
      <c r="C128" s="59"/>
      <c r="D128" s="59"/>
      <c r="E128" s="59"/>
      <c r="F128" s="59"/>
    </row>
    <row r="129" ht="12.75" customHeight="1">
      <c r="B129" s="59"/>
      <c r="C129" s="59"/>
      <c r="D129" s="59"/>
      <c r="E129" s="59"/>
      <c r="F129" s="59"/>
    </row>
    <row r="130" ht="12.75" customHeight="1">
      <c r="B130" s="59"/>
      <c r="C130" s="59"/>
      <c r="D130" s="59"/>
      <c r="E130" s="59"/>
      <c r="F130" s="59"/>
    </row>
    <row r="131" ht="12.75" customHeight="1">
      <c r="B131" s="59"/>
      <c r="C131" s="59"/>
      <c r="D131" s="59"/>
      <c r="E131" s="59"/>
      <c r="F131" s="59"/>
    </row>
    <row r="132" ht="12.75" customHeight="1">
      <c r="B132" s="59"/>
      <c r="C132" s="59"/>
      <c r="D132" s="59"/>
      <c r="E132" s="59"/>
      <c r="F132" s="59"/>
    </row>
    <row r="133" ht="12.75" customHeight="1">
      <c r="B133" s="59"/>
      <c r="C133" s="59"/>
      <c r="D133" s="59"/>
      <c r="E133" s="59"/>
      <c r="F133" s="59"/>
    </row>
    <row r="134" ht="12.75" customHeight="1">
      <c r="B134" s="59"/>
      <c r="C134" s="59"/>
      <c r="D134" s="59"/>
      <c r="E134" s="59"/>
      <c r="F134" s="59"/>
    </row>
    <row r="135" ht="12.75" customHeight="1">
      <c r="B135" s="59"/>
      <c r="C135" s="59"/>
      <c r="D135" s="59"/>
      <c r="E135" s="59"/>
      <c r="F135" s="59"/>
    </row>
    <row r="136" ht="12.75" customHeight="1">
      <c r="B136" s="59"/>
      <c r="C136" s="59"/>
      <c r="D136" s="59"/>
      <c r="E136" s="59"/>
      <c r="F136" s="59"/>
    </row>
    <row r="137" ht="12.75" customHeight="1">
      <c r="B137" s="59"/>
      <c r="C137" s="59"/>
      <c r="D137" s="59"/>
      <c r="E137" s="59"/>
      <c r="F137" s="59"/>
    </row>
    <row r="138" ht="12.75" customHeight="1">
      <c r="B138" s="59"/>
      <c r="C138" s="59"/>
      <c r="D138" s="59"/>
      <c r="E138" s="59"/>
      <c r="F138" s="59"/>
    </row>
    <row r="139" ht="12.75" customHeight="1">
      <c r="B139" s="59"/>
      <c r="C139" s="59"/>
      <c r="D139" s="59"/>
      <c r="E139" s="59"/>
      <c r="F139" s="59"/>
    </row>
    <row r="140" ht="12.75" customHeight="1">
      <c r="B140" s="59"/>
      <c r="C140" s="59"/>
      <c r="D140" s="59"/>
      <c r="E140" s="59"/>
      <c r="F140" s="59"/>
    </row>
    <row r="141" ht="12.75" customHeight="1">
      <c r="B141" s="59"/>
      <c r="C141" s="59"/>
      <c r="D141" s="59"/>
      <c r="E141" s="59"/>
      <c r="F141" s="59"/>
    </row>
    <row r="142" ht="12.75" customHeight="1">
      <c r="B142" s="59"/>
      <c r="C142" s="59"/>
      <c r="D142" s="59"/>
      <c r="E142" s="59"/>
      <c r="F142" s="59"/>
    </row>
    <row r="143" ht="12.75" customHeight="1">
      <c r="B143" s="59"/>
      <c r="C143" s="59"/>
      <c r="D143" s="59"/>
      <c r="E143" s="59"/>
      <c r="F143" s="59"/>
    </row>
    <row r="144" ht="12.75" customHeight="1">
      <c r="B144" s="59"/>
      <c r="C144" s="59"/>
      <c r="D144" s="59"/>
      <c r="E144" s="59"/>
      <c r="F144" s="59"/>
    </row>
    <row r="145" ht="12.75" customHeight="1">
      <c r="B145" s="59"/>
      <c r="C145" s="59"/>
      <c r="D145" s="59"/>
      <c r="E145" s="59"/>
      <c r="F145" s="59"/>
    </row>
    <row r="146" ht="12.75" customHeight="1">
      <c r="B146" s="59"/>
      <c r="C146" s="59"/>
      <c r="D146" s="59"/>
      <c r="E146" s="59"/>
      <c r="F146" s="59"/>
    </row>
    <row r="147" ht="12.75" customHeight="1">
      <c r="B147" s="59"/>
      <c r="C147" s="59"/>
      <c r="D147" s="59"/>
      <c r="E147" s="59"/>
      <c r="F147" s="59"/>
    </row>
    <row r="148" ht="12.75" customHeight="1">
      <c r="B148" s="59"/>
      <c r="C148" s="59"/>
      <c r="D148" s="59"/>
      <c r="E148" s="59"/>
      <c r="F148" s="59"/>
    </row>
    <row r="149" ht="12.75" customHeight="1">
      <c r="B149" s="59"/>
      <c r="C149" s="59"/>
      <c r="D149" s="59"/>
      <c r="E149" s="59"/>
      <c r="F149" s="59"/>
    </row>
    <row r="150" ht="12.75" customHeight="1">
      <c r="B150" s="59"/>
      <c r="C150" s="59"/>
      <c r="D150" s="59"/>
      <c r="E150" s="59"/>
      <c r="F150" s="59"/>
    </row>
    <row r="151" ht="12.75" customHeight="1">
      <c r="B151" s="59"/>
      <c r="C151" s="59"/>
      <c r="D151" s="59"/>
      <c r="E151" s="59"/>
      <c r="F151" s="59"/>
    </row>
    <row r="152" ht="12.75" customHeight="1">
      <c r="B152" s="59"/>
      <c r="C152" s="59"/>
      <c r="D152" s="59"/>
      <c r="E152" s="59"/>
      <c r="F152" s="59"/>
    </row>
    <row r="153" ht="12.75" customHeight="1">
      <c r="B153" s="59"/>
      <c r="C153" s="59"/>
      <c r="D153" s="59"/>
      <c r="E153" s="59"/>
      <c r="F153" s="59"/>
    </row>
    <row r="154" ht="12.75" customHeight="1">
      <c r="B154" s="59"/>
      <c r="C154" s="59"/>
      <c r="D154" s="59"/>
      <c r="E154" s="59"/>
      <c r="F154" s="59"/>
    </row>
    <row r="155" ht="12.75" customHeight="1">
      <c r="B155" s="59"/>
      <c r="C155" s="59"/>
      <c r="D155" s="59"/>
      <c r="E155" s="59"/>
      <c r="F155" s="59"/>
    </row>
    <row r="156" ht="12.75" customHeight="1">
      <c r="B156" s="59"/>
      <c r="C156" s="59"/>
      <c r="D156" s="59"/>
      <c r="E156" s="59"/>
      <c r="F156" s="59"/>
    </row>
    <row r="157" ht="12.75" customHeight="1">
      <c r="B157" s="59"/>
      <c r="C157" s="59"/>
      <c r="D157" s="59"/>
      <c r="E157" s="59"/>
      <c r="F157" s="59"/>
    </row>
    <row r="158" ht="12.75" customHeight="1">
      <c r="B158" s="59"/>
      <c r="C158" s="59"/>
      <c r="D158" s="59"/>
      <c r="E158" s="59"/>
      <c r="F158" s="59"/>
    </row>
    <row r="159" ht="12.75" customHeight="1">
      <c r="B159" s="59"/>
      <c r="C159" s="59"/>
      <c r="D159" s="59"/>
      <c r="E159" s="59"/>
      <c r="F159" s="59"/>
    </row>
    <row r="160" ht="12.75" customHeight="1">
      <c r="B160" s="59"/>
      <c r="C160" s="59"/>
      <c r="D160" s="59"/>
      <c r="E160" s="59"/>
      <c r="F160" s="59"/>
    </row>
    <row r="161" ht="12.75" customHeight="1">
      <c r="B161" s="59"/>
      <c r="C161" s="59"/>
      <c r="D161" s="59"/>
      <c r="E161" s="59"/>
      <c r="F161" s="59"/>
    </row>
    <row r="162" ht="12.75" customHeight="1">
      <c r="B162" s="59"/>
      <c r="C162" s="59"/>
      <c r="D162" s="59"/>
      <c r="E162" s="59"/>
      <c r="F162" s="59"/>
    </row>
    <row r="163" ht="12.75" customHeight="1">
      <c r="B163" s="59"/>
      <c r="C163" s="59"/>
      <c r="D163" s="59"/>
      <c r="E163" s="59"/>
      <c r="F163" s="59"/>
    </row>
    <row r="164" ht="12.75" customHeight="1">
      <c r="B164" s="59"/>
      <c r="C164" s="59"/>
      <c r="D164" s="59"/>
      <c r="E164" s="59"/>
      <c r="F164" s="59"/>
    </row>
    <row r="165" ht="12.75" customHeight="1">
      <c r="B165" s="59"/>
      <c r="C165" s="59"/>
      <c r="D165" s="59"/>
      <c r="E165" s="59"/>
      <c r="F165" s="59"/>
    </row>
    <row r="166" ht="12.75" customHeight="1">
      <c r="B166" s="59"/>
      <c r="C166" s="59"/>
      <c r="D166" s="59"/>
      <c r="E166" s="59"/>
      <c r="F166" s="59"/>
    </row>
    <row r="167" ht="12.75" customHeight="1">
      <c r="B167" s="59"/>
      <c r="C167" s="59"/>
      <c r="D167" s="59"/>
      <c r="E167" s="59"/>
      <c r="F167" s="59"/>
    </row>
    <row r="168" ht="12.75" customHeight="1">
      <c r="B168" s="59"/>
      <c r="C168" s="59"/>
      <c r="D168" s="59"/>
      <c r="E168" s="59"/>
      <c r="F168" s="59"/>
    </row>
    <row r="169" ht="12.75" customHeight="1">
      <c r="B169" s="59"/>
      <c r="C169" s="59"/>
      <c r="D169" s="59"/>
      <c r="E169" s="59"/>
      <c r="F169" s="59"/>
    </row>
    <row r="170" ht="12.75" customHeight="1">
      <c r="B170" s="59"/>
      <c r="C170" s="59"/>
      <c r="D170" s="59"/>
      <c r="E170" s="59"/>
      <c r="F170" s="59"/>
    </row>
    <row r="171" ht="12.75" customHeight="1">
      <c r="B171" s="59"/>
      <c r="C171" s="59"/>
      <c r="D171" s="59"/>
      <c r="E171" s="59"/>
      <c r="F171" s="59"/>
    </row>
    <row r="172" ht="12.75" customHeight="1">
      <c r="B172" s="59"/>
      <c r="C172" s="59"/>
      <c r="D172" s="59"/>
      <c r="E172" s="59"/>
      <c r="F172" s="59"/>
    </row>
    <row r="173" ht="12.75" customHeight="1">
      <c r="B173" s="59"/>
      <c r="C173" s="59"/>
      <c r="D173" s="59"/>
      <c r="E173" s="59"/>
      <c r="F173" s="59"/>
    </row>
    <row r="174" ht="12.75" customHeight="1">
      <c r="B174" s="59"/>
      <c r="C174" s="59"/>
      <c r="D174" s="59"/>
      <c r="E174" s="59"/>
      <c r="F174" s="59"/>
    </row>
    <row r="175" ht="12.75" customHeight="1">
      <c r="B175" s="59"/>
      <c r="C175" s="59"/>
      <c r="D175" s="59"/>
      <c r="E175" s="59"/>
      <c r="F175" s="59"/>
    </row>
    <row r="176" ht="12.75" customHeight="1">
      <c r="B176" s="59"/>
      <c r="C176" s="59"/>
      <c r="D176" s="59"/>
      <c r="E176" s="59"/>
      <c r="F176" s="59"/>
    </row>
    <row r="177" ht="12.75" customHeight="1">
      <c r="B177" s="59"/>
      <c r="C177" s="59"/>
      <c r="D177" s="59"/>
      <c r="E177" s="59"/>
      <c r="F177" s="59"/>
    </row>
    <row r="178" ht="12.75" customHeight="1">
      <c r="B178" s="59"/>
      <c r="C178" s="59"/>
      <c r="D178" s="59"/>
      <c r="E178" s="59"/>
      <c r="F178" s="59"/>
    </row>
    <row r="179" ht="12.75" customHeight="1">
      <c r="B179" s="59"/>
      <c r="C179" s="59"/>
      <c r="D179" s="59"/>
      <c r="E179" s="59"/>
      <c r="F179" s="59"/>
    </row>
    <row r="180" ht="12.75" customHeight="1">
      <c r="B180" s="59"/>
      <c r="C180" s="59"/>
      <c r="D180" s="59"/>
      <c r="E180" s="59"/>
      <c r="F180" s="59"/>
    </row>
    <row r="181" ht="12.75" customHeight="1">
      <c r="B181" s="59"/>
      <c r="C181" s="59"/>
      <c r="D181" s="59"/>
      <c r="E181" s="59"/>
      <c r="F181" s="59"/>
    </row>
    <row r="182" ht="12.75" customHeight="1">
      <c r="B182" s="59"/>
      <c r="C182" s="59"/>
      <c r="D182" s="59"/>
      <c r="E182" s="59"/>
      <c r="F182" s="59"/>
    </row>
    <row r="183" ht="12.75" customHeight="1">
      <c r="B183" s="59"/>
      <c r="C183" s="59"/>
      <c r="D183" s="59"/>
      <c r="E183" s="59"/>
      <c r="F183" s="59"/>
    </row>
    <row r="184" ht="12.75" customHeight="1">
      <c r="B184" s="59"/>
      <c r="C184" s="59"/>
      <c r="D184" s="59"/>
      <c r="E184" s="59"/>
      <c r="F184" s="59"/>
    </row>
    <row r="185" ht="12.75" customHeight="1">
      <c r="B185" s="59"/>
      <c r="C185" s="59"/>
      <c r="D185" s="59"/>
      <c r="E185" s="59"/>
      <c r="F185" s="59"/>
    </row>
    <row r="186" ht="12.75" customHeight="1">
      <c r="B186" s="59"/>
      <c r="C186" s="59"/>
      <c r="D186" s="59"/>
      <c r="E186" s="59"/>
      <c r="F186" s="59"/>
    </row>
    <row r="187" ht="12.75" customHeight="1">
      <c r="B187" s="59"/>
      <c r="C187" s="59"/>
      <c r="D187" s="59"/>
      <c r="E187" s="59"/>
      <c r="F187" s="59"/>
    </row>
    <row r="188" ht="12.75" customHeight="1">
      <c r="B188" s="59"/>
      <c r="C188" s="59"/>
      <c r="D188" s="59"/>
      <c r="E188" s="59"/>
      <c r="F188" s="59"/>
    </row>
    <row r="189" ht="12.75" customHeight="1">
      <c r="B189" s="59"/>
      <c r="C189" s="59"/>
      <c r="D189" s="59"/>
      <c r="E189" s="59"/>
      <c r="F189" s="59"/>
    </row>
    <row r="190" ht="12.75" customHeight="1">
      <c r="B190" s="59"/>
      <c r="C190" s="59"/>
      <c r="D190" s="59"/>
      <c r="E190" s="59"/>
      <c r="F190" s="59"/>
    </row>
    <row r="191" ht="12.75" customHeight="1">
      <c r="B191" s="59"/>
      <c r="C191" s="59"/>
      <c r="D191" s="59"/>
      <c r="E191" s="59"/>
      <c r="F191" s="59"/>
    </row>
    <row r="192" ht="12.75" customHeight="1">
      <c r="B192" s="59"/>
      <c r="C192" s="59"/>
      <c r="D192" s="59"/>
      <c r="E192" s="59"/>
      <c r="F192" s="59"/>
    </row>
    <row r="193" ht="12.75" customHeight="1">
      <c r="B193" s="59"/>
      <c r="C193" s="59"/>
      <c r="D193" s="59"/>
      <c r="E193" s="59"/>
      <c r="F193" s="59"/>
    </row>
    <row r="194" ht="12.75" customHeight="1">
      <c r="B194" s="59"/>
      <c r="C194" s="59"/>
      <c r="D194" s="59"/>
      <c r="E194" s="59"/>
      <c r="F194" s="59"/>
    </row>
    <row r="195" ht="12.75" customHeight="1">
      <c r="B195" s="59"/>
      <c r="C195" s="59"/>
      <c r="D195" s="59"/>
      <c r="E195" s="59"/>
      <c r="F195" s="59"/>
    </row>
    <row r="196" ht="12.75" customHeight="1">
      <c r="B196" s="59"/>
      <c r="C196" s="59"/>
      <c r="D196" s="59"/>
      <c r="E196" s="59"/>
      <c r="F196" s="59"/>
    </row>
    <row r="197" ht="12.75" customHeight="1">
      <c r="B197" s="59"/>
      <c r="C197" s="59"/>
      <c r="D197" s="59"/>
      <c r="E197" s="59"/>
      <c r="F197" s="59"/>
    </row>
    <row r="198" ht="12.75" customHeight="1">
      <c r="B198" s="59"/>
      <c r="C198" s="59"/>
      <c r="D198" s="59"/>
      <c r="E198" s="59"/>
      <c r="F198" s="59"/>
    </row>
    <row r="199" ht="12.75" customHeight="1">
      <c r="B199" s="59"/>
      <c r="C199" s="59"/>
      <c r="D199" s="59"/>
      <c r="E199" s="59"/>
      <c r="F199" s="59"/>
    </row>
    <row r="200" ht="12.75" customHeight="1">
      <c r="B200" s="59"/>
      <c r="C200" s="59"/>
      <c r="D200" s="59"/>
      <c r="E200" s="59"/>
      <c r="F200" s="59"/>
    </row>
    <row r="201" ht="12.75" customHeight="1">
      <c r="B201" s="59"/>
      <c r="C201" s="59"/>
      <c r="D201" s="59"/>
      <c r="E201" s="59"/>
      <c r="F201" s="59"/>
    </row>
    <row r="202" ht="12.75" customHeight="1">
      <c r="B202" s="59"/>
      <c r="C202" s="59"/>
      <c r="D202" s="59"/>
      <c r="E202" s="59"/>
      <c r="F202" s="59"/>
    </row>
    <row r="203" ht="12.75" customHeight="1">
      <c r="B203" s="59"/>
      <c r="C203" s="59"/>
      <c r="D203" s="59"/>
      <c r="E203" s="59"/>
      <c r="F203" s="59"/>
    </row>
    <row r="204" ht="12.75" customHeight="1">
      <c r="B204" s="59"/>
      <c r="C204" s="59"/>
      <c r="D204" s="59"/>
      <c r="E204" s="59"/>
      <c r="F204" s="59"/>
    </row>
    <row r="205" ht="12.75" customHeight="1">
      <c r="B205" s="59"/>
      <c r="C205" s="59"/>
      <c r="D205" s="59"/>
      <c r="E205" s="59"/>
      <c r="F205" s="59"/>
    </row>
    <row r="206" 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 <c r="D207" s="59"/>
      <c r="E207" s="59"/>
      <c r="F207" s="59"/>
    </row>
    <row r="208" ht="12.75" customHeight="1">
      <c r="B208" s="59"/>
      <c r="C208" s="59"/>
      <c r="D208" s="59"/>
      <c r="E208" s="59"/>
      <c r="F208" s="59"/>
    </row>
    <row r="209" ht="12.75" customHeight="1">
      <c r="B209" s="59"/>
      <c r="C209" s="59"/>
      <c r="D209" s="59"/>
      <c r="E209" s="59"/>
      <c r="F209" s="59"/>
    </row>
    <row r="210" ht="12.75" customHeight="1">
      <c r="B210" s="59"/>
      <c r="C210" s="59"/>
      <c r="D210" s="59"/>
      <c r="E210" s="59"/>
      <c r="F210" s="59"/>
    </row>
    <row r="211" ht="12.75" customHeight="1">
      <c r="B211" s="59"/>
      <c r="C211" s="59"/>
      <c r="D211" s="59"/>
      <c r="E211" s="59"/>
      <c r="F211" s="59"/>
    </row>
    <row r="212" ht="12.75" customHeight="1">
      <c r="B212" s="59"/>
      <c r="C212" s="59"/>
      <c r="D212" s="59"/>
      <c r="E212" s="59"/>
      <c r="F212" s="59"/>
    </row>
    <row r="213" ht="12.75" customHeight="1">
      <c r="B213" s="59"/>
      <c r="C213" s="59"/>
      <c r="D213" s="59"/>
      <c r="E213" s="59"/>
      <c r="F213" s="59"/>
    </row>
    <row r="214" ht="12.75" customHeight="1">
      <c r="B214" s="59"/>
      <c r="C214" s="59"/>
      <c r="D214" s="59"/>
      <c r="E214" s="59"/>
      <c r="F214" s="59"/>
    </row>
    <row r="215" ht="12.75" customHeight="1">
      <c r="B215" s="59"/>
      <c r="C215" s="59"/>
      <c r="D215" s="59"/>
      <c r="E215" s="59"/>
      <c r="F215" s="59"/>
    </row>
    <row r="216" ht="12.75" customHeight="1">
      <c r="B216" s="59"/>
      <c r="C216" s="59"/>
      <c r="D216" s="59"/>
      <c r="E216" s="59"/>
      <c r="F216" s="59"/>
    </row>
    <row r="217" ht="12.75" customHeight="1">
      <c r="B217" s="59"/>
      <c r="C217" s="59"/>
      <c r="D217" s="59"/>
      <c r="E217" s="59"/>
      <c r="F217" s="59"/>
    </row>
    <row r="218" ht="12.75" customHeight="1">
      <c r="B218" s="59"/>
      <c r="C218" s="59"/>
      <c r="D218" s="59"/>
      <c r="E218" s="59"/>
      <c r="F218" s="59"/>
    </row>
    <row r="219" ht="12.75" customHeight="1">
      <c r="B219" s="59"/>
      <c r="C219" s="59"/>
      <c r="D219" s="59"/>
      <c r="E219" s="59"/>
      <c r="F219" s="59"/>
    </row>
    <row r="220" ht="12.75" customHeight="1">
      <c r="B220" s="59"/>
      <c r="C220" s="59"/>
      <c r="D220" s="59"/>
      <c r="E220" s="59"/>
      <c r="F220" s="59"/>
    </row>
    <row r="221" ht="12.75" customHeight="1">
      <c r="B221" s="59"/>
      <c r="C221" s="59"/>
      <c r="D221" s="59"/>
      <c r="E221" s="59"/>
      <c r="F221" s="59"/>
    </row>
    <row r="222" ht="12.75" customHeight="1">
      <c r="B222" s="59"/>
      <c r="C222" s="59"/>
      <c r="D222" s="59"/>
      <c r="E222" s="59"/>
      <c r="F222" s="59"/>
    </row>
    <row r="223" ht="12.75" customHeight="1">
      <c r="B223" s="59"/>
      <c r="C223" s="59"/>
      <c r="D223" s="59"/>
      <c r="E223" s="59"/>
      <c r="F223" s="59"/>
    </row>
    <row r="224" ht="12.75" customHeight="1">
      <c r="B224" s="59"/>
      <c r="C224" s="59"/>
      <c r="D224" s="59"/>
      <c r="E224" s="59"/>
      <c r="F224" s="59"/>
    </row>
    <row r="225" ht="12.75" customHeight="1">
      <c r="B225" s="59"/>
      <c r="C225" s="59"/>
      <c r="D225" s="59"/>
      <c r="E225" s="59"/>
      <c r="F225" s="59"/>
    </row>
    <row r="226" ht="12.75" customHeight="1">
      <c r="B226" s="59"/>
      <c r="C226" s="59"/>
      <c r="D226" s="59"/>
      <c r="E226" s="59"/>
      <c r="F226" s="59"/>
    </row>
    <row r="227" ht="12.75" customHeight="1">
      <c r="B227" s="59"/>
      <c r="C227" s="59"/>
      <c r="D227" s="59"/>
      <c r="E227" s="59"/>
      <c r="F227" s="59"/>
    </row>
    <row r="228" ht="12.75" customHeight="1">
      <c r="B228" s="59"/>
      <c r="C228" s="59"/>
      <c r="D228" s="59"/>
      <c r="E228" s="59"/>
      <c r="F228" s="59"/>
    </row>
    <row r="229" ht="12.75" customHeight="1">
      <c r="B229" s="59"/>
      <c r="C229" s="59"/>
      <c r="D229" s="59"/>
      <c r="E229" s="59"/>
      <c r="F229" s="59"/>
    </row>
    <row r="230" ht="12.75" customHeight="1">
      <c r="B230" s="59"/>
      <c r="C230" s="59"/>
      <c r="D230" s="59"/>
      <c r="E230" s="59"/>
      <c r="F230" s="59"/>
    </row>
    <row r="231" ht="12.75" customHeight="1">
      <c r="B231" s="59"/>
      <c r="C231" s="59"/>
      <c r="D231" s="59"/>
      <c r="E231" s="59"/>
      <c r="F231" s="59"/>
    </row>
    <row r="232" ht="12.75" customHeight="1">
      <c r="B232" s="59"/>
      <c r="C232" s="59"/>
      <c r="D232" s="59"/>
      <c r="E232" s="59"/>
      <c r="F232" s="59"/>
    </row>
    <row r="233" ht="12.75" customHeight="1">
      <c r="B233" s="59"/>
      <c r="C233" s="59"/>
      <c r="D233" s="59"/>
      <c r="E233" s="59"/>
      <c r="F233" s="59"/>
    </row>
    <row r="234" ht="12.75" customHeight="1">
      <c r="B234" s="59"/>
      <c r="C234" s="59"/>
      <c r="D234" s="59"/>
      <c r="E234" s="59"/>
      <c r="F234" s="59"/>
    </row>
    <row r="235" ht="12.75" customHeight="1">
      <c r="B235" s="59"/>
      <c r="C235" s="59"/>
      <c r="D235" s="59"/>
      <c r="E235" s="59"/>
      <c r="F235" s="59"/>
    </row>
    <row r="236" ht="12.75" customHeight="1">
      <c r="B236" s="59"/>
      <c r="C236" s="59"/>
      <c r="D236" s="59"/>
      <c r="E236" s="59"/>
      <c r="F236" s="59"/>
    </row>
    <row r="237" ht="12.75" customHeight="1">
      <c r="B237" s="59"/>
      <c r="C237" s="59"/>
      <c r="D237" s="59"/>
      <c r="E237" s="59"/>
      <c r="F237" s="59"/>
    </row>
    <row r="238" ht="12.75" customHeight="1">
      <c r="B238" s="59"/>
      <c r="C238" s="59"/>
      <c r="D238" s="59"/>
      <c r="E238" s="59"/>
      <c r="F238" s="59"/>
    </row>
    <row r="239" ht="12.75" customHeight="1">
      <c r="B239" s="59"/>
      <c r="C239" s="59"/>
      <c r="D239" s="59"/>
      <c r="E239" s="59"/>
      <c r="F239" s="59"/>
    </row>
    <row r="240" ht="12.75" customHeight="1">
      <c r="B240" s="59"/>
      <c r="C240" s="59"/>
      <c r="D240" s="59"/>
      <c r="E240" s="59"/>
      <c r="F240" s="59"/>
    </row>
    <row r="241" ht="12.75" customHeight="1">
      <c r="B241" s="59"/>
      <c r="C241" s="59"/>
      <c r="D241" s="59"/>
      <c r="E241" s="59"/>
      <c r="F241" s="59"/>
    </row>
    <row r="242" ht="12.75" customHeight="1">
      <c r="B242" s="59"/>
      <c r="C242" s="59"/>
      <c r="D242" s="59"/>
      <c r="E242" s="59"/>
      <c r="F242" s="59"/>
    </row>
    <row r="243" ht="12.75" customHeight="1">
      <c r="B243" s="59"/>
      <c r="C243" s="59"/>
      <c r="D243" s="59"/>
      <c r="E243" s="59"/>
      <c r="F243" s="59"/>
    </row>
    <row r="244" ht="12.75" customHeight="1">
      <c r="B244" s="59"/>
      <c r="C244" s="59"/>
      <c r="D244" s="59"/>
      <c r="E244" s="59"/>
      <c r="F244" s="59"/>
    </row>
    <row r="245" ht="12.75" customHeight="1">
      <c r="B245" s="59"/>
      <c r="C245" s="59"/>
      <c r="D245" s="59"/>
      <c r="E245" s="59"/>
      <c r="F245" s="59"/>
    </row>
    <row r="246" ht="12.75" customHeight="1">
      <c r="B246" s="59"/>
      <c r="C246" s="59"/>
      <c r="D246" s="59"/>
      <c r="E246" s="59"/>
      <c r="F246" s="59"/>
    </row>
    <row r="247" ht="12.75" customHeight="1">
      <c r="B247" s="59"/>
      <c r="C247" s="59"/>
      <c r="D247" s="59"/>
      <c r="E247" s="59"/>
      <c r="F247" s="59"/>
    </row>
    <row r="248" ht="12.75" customHeight="1">
      <c r="B248" s="59"/>
      <c r="C248" s="59"/>
      <c r="D248" s="59"/>
      <c r="E248" s="59"/>
      <c r="F248" s="59"/>
    </row>
    <row r="249" ht="12.75" customHeight="1">
      <c r="B249" s="59"/>
      <c r="C249" s="59"/>
      <c r="D249" s="59"/>
      <c r="E249" s="59"/>
      <c r="F249" s="59"/>
    </row>
    <row r="250" ht="12.75" customHeight="1">
      <c r="B250" s="59"/>
      <c r="C250" s="59"/>
      <c r="D250" s="59"/>
      <c r="E250" s="59"/>
      <c r="F250" s="59"/>
    </row>
    <row r="251" ht="12.75" customHeight="1">
      <c r="B251" s="59"/>
      <c r="C251" s="59"/>
      <c r="D251" s="59"/>
      <c r="E251" s="59"/>
      <c r="F251" s="59"/>
    </row>
    <row r="252" ht="12.75" customHeight="1">
      <c r="B252" s="59"/>
      <c r="C252" s="59"/>
      <c r="D252" s="59"/>
      <c r="E252" s="59"/>
      <c r="F252" s="59"/>
    </row>
    <row r="253" ht="12.75" customHeight="1">
      <c r="B253" s="59"/>
      <c r="C253" s="59"/>
      <c r="D253" s="59"/>
      <c r="E253" s="59"/>
      <c r="F253" s="59"/>
    </row>
    <row r="254" ht="12.75" customHeight="1">
      <c r="B254" s="59"/>
      <c r="C254" s="59"/>
      <c r="D254" s="59"/>
      <c r="E254" s="59"/>
      <c r="F254" s="59"/>
    </row>
    <row r="255" ht="12.75" customHeight="1">
      <c r="B255" s="59"/>
      <c r="C255" s="59"/>
      <c r="D255" s="59"/>
      <c r="E255" s="59"/>
      <c r="F255" s="59"/>
    </row>
    <row r="256" ht="12.75" customHeight="1">
      <c r="B256" s="59"/>
      <c r="C256" s="59"/>
      <c r="D256" s="59"/>
      <c r="E256" s="59"/>
      <c r="F256" s="59"/>
    </row>
    <row r="257" ht="12.75" customHeight="1">
      <c r="B257" s="59"/>
      <c r="C257" s="59"/>
      <c r="D257" s="59"/>
      <c r="E257" s="59"/>
      <c r="F257" s="59"/>
    </row>
    <row r="258" ht="12.75" customHeight="1">
      <c r="B258" s="59"/>
      <c r="C258" s="59"/>
      <c r="D258" s="59"/>
      <c r="E258" s="59"/>
      <c r="F258" s="59"/>
    </row>
    <row r="259" ht="12.75" customHeight="1">
      <c r="B259" s="59"/>
      <c r="C259" s="59"/>
      <c r="D259" s="59"/>
      <c r="E259" s="59"/>
      <c r="F259" s="59"/>
    </row>
    <row r="260" ht="12.75" customHeight="1">
      <c r="B260" s="59"/>
      <c r="C260" s="59"/>
      <c r="D260" s="59"/>
      <c r="E260" s="59"/>
      <c r="F260" s="59"/>
    </row>
    <row r="261" ht="12.75" customHeight="1">
      <c r="B261" s="59"/>
      <c r="C261" s="59"/>
      <c r="D261" s="59"/>
      <c r="E261" s="59"/>
      <c r="F261" s="59"/>
    </row>
    <row r="262" ht="12.75" customHeight="1">
      <c r="B262" s="59"/>
      <c r="C262" s="59"/>
      <c r="D262" s="59"/>
      <c r="E262" s="59"/>
      <c r="F262" s="59"/>
    </row>
    <row r="263" ht="12.75" customHeight="1">
      <c r="B263" s="59"/>
      <c r="C263" s="59"/>
      <c r="D263" s="59"/>
      <c r="E263" s="59"/>
      <c r="F263" s="59"/>
    </row>
    <row r="264" ht="12.75" customHeight="1">
      <c r="B264" s="59"/>
      <c r="C264" s="59"/>
      <c r="D264" s="59"/>
      <c r="E264" s="59"/>
      <c r="F264" s="59"/>
    </row>
    <row r="265" ht="12.75" customHeight="1">
      <c r="B265" s="59"/>
      <c r="C265" s="59"/>
      <c r="D265" s="59"/>
      <c r="E265" s="59"/>
      <c r="F265" s="59"/>
    </row>
    <row r="266" ht="12.75" customHeight="1">
      <c r="B266" s="59"/>
      <c r="C266" s="59"/>
      <c r="D266" s="59"/>
      <c r="E266" s="59"/>
      <c r="F266" s="59"/>
    </row>
    <row r="267" ht="12.75" customHeight="1">
      <c r="B267" s="59"/>
      <c r="C267" s="59"/>
      <c r="D267" s="59"/>
      <c r="E267" s="59"/>
      <c r="F267" s="59"/>
    </row>
    <row r="268" ht="12.75" customHeight="1">
      <c r="B268" s="59"/>
      <c r="C268" s="59"/>
      <c r="D268" s="59"/>
      <c r="E268" s="59"/>
      <c r="F268" s="59"/>
    </row>
    <row r="269" ht="12.75" customHeight="1">
      <c r="B269" s="59"/>
      <c r="C269" s="59"/>
      <c r="D269" s="59"/>
      <c r="E269" s="59"/>
      <c r="F269" s="59"/>
    </row>
    <row r="270" ht="12.75" customHeight="1">
      <c r="B270" s="59"/>
      <c r="C270" s="59"/>
      <c r="D270" s="59"/>
      <c r="E270" s="59"/>
      <c r="F270" s="59"/>
    </row>
    <row r="271" ht="12.75" customHeight="1">
      <c r="B271" s="59"/>
      <c r="C271" s="59"/>
      <c r="D271" s="59"/>
      <c r="E271" s="59"/>
      <c r="F271" s="59"/>
    </row>
    <row r="272" ht="12.75" customHeight="1">
      <c r="B272" s="59"/>
      <c r="C272" s="59"/>
      <c r="D272" s="59"/>
      <c r="E272" s="59"/>
      <c r="F272" s="59"/>
    </row>
    <row r="273" ht="12.75" customHeight="1">
      <c r="B273" s="59"/>
      <c r="C273" s="59"/>
      <c r="D273" s="59"/>
      <c r="E273" s="59"/>
      <c r="F273" s="59"/>
    </row>
    <row r="274" ht="12.75" customHeight="1">
      <c r="B274" s="59"/>
      <c r="C274" s="59"/>
      <c r="D274" s="59"/>
      <c r="E274" s="59"/>
      <c r="F274" s="59"/>
    </row>
    <row r="275" ht="12.75" customHeight="1">
      <c r="B275" s="59"/>
      <c r="C275" s="59"/>
      <c r="D275" s="59"/>
      <c r="E275" s="59"/>
      <c r="F275" s="59"/>
    </row>
    <row r="276" ht="12.75" customHeight="1">
      <c r="B276" s="59"/>
      <c r="C276" s="59"/>
      <c r="D276" s="59"/>
      <c r="E276" s="59"/>
      <c r="F276" s="59"/>
    </row>
    <row r="277" ht="12.75" customHeight="1">
      <c r="B277" s="59"/>
      <c r="C277" s="59"/>
      <c r="D277" s="59"/>
      <c r="E277" s="59"/>
      <c r="F277" s="59"/>
    </row>
    <row r="278" ht="12.75" customHeight="1">
      <c r="B278" s="59"/>
      <c r="C278" s="59"/>
      <c r="D278" s="59"/>
      <c r="E278" s="59"/>
      <c r="F278" s="59"/>
    </row>
    <row r="279" ht="12.75" customHeight="1">
      <c r="B279" s="59"/>
      <c r="C279" s="59"/>
      <c r="D279" s="59"/>
      <c r="E279" s="59"/>
      <c r="F279" s="59"/>
    </row>
    <row r="280" ht="12.75" customHeight="1">
      <c r="B280" s="59"/>
      <c r="C280" s="59"/>
      <c r="D280" s="59"/>
      <c r="E280" s="59"/>
      <c r="F280" s="59"/>
    </row>
    <row r="281" ht="12.75" customHeight="1">
      <c r="B281" s="59"/>
      <c r="C281" s="59"/>
      <c r="D281" s="59"/>
      <c r="E281" s="59"/>
      <c r="F281" s="59"/>
    </row>
    <row r="282" ht="12.75" customHeight="1">
      <c r="B282" s="59"/>
      <c r="C282" s="59"/>
      <c r="D282" s="59"/>
      <c r="E282" s="59"/>
      <c r="F282" s="59"/>
    </row>
    <row r="283" ht="12.75" customHeight="1">
      <c r="B283" s="59"/>
      <c r="C283" s="59"/>
      <c r="D283" s="59"/>
      <c r="E283" s="59"/>
      <c r="F283" s="59"/>
    </row>
    <row r="284" ht="12.75" customHeight="1">
      <c r="B284" s="59"/>
      <c r="C284" s="59"/>
      <c r="D284" s="59"/>
      <c r="E284" s="59"/>
      <c r="F284" s="59"/>
    </row>
    <row r="285" ht="12.75" customHeight="1">
      <c r="B285" s="59"/>
      <c r="C285" s="59"/>
      <c r="D285" s="59"/>
      <c r="E285" s="59"/>
      <c r="F285" s="59"/>
    </row>
    <row r="286" ht="12.75" customHeight="1">
      <c r="B286" s="59"/>
      <c r="C286" s="59"/>
      <c r="D286" s="59"/>
      <c r="E286" s="59"/>
      <c r="F286" s="59"/>
    </row>
    <row r="287" ht="12.75" customHeight="1">
      <c r="B287" s="59"/>
      <c r="C287" s="59"/>
      <c r="D287" s="59"/>
      <c r="E287" s="59"/>
      <c r="F287" s="59"/>
    </row>
    <row r="288" ht="12.75" customHeight="1">
      <c r="B288" s="59"/>
      <c r="C288" s="59"/>
      <c r="D288" s="59"/>
      <c r="E288" s="59"/>
      <c r="F288" s="59"/>
    </row>
    <row r="289" ht="12.75" customHeight="1">
      <c r="B289" s="59"/>
      <c r="C289" s="59"/>
      <c r="D289" s="59"/>
      <c r="E289" s="59"/>
      <c r="F289" s="59"/>
    </row>
    <row r="290" ht="12.75" customHeight="1">
      <c r="B290" s="59"/>
      <c r="C290" s="59"/>
      <c r="D290" s="59"/>
      <c r="E290" s="59"/>
      <c r="F290" s="59"/>
    </row>
    <row r="291" ht="12.75" customHeight="1">
      <c r="B291" s="59"/>
      <c r="C291" s="59"/>
      <c r="D291" s="59"/>
      <c r="E291" s="59"/>
      <c r="F291" s="59"/>
    </row>
    <row r="292" ht="12.75" customHeight="1">
      <c r="B292" s="59"/>
      <c r="C292" s="59"/>
      <c r="D292" s="59"/>
      <c r="E292" s="59"/>
      <c r="F292" s="59"/>
    </row>
    <row r="293" ht="12.75" customHeight="1">
      <c r="B293" s="59"/>
      <c r="C293" s="59"/>
      <c r="D293" s="59"/>
      <c r="E293" s="59"/>
      <c r="F293" s="59"/>
    </row>
    <row r="294" ht="12.75" customHeight="1">
      <c r="B294" s="59"/>
      <c r="C294" s="59"/>
      <c r="D294" s="59"/>
      <c r="E294" s="59"/>
      <c r="F294" s="59"/>
    </row>
    <row r="295" ht="12.75" customHeight="1">
      <c r="B295" s="59"/>
      <c r="C295" s="59"/>
      <c r="D295" s="59"/>
      <c r="E295" s="59"/>
      <c r="F295" s="59"/>
    </row>
    <row r="296" ht="12.75" customHeight="1">
      <c r="B296" s="59"/>
      <c r="C296" s="59"/>
      <c r="D296" s="59"/>
      <c r="E296" s="59"/>
      <c r="F296" s="59"/>
    </row>
    <row r="297" ht="12.75" customHeight="1">
      <c r="B297" s="59"/>
      <c r="C297" s="59"/>
      <c r="D297" s="59"/>
      <c r="E297" s="59"/>
      <c r="F297" s="59"/>
    </row>
    <row r="298" ht="12.75" customHeight="1">
      <c r="B298" s="59"/>
      <c r="C298" s="59"/>
      <c r="D298" s="59"/>
      <c r="E298" s="59"/>
      <c r="F298" s="59"/>
    </row>
    <row r="299" ht="12.75" customHeight="1">
      <c r="B299" s="59"/>
      <c r="C299" s="59"/>
      <c r="D299" s="59"/>
      <c r="E299" s="59"/>
      <c r="F299" s="59"/>
    </row>
    <row r="300" ht="12.75" customHeight="1">
      <c r="B300" s="59"/>
      <c r="C300" s="59"/>
      <c r="D300" s="59"/>
      <c r="E300" s="59"/>
      <c r="F300" s="59"/>
    </row>
    <row r="301" ht="12.75" customHeight="1">
      <c r="B301" s="59"/>
      <c r="C301" s="59"/>
      <c r="D301" s="59"/>
      <c r="E301" s="59"/>
      <c r="F301" s="59"/>
    </row>
    <row r="302" ht="12.75" customHeight="1">
      <c r="B302" s="59"/>
      <c r="C302" s="59"/>
      <c r="D302" s="59"/>
      <c r="E302" s="59"/>
      <c r="F302" s="59"/>
    </row>
    <row r="303" ht="12.75" customHeight="1">
      <c r="B303" s="59"/>
      <c r="C303" s="59"/>
      <c r="D303" s="59"/>
      <c r="E303" s="59"/>
      <c r="F303" s="59"/>
    </row>
    <row r="304" ht="12.75" customHeight="1">
      <c r="B304" s="59"/>
      <c r="C304" s="59"/>
      <c r="D304" s="59"/>
      <c r="E304" s="59"/>
      <c r="F304" s="59"/>
    </row>
    <row r="305" ht="12.75" customHeight="1">
      <c r="B305" s="59"/>
      <c r="C305" s="59"/>
      <c r="D305" s="59"/>
      <c r="E305" s="59"/>
      <c r="F305" s="59"/>
    </row>
    <row r="306" ht="12.75" customHeight="1">
      <c r="B306" s="59"/>
      <c r="C306" s="59"/>
      <c r="D306" s="59"/>
      <c r="E306" s="59"/>
      <c r="F306" s="59"/>
    </row>
    <row r="307" ht="12.75" customHeight="1">
      <c r="B307" s="59"/>
      <c r="C307" s="59"/>
      <c r="D307" s="59"/>
      <c r="E307" s="59"/>
      <c r="F307" s="59"/>
    </row>
    <row r="308" ht="12.75" customHeight="1">
      <c r="B308" s="59"/>
      <c r="C308" s="59"/>
      <c r="D308" s="59"/>
      <c r="E308" s="59"/>
      <c r="F308" s="59"/>
    </row>
    <row r="309" ht="12.75" customHeight="1">
      <c r="B309" s="59"/>
      <c r="C309" s="59"/>
      <c r="D309" s="59"/>
      <c r="E309" s="59"/>
      <c r="F309" s="59"/>
    </row>
    <row r="310" ht="12.75" customHeight="1">
      <c r="B310" s="59"/>
      <c r="C310" s="59"/>
      <c r="D310" s="59"/>
      <c r="E310" s="59"/>
      <c r="F310" s="59"/>
    </row>
    <row r="311" ht="12.75" customHeight="1">
      <c r="B311" s="59"/>
      <c r="C311" s="59"/>
      <c r="D311" s="59"/>
      <c r="E311" s="59"/>
      <c r="F311" s="59"/>
    </row>
    <row r="312" ht="12.75" customHeight="1">
      <c r="B312" s="59"/>
      <c r="C312" s="59"/>
      <c r="D312" s="59"/>
      <c r="E312" s="59"/>
      <c r="F312" s="59"/>
    </row>
    <row r="313" ht="12.75" customHeight="1">
      <c r="B313" s="59"/>
      <c r="C313" s="59"/>
      <c r="D313" s="59"/>
      <c r="E313" s="59"/>
      <c r="F313" s="59"/>
    </row>
    <row r="314" ht="12.75" customHeight="1">
      <c r="B314" s="59"/>
      <c r="C314" s="59"/>
      <c r="D314" s="59"/>
      <c r="E314" s="59"/>
      <c r="F314" s="59"/>
    </row>
    <row r="315" ht="12.75" customHeight="1">
      <c r="B315" s="59"/>
      <c r="C315" s="59"/>
      <c r="D315" s="59"/>
      <c r="E315" s="59"/>
      <c r="F315" s="59"/>
    </row>
    <row r="316" ht="12.75" customHeight="1">
      <c r="B316" s="59"/>
      <c r="C316" s="59"/>
      <c r="D316" s="59"/>
      <c r="E316" s="59"/>
      <c r="F316" s="59"/>
    </row>
    <row r="317" ht="12.75" customHeight="1">
      <c r="B317" s="59"/>
      <c r="C317" s="59"/>
      <c r="D317" s="59"/>
      <c r="E317" s="59"/>
      <c r="F317" s="59"/>
    </row>
    <row r="318" ht="12.75" customHeight="1">
      <c r="B318" s="59"/>
      <c r="C318" s="59"/>
      <c r="D318" s="59"/>
      <c r="E318" s="59"/>
      <c r="F318" s="59"/>
    </row>
    <row r="319" ht="12.75" customHeight="1">
      <c r="B319" s="59"/>
      <c r="C319" s="59"/>
      <c r="D319" s="59"/>
      <c r="E319" s="59"/>
      <c r="F319" s="59"/>
    </row>
    <row r="320" ht="12.75" customHeight="1">
      <c r="B320" s="59"/>
      <c r="C320" s="59"/>
      <c r="D320" s="59"/>
      <c r="E320" s="59"/>
      <c r="F320" s="59"/>
    </row>
    <row r="321" ht="12.75" customHeight="1">
      <c r="B321" s="59"/>
      <c r="C321" s="59"/>
      <c r="D321" s="59"/>
      <c r="E321" s="59"/>
      <c r="F321" s="59"/>
    </row>
    <row r="322" ht="12.75" customHeight="1">
      <c r="B322" s="59"/>
      <c r="C322" s="59"/>
      <c r="D322" s="59"/>
      <c r="E322" s="59"/>
      <c r="F322" s="59"/>
    </row>
    <row r="323" ht="12.75" customHeight="1">
      <c r="B323" s="59"/>
      <c r="C323" s="59"/>
      <c r="D323" s="59"/>
      <c r="E323" s="59"/>
      <c r="F323" s="59"/>
    </row>
    <row r="324" ht="12.75" customHeight="1">
      <c r="B324" s="59"/>
      <c r="C324" s="59"/>
      <c r="D324" s="59"/>
      <c r="E324" s="59"/>
      <c r="F324" s="59"/>
    </row>
    <row r="325" ht="12.75" customHeight="1">
      <c r="B325" s="59"/>
      <c r="C325" s="59"/>
      <c r="D325" s="59"/>
      <c r="E325" s="59"/>
      <c r="F325" s="59"/>
    </row>
    <row r="326" ht="12.75" customHeight="1">
      <c r="B326" s="59"/>
      <c r="C326" s="59"/>
      <c r="D326" s="59"/>
      <c r="E326" s="59"/>
      <c r="F326" s="59"/>
    </row>
    <row r="327" ht="12.75" customHeight="1">
      <c r="B327" s="59"/>
      <c r="C327" s="59"/>
      <c r="D327" s="59"/>
      <c r="E327" s="59"/>
      <c r="F327" s="59"/>
    </row>
    <row r="328" ht="12.75" customHeight="1">
      <c r="B328" s="59"/>
      <c r="C328" s="59"/>
      <c r="D328" s="59"/>
      <c r="E328" s="59"/>
      <c r="F328" s="59"/>
    </row>
    <row r="329" ht="12.75" customHeight="1">
      <c r="B329" s="59"/>
      <c r="C329" s="59"/>
      <c r="D329" s="59"/>
      <c r="E329" s="59"/>
      <c r="F329" s="59"/>
    </row>
    <row r="330" ht="12.75" customHeight="1">
      <c r="B330" s="59"/>
      <c r="C330" s="59"/>
      <c r="D330" s="59"/>
      <c r="E330" s="59"/>
      <c r="F330" s="59"/>
    </row>
    <row r="331" ht="12.75" customHeight="1">
      <c r="B331" s="59"/>
      <c r="C331" s="59"/>
      <c r="D331" s="59"/>
      <c r="E331" s="59"/>
      <c r="F331" s="59"/>
    </row>
    <row r="332" ht="12.75" customHeight="1">
      <c r="B332" s="59"/>
      <c r="C332" s="59"/>
      <c r="D332" s="59"/>
      <c r="E332" s="59"/>
      <c r="F332" s="59"/>
    </row>
    <row r="333" ht="12.75" customHeight="1">
      <c r="B333" s="59"/>
      <c r="C333" s="59"/>
      <c r="D333" s="59"/>
      <c r="E333" s="59"/>
      <c r="F333" s="59"/>
    </row>
    <row r="334" ht="12.75" customHeight="1">
      <c r="B334" s="59"/>
      <c r="C334" s="59"/>
      <c r="D334" s="59"/>
      <c r="E334" s="59"/>
      <c r="F334" s="59"/>
    </row>
    <row r="335" ht="12.75" customHeight="1">
      <c r="B335" s="59"/>
      <c r="C335" s="59"/>
      <c r="D335" s="59"/>
      <c r="E335" s="59"/>
      <c r="F335" s="59"/>
    </row>
    <row r="336" ht="12.75" customHeight="1">
      <c r="B336" s="59"/>
      <c r="C336" s="59"/>
      <c r="D336" s="59"/>
      <c r="E336" s="59"/>
      <c r="F336" s="59"/>
    </row>
    <row r="337" ht="12.75" customHeight="1">
      <c r="B337" s="59"/>
      <c r="C337" s="59"/>
      <c r="D337" s="59"/>
      <c r="E337" s="59"/>
      <c r="F337" s="59"/>
    </row>
    <row r="338" ht="12.75" customHeight="1">
      <c r="B338" s="59"/>
      <c r="C338" s="59"/>
      <c r="D338" s="59"/>
      <c r="E338" s="59"/>
      <c r="F338" s="59"/>
    </row>
    <row r="339" ht="12.75" customHeight="1">
      <c r="B339" s="59"/>
      <c r="C339" s="59"/>
      <c r="D339" s="59"/>
      <c r="E339" s="59"/>
      <c r="F339" s="59"/>
    </row>
    <row r="340" ht="12.75" customHeight="1">
      <c r="B340" s="59"/>
      <c r="C340" s="59"/>
      <c r="D340" s="59"/>
      <c r="E340" s="59"/>
      <c r="F340" s="59"/>
    </row>
    <row r="341" ht="12.75" customHeight="1">
      <c r="B341" s="59"/>
      <c r="C341" s="59"/>
      <c r="D341" s="59"/>
      <c r="E341" s="59"/>
      <c r="F341" s="59"/>
    </row>
    <row r="342" ht="12.75" customHeight="1">
      <c r="B342" s="59"/>
      <c r="C342" s="59"/>
      <c r="D342" s="59"/>
      <c r="E342" s="59"/>
      <c r="F342" s="59"/>
    </row>
    <row r="343" ht="12.75" customHeight="1">
      <c r="B343" s="59"/>
      <c r="C343" s="59"/>
      <c r="D343" s="59"/>
      <c r="E343" s="59"/>
      <c r="F343" s="59"/>
    </row>
    <row r="344" ht="12.75" customHeight="1">
      <c r="B344" s="59"/>
      <c r="C344" s="59"/>
      <c r="D344" s="59"/>
      <c r="E344" s="59"/>
      <c r="F344" s="59"/>
    </row>
    <row r="345" ht="12.75" customHeight="1">
      <c r="B345" s="59"/>
      <c r="C345" s="59"/>
      <c r="D345" s="59"/>
      <c r="E345" s="59"/>
      <c r="F345" s="59"/>
    </row>
    <row r="346" ht="12.75" customHeight="1">
      <c r="B346" s="59"/>
      <c r="C346" s="59"/>
      <c r="D346" s="59"/>
      <c r="E346" s="59"/>
      <c r="F346" s="59"/>
    </row>
    <row r="347" ht="12.75" customHeight="1">
      <c r="B347" s="59"/>
      <c r="C347" s="59"/>
      <c r="D347" s="59"/>
      <c r="E347" s="59"/>
      <c r="F347" s="59"/>
    </row>
    <row r="348" ht="12.75" customHeight="1">
      <c r="B348" s="59"/>
      <c r="C348" s="59"/>
      <c r="D348" s="59"/>
      <c r="E348" s="59"/>
      <c r="F348" s="59"/>
    </row>
    <row r="349" ht="12.75" customHeight="1">
      <c r="B349" s="59"/>
      <c r="C349" s="59"/>
      <c r="D349" s="59"/>
      <c r="E349" s="59"/>
      <c r="F349" s="59"/>
    </row>
    <row r="350" ht="12.75" customHeight="1">
      <c r="B350" s="59"/>
      <c r="C350" s="59"/>
      <c r="D350" s="59"/>
      <c r="E350" s="59"/>
      <c r="F350" s="59"/>
    </row>
    <row r="351" ht="12.75" customHeight="1">
      <c r="B351" s="59"/>
      <c r="C351" s="59"/>
      <c r="D351" s="59"/>
      <c r="E351" s="59"/>
      <c r="F351" s="59"/>
    </row>
    <row r="352" ht="12.75" customHeight="1">
      <c r="B352" s="59"/>
      <c r="C352" s="59"/>
      <c r="D352" s="59"/>
      <c r="E352" s="59"/>
      <c r="F352" s="59"/>
    </row>
    <row r="353" ht="12.75" customHeight="1">
      <c r="B353" s="59"/>
      <c r="C353" s="59"/>
      <c r="D353" s="59"/>
      <c r="E353" s="59"/>
      <c r="F353" s="59"/>
    </row>
    <row r="354" ht="12.75" customHeight="1">
      <c r="B354" s="59"/>
      <c r="C354" s="59"/>
      <c r="D354" s="59"/>
      <c r="E354" s="59"/>
      <c r="F354" s="59"/>
    </row>
    <row r="355" ht="12.75" customHeight="1">
      <c r="B355" s="59"/>
      <c r="C355" s="59"/>
      <c r="D355" s="59"/>
      <c r="E355" s="59"/>
      <c r="F355" s="59"/>
    </row>
    <row r="356" ht="12.75" customHeight="1">
      <c r="B356" s="59"/>
      <c r="C356" s="59"/>
      <c r="D356" s="59"/>
      <c r="E356" s="59"/>
      <c r="F356" s="59"/>
    </row>
    <row r="357" ht="12.75" customHeight="1">
      <c r="B357" s="59"/>
      <c r="C357" s="59"/>
      <c r="D357" s="59"/>
      <c r="E357" s="59"/>
      <c r="F357" s="59"/>
    </row>
    <row r="358" ht="12.75" customHeight="1">
      <c r="B358" s="59"/>
      <c r="C358" s="59"/>
      <c r="D358" s="59"/>
      <c r="E358" s="59"/>
      <c r="F358" s="59"/>
    </row>
    <row r="359" ht="12.75" customHeight="1">
      <c r="B359" s="59"/>
      <c r="C359" s="59"/>
      <c r="D359" s="59"/>
      <c r="E359" s="59"/>
      <c r="F359" s="59"/>
    </row>
    <row r="360" ht="12.75" customHeight="1">
      <c r="B360" s="59"/>
      <c r="C360" s="59"/>
      <c r="D360" s="59"/>
      <c r="E360" s="59"/>
      <c r="F360" s="59"/>
    </row>
    <row r="361" ht="12.75" customHeight="1">
      <c r="B361" s="59"/>
      <c r="C361" s="59"/>
      <c r="D361" s="59"/>
      <c r="E361" s="59"/>
      <c r="F361" s="59"/>
    </row>
    <row r="362" ht="12.75" customHeight="1">
      <c r="B362" s="59"/>
      <c r="C362" s="59"/>
      <c r="D362" s="59"/>
      <c r="E362" s="59"/>
      <c r="F362" s="59"/>
    </row>
    <row r="363" ht="12.75" customHeight="1">
      <c r="B363" s="59"/>
      <c r="C363" s="59"/>
      <c r="D363" s="59"/>
      <c r="E363" s="59"/>
      <c r="F363" s="59"/>
    </row>
    <row r="364" ht="12.75" customHeight="1">
      <c r="B364" s="59"/>
      <c r="C364" s="59"/>
      <c r="D364" s="59"/>
      <c r="E364" s="59"/>
      <c r="F364" s="59"/>
    </row>
    <row r="365" ht="12.75" customHeight="1">
      <c r="B365" s="59"/>
      <c r="C365" s="59"/>
      <c r="D365" s="59"/>
      <c r="E365" s="59"/>
      <c r="F365" s="59"/>
    </row>
    <row r="366" ht="12.75" customHeight="1">
      <c r="B366" s="59"/>
      <c r="C366" s="59"/>
      <c r="D366" s="59"/>
      <c r="E366" s="59"/>
      <c r="F366" s="59"/>
    </row>
    <row r="367" ht="12.75" customHeight="1">
      <c r="B367" s="59"/>
      <c r="C367" s="59"/>
      <c r="D367" s="59"/>
      <c r="E367" s="59"/>
      <c r="F367" s="59"/>
    </row>
    <row r="368" ht="12.75" customHeight="1">
      <c r="B368" s="59"/>
      <c r="C368" s="59"/>
      <c r="D368" s="59"/>
      <c r="E368" s="59"/>
      <c r="F368" s="59"/>
    </row>
    <row r="369" ht="12.75" customHeight="1">
      <c r="B369" s="59"/>
      <c r="C369" s="59"/>
      <c r="D369" s="59"/>
      <c r="E369" s="59"/>
      <c r="F369" s="59"/>
    </row>
    <row r="370" ht="12.75" customHeight="1">
      <c r="B370" s="59"/>
      <c r="C370" s="59"/>
      <c r="D370" s="59"/>
      <c r="E370" s="59"/>
      <c r="F370" s="59"/>
    </row>
    <row r="371" ht="12.75" customHeight="1">
      <c r="B371" s="59"/>
      <c r="C371" s="59"/>
      <c r="D371" s="59"/>
      <c r="E371" s="59"/>
      <c r="F371" s="59"/>
    </row>
    <row r="372" ht="12.75" customHeight="1">
      <c r="B372" s="59"/>
      <c r="C372" s="59"/>
      <c r="D372" s="59"/>
      <c r="E372" s="59"/>
      <c r="F372" s="59"/>
    </row>
    <row r="373" ht="12.75" customHeight="1">
      <c r="B373" s="59"/>
      <c r="C373" s="59"/>
      <c r="D373" s="59"/>
      <c r="E373" s="59"/>
      <c r="F373" s="59"/>
    </row>
    <row r="374" ht="12.75" customHeight="1">
      <c r="B374" s="59"/>
      <c r="C374" s="59"/>
      <c r="D374" s="59"/>
      <c r="E374" s="59"/>
      <c r="F374" s="59"/>
    </row>
    <row r="375" ht="12.75" customHeight="1">
      <c r="B375" s="59"/>
      <c r="C375" s="59"/>
      <c r="D375" s="59"/>
      <c r="E375" s="59"/>
      <c r="F375" s="59"/>
    </row>
    <row r="376" ht="12.75" customHeight="1">
      <c r="B376" s="59"/>
      <c r="C376" s="59"/>
      <c r="D376" s="59"/>
      <c r="E376" s="59"/>
      <c r="F376" s="59"/>
    </row>
    <row r="377" ht="12.75" customHeight="1">
      <c r="B377" s="59"/>
      <c r="C377" s="59"/>
      <c r="D377" s="59"/>
      <c r="E377" s="59"/>
      <c r="F377" s="59"/>
    </row>
    <row r="378" ht="12.75" customHeight="1">
      <c r="B378" s="59"/>
      <c r="C378" s="59"/>
      <c r="D378" s="59"/>
      <c r="E378" s="59"/>
      <c r="F378" s="59"/>
    </row>
    <row r="379" ht="12.75" customHeight="1">
      <c r="B379" s="59"/>
      <c r="C379" s="59"/>
      <c r="D379" s="59"/>
      <c r="E379" s="59"/>
      <c r="F379" s="59"/>
    </row>
    <row r="380" ht="12.75" customHeight="1">
      <c r="B380" s="59"/>
      <c r="C380" s="59"/>
      <c r="D380" s="59"/>
      <c r="E380" s="59"/>
      <c r="F380" s="59"/>
    </row>
    <row r="381" ht="12.75" customHeight="1">
      <c r="B381" s="59"/>
      <c r="C381" s="59"/>
      <c r="D381" s="59"/>
      <c r="E381" s="59"/>
      <c r="F381" s="59"/>
    </row>
    <row r="382" ht="12.75" customHeight="1">
      <c r="B382" s="59"/>
      <c r="C382" s="59"/>
      <c r="D382" s="59"/>
      <c r="E382" s="59"/>
      <c r="F382" s="59"/>
    </row>
    <row r="383" ht="12.75" customHeight="1">
      <c r="B383" s="59"/>
      <c r="C383" s="59"/>
      <c r="D383" s="59"/>
      <c r="E383" s="59"/>
      <c r="F383" s="59"/>
    </row>
    <row r="384" ht="12.75" customHeight="1">
      <c r="B384" s="59"/>
      <c r="C384" s="59"/>
      <c r="D384" s="59"/>
      <c r="E384" s="59"/>
      <c r="F384" s="59"/>
    </row>
    <row r="385" ht="12.75" customHeight="1">
      <c r="B385" s="59"/>
      <c r="C385" s="59"/>
      <c r="D385" s="59"/>
      <c r="E385" s="59"/>
      <c r="F385" s="59"/>
    </row>
    <row r="386" ht="12.75" customHeight="1">
      <c r="B386" s="59"/>
      <c r="C386" s="59"/>
      <c r="D386" s="59"/>
      <c r="E386" s="59"/>
      <c r="F386" s="59"/>
    </row>
    <row r="387" ht="12.75" customHeight="1">
      <c r="B387" s="59"/>
      <c r="C387" s="59"/>
      <c r="D387" s="59"/>
      <c r="E387" s="59"/>
      <c r="F387" s="59"/>
    </row>
    <row r="388" ht="12.75" customHeight="1">
      <c r="B388" s="59"/>
      <c r="C388" s="59"/>
      <c r="D388" s="59"/>
      <c r="E388" s="59"/>
      <c r="F388" s="59"/>
    </row>
    <row r="389" ht="12.75" customHeight="1">
      <c r="B389" s="59"/>
      <c r="C389" s="59"/>
      <c r="D389" s="59"/>
      <c r="E389" s="59"/>
      <c r="F389" s="59"/>
    </row>
    <row r="390" ht="12.75" customHeight="1">
      <c r="B390" s="59"/>
      <c r="C390" s="59"/>
      <c r="D390" s="59"/>
      <c r="E390" s="59"/>
      <c r="F390" s="59"/>
    </row>
    <row r="391" ht="12.75" customHeight="1">
      <c r="B391" s="59"/>
      <c r="C391" s="59"/>
      <c r="D391" s="59"/>
      <c r="E391" s="59"/>
      <c r="F391" s="59"/>
    </row>
    <row r="392" ht="12.75" customHeight="1">
      <c r="B392" s="59"/>
      <c r="C392" s="59"/>
      <c r="D392" s="59"/>
      <c r="E392" s="59"/>
      <c r="F392" s="59"/>
    </row>
    <row r="393" ht="12.75" customHeight="1">
      <c r="B393" s="59"/>
      <c r="C393" s="59"/>
      <c r="D393" s="59"/>
      <c r="E393" s="59"/>
      <c r="F393" s="59"/>
    </row>
    <row r="394" ht="12.75" customHeight="1">
      <c r="B394" s="59"/>
      <c r="C394" s="59"/>
      <c r="D394" s="59"/>
      <c r="E394" s="59"/>
      <c r="F394" s="59"/>
    </row>
    <row r="395" ht="12.75" customHeight="1">
      <c r="B395" s="59"/>
      <c r="C395" s="59"/>
      <c r="D395" s="59"/>
      <c r="E395" s="59"/>
      <c r="F395" s="59"/>
    </row>
    <row r="396" ht="12.75" customHeight="1">
      <c r="B396" s="59"/>
      <c r="C396" s="59"/>
      <c r="D396" s="59"/>
      <c r="E396" s="59"/>
      <c r="F396" s="59"/>
    </row>
    <row r="397" ht="12.75" customHeight="1">
      <c r="B397" s="59"/>
      <c r="C397" s="59"/>
      <c r="D397" s="59"/>
      <c r="E397" s="59"/>
      <c r="F397" s="59"/>
    </row>
    <row r="398" ht="12.75" customHeight="1">
      <c r="B398" s="59"/>
      <c r="C398" s="59"/>
      <c r="D398" s="59"/>
      <c r="E398" s="59"/>
      <c r="F398" s="59"/>
    </row>
    <row r="399" ht="12.75" customHeight="1">
      <c r="B399" s="59"/>
      <c r="C399" s="59"/>
      <c r="D399" s="59"/>
      <c r="E399" s="59"/>
      <c r="F399" s="59"/>
    </row>
    <row r="400" ht="12.75" customHeight="1">
      <c r="B400" s="59"/>
      <c r="C400" s="59"/>
      <c r="D400" s="59"/>
      <c r="E400" s="59"/>
      <c r="F400" s="59"/>
    </row>
    <row r="401" ht="12.75" customHeight="1">
      <c r="B401" s="59"/>
      <c r="C401" s="59"/>
      <c r="D401" s="59"/>
      <c r="E401" s="59"/>
      <c r="F401" s="59"/>
    </row>
    <row r="402" ht="12.75" customHeight="1">
      <c r="B402" s="59"/>
      <c r="C402" s="59"/>
      <c r="D402" s="59"/>
      <c r="E402" s="59"/>
      <c r="F402" s="59"/>
    </row>
    <row r="403" ht="12.75" customHeight="1">
      <c r="B403" s="59"/>
      <c r="C403" s="59"/>
      <c r="D403" s="59"/>
      <c r="E403" s="59"/>
      <c r="F403" s="59"/>
    </row>
    <row r="404" ht="12.75" customHeight="1">
      <c r="B404" s="59"/>
      <c r="C404" s="59"/>
      <c r="D404" s="59"/>
      <c r="E404" s="59"/>
      <c r="F404" s="59"/>
    </row>
    <row r="405" ht="12.75" customHeight="1">
      <c r="B405" s="59"/>
      <c r="C405" s="59"/>
      <c r="D405" s="59"/>
      <c r="E405" s="59"/>
      <c r="F405" s="59"/>
    </row>
    <row r="406" ht="12.75" customHeight="1">
      <c r="B406" s="59"/>
      <c r="C406" s="59"/>
      <c r="D406" s="59"/>
      <c r="E406" s="59"/>
      <c r="F406" s="59"/>
    </row>
    <row r="407" ht="12.75" customHeight="1">
      <c r="B407" s="59"/>
      <c r="C407" s="59"/>
      <c r="D407" s="59"/>
      <c r="E407" s="59"/>
      <c r="F407" s="59"/>
    </row>
    <row r="408" ht="12.75" customHeight="1">
      <c r="B408" s="59"/>
      <c r="C408" s="59"/>
      <c r="D408" s="59"/>
      <c r="E408" s="59"/>
      <c r="F408" s="59"/>
    </row>
    <row r="409" ht="12.75" customHeight="1">
      <c r="B409" s="59"/>
      <c r="C409" s="59"/>
      <c r="D409" s="59"/>
      <c r="E409" s="59"/>
      <c r="F409" s="59"/>
    </row>
    <row r="410" ht="12.75" customHeight="1">
      <c r="B410" s="59"/>
      <c r="C410" s="59"/>
      <c r="D410" s="59"/>
      <c r="E410" s="59"/>
      <c r="F410" s="59"/>
    </row>
    <row r="411" ht="12.75" customHeight="1">
      <c r="B411" s="59"/>
      <c r="C411" s="59"/>
      <c r="D411" s="59"/>
      <c r="E411" s="59"/>
      <c r="F411" s="59"/>
    </row>
    <row r="412" ht="12.75" customHeight="1">
      <c r="B412" s="59"/>
      <c r="C412" s="59"/>
      <c r="D412" s="59"/>
      <c r="E412" s="59"/>
      <c r="F412" s="59"/>
    </row>
    <row r="413" ht="12.75" customHeight="1">
      <c r="B413" s="59"/>
      <c r="C413" s="59"/>
      <c r="D413" s="59"/>
      <c r="E413" s="59"/>
      <c r="F413" s="59"/>
    </row>
    <row r="414" ht="12.75" customHeight="1">
      <c r="B414" s="59"/>
      <c r="C414" s="59"/>
      <c r="D414" s="59"/>
      <c r="E414" s="59"/>
      <c r="F414" s="59"/>
    </row>
    <row r="415" ht="12.75" customHeight="1">
      <c r="B415" s="59"/>
      <c r="C415" s="59"/>
      <c r="D415" s="59"/>
      <c r="E415" s="59"/>
      <c r="F415" s="59"/>
    </row>
    <row r="416" ht="12.75" customHeight="1">
      <c r="B416" s="59"/>
      <c r="C416" s="59"/>
      <c r="D416" s="59"/>
      <c r="E416" s="59"/>
      <c r="F416" s="59"/>
    </row>
    <row r="417" ht="12.75" customHeight="1">
      <c r="B417" s="59"/>
      <c r="C417" s="59"/>
      <c r="D417" s="59"/>
      <c r="E417" s="59"/>
      <c r="F417" s="59"/>
    </row>
    <row r="418" ht="12.75" customHeight="1">
      <c r="B418" s="59"/>
      <c r="C418" s="59"/>
      <c r="D418" s="59"/>
      <c r="E418" s="59"/>
      <c r="F418" s="59"/>
    </row>
    <row r="419" ht="12.75" customHeight="1">
      <c r="B419" s="59"/>
      <c r="C419" s="59"/>
      <c r="D419" s="59"/>
      <c r="E419" s="59"/>
      <c r="F419" s="59"/>
    </row>
    <row r="420" ht="12.75" customHeight="1">
      <c r="B420" s="59"/>
      <c r="C420" s="59"/>
      <c r="D420" s="59"/>
      <c r="E420" s="59"/>
      <c r="F420" s="59"/>
    </row>
    <row r="421" ht="12.75" customHeight="1">
      <c r="B421" s="59"/>
      <c r="C421" s="59"/>
      <c r="D421" s="59"/>
      <c r="E421" s="59"/>
      <c r="F421" s="59"/>
    </row>
    <row r="422" ht="12.75" customHeight="1">
      <c r="B422" s="59"/>
      <c r="C422" s="59"/>
      <c r="D422" s="59"/>
      <c r="E422" s="59"/>
      <c r="F422" s="59"/>
    </row>
    <row r="423" ht="12.75" customHeight="1">
      <c r="B423" s="59"/>
      <c r="C423" s="59"/>
      <c r="D423" s="59"/>
      <c r="E423" s="59"/>
      <c r="F423" s="59"/>
    </row>
    <row r="424" ht="12.75" customHeight="1">
      <c r="B424" s="59"/>
      <c r="C424" s="59"/>
      <c r="D424" s="59"/>
      <c r="E424" s="59"/>
      <c r="F424" s="59"/>
    </row>
    <row r="425" ht="12.75" customHeight="1">
      <c r="B425" s="59"/>
      <c r="C425" s="59"/>
      <c r="D425" s="59"/>
      <c r="E425" s="59"/>
      <c r="F425" s="59"/>
    </row>
    <row r="426" ht="12.75" customHeight="1">
      <c r="B426" s="59"/>
      <c r="C426" s="59"/>
      <c r="D426" s="59"/>
      <c r="E426" s="59"/>
      <c r="F426" s="59"/>
    </row>
    <row r="427" ht="12.75" customHeight="1">
      <c r="B427" s="59"/>
      <c r="C427" s="59"/>
      <c r="D427" s="59"/>
      <c r="E427" s="59"/>
      <c r="F427" s="59"/>
    </row>
    <row r="428" ht="12.75" customHeight="1">
      <c r="B428" s="59"/>
      <c r="C428" s="59"/>
      <c r="D428" s="59"/>
      <c r="E428" s="59"/>
      <c r="F428" s="59"/>
    </row>
    <row r="429" ht="12.75" customHeight="1">
      <c r="B429" s="59"/>
      <c r="C429" s="59"/>
      <c r="D429" s="59"/>
      <c r="E429" s="59"/>
      <c r="F429" s="59"/>
    </row>
    <row r="430" ht="12.75" customHeight="1">
      <c r="B430" s="59"/>
      <c r="C430" s="59"/>
      <c r="D430" s="59"/>
      <c r="E430" s="59"/>
      <c r="F430" s="59"/>
    </row>
    <row r="431" ht="12.75" customHeight="1">
      <c r="B431" s="59"/>
      <c r="C431" s="59"/>
      <c r="D431" s="59"/>
      <c r="E431" s="59"/>
      <c r="F431" s="59"/>
    </row>
    <row r="432" ht="12.75" customHeight="1">
      <c r="B432" s="59"/>
      <c r="C432" s="59"/>
      <c r="D432" s="59"/>
      <c r="E432" s="59"/>
      <c r="F432" s="59"/>
    </row>
    <row r="433" ht="12.75" customHeight="1">
      <c r="B433" s="59"/>
      <c r="C433" s="59"/>
      <c r="D433" s="59"/>
      <c r="E433" s="59"/>
      <c r="F433" s="59"/>
    </row>
    <row r="434" ht="12.75" customHeight="1">
      <c r="B434" s="59"/>
      <c r="C434" s="59"/>
      <c r="D434" s="59"/>
      <c r="E434" s="59"/>
      <c r="F434" s="59"/>
    </row>
    <row r="435" ht="12.75" customHeight="1">
      <c r="B435" s="59"/>
      <c r="C435" s="59"/>
      <c r="D435" s="59"/>
      <c r="E435" s="59"/>
      <c r="F435" s="59"/>
    </row>
    <row r="436" ht="12.75" customHeight="1">
      <c r="B436" s="59"/>
      <c r="C436" s="59"/>
      <c r="D436" s="59"/>
      <c r="E436" s="59"/>
      <c r="F436" s="59"/>
    </row>
    <row r="437" ht="12.75" customHeight="1">
      <c r="B437" s="59"/>
      <c r="C437" s="59"/>
      <c r="D437" s="59"/>
      <c r="E437" s="59"/>
      <c r="F437" s="59"/>
    </row>
    <row r="438" ht="12.75" customHeight="1">
      <c r="B438" s="59"/>
      <c r="C438" s="59"/>
      <c r="D438" s="59"/>
      <c r="E438" s="59"/>
      <c r="F438" s="59"/>
    </row>
    <row r="439" ht="12.75" customHeight="1">
      <c r="B439" s="59"/>
      <c r="C439" s="59"/>
      <c r="D439" s="59"/>
      <c r="E439" s="59"/>
      <c r="F439" s="59"/>
    </row>
    <row r="440" ht="12.75" customHeight="1">
      <c r="B440" s="59"/>
      <c r="C440" s="59"/>
      <c r="D440" s="59"/>
      <c r="E440" s="59"/>
      <c r="F440" s="59"/>
    </row>
    <row r="441" ht="12.75" customHeight="1">
      <c r="B441" s="59"/>
      <c r="C441" s="59"/>
      <c r="D441" s="59"/>
      <c r="E441" s="59"/>
      <c r="F441" s="59"/>
    </row>
    <row r="442" ht="12.75" customHeight="1">
      <c r="B442" s="59"/>
      <c r="C442" s="59"/>
      <c r="D442" s="59"/>
      <c r="E442" s="59"/>
      <c r="F442" s="59"/>
    </row>
    <row r="443" ht="12.75" customHeight="1">
      <c r="B443" s="59"/>
      <c r="C443" s="59"/>
      <c r="D443" s="59"/>
      <c r="E443" s="59"/>
      <c r="F443" s="59"/>
    </row>
    <row r="444" ht="12.75" customHeight="1">
      <c r="B444" s="59"/>
      <c r="C444" s="59"/>
      <c r="D444" s="59"/>
      <c r="E444" s="59"/>
      <c r="F444" s="59"/>
    </row>
    <row r="445" ht="12.75" customHeight="1">
      <c r="B445" s="59"/>
      <c r="C445" s="59"/>
      <c r="D445" s="59"/>
      <c r="E445" s="59"/>
      <c r="F445" s="59"/>
    </row>
    <row r="446" ht="12.75" customHeight="1">
      <c r="B446" s="59"/>
      <c r="C446" s="59"/>
      <c r="D446" s="59"/>
      <c r="E446" s="59"/>
      <c r="F446" s="59"/>
    </row>
    <row r="447" ht="12.75" customHeight="1">
      <c r="B447" s="59"/>
      <c r="C447" s="59"/>
      <c r="D447" s="59"/>
      <c r="E447" s="59"/>
      <c r="F447" s="59"/>
    </row>
    <row r="448" ht="12.75" customHeight="1">
      <c r="B448" s="59"/>
      <c r="C448" s="59"/>
      <c r="D448" s="59"/>
      <c r="E448" s="59"/>
      <c r="F448" s="59"/>
    </row>
    <row r="449" ht="12.75" customHeight="1">
      <c r="B449" s="59"/>
      <c r="C449" s="59"/>
      <c r="D449" s="59"/>
      <c r="E449" s="59"/>
      <c r="F449" s="59"/>
    </row>
    <row r="450" ht="12.75" customHeight="1">
      <c r="B450" s="59"/>
      <c r="C450" s="59"/>
      <c r="D450" s="59"/>
      <c r="E450" s="59"/>
      <c r="F450" s="59"/>
    </row>
    <row r="451" ht="12.75" customHeight="1">
      <c r="B451" s="59"/>
      <c r="C451" s="59"/>
      <c r="D451" s="59"/>
      <c r="E451" s="59"/>
      <c r="F451" s="59"/>
    </row>
    <row r="452" ht="12.75" customHeight="1">
      <c r="B452" s="59"/>
      <c r="C452" s="59"/>
      <c r="D452" s="59"/>
      <c r="E452" s="59"/>
      <c r="F452" s="59"/>
    </row>
    <row r="453" ht="12.75" customHeight="1">
      <c r="B453" s="59"/>
      <c r="C453" s="59"/>
      <c r="D453" s="59"/>
      <c r="E453" s="59"/>
      <c r="F453" s="59"/>
    </row>
    <row r="454" ht="12.75" customHeight="1">
      <c r="B454" s="59"/>
      <c r="C454" s="59"/>
      <c r="D454" s="59"/>
      <c r="E454" s="59"/>
      <c r="F454" s="59"/>
    </row>
    <row r="455" ht="12.75" customHeight="1">
      <c r="B455" s="59"/>
      <c r="C455" s="59"/>
      <c r="D455" s="59"/>
      <c r="E455" s="59"/>
      <c r="F455" s="59"/>
    </row>
    <row r="456" ht="12.75" customHeight="1">
      <c r="B456" s="59"/>
      <c r="C456" s="59"/>
      <c r="D456" s="59"/>
      <c r="E456" s="59"/>
      <c r="F456" s="59"/>
    </row>
    <row r="457" ht="12.75" customHeight="1">
      <c r="B457" s="59"/>
      <c r="C457" s="59"/>
      <c r="D457" s="59"/>
      <c r="E457" s="59"/>
      <c r="F457" s="59"/>
    </row>
    <row r="458" ht="12.75" customHeight="1">
      <c r="B458" s="59"/>
      <c r="C458" s="59"/>
      <c r="D458" s="59"/>
      <c r="E458" s="59"/>
      <c r="F458" s="59"/>
    </row>
    <row r="459" ht="12.75" customHeight="1">
      <c r="B459" s="59"/>
      <c r="C459" s="59"/>
      <c r="D459" s="59"/>
      <c r="E459" s="59"/>
      <c r="F459" s="59"/>
    </row>
    <row r="460" ht="12.75" customHeight="1">
      <c r="B460" s="59"/>
      <c r="C460" s="59"/>
      <c r="D460" s="59"/>
      <c r="E460" s="59"/>
      <c r="F460" s="59"/>
    </row>
    <row r="461" ht="12.75" customHeight="1">
      <c r="B461" s="59"/>
      <c r="C461" s="59"/>
      <c r="D461" s="59"/>
      <c r="E461" s="59"/>
      <c r="F461" s="59"/>
    </row>
    <row r="462" ht="12.75" customHeight="1">
      <c r="B462" s="59"/>
      <c r="C462" s="59"/>
      <c r="D462" s="59"/>
      <c r="E462" s="59"/>
      <c r="F462" s="59"/>
    </row>
    <row r="463" ht="12.75" customHeight="1">
      <c r="B463" s="59"/>
      <c r="C463" s="59"/>
      <c r="D463" s="59"/>
      <c r="E463" s="59"/>
      <c r="F463" s="59"/>
    </row>
    <row r="464" ht="12.75" customHeight="1">
      <c r="B464" s="59"/>
      <c r="C464" s="59"/>
      <c r="D464" s="59"/>
      <c r="E464" s="59"/>
      <c r="F464" s="59"/>
    </row>
    <row r="465" ht="12.75" customHeight="1">
      <c r="B465" s="59"/>
      <c r="C465" s="59"/>
      <c r="D465" s="59"/>
      <c r="E465" s="59"/>
      <c r="F465" s="59"/>
    </row>
    <row r="466" ht="12.75" customHeight="1">
      <c r="B466" s="59"/>
      <c r="C466" s="59"/>
      <c r="D466" s="59"/>
      <c r="E466" s="59"/>
      <c r="F466" s="59"/>
    </row>
    <row r="467" ht="12.75" customHeight="1">
      <c r="B467" s="59"/>
      <c r="C467" s="59"/>
      <c r="D467" s="59"/>
      <c r="E467" s="59"/>
      <c r="F467" s="59"/>
    </row>
    <row r="468" ht="12.75" customHeight="1">
      <c r="B468" s="59"/>
      <c r="C468" s="59"/>
      <c r="D468" s="59"/>
      <c r="E468" s="59"/>
      <c r="F468" s="59"/>
    </row>
    <row r="469" ht="12.75" customHeight="1">
      <c r="B469" s="59"/>
      <c r="C469" s="59"/>
      <c r="D469" s="59"/>
      <c r="E469" s="59"/>
      <c r="F469" s="59"/>
    </row>
    <row r="470" ht="12.75" customHeight="1">
      <c r="B470" s="59"/>
      <c r="C470" s="59"/>
      <c r="D470" s="59"/>
      <c r="E470" s="59"/>
      <c r="F470" s="59"/>
    </row>
    <row r="471" ht="12.75" customHeight="1">
      <c r="B471" s="59"/>
      <c r="C471" s="59"/>
      <c r="D471" s="59"/>
      <c r="E471" s="59"/>
      <c r="F471" s="59"/>
    </row>
    <row r="472" ht="12.75" customHeight="1">
      <c r="B472" s="59"/>
      <c r="C472" s="59"/>
      <c r="D472" s="59"/>
      <c r="E472" s="59"/>
      <c r="F472" s="59"/>
    </row>
    <row r="473" ht="12.75" customHeight="1">
      <c r="B473" s="59"/>
      <c r="C473" s="59"/>
      <c r="D473" s="59"/>
      <c r="E473" s="59"/>
      <c r="F473" s="59"/>
    </row>
    <row r="474" ht="12.75" customHeight="1">
      <c r="B474" s="59"/>
      <c r="C474" s="59"/>
      <c r="D474" s="59"/>
      <c r="E474" s="59"/>
      <c r="F474" s="59"/>
    </row>
    <row r="475" ht="12.75" customHeight="1">
      <c r="B475" s="59"/>
      <c r="C475" s="59"/>
      <c r="D475" s="59"/>
      <c r="E475" s="59"/>
      <c r="F475" s="59"/>
    </row>
    <row r="476" ht="12.75" customHeight="1">
      <c r="B476" s="59"/>
      <c r="C476" s="59"/>
      <c r="D476" s="59"/>
      <c r="E476" s="59"/>
      <c r="F476" s="59"/>
    </row>
    <row r="477" ht="12.75" customHeight="1">
      <c r="B477" s="59"/>
      <c r="C477" s="59"/>
      <c r="D477" s="59"/>
      <c r="E477" s="59"/>
      <c r="F477" s="59"/>
    </row>
    <row r="478" ht="12.75" customHeight="1">
      <c r="B478" s="59"/>
      <c r="C478" s="59"/>
      <c r="D478" s="59"/>
      <c r="E478" s="59"/>
      <c r="F478" s="59"/>
    </row>
    <row r="479" ht="12.75" customHeight="1">
      <c r="B479" s="59"/>
      <c r="C479" s="59"/>
      <c r="D479" s="59"/>
      <c r="E479" s="59"/>
      <c r="F479" s="59"/>
    </row>
    <row r="480" ht="12.75" customHeight="1">
      <c r="B480" s="59"/>
      <c r="C480" s="59"/>
      <c r="D480" s="59"/>
      <c r="E480" s="59"/>
      <c r="F480" s="59"/>
    </row>
    <row r="481" ht="12.75" customHeight="1">
      <c r="B481" s="59"/>
      <c r="C481" s="59"/>
      <c r="D481" s="59"/>
      <c r="E481" s="59"/>
      <c r="F481" s="59"/>
    </row>
    <row r="482" ht="12.75" customHeight="1">
      <c r="B482" s="59"/>
      <c r="C482" s="59"/>
      <c r="D482" s="59"/>
      <c r="E482" s="59"/>
      <c r="F482" s="59"/>
    </row>
    <row r="483" ht="12.75" customHeight="1">
      <c r="B483" s="59"/>
      <c r="C483" s="59"/>
      <c r="D483" s="59"/>
      <c r="E483" s="59"/>
      <c r="F483" s="59"/>
    </row>
    <row r="484" ht="12.75" customHeight="1">
      <c r="B484" s="59"/>
      <c r="C484" s="59"/>
      <c r="D484" s="59"/>
      <c r="E484" s="59"/>
      <c r="F484" s="59"/>
    </row>
    <row r="485" ht="12.75" customHeight="1">
      <c r="B485" s="59"/>
      <c r="C485" s="59"/>
      <c r="D485" s="59"/>
      <c r="E485" s="59"/>
      <c r="F485" s="59"/>
    </row>
    <row r="486" ht="12.75" customHeight="1">
      <c r="B486" s="59"/>
      <c r="C486" s="59"/>
      <c r="D486" s="59"/>
      <c r="E486" s="59"/>
      <c r="F486" s="59"/>
    </row>
    <row r="487" ht="12.75" customHeight="1">
      <c r="B487" s="59"/>
      <c r="C487" s="59"/>
      <c r="D487" s="59"/>
      <c r="E487" s="59"/>
      <c r="F487" s="59"/>
    </row>
    <row r="488" ht="12.75" customHeight="1">
      <c r="B488" s="59"/>
      <c r="C488" s="59"/>
      <c r="D488" s="59"/>
      <c r="E488" s="59"/>
      <c r="F488" s="59"/>
    </row>
    <row r="489" ht="12.75" customHeight="1">
      <c r="B489" s="59"/>
      <c r="C489" s="59"/>
      <c r="D489" s="59"/>
      <c r="E489" s="59"/>
      <c r="F489" s="59"/>
    </row>
    <row r="490" ht="12.75" customHeight="1">
      <c r="B490" s="59"/>
      <c r="C490" s="59"/>
      <c r="D490" s="59"/>
      <c r="E490" s="59"/>
      <c r="F490" s="59"/>
    </row>
    <row r="491" ht="12.75" customHeight="1">
      <c r="B491" s="59"/>
      <c r="C491" s="59"/>
      <c r="D491" s="59"/>
      <c r="E491" s="59"/>
      <c r="F491" s="59"/>
    </row>
    <row r="492" ht="12.75" customHeight="1">
      <c r="B492" s="59"/>
      <c r="C492" s="59"/>
      <c r="D492" s="59"/>
      <c r="E492" s="59"/>
      <c r="F492" s="59"/>
    </row>
    <row r="493" ht="12.75" customHeight="1">
      <c r="B493" s="59"/>
      <c r="C493" s="59"/>
      <c r="D493" s="59"/>
      <c r="E493" s="59"/>
      <c r="F493" s="59"/>
    </row>
    <row r="494" ht="12.75" customHeight="1">
      <c r="B494" s="59"/>
      <c r="C494" s="59"/>
      <c r="D494" s="59"/>
      <c r="E494" s="59"/>
      <c r="F494" s="59"/>
    </row>
    <row r="495" ht="12.75" customHeight="1">
      <c r="B495" s="59"/>
      <c r="C495" s="59"/>
      <c r="D495" s="59"/>
      <c r="E495" s="59"/>
      <c r="F495" s="59"/>
    </row>
    <row r="496" ht="12.75" customHeight="1">
      <c r="B496" s="59"/>
      <c r="C496" s="59"/>
      <c r="D496" s="59"/>
      <c r="E496" s="59"/>
      <c r="F496" s="59"/>
    </row>
    <row r="497" ht="12.75" customHeight="1">
      <c r="B497" s="59"/>
      <c r="C497" s="59"/>
      <c r="D497" s="59"/>
      <c r="E497" s="59"/>
      <c r="F497" s="59"/>
    </row>
    <row r="498" ht="12.75" customHeight="1">
      <c r="B498" s="59"/>
      <c r="C498" s="59"/>
      <c r="D498" s="59"/>
      <c r="E498" s="59"/>
      <c r="F498" s="59"/>
    </row>
    <row r="499" ht="12.75" customHeight="1">
      <c r="B499" s="59"/>
      <c r="C499" s="59"/>
      <c r="D499" s="59"/>
      <c r="E499" s="59"/>
      <c r="F499" s="59"/>
    </row>
    <row r="500" ht="12.75" customHeight="1">
      <c r="B500" s="59"/>
      <c r="C500" s="59"/>
      <c r="D500" s="59"/>
      <c r="E500" s="59"/>
      <c r="F500" s="59"/>
    </row>
    <row r="501" ht="12.75" customHeight="1">
      <c r="B501" s="59"/>
      <c r="C501" s="59"/>
      <c r="D501" s="59"/>
      <c r="E501" s="59"/>
      <c r="F501" s="59"/>
    </row>
    <row r="502" ht="12.75" customHeight="1">
      <c r="B502" s="59"/>
      <c r="C502" s="59"/>
      <c r="D502" s="59"/>
      <c r="E502" s="59"/>
      <c r="F502" s="59"/>
    </row>
    <row r="503" ht="12.75" customHeight="1">
      <c r="B503" s="59"/>
      <c r="C503" s="59"/>
      <c r="D503" s="59"/>
      <c r="E503" s="59"/>
      <c r="F503" s="59"/>
    </row>
    <row r="504" ht="12.75" customHeight="1">
      <c r="B504" s="59"/>
      <c r="C504" s="59"/>
      <c r="D504" s="59"/>
      <c r="E504" s="59"/>
      <c r="F504" s="59"/>
    </row>
    <row r="505" ht="12.75" customHeight="1">
      <c r="B505" s="59"/>
      <c r="C505" s="59"/>
      <c r="D505" s="59"/>
      <c r="E505" s="59"/>
      <c r="F505" s="59"/>
    </row>
    <row r="506" ht="12.75" customHeight="1">
      <c r="B506" s="59"/>
      <c r="C506" s="59"/>
      <c r="D506" s="59"/>
      <c r="E506" s="59"/>
      <c r="F506" s="59"/>
    </row>
    <row r="507" ht="12.75" customHeight="1">
      <c r="B507" s="59"/>
      <c r="C507" s="59"/>
      <c r="D507" s="59"/>
      <c r="E507" s="59"/>
      <c r="F507" s="59"/>
    </row>
    <row r="508" ht="12.75" customHeight="1">
      <c r="B508" s="59"/>
      <c r="C508" s="59"/>
      <c r="D508" s="59"/>
      <c r="E508" s="59"/>
      <c r="F508" s="59"/>
    </row>
    <row r="509" ht="12.75" customHeight="1">
      <c r="B509" s="59"/>
      <c r="C509" s="59"/>
      <c r="D509" s="59"/>
      <c r="E509" s="59"/>
      <c r="F509" s="59"/>
    </row>
    <row r="510" ht="12.75" customHeight="1">
      <c r="B510" s="59"/>
      <c r="C510" s="59"/>
      <c r="D510" s="59"/>
      <c r="E510" s="59"/>
      <c r="F510" s="59"/>
    </row>
    <row r="511" ht="12.75" customHeight="1">
      <c r="B511" s="59"/>
      <c r="C511" s="59"/>
      <c r="D511" s="59"/>
      <c r="E511" s="59"/>
      <c r="F511" s="59"/>
    </row>
    <row r="512" ht="12.75" customHeight="1">
      <c r="B512" s="59"/>
      <c r="C512" s="59"/>
      <c r="D512" s="59"/>
      <c r="E512" s="59"/>
      <c r="F512" s="59"/>
    </row>
    <row r="513" ht="12.75" customHeight="1">
      <c r="B513" s="59"/>
      <c r="C513" s="59"/>
      <c r="D513" s="59"/>
      <c r="E513" s="59"/>
      <c r="F513" s="59"/>
    </row>
    <row r="514" ht="12.75" customHeight="1">
      <c r="B514" s="59"/>
      <c r="C514" s="59"/>
      <c r="D514" s="59"/>
      <c r="E514" s="59"/>
      <c r="F514" s="59"/>
    </row>
    <row r="515" ht="12.75" customHeight="1">
      <c r="B515" s="59"/>
      <c r="C515" s="59"/>
      <c r="D515" s="59"/>
      <c r="E515" s="59"/>
      <c r="F515" s="59"/>
    </row>
    <row r="516" ht="12.75" customHeight="1">
      <c r="B516" s="59"/>
      <c r="C516" s="59"/>
      <c r="D516" s="59"/>
      <c r="E516" s="59"/>
      <c r="F516" s="59"/>
    </row>
    <row r="517" ht="12.75" customHeight="1">
      <c r="B517" s="59"/>
      <c r="C517" s="59"/>
      <c r="D517" s="59"/>
      <c r="E517" s="59"/>
      <c r="F517" s="59"/>
    </row>
    <row r="518" ht="12.75" customHeight="1">
      <c r="B518" s="59"/>
      <c r="C518" s="59"/>
      <c r="D518" s="59"/>
      <c r="E518" s="59"/>
      <c r="F518" s="59"/>
    </row>
    <row r="519" ht="12.75" customHeight="1">
      <c r="B519" s="59"/>
      <c r="C519" s="59"/>
      <c r="D519" s="59"/>
      <c r="E519" s="59"/>
      <c r="F519" s="59"/>
    </row>
    <row r="520" ht="12.75" customHeight="1">
      <c r="B520" s="59"/>
      <c r="C520" s="59"/>
      <c r="D520" s="59"/>
      <c r="E520" s="59"/>
      <c r="F520" s="59"/>
    </row>
    <row r="521" ht="12.75" customHeight="1">
      <c r="B521" s="59"/>
      <c r="C521" s="59"/>
      <c r="D521" s="59"/>
      <c r="E521" s="59"/>
      <c r="F521" s="59"/>
    </row>
    <row r="522" ht="12.75" customHeight="1">
      <c r="B522" s="59"/>
      <c r="C522" s="59"/>
      <c r="D522" s="59"/>
      <c r="E522" s="59"/>
      <c r="F522" s="59"/>
    </row>
    <row r="523" ht="12.75" customHeight="1">
      <c r="B523" s="59"/>
      <c r="C523" s="59"/>
      <c r="D523" s="59"/>
      <c r="E523" s="59"/>
      <c r="F523" s="59"/>
    </row>
    <row r="524" ht="12.75" customHeight="1">
      <c r="B524" s="59"/>
      <c r="C524" s="59"/>
      <c r="D524" s="59"/>
      <c r="E524" s="59"/>
      <c r="F524" s="59"/>
    </row>
    <row r="525" ht="12.75" customHeight="1">
      <c r="B525" s="59"/>
      <c r="C525" s="59"/>
      <c r="D525" s="59"/>
      <c r="E525" s="59"/>
      <c r="F525" s="59"/>
    </row>
    <row r="526" ht="12.75" customHeight="1">
      <c r="B526" s="59"/>
      <c r="C526" s="59"/>
      <c r="D526" s="59"/>
      <c r="E526" s="59"/>
      <c r="F526" s="59"/>
    </row>
    <row r="527" ht="12.75" customHeight="1">
      <c r="B527" s="59"/>
      <c r="C527" s="59"/>
      <c r="D527" s="59"/>
      <c r="E527" s="59"/>
      <c r="F527" s="59"/>
    </row>
    <row r="528" ht="12.75" customHeight="1">
      <c r="B528" s="59"/>
      <c r="C528" s="59"/>
      <c r="D528" s="59"/>
      <c r="E528" s="59"/>
      <c r="F528" s="59"/>
    </row>
    <row r="529" ht="12.75" customHeight="1">
      <c r="B529" s="59"/>
      <c r="C529" s="59"/>
      <c r="D529" s="59"/>
      <c r="E529" s="59"/>
      <c r="F529" s="59"/>
    </row>
    <row r="530" ht="12.75" customHeight="1">
      <c r="B530" s="59"/>
      <c r="C530" s="59"/>
      <c r="D530" s="59"/>
      <c r="E530" s="59"/>
      <c r="F530" s="59"/>
    </row>
    <row r="531" ht="12.75" customHeight="1">
      <c r="B531" s="59"/>
      <c r="C531" s="59"/>
      <c r="D531" s="59"/>
      <c r="E531" s="59"/>
      <c r="F531" s="59"/>
    </row>
    <row r="532" ht="12.75" customHeight="1">
      <c r="B532" s="59"/>
      <c r="C532" s="59"/>
      <c r="D532" s="59"/>
      <c r="E532" s="59"/>
      <c r="F532" s="59"/>
    </row>
    <row r="533" ht="12.75" customHeight="1">
      <c r="B533" s="59"/>
      <c r="C533" s="59"/>
      <c r="D533" s="59"/>
      <c r="E533" s="59"/>
      <c r="F533" s="59"/>
    </row>
    <row r="534" ht="12.75" customHeight="1">
      <c r="B534" s="59"/>
      <c r="C534" s="59"/>
      <c r="D534" s="59"/>
      <c r="E534" s="59"/>
      <c r="F534" s="59"/>
    </row>
    <row r="535" ht="12.75" customHeight="1">
      <c r="B535" s="59"/>
      <c r="C535" s="59"/>
      <c r="D535" s="59"/>
      <c r="E535" s="59"/>
      <c r="F535" s="59"/>
    </row>
    <row r="536" ht="12.75" customHeight="1">
      <c r="B536" s="59"/>
      <c r="C536" s="59"/>
      <c r="D536" s="59"/>
      <c r="E536" s="59"/>
      <c r="F536" s="59"/>
    </row>
    <row r="537" ht="12.75" customHeight="1">
      <c r="B537" s="59"/>
      <c r="C537" s="59"/>
      <c r="D537" s="59"/>
      <c r="E537" s="59"/>
      <c r="F537" s="59"/>
    </row>
    <row r="538" ht="12.75" customHeight="1">
      <c r="B538" s="59"/>
      <c r="C538" s="59"/>
      <c r="D538" s="59"/>
      <c r="E538" s="59"/>
      <c r="F538" s="59"/>
    </row>
    <row r="539" ht="12.75" customHeight="1">
      <c r="B539" s="59"/>
      <c r="C539" s="59"/>
      <c r="D539" s="59"/>
      <c r="E539" s="59"/>
      <c r="F539" s="59"/>
    </row>
    <row r="540" ht="12.75" customHeight="1">
      <c r="B540" s="59"/>
      <c r="C540" s="59"/>
      <c r="D540" s="59"/>
      <c r="E540" s="59"/>
      <c r="F540" s="59"/>
    </row>
    <row r="541" ht="12.75" customHeight="1">
      <c r="B541" s="59"/>
      <c r="C541" s="59"/>
      <c r="D541" s="59"/>
      <c r="E541" s="59"/>
      <c r="F541" s="59"/>
    </row>
    <row r="542" ht="12.75" customHeight="1">
      <c r="B542" s="59"/>
      <c r="C542" s="59"/>
      <c r="D542" s="59"/>
      <c r="E542" s="59"/>
      <c r="F542" s="59"/>
    </row>
    <row r="543" ht="12.75" customHeight="1">
      <c r="B543" s="59"/>
      <c r="C543" s="59"/>
      <c r="D543" s="59"/>
      <c r="E543" s="59"/>
      <c r="F543" s="59"/>
    </row>
    <row r="544" ht="12.75" customHeight="1">
      <c r="B544" s="59"/>
      <c r="C544" s="59"/>
      <c r="D544" s="59"/>
      <c r="E544" s="59"/>
      <c r="F544" s="59"/>
    </row>
    <row r="545" ht="12.75" customHeight="1">
      <c r="B545" s="59"/>
      <c r="C545" s="59"/>
      <c r="D545" s="59"/>
      <c r="E545" s="59"/>
      <c r="F545" s="59"/>
    </row>
    <row r="546" ht="12.75" customHeight="1">
      <c r="B546" s="59"/>
      <c r="C546" s="59"/>
      <c r="D546" s="59"/>
      <c r="E546" s="59"/>
      <c r="F546" s="59"/>
    </row>
    <row r="547" ht="12.75" customHeight="1">
      <c r="B547" s="59"/>
      <c r="C547" s="59"/>
      <c r="D547" s="59"/>
      <c r="E547" s="59"/>
      <c r="F547" s="59"/>
    </row>
    <row r="548" ht="12.75" customHeight="1">
      <c r="B548" s="59"/>
      <c r="C548" s="59"/>
      <c r="D548" s="59"/>
      <c r="E548" s="59"/>
      <c r="F548" s="59"/>
    </row>
    <row r="549" ht="12.75" customHeight="1">
      <c r="B549" s="59"/>
      <c r="C549" s="59"/>
      <c r="D549" s="59"/>
      <c r="E549" s="59"/>
      <c r="F549" s="59"/>
    </row>
    <row r="550" ht="12.75" customHeight="1">
      <c r="B550" s="59"/>
      <c r="C550" s="59"/>
      <c r="D550" s="59"/>
      <c r="E550" s="59"/>
      <c r="F550" s="59"/>
    </row>
    <row r="551" ht="12.75" customHeight="1">
      <c r="B551" s="59"/>
      <c r="C551" s="59"/>
      <c r="D551" s="59"/>
      <c r="E551" s="59"/>
      <c r="F551" s="59"/>
    </row>
    <row r="552" ht="12.75" customHeight="1">
      <c r="B552" s="59"/>
      <c r="C552" s="59"/>
      <c r="D552" s="59"/>
      <c r="E552" s="59"/>
      <c r="F552" s="59"/>
    </row>
    <row r="553" ht="12.75" customHeight="1">
      <c r="B553" s="59"/>
      <c r="C553" s="59"/>
      <c r="D553" s="59"/>
      <c r="E553" s="59"/>
      <c r="F553" s="59"/>
    </row>
    <row r="554" ht="12.75" customHeight="1">
      <c r="B554" s="59"/>
      <c r="C554" s="59"/>
      <c r="D554" s="59"/>
      <c r="E554" s="59"/>
      <c r="F554" s="59"/>
    </row>
    <row r="555" ht="12.75" customHeight="1">
      <c r="B555" s="59"/>
      <c r="C555" s="59"/>
      <c r="D555" s="59"/>
      <c r="E555" s="59"/>
      <c r="F555" s="59"/>
    </row>
    <row r="556" ht="12.75" customHeight="1">
      <c r="B556" s="59"/>
      <c r="C556" s="59"/>
      <c r="D556" s="59"/>
      <c r="E556" s="59"/>
      <c r="F556" s="59"/>
    </row>
    <row r="557" ht="12.75" customHeight="1">
      <c r="B557" s="59"/>
      <c r="C557" s="59"/>
      <c r="D557" s="59"/>
      <c r="E557" s="59"/>
      <c r="F557" s="59"/>
    </row>
    <row r="558" ht="12.75" customHeight="1">
      <c r="B558" s="59"/>
      <c r="C558" s="59"/>
      <c r="D558" s="59"/>
      <c r="E558" s="59"/>
      <c r="F558" s="59"/>
    </row>
    <row r="559" ht="12.75" customHeight="1">
      <c r="B559" s="59"/>
      <c r="C559" s="59"/>
      <c r="D559" s="59"/>
      <c r="E559" s="59"/>
      <c r="F559" s="59"/>
    </row>
    <row r="560" ht="12.75" customHeight="1">
      <c r="B560" s="59"/>
      <c r="C560" s="59"/>
      <c r="D560" s="59"/>
      <c r="E560" s="59"/>
      <c r="F560" s="59"/>
    </row>
    <row r="561" ht="12.75" customHeight="1">
      <c r="B561" s="59"/>
      <c r="C561" s="59"/>
      <c r="D561" s="59"/>
      <c r="E561" s="59"/>
      <c r="F561" s="59"/>
    </row>
    <row r="562" ht="12.75" customHeight="1">
      <c r="B562" s="59"/>
      <c r="C562" s="59"/>
      <c r="D562" s="59"/>
      <c r="E562" s="59"/>
      <c r="F562" s="59"/>
    </row>
    <row r="563" ht="12.75" customHeight="1">
      <c r="B563" s="59"/>
      <c r="C563" s="59"/>
      <c r="D563" s="59"/>
      <c r="E563" s="59"/>
      <c r="F563" s="59"/>
    </row>
    <row r="564" ht="12.75" customHeight="1">
      <c r="B564" s="59"/>
      <c r="C564" s="59"/>
      <c r="D564" s="59"/>
      <c r="E564" s="59"/>
      <c r="F564" s="59"/>
    </row>
    <row r="565" ht="12.75" customHeight="1">
      <c r="B565" s="59"/>
      <c r="C565" s="59"/>
      <c r="D565" s="59"/>
      <c r="E565" s="59"/>
      <c r="F565" s="59"/>
    </row>
    <row r="566" ht="12.75" customHeight="1">
      <c r="B566" s="59"/>
      <c r="C566" s="59"/>
      <c r="D566" s="59"/>
      <c r="E566" s="59"/>
      <c r="F566" s="59"/>
    </row>
    <row r="567" ht="12.75" customHeight="1">
      <c r="B567" s="59"/>
      <c r="C567" s="59"/>
      <c r="D567" s="59"/>
      <c r="E567" s="59"/>
      <c r="F567" s="59"/>
    </row>
    <row r="568" ht="12.75" customHeight="1">
      <c r="B568" s="59"/>
      <c r="C568" s="59"/>
      <c r="D568" s="59"/>
      <c r="E568" s="59"/>
      <c r="F568" s="59"/>
    </row>
    <row r="569" ht="12.75" customHeight="1">
      <c r="B569" s="59"/>
      <c r="C569" s="59"/>
      <c r="D569" s="59"/>
      <c r="E569" s="59"/>
      <c r="F569" s="59"/>
    </row>
    <row r="570" ht="12.75" customHeight="1">
      <c r="B570" s="59"/>
      <c r="C570" s="59"/>
      <c r="D570" s="59"/>
      <c r="E570" s="59"/>
      <c r="F570" s="59"/>
    </row>
    <row r="571" ht="12.75" customHeight="1">
      <c r="B571" s="59"/>
      <c r="C571" s="59"/>
      <c r="D571" s="59"/>
      <c r="E571" s="59"/>
      <c r="F571" s="59"/>
    </row>
    <row r="572" ht="12.75" customHeight="1">
      <c r="B572" s="59"/>
      <c r="C572" s="59"/>
      <c r="D572" s="59"/>
      <c r="E572" s="59"/>
      <c r="F572" s="59"/>
    </row>
    <row r="573" ht="12.75" customHeight="1">
      <c r="B573" s="59"/>
      <c r="C573" s="59"/>
      <c r="D573" s="59"/>
      <c r="E573" s="59"/>
      <c r="F573" s="59"/>
    </row>
    <row r="574" ht="12.75" customHeight="1">
      <c r="B574" s="59"/>
      <c r="C574" s="59"/>
      <c r="D574" s="59"/>
      <c r="E574" s="59"/>
      <c r="F574" s="59"/>
    </row>
    <row r="575" ht="12.75" customHeight="1">
      <c r="B575" s="59"/>
      <c r="C575" s="59"/>
      <c r="D575" s="59"/>
      <c r="E575" s="59"/>
      <c r="F575" s="59"/>
    </row>
    <row r="576" ht="12.75" customHeight="1">
      <c r="B576" s="59"/>
      <c r="C576" s="59"/>
      <c r="D576" s="59"/>
      <c r="E576" s="59"/>
      <c r="F576" s="59"/>
    </row>
    <row r="577" ht="12.75" customHeight="1">
      <c r="B577" s="59"/>
      <c r="C577" s="59"/>
      <c r="D577" s="59"/>
      <c r="E577" s="59"/>
      <c r="F577" s="59"/>
    </row>
    <row r="578" ht="12.75" customHeight="1">
      <c r="B578" s="59"/>
      <c r="C578" s="59"/>
      <c r="D578" s="59"/>
      <c r="E578" s="59"/>
      <c r="F578" s="59"/>
    </row>
    <row r="579" ht="12.75" customHeight="1">
      <c r="B579" s="59"/>
      <c r="C579" s="59"/>
      <c r="D579" s="59"/>
      <c r="E579" s="59"/>
      <c r="F579" s="59"/>
    </row>
    <row r="580" ht="12.75" customHeight="1">
      <c r="B580" s="59"/>
      <c r="C580" s="59"/>
      <c r="D580" s="59"/>
      <c r="E580" s="59"/>
      <c r="F580" s="59"/>
    </row>
    <row r="581" ht="12.75" customHeight="1">
      <c r="B581" s="59"/>
      <c r="C581" s="59"/>
      <c r="D581" s="59"/>
      <c r="E581" s="59"/>
      <c r="F581" s="59"/>
    </row>
    <row r="582" ht="12.75" customHeight="1">
      <c r="B582" s="59"/>
      <c r="C582" s="59"/>
      <c r="D582" s="59"/>
      <c r="E582" s="59"/>
      <c r="F582" s="59"/>
    </row>
    <row r="583" ht="12.75" customHeight="1">
      <c r="B583" s="59"/>
      <c r="C583" s="59"/>
      <c r="D583" s="59"/>
      <c r="E583" s="59"/>
      <c r="F583" s="59"/>
    </row>
    <row r="584" ht="12.75" customHeight="1">
      <c r="B584" s="59"/>
      <c r="C584" s="59"/>
      <c r="D584" s="59"/>
      <c r="E584" s="59"/>
      <c r="F584" s="59"/>
    </row>
    <row r="585" ht="12.75" customHeight="1">
      <c r="B585" s="59"/>
      <c r="C585" s="59"/>
      <c r="D585" s="59"/>
      <c r="E585" s="59"/>
      <c r="F585" s="59"/>
    </row>
    <row r="586" ht="12.75" customHeight="1">
      <c r="B586" s="59"/>
      <c r="C586" s="59"/>
      <c r="D586" s="59"/>
      <c r="E586" s="59"/>
      <c r="F586" s="59"/>
    </row>
    <row r="587" ht="12.75" customHeight="1">
      <c r="B587" s="59"/>
      <c r="C587" s="59"/>
      <c r="D587" s="59"/>
      <c r="E587" s="59"/>
      <c r="F587" s="59"/>
    </row>
    <row r="588" ht="12.75" customHeight="1">
      <c r="B588" s="59"/>
      <c r="C588" s="59"/>
      <c r="D588" s="59"/>
      <c r="E588" s="59"/>
      <c r="F588" s="59"/>
    </row>
    <row r="589" ht="12.75" customHeight="1">
      <c r="B589" s="59"/>
      <c r="C589" s="59"/>
      <c r="D589" s="59"/>
      <c r="E589" s="59"/>
      <c r="F589" s="59"/>
    </row>
    <row r="590" ht="12.75" customHeight="1">
      <c r="B590" s="59"/>
      <c r="C590" s="59"/>
      <c r="D590" s="59"/>
      <c r="E590" s="59"/>
      <c r="F590" s="59"/>
    </row>
    <row r="591" ht="12.75" customHeight="1">
      <c r="B591" s="59"/>
      <c r="C591" s="59"/>
      <c r="D591" s="59"/>
      <c r="E591" s="59"/>
      <c r="F591" s="59"/>
    </row>
    <row r="592" ht="12.75" customHeight="1">
      <c r="B592" s="59"/>
      <c r="C592" s="59"/>
      <c r="D592" s="59"/>
      <c r="E592" s="59"/>
      <c r="F592" s="59"/>
    </row>
    <row r="593" ht="12.75" customHeight="1">
      <c r="B593" s="59"/>
      <c r="C593" s="59"/>
      <c r="D593" s="59"/>
      <c r="E593" s="59"/>
      <c r="F593" s="59"/>
    </row>
    <row r="594" ht="12.75" customHeight="1">
      <c r="B594" s="59"/>
      <c r="C594" s="59"/>
      <c r="D594" s="59"/>
      <c r="E594" s="59"/>
      <c r="F594" s="59"/>
    </row>
    <row r="595" ht="12.75" customHeight="1">
      <c r="B595" s="59"/>
      <c r="C595" s="59"/>
      <c r="D595" s="59"/>
      <c r="E595" s="59"/>
      <c r="F595" s="59"/>
    </row>
    <row r="596" ht="12.75" customHeight="1">
      <c r="B596" s="59"/>
      <c r="C596" s="59"/>
      <c r="D596" s="59"/>
      <c r="E596" s="59"/>
      <c r="F596" s="59"/>
    </row>
    <row r="597" ht="12.75" customHeight="1">
      <c r="B597" s="59"/>
      <c r="C597" s="59"/>
      <c r="D597" s="59"/>
      <c r="E597" s="59"/>
      <c r="F597" s="59"/>
    </row>
    <row r="598" ht="12.75" customHeight="1">
      <c r="B598" s="59"/>
      <c r="C598" s="59"/>
      <c r="D598" s="59"/>
      <c r="E598" s="59"/>
      <c r="F598" s="59"/>
    </row>
    <row r="599" ht="12.75" customHeight="1">
      <c r="B599" s="59"/>
      <c r="C599" s="59"/>
      <c r="D599" s="59"/>
      <c r="E599" s="59"/>
      <c r="F599" s="59"/>
    </row>
    <row r="600" ht="12.75" customHeight="1">
      <c r="B600" s="59"/>
      <c r="C600" s="59"/>
      <c r="D600" s="59"/>
      <c r="E600" s="59"/>
      <c r="F600" s="59"/>
    </row>
    <row r="601" ht="12.75" customHeight="1">
      <c r="B601" s="59"/>
      <c r="C601" s="59"/>
      <c r="D601" s="59"/>
      <c r="E601" s="59"/>
      <c r="F601" s="59"/>
    </row>
    <row r="602" ht="12.75" customHeight="1">
      <c r="B602" s="59"/>
      <c r="C602" s="59"/>
      <c r="D602" s="59"/>
      <c r="E602" s="59"/>
      <c r="F602" s="59"/>
    </row>
    <row r="603" ht="12.75" customHeight="1">
      <c r="B603" s="59"/>
      <c r="C603" s="59"/>
      <c r="D603" s="59"/>
      <c r="E603" s="59"/>
      <c r="F603" s="59"/>
    </row>
    <row r="604" ht="12.75" customHeight="1">
      <c r="B604" s="59"/>
      <c r="C604" s="59"/>
      <c r="D604" s="59"/>
      <c r="E604" s="59"/>
      <c r="F604" s="59"/>
    </row>
    <row r="605" ht="12.75" customHeight="1">
      <c r="B605" s="59"/>
      <c r="C605" s="59"/>
      <c r="D605" s="59"/>
      <c r="E605" s="59"/>
      <c r="F605" s="59"/>
    </row>
    <row r="606" ht="12.75" customHeight="1">
      <c r="B606" s="59"/>
      <c r="C606" s="59"/>
      <c r="D606" s="59"/>
      <c r="E606" s="59"/>
      <c r="F606" s="59"/>
    </row>
    <row r="607" ht="12.75" customHeight="1">
      <c r="B607" s="59"/>
      <c r="C607" s="59"/>
      <c r="D607" s="59"/>
      <c r="E607" s="59"/>
      <c r="F607" s="59"/>
    </row>
    <row r="608" ht="12.75" customHeight="1">
      <c r="B608" s="59"/>
      <c r="C608" s="59"/>
      <c r="D608" s="59"/>
      <c r="E608" s="59"/>
      <c r="F608" s="59"/>
    </row>
    <row r="609" ht="12.75" customHeight="1">
      <c r="B609" s="59"/>
      <c r="C609" s="59"/>
      <c r="D609" s="59"/>
      <c r="E609" s="59"/>
      <c r="F609" s="59"/>
    </row>
    <row r="610" ht="12.75" customHeight="1">
      <c r="B610" s="59"/>
      <c r="C610" s="59"/>
      <c r="D610" s="59"/>
      <c r="E610" s="59"/>
      <c r="F610" s="59"/>
    </row>
    <row r="611" ht="12.75" customHeight="1">
      <c r="B611" s="59"/>
      <c r="C611" s="59"/>
      <c r="D611" s="59"/>
      <c r="E611" s="59"/>
      <c r="F611" s="59"/>
    </row>
    <row r="612" ht="12.75" customHeight="1">
      <c r="B612" s="59"/>
      <c r="C612" s="59"/>
      <c r="D612" s="59"/>
      <c r="E612" s="59"/>
      <c r="F612" s="59"/>
    </row>
    <row r="613" ht="12.75" customHeight="1">
      <c r="B613" s="59"/>
      <c r="C613" s="59"/>
      <c r="D613" s="59"/>
      <c r="E613" s="59"/>
      <c r="F613" s="59"/>
    </row>
    <row r="614" ht="12.75" customHeight="1">
      <c r="B614" s="59"/>
      <c r="C614" s="59"/>
      <c r="D614" s="59"/>
      <c r="E614" s="59"/>
      <c r="F614" s="59"/>
    </row>
    <row r="615" ht="12.75" customHeight="1">
      <c r="B615" s="59"/>
      <c r="C615" s="59"/>
      <c r="D615" s="59"/>
      <c r="E615" s="59"/>
      <c r="F615" s="59"/>
    </row>
    <row r="616" ht="12.75" customHeight="1">
      <c r="B616" s="59"/>
      <c r="C616" s="59"/>
      <c r="D616" s="59"/>
      <c r="E616" s="59"/>
      <c r="F616" s="59"/>
    </row>
    <row r="617" ht="12.75" customHeight="1">
      <c r="B617" s="59"/>
      <c r="C617" s="59"/>
      <c r="D617" s="59"/>
      <c r="E617" s="59"/>
      <c r="F617" s="59"/>
    </row>
    <row r="618" ht="12.75" customHeight="1">
      <c r="B618" s="59"/>
      <c r="C618" s="59"/>
      <c r="D618" s="59"/>
      <c r="E618" s="59"/>
      <c r="F618" s="59"/>
    </row>
    <row r="619" ht="12.75" customHeight="1">
      <c r="B619" s="59"/>
      <c r="C619" s="59"/>
      <c r="D619" s="59"/>
      <c r="E619" s="59"/>
      <c r="F619" s="59"/>
    </row>
    <row r="620" ht="12.75" customHeight="1">
      <c r="B620" s="59"/>
      <c r="C620" s="59"/>
      <c r="D620" s="59"/>
      <c r="E620" s="59"/>
      <c r="F620" s="59"/>
    </row>
    <row r="621" ht="12.75" customHeight="1">
      <c r="B621" s="59"/>
      <c r="C621" s="59"/>
      <c r="D621" s="59"/>
      <c r="E621" s="59"/>
      <c r="F621" s="59"/>
    </row>
    <row r="622" ht="12.75" customHeight="1">
      <c r="B622" s="59"/>
      <c r="C622" s="59"/>
      <c r="D622" s="59"/>
      <c r="E622" s="59"/>
      <c r="F622" s="59"/>
    </row>
    <row r="623" ht="12.75" customHeight="1">
      <c r="B623" s="59"/>
      <c r="C623" s="59"/>
      <c r="D623" s="59"/>
      <c r="E623" s="59"/>
      <c r="F623" s="59"/>
    </row>
    <row r="624" ht="12.75" customHeight="1">
      <c r="B624" s="59"/>
      <c r="C624" s="59"/>
      <c r="D624" s="59"/>
      <c r="E624" s="59"/>
      <c r="F624" s="59"/>
    </row>
    <row r="625" ht="12.75" customHeight="1">
      <c r="B625" s="59"/>
      <c r="C625" s="59"/>
      <c r="D625" s="59"/>
      <c r="E625" s="59"/>
      <c r="F625" s="59"/>
    </row>
    <row r="626" ht="12.75" customHeight="1">
      <c r="B626" s="59"/>
      <c r="C626" s="59"/>
      <c r="D626" s="59"/>
      <c r="E626" s="59"/>
      <c r="F626" s="59"/>
    </row>
    <row r="627" ht="12.75" customHeight="1">
      <c r="B627" s="59"/>
      <c r="C627" s="59"/>
      <c r="D627" s="59"/>
      <c r="E627" s="59"/>
      <c r="F627" s="59"/>
    </row>
    <row r="628" ht="12.75" customHeight="1">
      <c r="B628" s="59"/>
      <c r="C628" s="59"/>
      <c r="D628" s="59"/>
      <c r="E628" s="59"/>
      <c r="F628" s="59"/>
    </row>
    <row r="629" ht="12.75" customHeight="1">
      <c r="B629" s="59"/>
      <c r="C629" s="59"/>
      <c r="D629" s="59"/>
      <c r="E629" s="59"/>
      <c r="F629" s="59"/>
    </row>
    <row r="630" ht="12.75" customHeight="1">
      <c r="B630" s="59"/>
      <c r="C630" s="59"/>
      <c r="D630" s="59"/>
      <c r="E630" s="59"/>
      <c r="F630" s="59"/>
    </row>
    <row r="631" ht="12.75" customHeight="1">
      <c r="B631" s="59"/>
      <c r="C631" s="59"/>
      <c r="D631" s="59"/>
      <c r="E631" s="59"/>
      <c r="F631" s="59"/>
    </row>
    <row r="632" ht="12.75" customHeight="1">
      <c r="B632" s="59"/>
      <c r="C632" s="59"/>
      <c r="D632" s="59"/>
      <c r="E632" s="59"/>
      <c r="F632" s="59"/>
    </row>
    <row r="633" ht="12.75" customHeight="1">
      <c r="B633" s="59"/>
      <c r="C633" s="59"/>
      <c r="D633" s="59"/>
      <c r="E633" s="59"/>
      <c r="F633" s="59"/>
    </row>
    <row r="634" ht="12.75" customHeight="1">
      <c r="B634" s="59"/>
      <c r="C634" s="59"/>
      <c r="D634" s="59"/>
      <c r="E634" s="59"/>
      <c r="F634" s="59"/>
    </row>
    <row r="635" ht="12.75" customHeight="1">
      <c r="B635" s="59"/>
      <c r="C635" s="59"/>
      <c r="D635" s="59"/>
      <c r="E635" s="59"/>
      <c r="F635" s="59"/>
    </row>
    <row r="636" ht="12.75" customHeight="1">
      <c r="B636" s="59"/>
      <c r="C636" s="59"/>
      <c r="D636" s="59"/>
      <c r="E636" s="59"/>
      <c r="F636" s="59"/>
    </row>
    <row r="637" ht="12.75" customHeight="1">
      <c r="B637" s="59"/>
      <c r="C637" s="59"/>
      <c r="D637" s="59"/>
      <c r="E637" s="59"/>
      <c r="F637" s="59"/>
    </row>
    <row r="638" ht="12.75" customHeight="1">
      <c r="B638" s="59"/>
      <c r="C638" s="59"/>
      <c r="D638" s="59"/>
      <c r="E638" s="59"/>
      <c r="F638" s="59"/>
    </row>
    <row r="639" ht="12.75" customHeight="1">
      <c r="B639" s="59"/>
      <c r="C639" s="59"/>
      <c r="D639" s="59"/>
      <c r="E639" s="59"/>
      <c r="F639" s="59"/>
    </row>
    <row r="640" ht="12.75" customHeight="1">
      <c r="B640" s="59"/>
      <c r="C640" s="59"/>
      <c r="D640" s="59"/>
      <c r="E640" s="59"/>
      <c r="F640" s="59"/>
    </row>
    <row r="641" ht="12.75" customHeight="1">
      <c r="B641" s="59"/>
      <c r="C641" s="59"/>
      <c r="D641" s="59"/>
      <c r="E641" s="59"/>
      <c r="F641" s="59"/>
    </row>
    <row r="642" ht="12.75" customHeight="1">
      <c r="B642" s="59"/>
      <c r="C642" s="59"/>
      <c r="D642" s="59"/>
      <c r="E642" s="59"/>
      <c r="F642" s="59"/>
    </row>
    <row r="643" ht="12.75" customHeight="1">
      <c r="B643" s="59"/>
      <c r="C643" s="59"/>
      <c r="D643" s="59"/>
      <c r="E643" s="59"/>
      <c r="F643" s="59"/>
    </row>
    <row r="644" ht="12.75" customHeight="1">
      <c r="B644" s="59"/>
      <c r="C644" s="59"/>
      <c r="D644" s="59"/>
      <c r="E644" s="59"/>
      <c r="F644" s="59"/>
    </row>
    <row r="645" ht="12.75" customHeight="1">
      <c r="B645" s="59"/>
      <c r="C645" s="59"/>
      <c r="D645" s="59"/>
      <c r="E645" s="59"/>
      <c r="F645" s="59"/>
    </row>
    <row r="646" ht="12.75" customHeight="1">
      <c r="B646" s="59"/>
      <c r="C646" s="59"/>
      <c r="D646" s="59"/>
      <c r="E646" s="59"/>
      <c r="F646" s="59"/>
    </row>
    <row r="647" ht="12.75" customHeight="1">
      <c r="B647" s="59"/>
      <c r="C647" s="59"/>
      <c r="D647" s="59"/>
      <c r="E647" s="59"/>
      <c r="F647" s="59"/>
    </row>
    <row r="648" ht="12.75" customHeight="1">
      <c r="B648" s="59"/>
      <c r="C648" s="59"/>
      <c r="D648" s="59"/>
      <c r="E648" s="59"/>
      <c r="F648" s="59"/>
    </row>
    <row r="649" ht="12.75" customHeight="1">
      <c r="B649" s="59"/>
      <c r="C649" s="59"/>
      <c r="D649" s="59"/>
      <c r="E649" s="59"/>
      <c r="F649" s="59"/>
    </row>
    <row r="650" ht="12.75" customHeight="1">
      <c r="B650" s="59"/>
      <c r="C650" s="59"/>
      <c r="D650" s="59"/>
      <c r="E650" s="59"/>
      <c r="F650" s="59"/>
    </row>
    <row r="651" ht="12.75" customHeight="1">
      <c r="B651" s="59"/>
      <c r="C651" s="59"/>
      <c r="D651" s="59"/>
      <c r="E651" s="59"/>
      <c r="F651" s="59"/>
    </row>
    <row r="652" ht="12.75" customHeight="1">
      <c r="B652" s="59"/>
      <c r="C652" s="59"/>
      <c r="D652" s="59"/>
      <c r="E652" s="59"/>
      <c r="F652" s="59"/>
    </row>
    <row r="653" ht="12.75" customHeight="1">
      <c r="B653" s="59"/>
      <c r="C653" s="59"/>
      <c r="D653" s="59"/>
      <c r="E653" s="59"/>
      <c r="F653" s="59"/>
    </row>
    <row r="654" ht="12.75" customHeight="1">
      <c r="B654" s="59"/>
      <c r="C654" s="59"/>
      <c r="D654" s="59"/>
      <c r="E654" s="59"/>
      <c r="F654" s="59"/>
    </row>
    <row r="655" ht="12.75" customHeight="1">
      <c r="B655" s="59"/>
      <c r="C655" s="59"/>
      <c r="D655" s="59"/>
      <c r="E655" s="59"/>
      <c r="F655" s="59"/>
    </row>
    <row r="656" ht="12.75" customHeight="1">
      <c r="B656" s="59"/>
      <c r="C656" s="59"/>
      <c r="D656" s="59"/>
      <c r="E656" s="59"/>
      <c r="F656" s="59"/>
    </row>
    <row r="657" ht="12.75" customHeight="1">
      <c r="B657" s="59"/>
      <c r="C657" s="59"/>
      <c r="D657" s="59"/>
      <c r="E657" s="59"/>
      <c r="F657" s="59"/>
    </row>
    <row r="658" ht="12.75" customHeight="1">
      <c r="B658" s="59"/>
      <c r="C658" s="59"/>
      <c r="D658" s="59"/>
      <c r="E658" s="59"/>
      <c r="F658" s="59"/>
    </row>
    <row r="659" ht="12.75" customHeight="1">
      <c r="B659" s="59"/>
      <c r="C659" s="59"/>
      <c r="D659" s="59"/>
      <c r="E659" s="59"/>
      <c r="F659" s="59"/>
    </row>
    <row r="660" ht="12.75" customHeight="1">
      <c r="B660" s="59"/>
      <c r="C660" s="59"/>
      <c r="D660" s="59"/>
      <c r="E660" s="59"/>
      <c r="F660" s="59"/>
    </row>
    <row r="661" ht="12.75" customHeight="1">
      <c r="B661" s="59"/>
      <c r="C661" s="59"/>
      <c r="D661" s="59"/>
      <c r="E661" s="59"/>
      <c r="F661" s="59"/>
    </row>
    <row r="662" ht="12.75" customHeight="1">
      <c r="B662" s="59"/>
      <c r="C662" s="59"/>
      <c r="D662" s="59"/>
      <c r="E662" s="59"/>
      <c r="F662" s="59"/>
    </row>
    <row r="663" ht="12.75" customHeight="1">
      <c r="B663" s="59"/>
      <c r="C663" s="59"/>
      <c r="D663" s="59"/>
      <c r="E663" s="59"/>
      <c r="F663" s="59"/>
    </row>
    <row r="664" ht="12.75" customHeight="1">
      <c r="B664" s="59"/>
      <c r="C664" s="59"/>
      <c r="D664" s="59"/>
      <c r="E664" s="59"/>
      <c r="F664" s="59"/>
    </row>
    <row r="665" ht="12.75" customHeight="1">
      <c r="B665" s="59"/>
      <c r="C665" s="59"/>
      <c r="D665" s="59"/>
      <c r="E665" s="59"/>
      <c r="F665" s="59"/>
    </row>
    <row r="666" ht="12.75" customHeight="1">
      <c r="B666" s="59"/>
      <c r="C666" s="59"/>
      <c r="D666" s="59"/>
      <c r="E666" s="59"/>
      <c r="F666" s="59"/>
    </row>
    <row r="667" ht="12.75" customHeight="1">
      <c r="B667" s="59"/>
      <c r="C667" s="59"/>
      <c r="D667" s="59"/>
      <c r="E667" s="59"/>
      <c r="F667" s="59"/>
    </row>
    <row r="668" ht="12.75" customHeight="1">
      <c r="B668" s="59"/>
      <c r="C668" s="59"/>
      <c r="D668" s="59"/>
      <c r="E668" s="59"/>
      <c r="F668" s="59"/>
    </row>
    <row r="669" ht="12.75" customHeight="1">
      <c r="B669" s="59"/>
      <c r="C669" s="59"/>
      <c r="D669" s="59"/>
      <c r="E669" s="59"/>
      <c r="F669" s="59"/>
    </row>
    <row r="670" ht="12.75" customHeight="1">
      <c r="B670" s="59"/>
      <c r="C670" s="59"/>
      <c r="D670" s="59"/>
      <c r="E670" s="59"/>
      <c r="F670" s="59"/>
    </row>
    <row r="671" ht="12.75" customHeight="1">
      <c r="B671" s="59"/>
      <c r="C671" s="59"/>
      <c r="D671" s="59"/>
      <c r="E671" s="59"/>
      <c r="F671" s="59"/>
    </row>
    <row r="672" ht="12.75" customHeight="1">
      <c r="B672" s="59"/>
      <c r="C672" s="59"/>
      <c r="D672" s="59"/>
      <c r="E672" s="59"/>
      <c r="F672" s="59"/>
    </row>
    <row r="673" ht="12.75" customHeight="1">
      <c r="B673" s="59"/>
      <c r="C673" s="59"/>
      <c r="D673" s="59"/>
      <c r="E673" s="59"/>
      <c r="F673" s="59"/>
    </row>
    <row r="674" ht="12.75" customHeight="1">
      <c r="B674" s="59"/>
      <c r="C674" s="59"/>
      <c r="D674" s="59"/>
      <c r="E674" s="59"/>
      <c r="F674" s="59"/>
    </row>
    <row r="675" ht="12.75" customHeight="1">
      <c r="B675" s="59"/>
      <c r="C675" s="59"/>
      <c r="D675" s="59"/>
      <c r="E675" s="59"/>
      <c r="F675" s="59"/>
    </row>
    <row r="676" ht="12.75" customHeight="1">
      <c r="B676" s="59"/>
      <c r="C676" s="59"/>
      <c r="D676" s="59"/>
      <c r="E676" s="59"/>
      <c r="F676" s="59"/>
    </row>
    <row r="677" ht="12.75" customHeight="1">
      <c r="B677" s="59"/>
      <c r="C677" s="59"/>
      <c r="D677" s="59"/>
      <c r="E677" s="59"/>
      <c r="F677" s="59"/>
    </row>
    <row r="678" ht="12.75" customHeight="1">
      <c r="B678" s="59"/>
      <c r="C678" s="59"/>
      <c r="D678" s="59"/>
      <c r="E678" s="59"/>
      <c r="F678" s="59"/>
    </row>
    <row r="679" ht="12.75" customHeight="1">
      <c r="B679" s="59"/>
      <c r="C679" s="59"/>
      <c r="D679" s="59"/>
      <c r="E679" s="59"/>
      <c r="F679" s="59"/>
    </row>
    <row r="680" ht="12.75" customHeight="1">
      <c r="B680" s="59"/>
      <c r="C680" s="59"/>
      <c r="D680" s="59"/>
      <c r="E680" s="59"/>
      <c r="F680" s="59"/>
    </row>
    <row r="681" ht="12.75" customHeight="1">
      <c r="B681" s="59"/>
      <c r="C681" s="59"/>
      <c r="D681" s="59"/>
      <c r="E681" s="59"/>
      <c r="F681" s="59"/>
    </row>
    <row r="682" ht="12.75" customHeight="1">
      <c r="B682" s="59"/>
      <c r="C682" s="59"/>
      <c r="D682" s="59"/>
      <c r="E682" s="59"/>
      <c r="F682" s="59"/>
    </row>
    <row r="683" ht="12.75" customHeight="1">
      <c r="B683" s="59"/>
      <c r="C683" s="59"/>
      <c r="D683" s="59"/>
      <c r="E683" s="59"/>
      <c r="F683" s="59"/>
    </row>
    <row r="684" ht="12.75" customHeight="1">
      <c r="B684" s="59"/>
      <c r="C684" s="59"/>
      <c r="D684" s="59"/>
      <c r="E684" s="59"/>
      <c r="F684" s="59"/>
    </row>
    <row r="685" ht="12.75" customHeight="1">
      <c r="B685" s="59"/>
      <c r="C685" s="59"/>
      <c r="D685" s="59"/>
      <c r="E685" s="59"/>
      <c r="F685" s="59"/>
    </row>
    <row r="686" ht="12.75" customHeight="1">
      <c r="B686" s="59"/>
      <c r="C686" s="59"/>
      <c r="D686" s="59"/>
      <c r="E686" s="59"/>
      <c r="F686" s="59"/>
    </row>
    <row r="687" ht="12.75" customHeight="1">
      <c r="B687" s="59"/>
      <c r="C687" s="59"/>
      <c r="D687" s="59"/>
      <c r="E687" s="59"/>
      <c r="F687" s="59"/>
    </row>
    <row r="688" ht="12.75" customHeight="1">
      <c r="B688" s="59"/>
      <c r="C688" s="59"/>
      <c r="D688" s="59"/>
      <c r="E688" s="59"/>
      <c r="F688" s="59"/>
    </row>
    <row r="689" ht="12.75" customHeight="1">
      <c r="B689" s="59"/>
      <c r="C689" s="59"/>
      <c r="D689" s="59"/>
      <c r="E689" s="59"/>
      <c r="F689" s="59"/>
    </row>
    <row r="690" ht="12.75" customHeight="1">
      <c r="B690" s="59"/>
      <c r="C690" s="59"/>
      <c r="D690" s="59"/>
      <c r="E690" s="59"/>
      <c r="F690" s="59"/>
    </row>
    <row r="691" ht="12.75" customHeight="1">
      <c r="B691" s="59"/>
      <c r="C691" s="59"/>
      <c r="D691" s="59"/>
      <c r="E691" s="59"/>
      <c r="F691" s="59"/>
    </row>
    <row r="692" ht="12.75" customHeight="1">
      <c r="B692" s="59"/>
      <c r="C692" s="59"/>
      <c r="D692" s="59"/>
      <c r="E692" s="59"/>
      <c r="F692" s="59"/>
    </row>
    <row r="693" ht="12.75" customHeight="1">
      <c r="B693" s="59"/>
      <c r="C693" s="59"/>
      <c r="D693" s="59"/>
      <c r="E693" s="59"/>
      <c r="F693" s="59"/>
    </row>
    <row r="694" ht="12.75" customHeight="1">
      <c r="B694" s="59"/>
      <c r="C694" s="59"/>
      <c r="D694" s="59"/>
      <c r="E694" s="59"/>
      <c r="F694" s="59"/>
    </row>
    <row r="695" ht="12.75" customHeight="1">
      <c r="B695" s="59"/>
      <c r="C695" s="59"/>
      <c r="D695" s="59"/>
      <c r="E695" s="59"/>
      <c r="F695" s="59"/>
    </row>
    <row r="696" ht="12.75" customHeight="1">
      <c r="B696" s="59"/>
      <c r="C696" s="59"/>
      <c r="D696" s="59"/>
      <c r="E696" s="59"/>
      <c r="F696" s="59"/>
    </row>
    <row r="697" ht="12.75" customHeight="1">
      <c r="B697" s="59"/>
      <c r="C697" s="59"/>
      <c r="D697" s="59"/>
      <c r="E697" s="59"/>
      <c r="F697" s="59"/>
    </row>
    <row r="698" ht="12.75" customHeight="1">
      <c r="B698" s="59"/>
      <c r="C698" s="59"/>
      <c r="D698" s="59"/>
      <c r="E698" s="59"/>
      <c r="F698" s="59"/>
    </row>
    <row r="699" ht="12.75" customHeight="1">
      <c r="B699" s="59"/>
      <c r="C699" s="59"/>
      <c r="D699" s="59"/>
      <c r="E699" s="59"/>
      <c r="F699" s="59"/>
    </row>
    <row r="700" ht="12.75" customHeight="1">
      <c r="B700" s="59"/>
      <c r="C700" s="59"/>
      <c r="D700" s="59"/>
      <c r="E700" s="59"/>
      <c r="F700" s="59"/>
    </row>
    <row r="701" ht="12.75" customHeight="1">
      <c r="B701" s="59"/>
      <c r="C701" s="59"/>
      <c r="D701" s="59"/>
      <c r="E701" s="59"/>
      <c r="F701" s="59"/>
    </row>
    <row r="702" ht="12.75" customHeight="1">
      <c r="B702" s="59"/>
      <c r="C702" s="59"/>
      <c r="D702" s="59"/>
      <c r="E702" s="59"/>
      <c r="F702" s="59"/>
    </row>
    <row r="703" ht="12.75" customHeight="1">
      <c r="B703" s="59"/>
      <c r="C703" s="59"/>
      <c r="D703" s="59"/>
      <c r="E703" s="59"/>
      <c r="F703" s="59"/>
    </row>
    <row r="704" ht="12.75" customHeight="1">
      <c r="B704" s="59"/>
      <c r="C704" s="59"/>
      <c r="D704" s="59"/>
      <c r="E704" s="59"/>
      <c r="F704" s="59"/>
    </row>
    <row r="705" ht="12.75" customHeight="1">
      <c r="B705" s="59"/>
      <c r="C705" s="59"/>
      <c r="D705" s="59"/>
      <c r="E705" s="59"/>
      <c r="F705" s="59"/>
    </row>
    <row r="706" ht="12.75" customHeight="1">
      <c r="B706" s="59"/>
      <c r="C706" s="59"/>
      <c r="D706" s="59"/>
      <c r="E706" s="59"/>
      <c r="F706" s="59"/>
    </row>
    <row r="707" ht="12.75" customHeight="1">
      <c r="B707" s="59"/>
      <c r="C707" s="59"/>
      <c r="D707" s="59"/>
      <c r="E707" s="59"/>
      <c r="F707" s="59"/>
    </row>
    <row r="708" ht="12.75" customHeight="1">
      <c r="B708" s="59"/>
      <c r="C708" s="59"/>
      <c r="D708" s="59"/>
      <c r="E708" s="59"/>
      <c r="F708" s="59"/>
    </row>
    <row r="709" ht="12.75" customHeight="1">
      <c r="B709" s="59"/>
      <c r="C709" s="59"/>
      <c r="D709" s="59"/>
      <c r="E709" s="59"/>
      <c r="F709" s="59"/>
    </row>
    <row r="710" ht="12.75" customHeight="1">
      <c r="B710" s="59"/>
      <c r="C710" s="59"/>
      <c r="D710" s="59"/>
      <c r="E710" s="59"/>
      <c r="F710" s="59"/>
    </row>
    <row r="711" ht="12.75" customHeight="1">
      <c r="B711" s="59"/>
      <c r="C711" s="59"/>
      <c r="D711" s="59"/>
      <c r="E711" s="59"/>
      <c r="F711" s="59"/>
    </row>
    <row r="712" ht="12.75" customHeight="1">
      <c r="B712" s="59"/>
      <c r="C712" s="59"/>
      <c r="D712" s="59"/>
      <c r="E712" s="59"/>
      <c r="F712" s="59"/>
    </row>
    <row r="713" ht="12.75" customHeight="1">
      <c r="B713" s="59"/>
      <c r="C713" s="59"/>
      <c r="D713" s="59"/>
      <c r="E713" s="59"/>
      <c r="F713" s="59"/>
    </row>
    <row r="714" ht="12.75" customHeight="1">
      <c r="B714" s="59"/>
      <c r="C714" s="59"/>
      <c r="D714" s="59"/>
      <c r="E714" s="59"/>
      <c r="F714" s="59"/>
    </row>
    <row r="715" ht="12.75" customHeight="1">
      <c r="B715" s="59"/>
      <c r="C715" s="59"/>
      <c r="D715" s="59"/>
      <c r="E715" s="59"/>
      <c r="F715" s="59"/>
    </row>
    <row r="716" ht="12.75" customHeight="1">
      <c r="B716" s="59"/>
      <c r="C716" s="59"/>
      <c r="D716" s="59"/>
      <c r="E716" s="59"/>
      <c r="F716" s="59"/>
    </row>
    <row r="717" ht="12.75" customHeight="1">
      <c r="B717" s="59"/>
      <c r="C717" s="59"/>
      <c r="D717" s="59"/>
      <c r="E717" s="59"/>
      <c r="F717" s="59"/>
    </row>
    <row r="718" ht="12.75" customHeight="1">
      <c r="B718" s="59"/>
      <c r="C718" s="59"/>
      <c r="D718" s="59"/>
      <c r="E718" s="59"/>
      <c r="F718" s="59"/>
    </row>
    <row r="719" ht="12.75" customHeight="1">
      <c r="B719" s="59"/>
      <c r="C719" s="59"/>
      <c r="D719" s="59"/>
      <c r="E719" s="59"/>
      <c r="F719" s="59"/>
    </row>
    <row r="720" ht="12.75" customHeight="1">
      <c r="B720" s="59"/>
      <c r="C720" s="59"/>
      <c r="D720" s="59"/>
      <c r="E720" s="59"/>
      <c r="F720" s="59"/>
    </row>
    <row r="721" ht="12.75" customHeight="1">
      <c r="B721" s="59"/>
      <c r="C721" s="59"/>
      <c r="D721" s="59"/>
      <c r="E721" s="59"/>
      <c r="F721" s="59"/>
    </row>
    <row r="722" ht="12.75" customHeight="1">
      <c r="B722" s="59"/>
      <c r="C722" s="59"/>
      <c r="D722" s="59"/>
      <c r="E722" s="59"/>
      <c r="F722" s="59"/>
    </row>
    <row r="723" ht="12.75" customHeight="1">
      <c r="B723" s="59"/>
      <c r="C723" s="59"/>
      <c r="D723" s="59"/>
      <c r="E723" s="59"/>
      <c r="F723" s="59"/>
    </row>
    <row r="724" ht="12.75" customHeight="1">
      <c r="B724" s="59"/>
      <c r="C724" s="59"/>
      <c r="D724" s="59"/>
      <c r="E724" s="59"/>
      <c r="F724" s="59"/>
    </row>
    <row r="725" ht="12.75" customHeight="1">
      <c r="B725" s="59"/>
      <c r="C725" s="59"/>
      <c r="D725" s="59"/>
      <c r="E725" s="59"/>
      <c r="F725" s="59"/>
    </row>
    <row r="726" ht="12.75" customHeight="1">
      <c r="B726" s="59"/>
      <c r="C726" s="59"/>
      <c r="D726" s="59"/>
      <c r="E726" s="59"/>
      <c r="F726" s="59"/>
    </row>
    <row r="727" ht="12.75" customHeight="1">
      <c r="B727" s="59"/>
      <c r="C727" s="59"/>
      <c r="D727" s="59"/>
      <c r="E727" s="59"/>
      <c r="F727" s="59"/>
    </row>
    <row r="728" ht="12.75" customHeight="1">
      <c r="B728" s="59"/>
      <c r="C728" s="59"/>
      <c r="D728" s="59"/>
      <c r="E728" s="59"/>
      <c r="F728" s="59"/>
    </row>
    <row r="729" ht="12.75" customHeight="1">
      <c r="B729" s="59"/>
      <c r="C729" s="59"/>
      <c r="D729" s="59"/>
      <c r="E729" s="59"/>
      <c r="F729" s="59"/>
    </row>
    <row r="730" ht="12.75" customHeight="1">
      <c r="B730" s="59"/>
      <c r="C730" s="59"/>
      <c r="D730" s="59"/>
      <c r="E730" s="59"/>
      <c r="F730" s="59"/>
    </row>
    <row r="731" ht="12.75" customHeight="1">
      <c r="B731" s="59"/>
      <c r="C731" s="59"/>
      <c r="D731" s="59"/>
      <c r="E731" s="59"/>
      <c r="F731" s="59"/>
    </row>
    <row r="732" ht="12.75" customHeight="1">
      <c r="B732" s="59"/>
      <c r="C732" s="59"/>
      <c r="D732" s="59"/>
      <c r="E732" s="59"/>
      <c r="F732" s="59"/>
    </row>
    <row r="733" ht="12.75" customHeight="1">
      <c r="B733" s="59"/>
      <c r="C733" s="59"/>
      <c r="D733" s="59"/>
      <c r="E733" s="59"/>
      <c r="F733" s="59"/>
    </row>
    <row r="734" ht="12.75" customHeight="1">
      <c r="B734" s="59"/>
      <c r="C734" s="59"/>
      <c r="D734" s="59"/>
      <c r="E734" s="59"/>
      <c r="F734" s="59"/>
    </row>
    <row r="735" ht="12.75" customHeight="1">
      <c r="B735" s="59"/>
      <c r="C735" s="59"/>
      <c r="D735" s="59"/>
      <c r="E735" s="59"/>
      <c r="F735" s="59"/>
    </row>
    <row r="736" ht="12.75" customHeight="1">
      <c r="B736" s="59"/>
      <c r="C736" s="59"/>
      <c r="D736" s="59"/>
      <c r="E736" s="59"/>
      <c r="F736" s="59"/>
    </row>
    <row r="737" ht="12.75" customHeight="1">
      <c r="B737" s="59"/>
      <c r="C737" s="59"/>
      <c r="D737" s="59"/>
      <c r="E737" s="59"/>
      <c r="F737" s="59"/>
    </row>
    <row r="738" ht="12.75" customHeight="1">
      <c r="B738" s="59"/>
      <c r="C738" s="59"/>
      <c r="D738" s="59"/>
      <c r="E738" s="59"/>
      <c r="F738" s="59"/>
    </row>
    <row r="739" ht="12.75" customHeight="1">
      <c r="B739" s="59"/>
      <c r="C739" s="59"/>
      <c r="D739" s="59"/>
      <c r="E739" s="59"/>
      <c r="F739" s="59"/>
    </row>
    <row r="740" ht="12.75" customHeight="1">
      <c r="B740" s="59"/>
      <c r="C740" s="59"/>
      <c r="D740" s="59"/>
      <c r="E740" s="59"/>
      <c r="F740" s="59"/>
    </row>
    <row r="741" ht="12.75" customHeight="1">
      <c r="B741" s="59"/>
      <c r="C741" s="59"/>
      <c r="D741" s="59"/>
      <c r="E741" s="59"/>
      <c r="F741" s="59"/>
    </row>
    <row r="742" ht="12.75" customHeight="1">
      <c r="B742" s="59"/>
      <c r="C742" s="59"/>
      <c r="D742" s="59"/>
      <c r="E742" s="59"/>
      <c r="F742" s="59"/>
    </row>
    <row r="743" ht="12.75" customHeight="1">
      <c r="B743" s="59"/>
      <c r="C743" s="59"/>
      <c r="D743" s="59"/>
      <c r="E743" s="59"/>
      <c r="F743" s="59"/>
    </row>
    <row r="744" ht="12.75" customHeight="1">
      <c r="B744" s="59"/>
      <c r="C744" s="59"/>
      <c r="D744" s="59"/>
      <c r="E744" s="59"/>
      <c r="F744" s="59"/>
    </row>
    <row r="745" ht="12.75" customHeight="1">
      <c r="B745" s="59"/>
      <c r="C745" s="59"/>
      <c r="D745" s="59"/>
      <c r="E745" s="59"/>
      <c r="F745" s="59"/>
    </row>
    <row r="746" ht="12.75" customHeight="1">
      <c r="B746" s="59"/>
      <c r="C746" s="59"/>
      <c r="D746" s="59"/>
      <c r="E746" s="59"/>
      <c r="F746" s="59"/>
    </row>
    <row r="747" ht="12.75" customHeight="1">
      <c r="B747" s="59"/>
      <c r="C747" s="59"/>
      <c r="D747" s="59"/>
      <c r="E747" s="59"/>
      <c r="F747" s="59"/>
    </row>
    <row r="748" ht="12.75" customHeight="1">
      <c r="B748" s="59"/>
      <c r="C748" s="59"/>
      <c r="D748" s="59"/>
      <c r="E748" s="59"/>
      <c r="F748" s="59"/>
    </row>
    <row r="749" ht="12.75" customHeight="1">
      <c r="B749" s="59"/>
      <c r="C749" s="59"/>
      <c r="D749" s="59"/>
      <c r="E749" s="59"/>
      <c r="F749" s="59"/>
    </row>
    <row r="750" ht="12.75" customHeight="1">
      <c r="B750" s="59"/>
      <c r="C750" s="59"/>
      <c r="D750" s="59"/>
      <c r="E750" s="59"/>
      <c r="F750" s="59"/>
    </row>
    <row r="751" ht="12.75" customHeight="1">
      <c r="B751" s="59"/>
      <c r="C751" s="59"/>
      <c r="D751" s="59"/>
      <c r="E751" s="59"/>
      <c r="F751" s="59"/>
    </row>
    <row r="752" ht="12.75" customHeight="1">
      <c r="B752" s="59"/>
      <c r="C752" s="59"/>
      <c r="D752" s="59"/>
      <c r="E752" s="59"/>
      <c r="F752" s="59"/>
    </row>
    <row r="753" ht="12.75" customHeight="1">
      <c r="B753" s="59"/>
      <c r="C753" s="59"/>
      <c r="D753" s="59"/>
      <c r="E753" s="59"/>
      <c r="F753" s="59"/>
    </row>
    <row r="754" ht="12.75" customHeight="1">
      <c r="B754" s="59"/>
      <c r="C754" s="59"/>
      <c r="D754" s="59"/>
      <c r="E754" s="59"/>
      <c r="F754" s="59"/>
    </row>
    <row r="755" ht="12.75" customHeight="1">
      <c r="B755" s="59"/>
      <c r="C755" s="59"/>
      <c r="D755" s="59"/>
      <c r="E755" s="59"/>
      <c r="F755" s="59"/>
    </row>
    <row r="756" ht="12.75" customHeight="1">
      <c r="B756" s="59"/>
      <c r="C756" s="59"/>
      <c r="D756" s="59"/>
      <c r="E756" s="59"/>
      <c r="F756" s="59"/>
    </row>
    <row r="757" ht="12.75" customHeight="1">
      <c r="B757" s="59"/>
      <c r="C757" s="59"/>
      <c r="D757" s="59"/>
      <c r="E757" s="59"/>
      <c r="F757" s="59"/>
    </row>
    <row r="758" ht="12.75" customHeight="1">
      <c r="B758" s="59"/>
      <c r="C758" s="59"/>
      <c r="D758" s="59"/>
      <c r="E758" s="59"/>
      <c r="F758" s="59"/>
    </row>
    <row r="759" ht="12.75" customHeight="1">
      <c r="B759" s="59"/>
      <c r="C759" s="59"/>
      <c r="D759" s="59"/>
      <c r="E759" s="59"/>
      <c r="F759" s="59"/>
    </row>
    <row r="760" ht="12.75" customHeight="1">
      <c r="B760" s="59"/>
      <c r="C760" s="59"/>
      <c r="D760" s="59"/>
      <c r="E760" s="59"/>
      <c r="F760" s="59"/>
    </row>
    <row r="761" ht="12.75" customHeight="1">
      <c r="B761" s="59"/>
      <c r="C761" s="59"/>
      <c r="D761" s="59"/>
      <c r="E761" s="59"/>
      <c r="F761" s="59"/>
    </row>
    <row r="762" ht="12.75" customHeight="1">
      <c r="B762" s="59"/>
      <c r="C762" s="59"/>
      <c r="D762" s="59"/>
      <c r="E762" s="59"/>
      <c r="F762" s="59"/>
    </row>
    <row r="763" ht="12.75" customHeight="1">
      <c r="B763" s="59"/>
      <c r="C763" s="59"/>
      <c r="D763" s="59"/>
      <c r="E763" s="59"/>
      <c r="F763" s="59"/>
    </row>
    <row r="764" ht="12.75" customHeight="1">
      <c r="B764" s="59"/>
      <c r="C764" s="59"/>
      <c r="D764" s="59"/>
      <c r="E764" s="59"/>
      <c r="F764" s="59"/>
    </row>
    <row r="765" ht="12.75" customHeight="1">
      <c r="B765" s="59"/>
      <c r="C765" s="59"/>
      <c r="D765" s="59"/>
      <c r="E765" s="59"/>
      <c r="F765" s="59"/>
    </row>
    <row r="766" ht="12.75" customHeight="1">
      <c r="B766" s="59"/>
      <c r="C766" s="59"/>
      <c r="D766" s="59"/>
      <c r="E766" s="59"/>
      <c r="F766" s="59"/>
    </row>
    <row r="767" ht="12.75" customHeight="1">
      <c r="B767" s="59"/>
      <c r="C767" s="59"/>
      <c r="D767" s="59"/>
      <c r="E767" s="59"/>
      <c r="F767" s="59"/>
    </row>
    <row r="768" ht="12.75" customHeight="1">
      <c r="B768" s="59"/>
      <c r="C768" s="59"/>
      <c r="D768" s="59"/>
      <c r="E768" s="59"/>
      <c r="F768" s="59"/>
    </row>
    <row r="769" ht="12.75" customHeight="1">
      <c r="B769" s="59"/>
      <c r="C769" s="59"/>
      <c r="D769" s="59"/>
      <c r="E769" s="59"/>
      <c r="F769" s="59"/>
    </row>
    <row r="770" ht="12.75" customHeight="1">
      <c r="B770" s="59"/>
      <c r="C770" s="59"/>
      <c r="D770" s="59"/>
      <c r="E770" s="59"/>
      <c r="F770" s="59"/>
    </row>
    <row r="771" ht="12.75" customHeight="1">
      <c r="B771" s="59"/>
      <c r="C771" s="59"/>
      <c r="D771" s="59"/>
      <c r="E771" s="59"/>
      <c r="F771" s="59"/>
    </row>
    <row r="772" ht="12.75" customHeight="1">
      <c r="B772" s="59"/>
      <c r="C772" s="59"/>
      <c r="D772" s="59"/>
      <c r="E772" s="59"/>
      <c r="F772" s="59"/>
    </row>
    <row r="773" ht="12.75" customHeight="1">
      <c r="B773" s="59"/>
      <c r="C773" s="59"/>
      <c r="D773" s="59"/>
      <c r="E773" s="59"/>
      <c r="F773" s="59"/>
    </row>
    <row r="774" ht="12.75" customHeight="1">
      <c r="B774" s="59"/>
      <c r="C774" s="59"/>
      <c r="D774" s="59"/>
      <c r="E774" s="59"/>
      <c r="F774" s="59"/>
    </row>
    <row r="775" ht="12.75" customHeight="1">
      <c r="B775" s="59"/>
      <c r="C775" s="59"/>
      <c r="D775" s="59"/>
      <c r="E775" s="59"/>
      <c r="F775" s="59"/>
    </row>
    <row r="776" ht="12.75" customHeight="1">
      <c r="B776" s="59"/>
      <c r="C776" s="59"/>
      <c r="D776" s="59"/>
      <c r="E776" s="59"/>
      <c r="F776" s="59"/>
    </row>
    <row r="777" ht="12.75" customHeight="1">
      <c r="B777" s="59"/>
      <c r="C777" s="59"/>
      <c r="D777" s="59"/>
      <c r="E777" s="59"/>
      <c r="F777" s="59"/>
    </row>
    <row r="778" ht="12.75" customHeight="1">
      <c r="B778" s="59"/>
      <c r="C778" s="59"/>
      <c r="D778" s="59"/>
      <c r="E778" s="59"/>
      <c r="F778" s="59"/>
    </row>
    <row r="779" ht="12.75" customHeight="1">
      <c r="B779" s="59"/>
      <c r="C779" s="59"/>
      <c r="D779" s="59"/>
      <c r="E779" s="59"/>
      <c r="F779" s="59"/>
    </row>
    <row r="780" ht="12.75" customHeight="1">
      <c r="B780" s="59"/>
      <c r="C780" s="59"/>
      <c r="D780" s="59"/>
      <c r="E780" s="59"/>
      <c r="F780" s="59"/>
    </row>
    <row r="781" ht="12.75" customHeight="1">
      <c r="B781" s="59"/>
      <c r="C781" s="59"/>
      <c r="D781" s="59"/>
      <c r="E781" s="59"/>
      <c r="F781" s="59"/>
    </row>
    <row r="782" ht="12.75" customHeight="1">
      <c r="B782" s="59"/>
      <c r="C782" s="59"/>
      <c r="D782" s="59"/>
      <c r="E782" s="59"/>
      <c r="F782" s="59"/>
    </row>
    <row r="783" ht="12.75" customHeight="1">
      <c r="B783" s="59"/>
      <c r="C783" s="59"/>
      <c r="D783" s="59"/>
      <c r="E783" s="59"/>
      <c r="F783" s="59"/>
    </row>
    <row r="784" ht="12.75" customHeight="1">
      <c r="B784" s="59"/>
      <c r="C784" s="59"/>
      <c r="D784" s="59"/>
      <c r="E784" s="59"/>
      <c r="F784" s="59"/>
    </row>
    <row r="785" ht="12.75" customHeight="1">
      <c r="B785" s="59"/>
      <c r="C785" s="59"/>
      <c r="D785" s="59"/>
      <c r="E785" s="59"/>
      <c r="F785" s="59"/>
    </row>
    <row r="786" ht="12.75" customHeight="1">
      <c r="B786" s="59"/>
      <c r="C786" s="59"/>
      <c r="D786" s="59"/>
      <c r="E786" s="59"/>
      <c r="F786" s="59"/>
    </row>
    <row r="787" ht="12.75" customHeight="1">
      <c r="B787" s="59"/>
      <c r="C787" s="59"/>
      <c r="D787" s="59"/>
      <c r="E787" s="59"/>
      <c r="F787" s="59"/>
    </row>
    <row r="788" ht="12.75" customHeight="1">
      <c r="B788" s="59"/>
      <c r="C788" s="59"/>
      <c r="D788" s="59"/>
      <c r="E788" s="59"/>
      <c r="F788" s="59"/>
    </row>
    <row r="789" ht="12.75" customHeight="1">
      <c r="B789" s="59"/>
      <c r="C789" s="59"/>
      <c r="D789" s="59"/>
      <c r="E789" s="59"/>
      <c r="F789" s="59"/>
    </row>
    <row r="790" ht="12.75" customHeight="1">
      <c r="B790" s="59"/>
      <c r="C790" s="59"/>
      <c r="D790" s="59"/>
      <c r="E790" s="59"/>
      <c r="F790" s="59"/>
    </row>
    <row r="791" ht="12.75" customHeight="1">
      <c r="B791" s="59"/>
      <c r="C791" s="59"/>
      <c r="D791" s="59"/>
      <c r="E791" s="59"/>
      <c r="F791" s="59"/>
    </row>
    <row r="792" ht="12.75" customHeight="1">
      <c r="B792" s="59"/>
      <c r="C792" s="59"/>
      <c r="D792" s="59"/>
      <c r="E792" s="59"/>
      <c r="F792" s="59"/>
    </row>
    <row r="793" ht="12.75" customHeight="1">
      <c r="B793" s="59"/>
      <c r="C793" s="59"/>
      <c r="D793" s="59"/>
      <c r="E793" s="59"/>
      <c r="F793" s="59"/>
    </row>
    <row r="794" ht="12.75" customHeight="1">
      <c r="B794" s="59"/>
      <c r="C794" s="59"/>
      <c r="D794" s="59"/>
      <c r="E794" s="59"/>
      <c r="F794" s="59"/>
    </row>
    <row r="795" ht="12.75" customHeight="1">
      <c r="B795" s="59"/>
      <c r="C795" s="59"/>
      <c r="D795" s="59"/>
      <c r="E795" s="59"/>
      <c r="F795" s="59"/>
    </row>
    <row r="796" ht="12.75" customHeight="1">
      <c r="B796" s="59"/>
      <c r="C796" s="59"/>
      <c r="D796" s="59"/>
      <c r="E796" s="59"/>
      <c r="F796" s="59"/>
    </row>
    <row r="797" ht="12.75" customHeight="1">
      <c r="B797" s="59"/>
      <c r="C797" s="59"/>
      <c r="D797" s="59"/>
      <c r="E797" s="59"/>
      <c r="F797" s="59"/>
    </row>
    <row r="798" ht="12.75" customHeight="1">
      <c r="B798" s="59"/>
      <c r="C798" s="59"/>
      <c r="D798" s="59"/>
      <c r="E798" s="59"/>
      <c r="F798" s="59"/>
    </row>
    <row r="799" ht="12.75" customHeight="1">
      <c r="B799" s="59"/>
      <c r="C799" s="59"/>
      <c r="D799" s="59"/>
      <c r="E799" s="59"/>
      <c r="F799" s="59"/>
    </row>
    <row r="800" ht="12.75" customHeight="1">
      <c r="B800" s="59"/>
      <c r="C800" s="59"/>
      <c r="D800" s="59"/>
      <c r="E800" s="59"/>
      <c r="F800" s="59"/>
    </row>
    <row r="801" ht="12.75" customHeight="1">
      <c r="B801" s="59"/>
      <c r="C801" s="59"/>
      <c r="D801" s="59"/>
      <c r="E801" s="59"/>
      <c r="F801" s="59"/>
    </row>
    <row r="802" ht="12.75" customHeight="1">
      <c r="B802" s="59"/>
      <c r="C802" s="59"/>
      <c r="D802" s="59"/>
      <c r="E802" s="59"/>
      <c r="F802" s="59"/>
    </row>
    <row r="803" ht="12.75" customHeight="1">
      <c r="B803" s="59"/>
      <c r="C803" s="59"/>
      <c r="D803" s="59"/>
      <c r="E803" s="59"/>
      <c r="F803" s="59"/>
    </row>
    <row r="804" ht="12.75" customHeight="1">
      <c r="B804" s="59"/>
      <c r="C804" s="59"/>
      <c r="D804" s="59"/>
      <c r="E804" s="59"/>
      <c r="F804" s="59"/>
    </row>
    <row r="805" ht="12.75" customHeight="1">
      <c r="B805" s="59"/>
      <c r="C805" s="59"/>
      <c r="D805" s="59"/>
      <c r="E805" s="59"/>
      <c r="F805" s="59"/>
    </row>
    <row r="806" ht="12.75" customHeight="1">
      <c r="B806" s="59"/>
      <c r="C806" s="59"/>
      <c r="D806" s="59"/>
      <c r="E806" s="59"/>
      <c r="F806" s="59"/>
    </row>
    <row r="807" ht="12.75" customHeight="1">
      <c r="B807" s="59"/>
      <c r="C807" s="59"/>
      <c r="D807" s="59"/>
      <c r="E807" s="59"/>
      <c r="F807" s="59"/>
    </row>
    <row r="808" ht="12.75" customHeight="1">
      <c r="B808" s="59"/>
      <c r="C808" s="59"/>
      <c r="D808" s="59"/>
      <c r="E808" s="59"/>
      <c r="F808" s="59"/>
    </row>
    <row r="809" ht="12.75" customHeight="1">
      <c r="B809" s="59"/>
      <c r="C809" s="59"/>
      <c r="D809" s="59"/>
      <c r="E809" s="59"/>
      <c r="F809" s="59"/>
    </row>
    <row r="810" ht="12.75" customHeight="1">
      <c r="B810" s="59"/>
      <c r="C810" s="59"/>
      <c r="D810" s="59"/>
      <c r="E810" s="59"/>
      <c r="F810" s="59"/>
    </row>
    <row r="811" ht="12.75" customHeight="1">
      <c r="B811" s="59"/>
      <c r="C811" s="59"/>
      <c r="D811" s="59"/>
      <c r="E811" s="59"/>
      <c r="F811" s="59"/>
    </row>
    <row r="812" ht="12.75" customHeight="1">
      <c r="B812" s="59"/>
      <c r="C812" s="59"/>
      <c r="D812" s="59"/>
      <c r="E812" s="59"/>
      <c r="F812" s="59"/>
    </row>
    <row r="813" ht="12.75" customHeight="1">
      <c r="B813" s="59"/>
      <c r="C813" s="59"/>
      <c r="D813" s="59"/>
      <c r="E813" s="59"/>
      <c r="F813" s="59"/>
    </row>
    <row r="814" ht="12.75" customHeight="1">
      <c r="B814" s="59"/>
      <c r="C814" s="59"/>
      <c r="D814" s="59"/>
      <c r="E814" s="59"/>
      <c r="F814" s="59"/>
    </row>
    <row r="815" ht="12.75" customHeight="1">
      <c r="B815" s="59"/>
      <c r="C815" s="59"/>
      <c r="D815" s="59"/>
      <c r="E815" s="59"/>
      <c r="F815" s="59"/>
    </row>
    <row r="816" ht="12.75" customHeight="1">
      <c r="B816" s="59"/>
      <c r="C816" s="59"/>
      <c r="D816" s="59"/>
      <c r="E816" s="59"/>
      <c r="F816" s="59"/>
    </row>
    <row r="817" ht="12.75" customHeight="1">
      <c r="B817" s="59"/>
      <c r="C817" s="59"/>
      <c r="D817" s="59"/>
      <c r="E817" s="59"/>
      <c r="F817" s="59"/>
    </row>
    <row r="818" ht="12.75" customHeight="1">
      <c r="B818" s="59"/>
      <c r="C818" s="59"/>
      <c r="D818" s="59"/>
      <c r="E818" s="59"/>
      <c r="F818" s="59"/>
    </row>
    <row r="819" ht="12.75" customHeight="1">
      <c r="B819" s="59"/>
      <c r="C819" s="59"/>
      <c r="D819" s="59"/>
      <c r="E819" s="59"/>
      <c r="F819" s="59"/>
    </row>
    <row r="820" ht="12.75" customHeight="1">
      <c r="B820" s="59"/>
      <c r="C820" s="59"/>
      <c r="D820" s="59"/>
      <c r="E820" s="59"/>
      <c r="F820" s="59"/>
    </row>
    <row r="821" ht="12.75" customHeight="1">
      <c r="B821" s="59"/>
      <c r="C821" s="59"/>
      <c r="D821" s="59"/>
      <c r="E821" s="59"/>
      <c r="F821" s="59"/>
    </row>
    <row r="822" ht="12.75" customHeight="1">
      <c r="B822" s="59"/>
      <c r="C822" s="59"/>
      <c r="D822" s="59"/>
      <c r="E822" s="59"/>
      <c r="F822" s="59"/>
    </row>
    <row r="823" ht="12.75" customHeight="1">
      <c r="B823" s="59"/>
      <c r="C823" s="59"/>
      <c r="D823" s="59"/>
      <c r="E823" s="59"/>
      <c r="F823" s="59"/>
    </row>
    <row r="824" ht="12.75" customHeight="1">
      <c r="B824" s="59"/>
      <c r="C824" s="59"/>
      <c r="D824" s="59"/>
      <c r="E824" s="59"/>
      <c r="F824" s="59"/>
    </row>
    <row r="825" ht="12.75" customHeight="1">
      <c r="B825" s="59"/>
      <c r="C825" s="59"/>
      <c r="D825" s="59"/>
      <c r="E825" s="59"/>
      <c r="F825" s="59"/>
    </row>
    <row r="826" ht="12.75" customHeight="1">
      <c r="B826" s="59"/>
      <c r="C826" s="59"/>
      <c r="D826" s="59"/>
      <c r="E826" s="59"/>
      <c r="F826" s="59"/>
    </row>
    <row r="827" ht="12.75" customHeight="1">
      <c r="B827" s="59"/>
      <c r="C827" s="59"/>
      <c r="D827" s="59"/>
      <c r="E827" s="59"/>
      <c r="F827" s="59"/>
    </row>
    <row r="828" ht="12.75" customHeight="1">
      <c r="B828" s="59"/>
      <c r="C828" s="59"/>
      <c r="D828" s="59"/>
      <c r="E828" s="59"/>
      <c r="F828" s="59"/>
    </row>
    <row r="829" ht="12.75" customHeight="1">
      <c r="B829" s="59"/>
      <c r="C829" s="59"/>
      <c r="D829" s="59"/>
      <c r="E829" s="59"/>
      <c r="F829" s="59"/>
    </row>
    <row r="830" ht="12.75" customHeight="1">
      <c r="B830" s="59"/>
      <c r="C830" s="59"/>
      <c r="D830" s="59"/>
      <c r="E830" s="59"/>
      <c r="F830" s="59"/>
    </row>
    <row r="831" ht="12.75" customHeight="1">
      <c r="B831" s="59"/>
      <c r="C831" s="59"/>
      <c r="D831" s="59"/>
      <c r="E831" s="59"/>
      <c r="F831" s="59"/>
    </row>
    <row r="832" ht="12.75" customHeight="1">
      <c r="B832" s="59"/>
      <c r="C832" s="59"/>
      <c r="D832" s="59"/>
      <c r="E832" s="59"/>
      <c r="F832" s="59"/>
    </row>
    <row r="833" ht="12.75" customHeight="1">
      <c r="B833" s="59"/>
      <c r="C833" s="59"/>
      <c r="D833" s="59"/>
      <c r="E833" s="59"/>
      <c r="F833" s="59"/>
    </row>
    <row r="834" ht="12.75" customHeight="1">
      <c r="B834" s="59"/>
      <c r="C834" s="59"/>
      <c r="D834" s="59"/>
      <c r="E834" s="59"/>
      <c r="F834" s="59"/>
    </row>
    <row r="835" ht="12.75" customHeight="1">
      <c r="B835" s="59"/>
      <c r="C835" s="59"/>
      <c r="D835" s="59"/>
      <c r="E835" s="59"/>
      <c r="F835" s="59"/>
    </row>
    <row r="836" ht="12.75" customHeight="1">
      <c r="B836" s="59"/>
      <c r="C836" s="59"/>
      <c r="D836" s="59"/>
      <c r="E836" s="59"/>
      <c r="F836" s="59"/>
    </row>
    <row r="837" ht="12.75" customHeight="1">
      <c r="B837" s="59"/>
      <c r="C837" s="59"/>
      <c r="D837" s="59"/>
      <c r="E837" s="59"/>
      <c r="F837" s="59"/>
    </row>
    <row r="838" ht="12.75" customHeight="1">
      <c r="B838" s="59"/>
      <c r="C838" s="59"/>
      <c r="D838" s="59"/>
      <c r="E838" s="59"/>
      <c r="F838" s="59"/>
    </row>
    <row r="839" ht="12.75" customHeight="1">
      <c r="B839" s="59"/>
      <c r="C839" s="59"/>
      <c r="D839" s="59"/>
      <c r="E839" s="59"/>
      <c r="F839" s="59"/>
    </row>
    <row r="840" ht="12.75" customHeight="1">
      <c r="B840" s="59"/>
      <c r="C840" s="59"/>
      <c r="D840" s="59"/>
      <c r="E840" s="59"/>
      <c r="F840" s="59"/>
    </row>
    <row r="841" ht="12.75" customHeight="1">
      <c r="B841" s="59"/>
      <c r="C841" s="59"/>
      <c r="D841" s="59"/>
      <c r="E841" s="59"/>
      <c r="F841" s="59"/>
    </row>
    <row r="842" ht="12.75" customHeight="1">
      <c r="B842" s="59"/>
      <c r="C842" s="59"/>
      <c r="D842" s="59"/>
      <c r="E842" s="59"/>
      <c r="F842" s="59"/>
    </row>
    <row r="843" ht="12.75" customHeight="1">
      <c r="B843" s="59"/>
      <c r="C843" s="59"/>
      <c r="D843" s="59"/>
      <c r="E843" s="59"/>
      <c r="F843" s="59"/>
    </row>
    <row r="844" ht="12.75" customHeight="1">
      <c r="B844" s="59"/>
      <c r="C844" s="59"/>
      <c r="D844" s="59"/>
      <c r="E844" s="59"/>
      <c r="F844" s="59"/>
    </row>
    <row r="845" ht="12.75" customHeight="1">
      <c r="B845" s="59"/>
      <c r="C845" s="59"/>
      <c r="D845" s="59"/>
      <c r="E845" s="59"/>
      <c r="F845" s="59"/>
    </row>
    <row r="846" ht="12.75" customHeight="1">
      <c r="B846" s="59"/>
      <c r="C846" s="59"/>
      <c r="D846" s="59"/>
      <c r="E846" s="59"/>
      <c r="F846" s="59"/>
    </row>
    <row r="847" ht="12.75" customHeight="1">
      <c r="B847" s="59"/>
      <c r="C847" s="59"/>
      <c r="D847" s="59"/>
      <c r="E847" s="59"/>
      <c r="F847" s="59"/>
    </row>
    <row r="848" ht="12.75" customHeight="1">
      <c r="B848" s="59"/>
      <c r="C848" s="59"/>
      <c r="D848" s="59"/>
      <c r="E848" s="59"/>
      <c r="F848" s="59"/>
    </row>
    <row r="849" ht="12.75" customHeight="1">
      <c r="B849" s="59"/>
      <c r="C849" s="59"/>
      <c r="D849" s="59"/>
      <c r="E849" s="59"/>
      <c r="F849" s="59"/>
    </row>
    <row r="850" ht="12.75" customHeight="1">
      <c r="B850" s="59"/>
      <c r="C850" s="59"/>
      <c r="D850" s="59"/>
      <c r="E850" s="59"/>
      <c r="F850" s="59"/>
    </row>
    <row r="851" ht="12.75" customHeight="1">
      <c r="B851" s="59"/>
      <c r="C851" s="59"/>
      <c r="D851" s="59"/>
      <c r="E851" s="59"/>
      <c r="F851" s="59"/>
    </row>
    <row r="852" ht="12.75" customHeight="1">
      <c r="B852" s="59"/>
      <c r="C852" s="59"/>
      <c r="D852" s="59"/>
      <c r="E852" s="59"/>
      <c r="F852" s="59"/>
    </row>
    <row r="853" ht="12.75" customHeight="1">
      <c r="B853" s="59"/>
      <c r="C853" s="59"/>
      <c r="D853" s="59"/>
      <c r="E853" s="59"/>
      <c r="F853" s="59"/>
    </row>
    <row r="854" ht="12.75" customHeight="1">
      <c r="B854" s="59"/>
      <c r="C854" s="59"/>
      <c r="D854" s="59"/>
      <c r="E854" s="59"/>
      <c r="F854" s="59"/>
    </row>
    <row r="855" ht="12.75" customHeight="1">
      <c r="B855" s="59"/>
      <c r="C855" s="59"/>
      <c r="D855" s="59"/>
      <c r="E855" s="59"/>
      <c r="F855" s="59"/>
    </row>
    <row r="856" ht="12.75" customHeight="1">
      <c r="B856" s="59"/>
      <c r="C856" s="59"/>
      <c r="D856" s="59"/>
      <c r="E856" s="59"/>
      <c r="F856" s="59"/>
    </row>
    <row r="857" ht="12.75" customHeight="1">
      <c r="B857" s="59"/>
      <c r="C857" s="59"/>
      <c r="D857" s="59"/>
      <c r="E857" s="59"/>
      <c r="F857" s="59"/>
    </row>
    <row r="858" ht="12.75" customHeight="1">
      <c r="B858" s="59"/>
      <c r="C858" s="59"/>
      <c r="D858" s="59"/>
      <c r="E858" s="59"/>
      <c r="F858" s="59"/>
    </row>
    <row r="859" ht="12.75" customHeight="1">
      <c r="B859" s="59"/>
      <c r="C859" s="59"/>
      <c r="D859" s="59"/>
      <c r="E859" s="59"/>
      <c r="F859" s="59"/>
    </row>
    <row r="860" ht="12.75" customHeight="1">
      <c r="B860" s="59"/>
      <c r="C860" s="59"/>
      <c r="D860" s="59"/>
      <c r="E860" s="59"/>
      <c r="F860" s="59"/>
    </row>
    <row r="861" ht="12.75" customHeight="1">
      <c r="B861" s="59"/>
      <c r="C861" s="59"/>
      <c r="D861" s="59"/>
      <c r="E861" s="59"/>
      <c r="F861" s="59"/>
    </row>
    <row r="862" ht="12.75" customHeight="1">
      <c r="B862" s="59"/>
      <c r="C862" s="59"/>
      <c r="D862" s="59"/>
      <c r="E862" s="59"/>
      <c r="F862" s="59"/>
    </row>
    <row r="863" ht="12.75" customHeight="1">
      <c r="B863" s="59"/>
      <c r="C863" s="59"/>
      <c r="D863" s="59"/>
      <c r="E863" s="59"/>
      <c r="F863" s="59"/>
    </row>
    <row r="864" ht="12.75" customHeight="1">
      <c r="B864" s="59"/>
      <c r="C864" s="59"/>
      <c r="D864" s="59"/>
      <c r="E864" s="59"/>
      <c r="F864" s="59"/>
    </row>
    <row r="865" ht="12.75" customHeight="1">
      <c r="B865" s="59"/>
      <c r="C865" s="59"/>
      <c r="D865" s="59"/>
      <c r="E865" s="59"/>
      <c r="F865" s="59"/>
    </row>
    <row r="866" ht="12.75" customHeight="1">
      <c r="B866" s="59"/>
      <c r="C866" s="59"/>
      <c r="D866" s="59"/>
      <c r="E866" s="59"/>
      <c r="F866" s="59"/>
    </row>
    <row r="867" ht="12.75" customHeight="1">
      <c r="B867" s="59"/>
      <c r="C867" s="59"/>
      <c r="D867" s="59"/>
      <c r="E867" s="59"/>
      <c r="F867" s="59"/>
    </row>
    <row r="868" ht="12.75" customHeight="1">
      <c r="B868" s="59"/>
      <c r="C868" s="59"/>
      <c r="D868" s="59"/>
      <c r="E868" s="59"/>
      <c r="F868" s="59"/>
    </row>
    <row r="869" ht="12.75" customHeight="1">
      <c r="B869" s="59"/>
      <c r="C869" s="59"/>
      <c r="D869" s="59"/>
      <c r="E869" s="59"/>
      <c r="F869" s="59"/>
    </row>
    <row r="870" ht="12.75" customHeight="1">
      <c r="B870" s="59"/>
      <c r="C870" s="59"/>
      <c r="D870" s="59"/>
      <c r="E870" s="59"/>
      <c r="F870" s="59"/>
    </row>
    <row r="871" ht="12.75" customHeight="1">
      <c r="B871" s="59"/>
      <c r="C871" s="59"/>
      <c r="D871" s="59"/>
      <c r="E871" s="59"/>
      <c r="F871" s="59"/>
    </row>
    <row r="872" ht="12.75" customHeight="1">
      <c r="B872" s="59"/>
      <c r="C872" s="59"/>
      <c r="D872" s="59"/>
      <c r="E872" s="59"/>
      <c r="F872" s="59"/>
    </row>
    <row r="873" ht="12.75" customHeight="1">
      <c r="B873" s="59"/>
      <c r="C873" s="59"/>
      <c r="D873" s="59"/>
      <c r="E873" s="59"/>
      <c r="F873" s="59"/>
    </row>
    <row r="874" ht="12.75" customHeight="1">
      <c r="B874" s="59"/>
      <c r="C874" s="59"/>
      <c r="D874" s="59"/>
      <c r="E874" s="59"/>
      <c r="F874" s="59"/>
    </row>
    <row r="875" ht="12.75" customHeight="1">
      <c r="B875" s="59"/>
      <c r="C875" s="59"/>
      <c r="D875" s="59"/>
      <c r="E875" s="59"/>
      <c r="F875" s="59"/>
    </row>
    <row r="876" ht="12.75" customHeight="1">
      <c r="B876" s="59"/>
      <c r="C876" s="59"/>
      <c r="D876" s="59"/>
      <c r="E876" s="59"/>
      <c r="F876" s="59"/>
    </row>
    <row r="877" ht="12.75" customHeight="1">
      <c r="B877" s="59"/>
      <c r="C877" s="59"/>
      <c r="D877" s="59"/>
      <c r="E877" s="59"/>
      <c r="F877" s="59"/>
    </row>
    <row r="878" ht="12.75" customHeight="1">
      <c r="B878" s="59"/>
      <c r="C878" s="59"/>
      <c r="D878" s="59"/>
      <c r="E878" s="59"/>
      <c r="F878" s="59"/>
    </row>
    <row r="879" ht="12.75" customHeight="1">
      <c r="B879" s="59"/>
      <c r="C879" s="59"/>
      <c r="D879" s="59"/>
      <c r="E879" s="59"/>
      <c r="F879" s="59"/>
    </row>
    <row r="880" ht="12.75" customHeight="1">
      <c r="B880" s="59"/>
      <c r="C880" s="59"/>
      <c r="D880" s="59"/>
      <c r="E880" s="59"/>
      <c r="F880" s="59"/>
    </row>
    <row r="881" ht="12.75" customHeight="1">
      <c r="B881" s="59"/>
      <c r="C881" s="59"/>
      <c r="D881" s="59"/>
      <c r="E881" s="59"/>
      <c r="F881" s="59"/>
    </row>
    <row r="882" ht="12.75" customHeight="1">
      <c r="B882" s="59"/>
      <c r="C882" s="59"/>
      <c r="D882" s="59"/>
      <c r="E882" s="59"/>
      <c r="F882" s="59"/>
    </row>
    <row r="883" ht="12.75" customHeight="1">
      <c r="B883" s="59"/>
      <c r="C883" s="59"/>
      <c r="D883" s="59"/>
      <c r="E883" s="59"/>
      <c r="F883" s="59"/>
    </row>
    <row r="884" ht="12.75" customHeight="1">
      <c r="B884" s="59"/>
      <c r="C884" s="59"/>
      <c r="D884" s="59"/>
      <c r="E884" s="59"/>
      <c r="F884" s="59"/>
    </row>
    <row r="885" ht="12.75" customHeight="1">
      <c r="B885" s="59"/>
      <c r="C885" s="59"/>
      <c r="D885" s="59"/>
      <c r="E885" s="59"/>
      <c r="F885" s="59"/>
    </row>
    <row r="886" ht="12.75" customHeight="1">
      <c r="B886" s="59"/>
      <c r="C886" s="59"/>
      <c r="D886" s="59"/>
      <c r="E886" s="59"/>
      <c r="F886" s="59"/>
    </row>
    <row r="887" ht="12.75" customHeight="1">
      <c r="B887" s="59"/>
      <c r="C887" s="59"/>
      <c r="D887" s="59"/>
      <c r="E887" s="59"/>
      <c r="F887" s="59"/>
    </row>
    <row r="888" ht="12.75" customHeight="1">
      <c r="B888" s="59"/>
      <c r="C888" s="59"/>
      <c r="D888" s="59"/>
      <c r="E888" s="59"/>
      <c r="F888" s="59"/>
    </row>
    <row r="889" ht="12.75" customHeight="1">
      <c r="B889" s="59"/>
      <c r="C889" s="59"/>
      <c r="D889" s="59"/>
      <c r="E889" s="59"/>
      <c r="F889" s="59"/>
    </row>
    <row r="890" ht="12.75" customHeight="1">
      <c r="B890" s="59"/>
      <c r="C890" s="59"/>
      <c r="D890" s="59"/>
      <c r="E890" s="59"/>
      <c r="F890" s="59"/>
    </row>
    <row r="891" ht="12.75" customHeight="1">
      <c r="B891" s="59"/>
      <c r="C891" s="59"/>
      <c r="D891" s="59"/>
      <c r="E891" s="59"/>
      <c r="F891" s="59"/>
    </row>
    <row r="892" ht="12.75" customHeight="1">
      <c r="B892" s="59"/>
      <c r="C892" s="59"/>
      <c r="D892" s="59"/>
      <c r="E892" s="59"/>
      <c r="F892" s="59"/>
    </row>
    <row r="893" ht="12.75" customHeight="1">
      <c r="B893" s="59"/>
      <c r="C893" s="59"/>
      <c r="D893" s="59"/>
      <c r="E893" s="59"/>
      <c r="F893" s="59"/>
    </row>
    <row r="894" ht="12.75" customHeight="1">
      <c r="B894" s="59"/>
      <c r="C894" s="59"/>
      <c r="D894" s="59"/>
      <c r="E894" s="59"/>
      <c r="F894" s="59"/>
    </row>
    <row r="895" ht="12.75" customHeight="1">
      <c r="B895" s="59"/>
      <c r="C895" s="59"/>
      <c r="D895" s="59"/>
      <c r="E895" s="59"/>
      <c r="F895" s="59"/>
    </row>
    <row r="896" ht="12.75" customHeight="1">
      <c r="B896" s="59"/>
      <c r="C896" s="59"/>
      <c r="D896" s="59"/>
      <c r="E896" s="59"/>
      <c r="F896" s="59"/>
    </row>
    <row r="897" ht="12.75" customHeight="1">
      <c r="B897" s="59"/>
      <c r="C897" s="59"/>
      <c r="D897" s="59"/>
      <c r="E897" s="59"/>
      <c r="F897" s="59"/>
    </row>
    <row r="898" ht="12.75" customHeight="1">
      <c r="B898" s="59"/>
      <c r="C898" s="59"/>
      <c r="D898" s="59"/>
      <c r="E898" s="59"/>
      <c r="F898" s="59"/>
    </row>
    <row r="899" ht="12.75" customHeight="1">
      <c r="B899" s="59"/>
      <c r="C899" s="59"/>
      <c r="D899" s="59"/>
      <c r="E899" s="59"/>
      <c r="F899" s="59"/>
    </row>
    <row r="900" ht="12.75" customHeight="1">
      <c r="B900" s="59"/>
      <c r="C900" s="59"/>
      <c r="D900" s="59"/>
      <c r="E900" s="59"/>
      <c r="F900" s="59"/>
    </row>
    <row r="901" ht="12.75" customHeight="1">
      <c r="B901" s="59"/>
      <c r="C901" s="59"/>
      <c r="D901" s="59"/>
      <c r="E901" s="59"/>
      <c r="F901" s="59"/>
    </row>
    <row r="902" ht="12.75" customHeight="1">
      <c r="B902" s="59"/>
      <c r="C902" s="59"/>
      <c r="D902" s="59"/>
      <c r="E902" s="59"/>
      <c r="F902" s="59"/>
    </row>
    <row r="903" ht="12.75" customHeight="1">
      <c r="B903" s="59"/>
      <c r="C903" s="59"/>
      <c r="D903" s="59"/>
      <c r="E903" s="59"/>
      <c r="F903" s="59"/>
    </row>
    <row r="904" ht="12.75" customHeight="1">
      <c r="B904" s="59"/>
      <c r="C904" s="59"/>
      <c r="D904" s="59"/>
      <c r="E904" s="59"/>
      <c r="F904" s="59"/>
    </row>
    <row r="905" ht="12.75" customHeight="1">
      <c r="B905" s="59"/>
      <c r="C905" s="59"/>
      <c r="D905" s="59"/>
      <c r="E905" s="59"/>
      <c r="F905" s="59"/>
    </row>
    <row r="906" ht="12.75" customHeight="1">
      <c r="B906" s="59"/>
      <c r="C906" s="59"/>
      <c r="D906" s="59"/>
      <c r="E906" s="59"/>
      <c r="F906" s="59"/>
    </row>
    <row r="907" ht="12.75" customHeight="1">
      <c r="B907" s="59"/>
      <c r="C907" s="59"/>
      <c r="D907" s="59"/>
      <c r="E907" s="59"/>
      <c r="F907" s="59"/>
    </row>
    <row r="908" ht="12.75" customHeight="1">
      <c r="B908" s="59"/>
      <c r="C908" s="59"/>
      <c r="D908" s="59"/>
      <c r="E908" s="59"/>
      <c r="F908" s="59"/>
    </row>
    <row r="909" ht="12.75" customHeight="1">
      <c r="B909" s="59"/>
      <c r="C909" s="59"/>
      <c r="D909" s="59"/>
      <c r="E909" s="59"/>
      <c r="F909" s="59"/>
    </row>
    <row r="910" ht="12.75" customHeight="1">
      <c r="B910" s="59"/>
      <c r="C910" s="59"/>
      <c r="D910" s="59"/>
      <c r="E910" s="59"/>
      <c r="F910" s="59"/>
    </row>
    <row r="911" ht="12.75" customHeight="1">
      <c r="B911" s="59"/>
      <c r="C911" s="59"/>
      <c r="D911" s="59"/>
      <c r="E911" s="59"/>
      <c r="F911" s="59"/>
    </row>
    <row r="912" ht="12.75" customHeight="1">
      <c r="B912" s="59"/>
      <c r="C912" s="59"/>
      <c r="D912" s="59"/>
      <c r="E912" s="59"/>
      <c r="F912" s="59"/>
    </row>
    <row r="913" ht="12.75" customHeight="1">
      <c r="B913" s="59"/>
      <c r="C913" s="59"/>
      <c r="D913" s="59"/>
      <c r="E913" s="59"/>
      <c r="F913" s="59"/>
    </row>
    <row r="914" ht="12.75" customHeight="1">
      <c r="B914" s="59"/>
      <c r="C914" s="59"/>
      <c r="D914" s="59"/>
      <c r="E914" s="59"/>
      <c r="F914" s="59"/>
    </row>
    <row r="915" ht="12.75" customHeight="1">
      <c r="B915" s="59"/>
      <c r="C915" s="59"/>
      <c r="D915" s="59"/>
      <c r="E915" s="59"/>
      <c r="F915" s="59"/>
    </row>
    <row r="916" ht="12.75" customHeight="1">
      <c r="B916" s="59"/>
      <c r="C916" s="59"/>
      <c r="D916" s="59"/>
      <c r="E916" s="59"/>
      <c r="F916" s="59"/>
    </row>
    <row r="917" ht="12.75" customHeight="1">
      <c r="B917" s="59"/>
      <c r="C917" s="59"/>
      <c r="D917" s="59"/>
      <c r="E917" s="59"/>
      <c r="F917" s="59"/>
    </row>
    <row r="918" ht="12.75" customHeight="1">
      <c r="B918" s="59"/>
      <c r="C918" s="59"/>
      <c r="D918" s="59"/>
      <c r="E918" s="59"/>
      <c r="F918" s="59"/>
    </row>
    <row r="919" ht="12.75" customHeight="1">
      <c r="B919" s="59"/>
      <c r="C919" s="59"/>
      <c r="D919" s="59"/>
      <c r="E919" s="59"/>
      <c r="F919" s="59"/>
    </row>
    <row r="920" ht="12.75" customHeight="1">
      <c r="B920" s="59"/>
      <c r="C920" s="59"/>
      <c r="D920" s="59"/>
      <c r="E920" s="59"/>
      <c r="F920" s="59"/>
    </row>
    <row r="921" ht="12.75" customHeight="1">
      <c r="B921" s="59"/>
      <c r="C921" s="59"/>
      <c r="D921" s="59"/>
      <c r="E921" s="59"/>
      <c r="F921" s="59"/>
    </row>
    <row r="922" ht="12.75" customHeight="1">
      <c r="B922" s="59"/>
      <c r="C922" s="59"/>
      <c r="D922" s="59"/>
      <c r="E922" s="59"/>
      <c r="F922" s="59"/>
    </row>
    <row r="923" ht="12.75" customHeight="1">
      <c r="B923" s="59"/>
      <c r="C923" s="59"/>
      <c r="D923" s="59"/>
      <c r="E923" s="59"/>
      <c r="F923" s="59"/>
    </row>
    <row r="924" ht="12.75" customHeight="1">
      <c r="B924" s="59"/>
      <c r="C924" s="59"/>
      <c r="D924" s="59"/>
      <c r="E924" s="59"/>
      <c r="F924" s="59"/>
    </row>
    <row r="925" ht="12.75" customHeight="1">
      <c r="B925" s="59"/>
      <c r="C925" s="59"/>
      <c r="D925" s="59"/>
      <c r="E925" s="59"/>
      <c r="F925" s="59"/>
    </row>
    <row r="926" ht="12.75" customHeight="1">
      <c r="B926" s="59"/>
      <c r="C926" s="59"/>
      <c r="D926" s="59"/>
      <c r="E926" s="59"/>
      <c r="F926" s="59"/>
    </row>
    <row r="927" ht="12.75" customHeight="1">
      <c r="B927" s="59"/>
      <c r="C927" s="59"/>
      <c r="D927" s="59"/>
      <c r="E927" s="59"/>
      <c r="F927" s="59"/>
    </row>
    <row r="928" ht="12.75" customHeight="1">
      <c r="B928" s="59"/>
      <c r="C928" s="59"/>
      <c r="D928" s="59"/>
      <c r="E928" s="59"/>
      <c r="F928" s="59"/>
    </row>
    <row r="929" ht="12.75" customHeight="1">
      <c r="B929" s="59"/>
      <c r="C929" s="59"/>
      <c r="D929" s="59"/>
      <c r="E929" s="59"/>
      <c r="F929" s="59"/>
    </row>
    <row r="930" ht="12.75" customHeight="1">
      <c r="B930" s="59"/>
      <c r="C930" s="59"/>
      <c r="D930" s="59"/>
      <c r="E930" s="59"/>
      <c r="F930" s="59"/>
    </row>
    <row r="931" ht="12.75" customHeight="1">
      <c r="B931" s="59"/>
      <c r="C931" s="59"/>
      <c r="D931" s="59"/>
      <c r="E931" s="59"/>
      <c r="F931" s="59"/>
    </row>
    <row r="932" ht="12.75" customHeight="1">
      <c r="B932" s="59"/>
      <c r="C932" s="59"/>
      <c r="D932" s="59"/>
      <c r="E932" s="59"/>
      <c r="F932" s="59"/>
    </row>
    <row r="933" ht="12.75" customHeight="1">
      <c r="B933" s="59"/>
      <c r="C933" s="59"/>
      <c r="D933" s="59"/>
      <c r="E933" s="59"/>
      <c r="F933" s="59"/>
    </row>
    <row r="934" ht="12.75" customHeight="1">
      <c r="B934" s="59"/>
      <c r="C934" s="59"/>
      <c r="D934" s="59"/>
      <c r="E934" s="59"/>
      <c r="F934" s="59"/>
    </row>
    <row r="935" ht="12.75" customHeight="1">
      <c r="B935" s="59"/>
      <c r="C935" s="59"/>
      <c r="D935" s="59"/>
      <c r="E935" s="59"/>
      <c r="F935" s="59"/>
    </row>
    <row r="936" ht="12.75" customHeight="1">
      <c r="B936" s="59"/>
      <c r="C936" s="59"/>
      <c r="D936" s="59"/>
      <c r="E936" s="59"/>
      <c r="F936" s="59"/>
    </row>
    <row r="937" ht="12.75" customHeight="1">
      <c r="B937" s="59"/>
      <c r="C937" s="59"/>
      <c r="D937" s="59"/>
      <c r="E937" s="59"/>
      <c r="F937" s="59"/>
    </row>
    <row r="938" ht="12.75" customHeight="1">
      <c r="B938" s="59"/>
      <c r="C938" s="59"/>
      <c r="D938" s="59"/>
      <c r="E938" s="59"/>
      <c r="F938" s="59"/>
    </row>
    <row r="939" ht="12.75" customHeight="1">
      <c r="B939" s="59"/>
      <c r="C939" s="59"/>
      <c r="D939" s="59"/>
      <c r="E939" s="59"/>
      <c r="F939" s="59"/>
    </row>
    <row r="940" ht="12.75" customHeight="1">
      <c r="B940" s="59"/>
      <c r="C940" s="59"/>
      <c r="D940" s="59"/>
      <c r="E940" s="59"/>
      <c r="F940" s="59"/>
    </row>
    <row r="941" ht="12.75" customHeight="1">
      <c r="B941" s="59"/>
      <c r="C941" s="59"/>
      <c r="D941" s="59"/>
      <c r="E941" s="59"/>
      <c r="F941" s="59"/>
    </row>
    <row r="942" ht="12.75" customHeight="1">
      <c r="B942" s="59"/>
      <c r="C942" s="59"/>
      <c r="D942" s="59"/>
      <c r="E942" s="59"/>
      <c r="F942" s="59"/>
    </row>
    <row r="943" ht="12.75" customHeight="1">
      <c r="B943" s="59"/>
      <c r="C943" s="59"/>
      <c r="D943" s="59"/>
      <c r="E943" s="59"/>
      <c r="F943" s="59"/>
    </row>
    <row r="944" ht="12.75" customHeight="1">
      <c r="B944" s="59"/>
      <c r="C944" s="59"/>
      <c r="D944" s="59"/>
      <c r="E944" s="59"/>
      <c r="F944" s="59"/>
    </row>
    <row r="945" ht="12.75" customHeight="1">
      <c r="B945" s="59"/>
      <c r="C945" s="59"/>
      <c r="D945" s="59"/>
      <c r="E945" s="59"/>
      <c r="F945" s="59"/>
    </row>
    <row r="946" ht="12.75" customHeight="1">
      <c r="B946" s="59"/>
      <c r="C946" s="59"/>
      <c r="D946" s="59"/>
      <c r="E946" s="59"/>
      <c r="F946" s="59"/>
    </row>
    <row r="947" ht="12.75" customHeight="1">
      <c r="B947" s="59"/>
      <c r="C947" s="59"/>
      <c r="D947" s="59"/>
      <c r="E947" s="59"/>
      <c r="F947" s="59"/>
    </row>
    <row r="948" ht="12.75" customHeight="1">
      <c r="B948" s="59"/>
      <c r="C948" s="59"/>
      <c r="D948" s="59"/>
      <c r="E948" s="59"/>
      <c r="F948" s="59"/>
    </row>
    <row r="949" ht="12.75" customHeight="1">
      <c r="B949" s="59"/>
      <c r="C949" s="59"/>
      <c r="D949" s="59"/>
      <c r="E949" s="59"/>
      <c r="F949" s="59"/>
    </row>
    <row r="950" ht="12.75" customHeight="1">
      <c r="B950" s="59"/>
      <c r="C950" s="59"/>
      <c r="D950" s="59"/>
      <c r="E950" s="59"/>
      <c r="F950" s="59"/>
    </row>
    <row r="951" ht="12.75" customHeight="1">
      <c r="B951" s="59"/>
      <c r="C951" s="59"/>
      <c r="D951" s="59"/>
      <c r="E951" s="59"/>
      <c r="F951" s="59"/>
    </row>
    <row r="952" ht="12.75" customHeight="1">
      <c r="B952" s="59"/>
      <c r="C952" s="59"/>
      <c r="D952" s="59"/>
      <c r="E952" s="59"/>
      <c r="F952" s="59"/>
    </row>
    <row r="953" ht="12.75" customHeight="1">
      <c r="B953" s="59"/>
      <c r="C953" s="59"/>
      <c r="D953" s="59"/>
      <c r="E953" s="59"/>
      <c r="F953" s="59"/>
    </row>
    <row r="954" ht="12.75" customHeight="1">
      <c r="B954" s="59"/>
      <c r="C954" s="59"/>
      <c r="D954" s="59"/>
      <c r="E954" s="59"/>
      <c r="F954" s="59"/>
    </row>
    <row r="955" ht="12.75" customHeight="1">
      <c r="B955" s="59"/>
      <c r="C955" s="59"/>
      <c r="D955" s="59"/>
      <c r="E955" s="59"/>
      <c r="F955" s="59"/>
    </row>
    <row r="956" ht="12.75" customHeight="1">
      <c r="B956" s="59"/>
      <c r="C956" s="59"/>
      <c r="D956" s="59"/>
      <c r="E956" s="59"/>
      <c r="F956" s="59"/>
    </row>
    <row r="957" ht="12.75" customHeight="1">
      <c r="B957" s="59"/>
      <c r="C957" s="59"/>
      <c r="D957" s="59"/>
      <c r="E957" s="59"/>
      <c r="F957" s="59"/>
    </row>
    <row r="958" ht="12.75" customHeight="1">
      <c r="B958" s="59"/>
      <c r="C958" s="59"/>
      <c r="D958" s="59"/>
      <c r="E958" s="59"/>
      <c r="F958" s="59"/>
    </row>
    <row r="959" ht="12.75" customHeight="1">
      <c r="B959" s="59"/>
      <c r="C959" s="59"/>
      <c r="D959" s="59"/>
      <c r="E959" s="59"/>
      <c r="F959" s="59"/>
    </row>
    <row r="960" ht="12.75" customHeight="1">
      <c r="B960" s="59"/>
      <c r="C960" s="59"/>
      <c r="D960" s="59"/>
      <c r="E960" s="59"/>
      <c r="F960" s="59"/>
    </row>
    <row r="961" ht="12.75" customHeight="1">
      <c r="B961" s="59"/>
      <c r="C961" s="59"/>
      <c r="D961" s="59"/>
      <c r="E961" s="59"/>
      <c r="F961" s="59"/>
    </row>
    <row r="962" ht="12.75" customHeight="1">
      <c r="B962" s="59"/>
      <c r="C962" s="59"/>
      <c r="D962" s="59"/>
      <c r="E962" s="59"/>
      <c r="F962" s="59"/>
    </row>
    <row r="963" ht="12.75" customHeight="1">
      <c r="B963" s="59"/>
      <c r="C963" s="59"/>
      <c r="D963" s="59"/>
      <c r="E963" s="59"/>
      <c r="F963" s="59"/>
    </row>
    <row r="964" ht="12.75" customHeight="1">
      <c r="B964" s="59"/>
      <c r="C964" s="59"/>
      <c r="D964" s="59"/>
      <c r="E964" s="59"/>
      <c r="F964" s="59"/>
    </row>
    <row r="965" ht="12.75" customHeight="1">
      <c r="B965" s="59"/>
      <c r="C965" s="59"/>
      <c r="D965" s="59"/>
      <c r="E965" s="59"/>
      <c r="F965" s="59"/>
    </row>
    <row r="966" ht="12.75" customHeight="1">
      <c r="B966" s="59"/>
      <c r="C966" s="59"/>
      <c r="D966" s="59"/>
      <c r="E966" s="59"/>
      <c r="F966" s="59"/>
    </row>
    <row r="967" ht="12.75" customHeight="1">
      <c r="B967" s="59"/>
      <c r="C967" s="59"/>
      <c r="D967" s="59"/>
      <c r="E967" s="59"/>
      <c r="F967" s="59"/>
    </row>
    <row r="968" ht="12.75" customHeight="1">
      <c r="B968" s="59"/>
      <c r="C968" s="59"/>
      <c r="D968" s="59"/>
      <c r="E968" s="59"/>
      <c r="F968" s="59"/>
    </row>
    <row r="969" ht="12.75" customHeight="1">
      <c r="B969" s="59"/>
      <c r="C969" s="59"/>
      <c r="D969" s="59"/>
      <c r="E969" s="59"/>
      <c r="F969" s="59"/>
    </row>
    <row r="970" ht="12.75" customHeight="1">
      <c r="B970" s="59"/>
      <c r="C970" s="59"/>
      <c r="D970" s="59"/>
      <c r="E970" s="59"/>
      <c r="F970" s="59"/>
    </row>
    <row r="971" ht="12.75" customHeight="1">
      <c r="B971" s="59"/>
      <c r="C971" s="59"/>
      <c r="D971" s="59"/>
      <c r="E971" s="59"/>
      <c r="F971" s="59"/>
    </row>
    <row r="972" ht="12.75" customHeight="1">
      <c r="B972" s="59"/>
      <c r="C972" s="59"/>
      <c r="D972" s="59"/>
      <c r="E972" s="59"/>
      <c r="F972" s="59"/>
    </row>
    <row r="973" ht="12.75" customHeight="1">
      <c r="B973" s="59"/>
      <c r="C973" s="59"/>
      <c r="D973" s="59"/>
      <c r="E973" s="59"/>
      <c r="F973" s="59"/>
    </row>
    <row r="974" ht="12.75" customHeight="1">
      <c r="B974" s="59"/>
      <c r="C974" s="59"/>
      <c r="D974" s="59"/>
      <c r="E974" s="59"/>
      <c r="F974" s="59"/>
    </row>
    <row r="975" ht="12.75" customHeight="1">
      <c r="B975" s="59"/>
      <c r="C975" s="59"/>
      <c r="D975" s="59"/>
      <c r="E975" s="59"/>
      <c r="F975" s="59"/>
    </row>
    <row r="976" ht="12.75" customHeight="1">
      <c r="B976" s="59"/>
      <c r="C976" s="59"/>
      <c r="D976" s="59"/>
      <c r="E976" s="59"/>
      <c r="F976" s="59"/>
    </row>
    <row r="977" ht="12.75" customHeight="1">
      <c r="B977" s="59"/>
      <c r="C977" s="59"/>
      <c r="D977" s="59"/>
      <c r="E977" s="59"/>
      <c r="F977" s="59"/>
    </row>
    <row r="978" ht="12.75" customHeight="1">
      <c r="B978" s="59"/>
      <c r="C978" s="59"/>
      <c r="D978" s="59"/>
      <c r="E978" s="59"/>
      <c r="F978" s="59"/>
    </row>
    <row r="979" ht="12.75" customHeight="1">
      <c r="B979" s="59"/>
      <c r="C979" s="59"/>
      <c r="D979" s="59"/>
      <c r="E979" s="59"/>
      <c r="F979" s="59"/>
    </row>
    <row r="980" ht="12.75" customHeight="1">
      <c r="B980" s="59"/>
      <c r="C980" s="59"/>
      <c r="D980" s="59"/>
      <c r="E980" s="59"/>
      <c r="F980" s="59"/>
    </row>
    <row r="981" ht="12.75" customHeight="1">
      <c r="B981" s="59"/>
      <c r="C981" s="59"/>
      <c r="D981" s="59"/>
      <c r="E981" s="59"/>
      <c r="F981" s="59"/>
    </row>
    <row r="982" ht="12.75" customHeight="1">
      <c r="B982" s="59"/>
      <c r="C982" s="59"/>
      <c r="D982" s="59"/>
      <c r="E982" s="59"/>
      <c r="F982" s="59"/>
    </row>
    <row r="983" ht="12.75" customHeight="1">
      <c r="B983" s="59"/>
      <c r="C983" s="59"/>
      <c r="D983" s="59"/>
      <c r="E983" s="59"/>
      <c r="F983" s="59"/>
    </row>
    <row r="984" ht="12.75" customHeight="1">
      <c r="B984" s="59"/>
      <c r="C984" s="59"/>
      <c r="D984" s="59"/>
      <c r="E984" s="59"/>
      <c r="F984" s="59"/>
    </row>
    <row r="985" ht="12.75" customHeight="1">
      <c r="B985" s="59"/>
      <c r="C985" s="59"/>
      <c r="D985" s="59"/>
      <c r="E985" s="59"/>
      <c r="F985" s="59"/>
    </row>
    <row r="986" ht="12.75" customHeight="1">
      <c r="B986" s="59"/>
      <c r="C986" s="59"/>
      <c r="D986" s="59"/>
      <c r="E986" s="59"/>
      <c r="F986" s="59"/>
    </row>
    <row r="987" ht="12.75" customHeight="1">
      <c r="B987" s="59"/>
      <c r="C987" s="59"/>
      <c r="D987" s="59"/>
      <c r="E987" s="59"/>
      <c r="F987" s="59"/>
    </row>
    <row r="988" ht="12.75" customHeight="1">
      <c r="B988" s="59"/>
      <c r="C988" s="59"/>
      <c r="D988" s="59"/>
      <c r="E988" s="59"/>
      <c r="F988" s="59"/>
    </row>
    <row r="989" ht="12.75" customHeight="1">
      <c r="B989" s="59"/>
      <c r="C989" s="59"/>
      <c r="D989" s="59"/>
      <c r="E989" s="59"/>
      <c r="F989" s="59"/>
    </row>
    <row r="990" ht="12.75" customHeight="1">
      <c r="B990" s="59"/>
      <c r="C990" s="59"/>
      <c r="D990" s="59"/>
      <c r="E990" s="59"/>
      <c r="F990" s="59"/>
    </row>
    <row r="991" ht="12.75" customHeight="1">
      <c r="B991" s="59"/>
      <c r="C991" s="59"/>
      <c r="D991" s="59"/>
      <c r="E991" s="59"/>
      <c r="F991" s="59"/>
    </row>
    <row r="992" ht="12.75" customHeight="1">
      <c r="B992" s="59"/>
      <c r="C992" s="59"/>
      <c r="D992" s="59"/>
      <c r="E992" s="59"/>
      <c r="F992" s="59"/>
    </row>
    <row r="993" ht="12.75" customHeight="1">
      <c r="B993" s="59"/>
      <c r="C993" s="59"/>
      <c r="D993" s="59"/>
      <c r="E993" s="59"/>
      <c r="F993" s="59"/>
    </row>
    <row r="994" ht="12.75" customHeight="1">
      <c r="B994" s="59"/>
      <c r="C994" s="59"/>
      <c r="D994" s="59"/>
      <c r="E994" s="59"/>
      <c r="F994" s="59"/>
    </row>
    <row r="995" ht="12.75" customHeight="1">
      <c r="B995" s="59"/>
      <c r="C995" s="59"/>
      <c r="D995" s="59"/>
      <c r="E995" s="59"/>
      <c r="F995" s="59"/>
    </row>
    <row r="996" ht="12.75" customHeight="1">
      <c r="B996" s="59"/>
      <c r="C996" s="59"/>
      <c r="D996" s="59"/>
      <c r="E996" s="59"/>
      <c r="F996" s="59"/>
    </row>
    <row r="997" ht="12.75" customHeight="1">
      <c r="B997" s="59"/>
      <c r="C997" s="59"/>
      <c r="D997" s="59"/>
      <c r="E997" s="59"/>
      <c r="F997" s="59"/>
    </row>
    <row r="998" ht="12.75" customHeight="1">
      <c r="B998" s="59"/>
      <c r="C998" s="59"/>
      <c r="D998" s="59"/>
      <c r="E998" s="59"/>
      <c r="F998" s="59"/>
    </row>
    <row r="999" ht="12.75" customHeight="1">
      <c r="B999" s="59"/>
      <c r="C999" s="59"/>
      <c r="D999" s="59"/>
      <c r="E999" s="59"/>
      <c r="F999" s="59"/>
    </row>
    <row r="1000" ht="12.75" customHeight="1"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38"/>
    <col customWidth="1" min="3" max="3" width="13.75"/>
    <col customWidth="1" min="4" max="6" width="11.38"/>
    <col customWidth="1" min="7" max="26" width="10.63"/>
  </cols>
  <sheetData>
    <row r="1" ht="12.75" customHeight="1">
      <c r="A1" s="25">
        <v>3.0</v>
      </c>
      <c r="B1" s="59">
        <f t="shared" ref="B1:B31" si="1">D1-C1</f>
        <v>35294</v>
      </c>
      <c r="C1" s="59">
        <f>3832+1597+1277</f>
        <v>6706</v>
      </c>
      <c r="D1" s="59">
        <f>24000+10000+8000</f>
        <v>42000</v>
      </c>
      <c r="E1" s="59">
        <f t="shared" ref="E1:E31" si="2">D1*2.3681%</f>
        <v>994.602</v>
      </c>
      <c r="F1" s="59">
        <f t="shared" ref="F1:F31" si="3">D1-E1</f>
        <v>41005.398</v>
      </c>
    </row>
    <row r="2" ht="12.75" customHeight="1">
      <c r="A2" s="25">
        <v>1.0</v>
      </c>
      <c r="B2" s="59">
        <f t="shared" si="1"/>
        <v>13235</v>
      </c>
      <c r="C2" s="59">
        <v>2515.0</v>
      </c>
      <c r="D2" s="59">
        <v>15750.0</v>
      </c>
      <c r="E2" s="59">
        <f t="shared" si="2"/>
        <v>372.97575</v>
      </c>
      <c r="F2" s="59">
        <f t="shared" si="3"/>
        <v>15377.02425</v>
      </c>
    </row>
    <row r="3" ht="12.75" customHeight="1">
      <c r="A3" s="25">
        <v>4.0</v>
      </c>
      <c r="B3" s="59">
        <f t="shared" si="1"/>
        <v>37394</v>
      </c>
      <c r="C3" s="59">
        <f>639+1948+2124+2395</f>
        <v>7106</v>
      </c>
      <c r="D3" s="59">
        <f>4000+12200+13300+15000</f>
        <v>44500</v>
      </c>
      <c r="E3" s="59">
        <f t="shared" si="2"/>
        <v>1053.8045</v>
      </c>
      <c r="F3" s="59">
        <f t="shared" si="3"/>
        <v>43446.1955</v>
      </c>
      <c r="G3" s="41" t="s">
        <v>3181</v>
      </c>
    </row>
    <row r="4" ht="12.75" customHeight="1">
      <c r="A4" s="25">
        <v>5.0</v>
      </c>
      <c r="B4" s="59">
        <f t="shared" si="1"/>
        <v>22899</v>
      </c>
      <c r="C4" s="59">
        <f>511+1429+846+950+615</f>
        <v>4351</v>
      </c>
      <c r="D4" s="59">
        <f>3200+8950+5300+5950+3850</f>
        <v>27250</v>
      </c>
      <c r="E4" s="59">
        <f t="shared" si="2"/>
        <v>645.30725</v>
      </c>
      <c r="F4" s="59">
        <f t="shared" si="3"/>
        <v>26604.69275</v>
      </c>
    </row>
    <row r="5" ht="12.75" customHeight="1">
      <c r="A5" s="25">
        <v>5.0</v>
      </c>
      <c r="B5" s="59">
        <f t="shared" si="1"/>
        <v>30085</v>
      </c>
      <c r="C5" s="59">
        <f>160+3608+734+447+766</f>
        <v>5715</v>
      </c>
      <c r="D5" s="59">
        <f>1000+22600+4600+2800+4800</f>
        <v>35800</v>
      </c>
      <c r="E5" s="59">
        <f t="shared" si="2"/>
        <v>847.7798</v>
      </c>
      <c r="F5" s="59">
        <f t="shared" si="3"/>
        <v>34952.2202</v>
      </c>
    </row>
    <row r="6" ht="12.75" customHeight="1">
      <c r="A6" s="25">
        <v>7.0</v>
      </c>
      <c r="B6" s="59">
        <f t="shared" si="1"/>
        <v>75084</v>
      </c>
      <c r="C6" s="59">
        <f>5269+239+1589+1876+1828+2826+639</f>
        <v>14266</v>
      </c>
      <c r="D6" s="59">
        <f>33000+1500+9950+11750+11450+17700+4000</f>
        <v>89350</v>
      </c>
      <c r="E6" s="59">
        <f t="shared" si="2"/>
        <v>2115.89735</v>
      </c>
      <c r="F6" s="59">
        <f t="shared" si="3"/>
        <v>87234.10265</v>
      </c>
    </row>
    <row r="7" ht="12.75" customHeight="1">
      <c r="A7" s="25">
        <v>7.0</v>
      </c>
      <c r="B7" s="59">
        <f t="shared" si="1"/>
        <v>114789</v>
      </c>
      <c r="C7" s="59">
        <f>639+10482+399+6842+894+2395+160</f>
        <v>21811</v>
      </c>
      <c r="D7" s="59">
        <f>4000+65650+2500+42850+5600+15000+1000</f>
        <v>136600</v>
      </c>
      <c r="E7" s="59">
        <f t="shared" si="2"/>
        <v>3234.8246</v>
      </c>
      <c r="F7" s="59">
        <f t="shared" si="3"/>
        <v>133365.1754</v>
      </c>
    </row>
    <row r="8" ht="12.75" customHeight="1">
      <c r="A8" s="25">
        <v>0.0</v>
      </c>
      <c r="B8" s="59">
        <f t="shared" si="1"/>
        <v>0</v>
      </c>
      <c r="C8" s="59">
        <v>0.0</v>
      </c>
      <c r="D8" s="59">
        <v>0.0</v>
      </c>
      <c r="E8" s="59">
        <f t="shared" si="2"/>
        <v>0</v>
      </c>
      <c r="F8" s="59">
        <f t="shared" si="3"/>
        <v>0</v>
      </c>
    </row>
    <row r="9" ht="12.75" customHeight="1">
      <c r="A9" s="25">
        <v>6.0</v>
      </c>
      <c r="B9" s="59">
        <f t="shared" si="1"/>
        <v>56807</v>
      </c>
      <c r="C9" s="59">
        <f>2315+2523+1197+2395+527+1836</f>
        <v>10793</v>
      </c>
      <c r="D9" s="59">
        <f>14500+15800+7500+15000+3300+11500</f>
        <v>67600</v>
      </c>
      <c r="E9" s="59">
        <f t="shared" si="2"/>
        <v>1600.8356</v>
      </c>
      <c r="F9" s="59">
        <f t="shared" si="3"/>
        <v>65999.1644</v>
      </c>
    </row>
    <row r="10" ht="12.75" customHeight="1">
      <c r="A10" s="25">
        <v>6.0</v>
      </c>
      <c r="B10" s="59">
        <f t="shared" si="1"/>
        <v>43159</v>
      </c>
      <c r="C10" s="59">
        <f>2395+1343+200+1245+1421+1597</f>
        <v>8201</v>
      </c>
      <c r="D10" s="59">
        <f>15000+8410+1250+7800+8900+10000</f>
        <v>51360</v>
      </c>
      <c r="E10" s="59">
        <f t="shared" si="2"/>
        <v>1216.25616</v>
      </c>
      <c r="F10" s="59">
        <f t="shared" si="3"/>
        <v>50143.74384</v>
      </c>
    </row>
    <row r="11" ht="12.75" customHeight="1">
      <c r="A11" s="25">
        <v>5.0</v>
      </c>
      <c r="B11" s="59">
        <f t="shared" si="1"/>
        <v>30462</v>
      </c>
      <c r="C11" s="59">
        <f>1341+128+224+3648+447</f>
        <v>5788</v>
      </c>
      <c r="D11" s="59">
        <f>8400+800+1400+22850+2800</f>
        <v>36250</v>
      </c>
      <c r="E11" s="59">
        <f t="shared" si="2"/>
        <v>858.43625</v>
      </c>
      <c r="F11" s="59">
        <f t="shared" si="3"/>
        <v>35391.56375</v>
      </c>
    </row>
    <row r="12" ht="12.75" customHeight="1">
      <c r="A12" s="25">
        <v>1.0</v>
      </c>
      <c r="B12" s="59">
        <f t="shared" si="1"/>
        <v>2521</v>
      </c>
      <c r="C12" s="59">
        <v>479.0</v>
      </c>
      <c r="D12" s="59">
        <v>3000.0</v>
      </c>
      <c r="E12" s="59">
        <f t="shared" si="2"/>
        <v>71.043</v>
      </c>
      <c r="F12" s="59">
        <f t="shared" si="3"/>
        <v>2928.957</v>
      </c>
    </row>
    <row r="13" ht="12.75" customHeight="1">
      <c r="A13" s="25">
        <v>2.0</v>
      </c>
      <c r="B13" s="59">
        <f t="shared" si="1"/>
        <v>6765</v>
      </c>
      <c r="C13" s="59">
        <f>503+782</f>
        <v>1285</v>
      </c>
      <c r="D13" s="59">
        <f>3150+4900</f>
        <v>8050</v>
      </c>
      <c r="E13" s="59">
        <f t="shared" si="2"/>
        <v>190.63205</v>
      </c>
      <c r="F13" s="59">
        <f t="shared" si="3"/>
        <v>7859.36795</v>
      </c>
    </row>
    <row r="14" ht="12.75" customHeight="1">
      <c r="A14" s="25">
        <v>0.0</v>
      </c>
      <c r="B14" s="59">
        <f t="shared" si="1"/>
        <v>0</v>
      </c>
      <c r="C14" s="59">
        <v>0.0</v>
      </c>
      <c r="D14" s="59">
        <v>0.0</v>
      </c>
      <c r="E14" s="59">
        <f t="shared" si="2"/>
        <v>0</v>
      </c>
      <c r="F14" s="59">
        <f t="shared" si="3"/>
        <v>0</v>
      </c>
    </row>
    <row r="15" ht="12.75" customHeight="1">
      <c r="A15" s="25">
        <v>3.0</v>
      </c>
      <c r="B15" s="59">
        <f t="shared" si="1"/>
        <v>2689</v>
      </c>
      <c r="C15" s="59">
        <f>319+96+96</f>
        <v>511</v>
      </c>
      <c r="D15" s="59">
        <f>2000+600+600</f>
        <v>3200</v>
      </c>
      <c r="E15" s="59">
        <f t="shared" si="2"/>
        <v>75.7792</v>
      </c>
      <c r="F15" s="59">
        <f t="shared" si="3"/>
        <v>3124.2208</v>
      </c>
    </row>
    <row r="16" ht="12.75" customHeight="1">
      <c r="A16" s="25">
        <v>3.0</v>
      </c>
      <c r="B16" s="59">
        <f t="shared" si="1"/>
        <v>18950</v>
      </c>
      <c r="C16" s="59">
        <f>168+2634+798</f>
        <v>3600</v>
      </c>
      <c r="D16" s="59">
        <f>1050+16500+5000</f>
        <v>22550</v>
      </c>
      <c r="E16" s="59">
        <f t="shared" si="2"/>
        <v>534.00655</v>
      </c>
      <c r="F16" s="59">
        <f t="shared" si="3"/>
        <v>22015.99345</v>
      </c>
    </row>
    <row r="17" ht="12.75" customHeight="1">
      <c r="A17" s="25">
        <v>5.0</v>
      </c>
      <c r="B17" s="59">
        <f t="shared" si="1"/>
        <v>70631</v>
      </c>
      <c r="C17" s="59">
        <f>814+782+335+1014+10474</f>
        <v>13419</v>
      </c>
      <c r="D17" s="59">
        <f>5100+4900+2100+6350+65600</f>
        <v>84050</v>
      </c>
      <c r="E17" s="59">
        <f t="shared" si="2"/>
        <v>1990.38805</v>
      </c>
      <c r="F17" s="59">
        <f t="shared" si="3"/>
        <v>82059.61195</v>
      </c>
    </row>
    <row r="18" ht="12.75" customHeight="1">
      <c r="A18" s="25">
        <v>1.0</v>
      </c>
      <c r="B18" s="59">
        <f t="shared" si="1"/>
        <v>2437</v>
      </c>
      <c r="C18" s="59">
        <v>463.0</v>
      </c>
      <c r="D18" s="59">
        <v>2900.0</v>
      </c>
      <c r="E18" s="59">
        <f t="shared" si="2"/>
        <v>68.6749</v>
      </c>
      <c r="F18" s="59">
        <f t="shared" si="3"/>
        <v>2831.3251</v>
      </c>
    </row>
    <row r="19" ht="12.75" customHeight="1">
      <c r="A19" s="25">
        <v>5.0</v>
      </c>
      <c r="B19" s="59">
        <f t="shared" si="1"/>
        <v>21680</v>
      </c>
      <c r="C19" s="59">
        <f>1437+623+479+551+1030</f>
        <v>4120</v>
      </c>
      <c r="D19" s="59">
        <f>9000+3900+3000+3450+6450</f>
        <v>25800</v>
      </c>
      <c r="E19" s="59">
        <f t="shared" si="2"/>
        <v>610.9698</v>
      </c>
      <c r="F19" s="59">
        <f t="shared" si="3"/>
        <v>25189.0302</v>
      </c>
    </row>
    <row r="20" ht="12.75" customHeight="1">
      <c r="A20" s="25">
        <v>1.0</v>
      </c>
      <c r="B20" s="59">
        <f t="shared" si="1"/>
        <v>5630</v>
      </c>
      <c r="C20" s="59">
        <v>1070.0</v>
      </c>
      <c r="D20" s="59">
        <v>6700.0</v>
      </c>
      <c r="E20" s="59">
        <f t="shared" si="2"/>
        <v>158.6627</v>
      </c>
      <c r="F20" s="59">
        <f t="shared" si="3"/>
        <v>6541.3373</v>
      </c>
    </row>
    <row r="21" ht="12.75" customHeight="1">
      <c r="A21" s="25">
        <v>2.0</v>
      </c>
      <c r="B21" s="59">
        <f t="shared" si="1"/>
        <v>36975</v>
      </c>
      <c r="C21" s="59">
        <f>2427+4598</f>
        <v>7025</v>
      </c>
      <c r="D21" s="59">
        <f>15200+28800</f>
        <v>44000</v>
      </c>
      <c r="E21" s="59">
        <f t="shared" si="2"/>
        <v>1041.964</v>
      </c>
      <c r="F21" s="59">
        <f t="shared" si="3"/>
        <v>42958.036</v>
      </c>
      <c r="G21" s="41" t="s">
        <v>3382</v>
      </c>
    </row>
    <row r="22" ht="12.75" customHeight="1">
      <c r="A22" s="25">
        <v>1.0</v>
      </c>
      <c r="B22" s="59">
        <f t="shared" si="1"/>
        <v>4538</v>
      </c>
      <c r="C22" s="59">
        <v>862.0</v>
      </c>
      <c r="D22" s="59">
        <v>5400.0</v>
      </c>
      <c r="E22" s="59">
        <f t="shared" si="2"/>
        <v>127.8774</v>
      </c>
      <c r="F22" s="59">
        <f t="shared" si="3"/>
        <v>5272.1226</v>
      </c>
    </row>
    <row r="23" ht="12.75" customHeight="1">
      <c r="A23" s="25">
        <v>2.0</v>
      </c>
      <c r="B23" s="59">
        <f t="shared" si="1"/>
        <v>4159</v>
      </c>
      <c r="C23" s="59">
        <f>615+176</f>
        <v>791</v>
      </c>
      <c r="D23" s="59">
        <f>3850+1100</f>
        <v>4950</v>
      </c>
      <c r="E23" s="59">
        <f t="shared" si="2"/>
        <v>117.22095</v>
      </c>
      <c r="F23" s="59">
        <f t="shared" si="3"/>
        <v>4832.77905</v>
      </c>
    </row>
    <row r="24" ht="12.75" customHeight="1">
      <c r="A24" s="25">
        <v>0.0</v>
      </c>
      <c r="B24" s="59">
        <f t="shared" si="1"/>
        <v>0</v>
      </c>
      <c r="C24" s="59">
        <v>0.0</v>
      </c>
      <c r="D24" s="59">
        <v>0.0</v>
      </c>
      <c r="E24" s="59">
        <f t="shared" si="2"/>
        <v>0</v>
      </c>
      <c r="F24" s="59">
        <f t="shared" si="3"/>
        <v>0</v>
      </c>
    </row>
    <row r="25" ht="12.75" customHeight="1">
      <c r="A25" s="25">
        <v>2.0</v>
      </c>
      <c r="B25" s="59">
        <f t="shared" si="1"/>
        <v>10505</v>
      </c>
      <c r="C25" s="59">
        <f>718+1277</f>
        <v>1995</v>
      </c>
      <c r="D25" s="59">
        <f>4500+8000</f>
        <v>12500</v>
      </c>
      <c r="E25" s="59">
        <f t="shared" si="2"/>
        <v>296.0125</v>
      </c>
      <c r="F25" s="59">
        <f t="shared" si="3"/>
        <v>12203.9875</v>
      </c>
    </row>
    <row r="26" ht="12.75" customHeight="1">
      <c r="A26" s="25">
        <v>3.0</v>
      </c>
      <c r="B26" s="59">
        <f t="shared" si="1"/>
        <v>4664</v>
      </c>
      <c r="C26" s="59">
        <f>367+200+319</f>
        <v>886</v>
      </c>
      <c r="D26" s="59">
        <f>2300+1250+2000</f>
        <v>5550</v>
      </c>
      <c r="E26" s="59">
        <f t="shared" si="2"/>
        <v>131.42955</v>
      </c>
      <c r="F26" s="59">
        <f t="shared" si="3"/>
        <v>5418.57045</v>
      </c>
    </row>
    <row r="27" ht="12.75" customHeight="1">
      <c r="A27" s="25">
        <v>2.0</v>
      </c>
      <c r="B27" s="59">
        <f t="shared" si="1"/>
        <v>22689</v>
      </c>
      <c r="C27" s="59">
        <f>3145+1166</f>
        <v>4311</v>
      </c>
      <c r="D27" s="59">
        <f>19700+7300</f>
        <v>27000</v>
      </c>
      <c r="E27" s="59">
        <f t="shared" si="2"/>
        <v>639.387</v>
      </c>
      <c r="F27" s="59">
        <f t="shared" si="3"/>
        <v>26360.613</v>
      </c>
      <c r="G27" s="37" t="s">
        <v>3198</v>
      </c>
    </row>
    <row r="28" ht="12.75" customHeight="1">
      <c r="A28" s="25">
        <v>1.0</v>
      </c>
      <c r="B28" s="59">
        <f t="shared" si="1"/>
        <v>6723</v>
      </c>
      <c r="C28" s="59">
        <v>1277.0</v>
      </c>
      <c r="D28" s="59">
        <v>8000.0</v>
      </c>
      <c r="E28" s="59">
        <f t="shared" si="2"/>
        <v>189.448</v>
      </c>
      <c r="F28" s="59">
        <f t="shared" si="3"/>
        <v>7810.552</v>
      </c>
    </row>
    <row r="29" ht="12.75" customHeight="1">
      <c r="A29" s="25">
        <v>0.0</v>
      </c>
      <c r="B29" s="59">
        <f t="shared" si="1"/>
        <v>0</v>
      </c>
      <c r="C29" s="59">
        <v>0.0</v>
      </c>
      <c r="D29" s="59">
        <v>0.0</v>
      </c>
      <c r="E29" s="59">
        <f t="shared" si="2"/>
        <v>0</v>
      </c>
      <c r="F29" s="59">
        <f t="shared" si="3"/>
        <v>0</v>
      </c>
      <c r="I29" s="81" t="s">
        <v>1</v>
      </c>
      <c r="J29" s="81" t="s">
        <v>2</v>
      </c>
    </row>
    <row r="30" ht="12.75" customHeight="1">
      <c r="A30" s="25">
        <v>2.0</v>
      </c>
      <c r="B30" s="59">
        <f t="shared" si="1"/>
        <v>29328</v>
      </c>
      <c r="C30" s="59">
        <f>782+4790</f>
        <v>5572</v>
      </c>
      <c r="D30" s="59">
        <f>4900+30000</f>
        <v>34900</v>
      </c>
      <c r="E30" s="59">
        <f t="shared" si="2"/>
        <v>826.4669</v>
      </c>
      <c r="F30" s="59">
        <f t="shared" si="3"/>
        <v>34073.5331</v>
      </c>
    </row>
    <row r="31" ht="12.75" customHeight="1">
      <c r="A31" s="25">
        <v>6.0</v>
      </c>
      <c r="B31" s="59">
        <f t="shared" si="1"/>
        <v>37647</v>
      </c>
      <c r="C31" s="59">
        <f>1597+1277+319+1086+2555+319</f>
        <v>7153</v>
      </c>
      <c r="D31" s="59">
        <f>10000+8000+2000+6800+16000+2000</f>
        <v>44800</v>
      </c>
      <c r="E31" s="59">
        <f t="shared" si="2"/>
        <v>1060.9088</v>
      </c>
      <c r="F31" s="59">
        <f t="shared" si="3"/>
        <v>43739.0912</v>
      </c>
      <c r="G31" s="37" t="s">
        <v>3199</v>
      </c>
      <c r="H31" s="81" t="s">
        <v>3381</v>
      </c>
    </row>
    <row r="32" ht="12.75" customHeight="1">
      <c r="A32" s="80">
        <f t="shared" ref="A32:F32" si="4">SUM(A1:A31)</f>
        <v>91</v>
      </c>
      <c r="B32" s="66">
        <f t="shared" si="4"/>
        <v>747739</v>
      </c>
      <c r="C32" s="66">
        <f t="shared" si="4"/>
        <v>142071</v>
      </c>
      <c r="D32" s="66">
        <f t="shared" si="4"/>
        <v>889810</v>
      </c>
      <c r="E32" s="67">
        <f t="shared" si="4"/>
        <v>21071.59061</v>
      </c>
      <c r="F32" s="67">
        <f t="shared" si="4"/>
        <v>868738.4094</v>
      </c>
    </row>
    <row r="33" ht="12.75" customHeight="1">
      <c r="A33" s="25"/>
      <c r="B33" s="59"/>
      <c r="C33" s="59"/>
      <c r="D33" s="59"/>
      <c r="E33" s="59"/>
      <c r="F33" s="59"/>
    </row>
    <row r="34" ht="12.75" customHeight="1">
      <c r="A34" s="25"/>
      <c r="B34" s="59"/>
      <c r="C34" s="59"/>
      <c r="D34" s="59"/>
      <c r="E34" s="59"/>
      <c r="F34" s="59"/>
    </row>
    <row r="35" ht="12.75" customHeight="1">
      <c r="A35" s="25"/>
      <c r="B35" s="59"/>
      <c r="C35" s="78" t="s">
        <v>3218</v>
      </c>
      <c r="D35" s="78">
        <f>D32*2.3681%</f>
        <v>21071.59061</v>
      </c>
      <c r="E35" s="59"/>
      <c r="F35" s="59"/>
    </row>
    <row r="36" ht="12.75" customHeight="1">
      <c r="A36" s="25"/>
      <c r="B36" s="59">
        <v>747741.0</v>
      </c>
      <c r="C36" s="59">
        <v>142069.0</v>
      </c>
      <c r="D36" s="59">
        <v>889810.0</v>
      </c>
      <c r="E36" s="59"/>
      <c r="F36" s="59"/>
    </row>
    <row r="37" ht="12.75" customHeight="1">
      <c r="A37" s="25"/>
      <c r="B37" s="59">
        <f t="shared" ref="B37:D37" si="5">B36-B32</f>
        <v>2</v>
      </c>
      <c r="C37" s="59">
        <f t="shared" si="5"/>
        <v>-2</v>
      </c>
      <c r="D37" s="59">
        <f t="shared" si="5"/>
        <v>0</v>
      </c>
      <c r="E37" s="59"/>
      <c r="F37" s="59"/>
    </row>
    <row r="38" ht="12.75" customHeight="1">
      <c r="A38" s="25"/>
      <c r="B38" s="59"/>
      <c r="C38" s="59"/>
      <c r="D38" s="59"/>
      <c r="E38" s="59"/>
      <c r="F38" s="59"/>
    </row>
    <row r="39" ht="12.75" customHeight="1">
      <c r="A39" s="25"/>
      <c r="B39" s="59"/>
      <c r="C39" s="59"/>
      <c r="D39" s="59"/>
      <c r="E39" s="59"/>
      <c r="F39" s="59"/>
    </row>
    <row r="40" ht="12.75" customHeight="1">
      <c r="A40" s="25"/>
      <c r="B40" s="59"/>
      <c r="C40" s="59"/>
      <c r="D40" s="59"/>
      <c r="E40" s="59"/>
      <c r="F40" s="59"/>
    </row>
    <row r="41" ht="12.75" customHeight="1">
      <c r="A41" s="25"/>
      <c r="B41" s="59"/>
      <c r="C41" s="59"/>
      <c r="D41" s="59"/>
      <c r="E41" s="59"/>
      <c r="F41" s="59"/>
    </row>
    <row r="42" ht="12.75" customHeight="1">
      <c r="A42" s="25"/>
      <c r="B42" s="59"/>
      <c r="C42" s="59"/>
      <c r="D42" s="59"/>
      <c r="E42" s="59"/>
      <c r="F42" s="59"/>
    </row>
    <row r="43" ht="12.75" customHeight="1">
      <c r="A43" s="25"/>
      <c r="B43" s="59"/>
      <c r="C43" s="59"/>
      <c r="D43" s="59"/>
      <c r="E43" s="59"/>
      <c r="F43" s="59"/>
    </row>
    <row r="44" ht="12.75" customHeight="1">
      <c r="A44" s="25"/>
      <c r="B44" s="59"/>
      <c r="C44" s="59"/>
      <c r="D44" s="59"/>
      <c r="E44" s="59"/>
      <c r="F44" s="59"/>
    </row>
    <row r="45" ht="12.75" customHeight="1">
      <c r="A45" s="25"/>
      <c r="B45" s="59"/>
      <c r="C45" s="59"/>
      <c r="D45" s="59"/>
      <c r="E45" s="59"/>
      <c r="F45" s="59"/>
    </row>
    <row r="46" ht="12.75" customHeight="1">
      <c r="A46" s="25"/>
      <c r="B46" s="59"/>
      <c r="C46" s="59"/>
      <c r="D46" s="59"/>
      <c r="E46" s="59"/>
      <c r="F46" s="59"/>
    </row>
    <row r="47" ht="12.75" customHeight="1">
      <c r="A47" s="25"/>
      <c r="B47" s="59"/>
      <c r="C47" s="59"/>
      <c r="D47" s="59"/>
      <c r="E47" s="59"/>
      <c r="F47" s="59"/>
    </row>
    <row r="48" ht="12.75" customHeight="1">
      <c r="A48" s="25"/>
      <c r="B48" s="59"/>
      <c r="C48" s="59"/>
      <c r="D48" s="59"/>
      <c r="E48" s="59"/>
      <c r="F48" s="59"/>
    </row>
    <row r="49" ht="12.75" customHeight="1">
      <c r="A49" s="25"/>
      <c r="B49" s="59"/>
      <c r="C49" s="59"/>
      <c r="D49" s="59"/>
      <c r="E49" s="59"/>
      <c r="F49" s="59"/>
    </row>
    <row r="50" ht="12.75" customHeight="1">
      <c r="A50" s="25"/>
      <c r="B50" s="59"/>
      <c r="C50" s="59"/>
      <c r="D50" s="59"/>
      <c r="E50" s="59"/>
      <c r="F50" s="59"/>
    </row>
    <row r="51" ht="12.75" customHeight="1">
      <c r="A51" s="25"/>
      <c r="B51" s="59"/>
      <c r="C51" s="59"/>
      <c r="D51" s="59"/>
      <c r="E51" s="59"/>
      <c r="F51" s="59"/>
    </row>
    <row r="52" ht="12.75" customHeight="1">
      <c r="A52" s="25"/>
      <c r="B52" s="59"/>
      <c r="C52" s="59"/>
      <c r="D52" s="59"/>
      <c r="E52" s="59"/>
      <c r="F52" s="59"/>
    </row>
    <row r="53" ht="12.75" customHeight="1">
      <c r="A53" s="25"/>
      <c r="B53" s="59"/>
      <c r="C53" s="59"/>
      <c r="D53" s="59"/>
      <c r="E53" s="59"/>
      <c r="F53" s="59"/>
    </row>
    <row r="54" ht="12.75" customHeight="1">
      <c r="A54" s="25"/>
      <c r="B54" s="59"/>
      <c r="C54" s="59"/>
      <c r="D54" s="59"/>
      <c r="E54" s="59"/>
      <c r="F54" s="59"/>
    </row>
    <row r="55" ht="12.75" customHeight="1">
      <c r="A55" s="25"/>
      <c r="B55" s="59"/>
      <c r="C55" s="59"/>
      <c r="D55" s="59"/>
      <c r="E55" s="59"/>
      <c r="F55" s="59"/>
    </row>
    <row r="56" ht="12.75" customHeight="1">
      <c r="A56" s="25"/>
      <c r="B56" s="59"/>
      <c r="C56" s="59"/>
      <c r="D56" s="59"/>
      <c r="E56" s="59"/>
      <c r="F56" s="59"/>
    </row>
    <row r="57" ht="12.75" customHeight="1">
      <c r="A57" s="25"/>
      <c r="B57" s="59"/>
      <c r="C57" s="59"/>
      <c r="D57" s="59"/>
      <c r="E57" s="59"/>
      <c r="F57" s="59"/>
    </row>
    <row r="58" ht="12.75" customHeight="1">
      <c r="A58" s="25"/>
      <c r="B58" s="59"/>
      <c r="C58" s="59"/>
      <c r="D58" s="59"/>
      <c r="E58" s="59"/>
      <c r="F58" s="59"/>
    </row>
    <row r="59" ht="12.75" customHeight="1">
      <c r="A59" s="25"/>
      <c r="B59" s="59"/>
      <c r="C59" s="59"/>
      <c r="D59" s="59"/>
      <c r="E59" s="59"/>
      <c r="F59" s="59"/>
    </row>
    <row r="60" ht="12.75" customHeight="1">
      <c r="A60" s="25"/>
      <c r="B60" s="59"/>
      <c r="C60" s="59"/>
      <c r="D60" s="59"/>
      <c r="E60" s="59"/>
      <c r="F60" s="59"/>
    </row>
    <row r="61" ht="12.75" customHeight="1">
      <c r="A61" s="25"/>
      <c r="B61" s="59"/>
      <c r="C61" s="59"/>
      <c r="D61" s="59"/>
      <c r="E61" s="59"/>
      <c r="F61" s="59"/>
    </row>
    <row r="62" ht="12.75" customHeight="1">
      <c r="A62" s="25"/>
      <c r="B62" s="59"/>
      <c r="C62" s="59"/>
      <c r="D62" s="59"/>
      <c r="E62" s="59"/>
      <c r="F62" s="59"/>
    </row>
    <row r="63" ht="12.75" customHeight="1">
      <c r="A63" s="25"/>
      <c r="B63" s="59"/>
      <c r="C63" s="59"/>
      <c r="D63" s="59"/>
      <c r="E63" s="59"/>
      <c r="F63" s="59"/>
    </row>
    <row r="64" ht="12.75" customHeight="1">
      <c r="A64" s="25"/>
      <c r="B64" s="59"/>
      <c r="C64" s="59"/>
      <c r="D64" s="59"/>
      <c r="E64" s="59"/>
      <c r="F64" s="59"/>
    </row>
    <row r="65" ht="12.75" customHeight="1">
      <c r="A65" s="25"/>
      <c r="B65" s="59"/>
      <c r="C65" s="59"/>
      <c r="D65" s="59"/>
      <c r="E65" s="59"/>
      <c r="F65" s="59"/>
    </row>
    <row r="66" ht="12.75" customHeight="1">
      <c r="A66" s="25"/>
      <c r="B66" s="59"/>
      <c r="C66" s="59"/>
      <c r="D66" s="59"/>
      <c r="E66" s="59"/>
      <c r="F66" s="59"/>
    </row>
    <row r="67" ht="12.75" customHeight="1">
      <c r="A67" s="25"/>
      <c r="B67" s="59"/>
      <c r="C67" s="59"/>
      <c r="D67" s="59"/>
      <c r="E67" s="59"/>
      <c r="F67" s="59"/>
    </row>
    <row r="68" ht="12.75" customHeight="1">
      <c r="A68" s="25"/>
      <c r="B68" s="59"/>
      <c r="C68" s="59"/>
      <c r="D68" s="59"/>
      <c r="E68" s="59"/>
      <c r="F68" s="59"/>
    </row>
    <row r="69" ht="12.75" customHeight="1">
      <c r="A69" s="25"/>
      <c r="B69" s="59"/>
      <c r="C69" s="59"/>
      <c r="D69" s="59"/>
      <c r="E69" s="59"/>
      <c r="F69" s="59"/>
    </row>
    <row r="70" ht="12.75" customHeight="1">
      <c r="A70" s="25"/>
      <c r="B70" s="59"/>
      <c r="C70" s="59"/>
      <c r="D70" s="59"/>
      <c r="E70" s="59"/>
      <c r="F70" s="59"/>
    </row>
    <row r="71" ht="12.75" customHeight="1">
      <c r="A71" s="25"/>
      <c r="B71" s="59"/>
      <c r="C71" s="59"/>
      <c r="D71" s="59"/>
      <c r="E71" s="59"/>
      <c r="F71" s="59"/>
    </row>
    <row r="72" ht="12.75" customHeight="1">
      <c r="A72" s="25"/>
      <c r="B72" s="59"/>
      <c r="C72" s="59"/>
      <c r="D72" s="59"/>
      <c r="E72" s="59"/>
      <c r="F72" s="59"/>
    </row>
    <row r="73" ht="12.75" customHeight="1">
      <c r="A73" s="25"/>
      <c r="B73" s="59"/>
      <c r="C73" s="59"/>
      <c r="D73" s="59"/>
      <c r="E73" s="59"/>
      <c r="F73" s="59"/>
    </row>
    <row r="74" ht="12.75" customHeight="1">
      <c r="A74" s="25"/>
      <c r="B74" s="59"/>
      <c r="C74" s="59"/>
      <c r="D74" s="59"/>
      <c r="E74" s="59"/>
      <c r="F74" s="59"/>
    </row>
    <row r="75" ht="12.75" customHeight="1">
      <c r="A75" s="25"/>
      <c r="B75" s="59"/>
      <c r="C75" s="59"/>
      <c r="D75" s="59"/>
      <c r="E75" s="59"/>
      <c r="F75" s="59"/>
    </row>
    <row r="76" ht="12.75" customHeight="1">
      <c r="A76" s="25"/>
      <c r="B76" s="59"/>
      <c r="C76" s="59"/>
      <c r="D76" s="59"/>
      <c r="E76" s="59"/>
      <c r="F76" s="59"/>
    </row>
    <row r="77" ht="12.75" customHeight="1">
      <c r="A77" s="25"/>
      <c r="B77" s="59"/>
      <c r="C77" s="59"/>
      <c r="D77" s="59"/>
      <c r="E77" s="59"/>
      <c r="F77" s="59"/>
    </row>
    <row r="78" ht="12.75" customHeight="1">
      <c r="A78" s="25"/>
      <c r="B78" s="59"/>
      <c r="C78" s="59"/>
      <c r="D78" s="59"/>
      <c r="E78" s="59"/>
      <c r="F78" s="59"/>
    </row>
    <row r="79" ht="12.75" customHeight="1">
      <c r="A79" s="25"/>
      <c r="B79" s="59"/>
      <c r="C79" s="59"/>
      <c r="D79" s="59"/>
      <c r="E79" s="59"/>
      <c r="F79" s="59"/>
    </row>
    <row r="80" ht="12.75" customHeight="1">
      <c r="A80" s="25"/>
      <c r="B80" s="59"/>
      <c r="C80" s="59"/>
      <c r="D80" s="59"/>
      <c r="E80" s="59"/>
      <c r="F80" s="59"/>
    </row>
    <row r="81" ht="12.75" customHeight="1">
      <c r="A81" s="25"/>
      <c r="B81" s="59"/>
      <c r="C81" s="59"/>
      <c r="D81" s="59"/>
      <c r="E81" s="59"/>
      <c r="F81" s="59"/>
    </row>
    <row r="82" ht="12.75" customHeight="1">
      <c r="A82" s="25"/>
      <c r="B82" s="59"/>
      <c r="C82" s="59"/>
      <c r="D82" s="59"/>
      <c r="E82" s="59"/>
      <c r="F82" s="59"/>
    </row>
    <row r="83" ht="12.75" customHeight="1">
      <c r="A83" s="25"/>
      <c r="B83" s="59"/>
      <c r="C83" s="59"/>
      <c r="D83" s="59"/>
      <c r="E83" s="59"/>
      <c r="F83" s="59"/>
    </row>
    <row r="84" ht="12.75" customHeight="1">
      <c r="A84" s="25"/>
      <c r="B84" s="59"/>
      <c r="C84" s="59"/>
      <c r="D84" s="59"/>
      <c r="E84" s="59"/>
      <c r="F84" s="59"/>
    </row>
    <row r="85" ht="12.75" customHeight="1">
      <c r="A85" s="25"/>
      <c r="B85" s="59"/>
      <c r="C85" s="59"/>
      <c r="D85" s="59"/>
      <c r="E85" s="59"/>
      <c r="F85" s="59"/>
    </row>
    <row r="86" ht="12.75" customHeight="1">
      <c r="A86" s="25"/>
      <c r="B86" s="59"/>
      <c r="C86" s="59"/>
      <c r="D86" s="59"/>
      <c r="E86" s="59"/>
      <c r="F86" s="59"/>
    </row>
    <row r="87" ht="12.75" customHeight="1">
      <c r="A87" s="25"/>
      <c r="B87" s="59"/>
      <c r="C87" s="59"/>
      <c r="D87" s="59"/>
      <c r="E87" s="59"/>
      <c r="F87" s="59"/>
    </row>
    <row r="88" ht="12.75" customHeight="1">
      <c r="A88" s="25"/>
      <c r="B88" s="59"/>
      <c r="C88" s="59"/>
      <c r="D88" s="59"/>
      <c r="E88" s="59"/>
      <c r="F88" s="59"/>
    </row>
    <row r="89" ht="12.75" customHeight="1">
      <c r="A89" s="25"/>
      <c r="B89" s="59"/>
      <c r="C89" s="59"/>
      <c r="D89" s="59"/>
      <c r="E89" s="59"/>
      <c r="F89" s="59"/>
    </row>
    <row r="90" ht="12.75" customHeight="1">
      <c r="A90" s="25"/>
      <c r="B90" s="59"/>
      <c r="C90" s="59"/>
      <c r="D90" s="59"/>
      <c r="E90" s="59"/>
      <c r="F90" s="59"/>
    </row>
    <row r="91" ht="12.75" customHeight="1">
      <c r="A91" s="25"/>
      <c r="B91" s="59"/>
      <c r="C91" s="59"/>
      <c r="D91" s="59"/>
      <c r="E91" s="59"/>
      <c r="F91" s="59"/>
    </row>
    <row r="92" ht="12.75" customHeight="1">
      <c r="A92" s="25"/>
      <c r="B92" s="59"/>
      <c r="C92" s="59"/>
      <c r="D92" s="59"/>
      <c r="E92" s="59"/>
      <c r="F92" s="59"/>
    </row>
    <row r="93" ht="12.75" customHeight="1">
      <c r="A93" s="25"/>
      <c r="B93" s="59"/>
      <c r="C93" s="59"/>
      <c r="D93" s="59"/>
      <c r="E93" s="59"/>
      <c r="F93" s="59"/>
    </row>
    <row r="94" ht="12.75" customHeight="1">
      <c r="A94" s="25"/>
      <c r="B94" s="59"/>
      <c r="C94" s="59"/>
      <c r="D94" s="59"/>
      <c r="E94" s="59"/>
      <c r="F94" s="59"/>
    </row>
    <row r="95" ht="12.75" customHeight="1">
      <c r="A95" s="25"/>
      <c r="B95" s="59"/>
      <c r="C95" s="59"/>
      <c r="D95" s="59"/>
      <c r="E95" s="59"/>
      <c r="F95" s="59"/>
    </row>
    <row r="96" ht="12.75" customHeight="1">
      <c r="A96" s="25"/>
      <c r="B96" s="59"/>
      <c r="C96" s="59"/>
      <c r="D96" s="59"/>
      <c r="E96" s="59"/>
      <c r="F96" s="59"/>
    </row>
    <row r="97" ht="12.75" customHeight="1">
      <c r="A97" s="25"/>
      <c r="B97" s="59"/>
      <c r="C97" s="59"/>
      <c r="D97" s="59"/>
      <c r="E97" s="59"/>
      <c r="F97" s="59"/>
    </row>
    <row r="98" ht="12.75" customHeight="1">
      <c r="A98" s="25"/>
      <c r="B98" s="59"/>
      <c r="C98" s="59"/>
      <c r="D98" s="59"/>
      <c r="E98" s="59"/>
      <c r="F98" s="59"/>
    </row>
    <row r="99" ht="12.75" customHeight="1">
      <c r="A99" s="25"/>
      <c r="B99" s="59"/>
      <c r="C99" s="59"/>
      <c r="D99" s="59"/>
      <c r="E99" s="59"/>
      <c r="F99" s="59"/>
    </row>
    <row r="100" ht="12.75" customHeight="1">
      <c r="A100" s="25"/>
      <c r="B100" s="59"/>
      <c r="C100" s="59"/>
      <c r="D100" s="59"/>
      <c r="E100" s="59"/>
      <c r="F100" s="59"/>
    </row>
    <row r="101" ht="12.75" customHeight="1">
      <c r="A101" s="25"/>
      <c r="B101" s="59"/>
      <c r="C101" s="59"/>
      <c r="D101" s="59"/>
      <c r="E101" s="59"/>
      <c r="F101" s="59"/>
    </row>
    <row r="102" ht="12.75" customHeight="1">
      <c r="A102" s="25"/>
      <c r="B102" s="59"/>
      <c r="C102" s="59"/>
      <c r="D102" s="59"/>
      <c r="E102" s="59"/>
      <c r="F102" s="59"/>
    </row>
    <row r="103" ht="12.75" customHeight="1">
      <c r="A103" s="25"/>
      <c r="B103" s="59"/>
      <c r="C103" s="59"/>
      <c r="D103" s="59"/>
      <c r="E103" s="59"/>
      <c r="F103" s="59"/>
    </row>
    <row r="104" ht="12.75" customHeight="1">
      <c r="A104" s="25"/>
      <c r="B104" s="59"/>
      <c r="C104" s="59"/>
      <c r="D104" s="59"/>
      <c r="E104" s="59"/>
      <c r="F104" s="59"/>
    </row>
    <row r="105" ht="12.75" customHeight="1">
      <c r="A105" s="25"/>
      <c r="B105" s="59"/>
      <c r="C105" s="59"/>
      <c r="D105" s="59"/>
      <c r="E105" s="59"/>
      <c r="F105" s="59"/>
    </row>
    <row r="106" ht="12.75" customHeight="1">
      <c r="A106" s="25"/>
      <c r="B106" s="59"/>
      <c r="C106" s="59"/>
      <c r="D106" s="59"/>
      <c r="E106" s="59"/>
      <c r="F106" s="59"/>
    </row>
    <row r="107" ht="12.75" customHeight="1">
      <c r="A107" s="25"/>
      <c r="B107" s="59"/>
      <c r="C107" s="59"/>
      <c r="D107" s="59"/>
      <c r="E107" s="59"/>
      <c r="F107" s="59"/>
    </row>
    <row r="108" ht="12.75" customHeight="1">
      <c r="A108" s="25"/>
      <c r="B108" s="59"/>
      <c r="C108" s="59"/>
      <c r="D108" s="59"/>
      <c r="E108" s="59"/>
      <c r="F108" s="59"/>
    </row>
    <row r="109" ht="12.75" customHeight="1">
      <c r="A109" s="25"/>
      <c r="B109" s="59"/>
      <c r="C109" s="59"/>
      <c r="D109" s="59"/>
      <c r="E109" s="59"/>
      <c r="F109" s="59"/>
    </row>
    <row r="110" ht="12.75" customHeight="1">
      <c r="A110" s="25"/>
      <c r="B110" s="59"/>
      <c r="C110" s="59"/>
      <c r="D110" s="59"/>
      <c r="E110" s="59"/>
      <c r="F110" s="59"/>
    </row>
    <row r="111" ht="12.75" customHeight="1">
      <c r="A111" s="25"/>
      <c r="B111" s="59"/>
      <c r="C111" s="59"/>
      <c r="D111" s="59"/>
      <c r="E111" s="59"/>
      <c r="F111" s="59"/>
    </row>
    <row r="112" ht="12.75" customHeight="1">
      <c r="A112" s="25"/>
      <c r="B112" s="59"/>
      <c r="C112" s="59"/>
      <c r="D112" s="59"/>
      <c r="E112" s="59"/>
      <c r="F112" s="59"/>
    </row>
    <row r="113" ht="12.75" customHeight="1">
      <c r="A113" s="25"/>
      <c r="B113" s="59"/>
      <c r="C113" s="59"/>
      <c r="D113" s="59"/>
      <c r="E113" s="59"/>
      <c r="F113" s="59"/>
    </row>
    <row r="114" ht="12.75" customHeight="1">
      <c r="A114" s="25"/>
      <c r="B114" s="59"/>
      <c r="C114" s="59"/>
      <c r="D114" s="59"/>
      <c r="E114" s="59"/>
      <c r="F114" s="59"/>
    </row>
    <row r="115" ht="12.75" customHeight="1">
      <c r="A115" s="25"/>
      <c r="B115" s="59"/>
      <c r="C115" s="59"/>
      <c r="D115" s="59"/>
      <c r="E115" s="59"/>
      <c r="F115" s="59"/>
    </row>
    <row r="116" ht="12.75" customHeight="1">
      <c r="A116" s="25"/>
      <c r="B116" s="59"/>
      <c r="C116" s="59"/>
      <c r="D116" s="59"/>
      <c r="E116" s="59"/>
      <c r="F116" s="59"/>
    </row>
    <row r="117" ht="12.75" customHeight="1">
      <c r="A117" s="25"/>
      <c r="B117" s="59"/>
      <c r="C117" s="59"/>
      <c r="D117" s="59"/>
      <c r="E117" s="59"/>
      <c r="F117" s="59"/>
    </row>
    <row r="118" ht="12.75" customHeight="1">
      <c r="A118" s="25"/>
      <c r="B118" s="59"/>
      <c r="C118" s="59"/>
      <c r="D118" s="59"/>
      <c r="E118" s="59"/>
      <c r="F118" s="59"/>
    </row>
    <row r="119" ht="12.75" customHeight="1">
      <c r="A119" s="25"/>
      <c r="B119" s="59"/>
      <c r="C119" s="59"/>
      <c r="D119" s="59"/>
      <c r="E119" s="59"/>
      <c r="F119" s="59"/>
    </row>
    <row r="120" ht="12.75" customHeight="1">
      <c r="A120" s="25"/>
      <c r="B120" s="59"/>
      <c r="C120" s="59"/>
      <c r="D120" s="59"/>
      <c r="E120" s="59"/>
      <c r="F120" s="59"/>
    </row>
    <row r="121" ht="12.75" customHeight="1">
      <c r="A121" s="25"/>
      <c r="B121" s="59"/>
      <c r="C121" s="59"/>
      <c r="D121" s="59"/>
      <c r="E121" s="59"/>
      <c r="F121" s="59"/>
    </row>
    <row r="122" ht="12.75" customHeight="1">
      <c r="A122" s="25"/>
      <c r="B122" s="59"/>
      <c r="C122" s="59"/>
      <c r="D122" s="59"/>
      <c r="E122" s="59"/>
      <c r="F122" s="59"/>
    </row>
    <row r="123" ht="12.75" customHeight="1">
      <c r="A123" s="25"/>
      <c r="B123" s="59"/>
      <c r="C123" s="59"/>
      <c r="D123" s="59"/>
      <c r="E123" s="59"/>
      <c r="F123" s="59"/>
    </row>
    <row r="124" ht="12.75" customHeight="1">
      <c r="A124" s="25"/>
      <c r="B124" s="59"/>
      <c r="C124" s="59"/>
      <c r="D124" s="59"/>
      <c r="E124" s="59"/>
      <c r="F124" s="59"/>
    </row>
    <row r="125" ht="12.75" customHeight="1">
      <c r="A125" s="25"/>
      <c r="B125" s="59"/>
      <c r="C125" s="59"/>
      <c r="D125" s="59"/>
      <c r="E125" s="59"/>
      <c r="F125" s="59"/>
    </row>
    <row r="126" ht="12.75" customHeight="1">
      <c r="A126" s="25"/>
      <c r="B126" s="59"/>
      <c r="C126" s="59"/>
      <c r="D126" s="59"/>
      <c r="E126" s="59"/>
      <c r="F126" s="59"/>
    </row>
    <row r="127" ht="12.75" customHeight="1">
      <c r="A127" s="25"/>
      <c r="B127" s="59"/>
      <c r="C127" s="59"/>
      <c r="D127" s="59"/>
      <c r="E127" s="59"/>
      <c r="F127" s="59"/>
    </row>
    <row r="128" ht="12.75" customHeight="1">
      <c r="A128" s="25"/>
      <c r="B128" s="59"/>
      <c r="C128" s="59"/>
      <c r="D128" s="59"/>
      <c r="E128" s="59"/>
      <c r="F128" s="59"/>
    </row>
    <row r="129" ht="12.75" customHeight="1">
      <c r="A129" s="25"/>
      <c r="B129" s="59"/>
      <c r="C129" s="59"/>
      <c r="D129" s="59"/>
      <c r="E129" s="59"/>
      <c r="F129" s="59"/>
    </row>
    <row r="130" ht="12.75" customHeight="1">
      <c r="A130" s="25"/>
      <c r="B130" s="59"/>
      <c r="C130" s="59"/>
      <c r="D130" s="59"/>
      <c r="E130" s="59"/>
      <c r="F130" s="59"/>
    </row>
    <row r="131" ht="12.75" customHeight="1">
      <c r="A131" s="25"/>
      <c r="B131" s="59"/>
      <c r="C131" s="59"/>
      <c r="D131" s="59"/>
      <c r="E131" s="59"/>
      <c r="F131" s="59"/>
    </row>
    <row r="132" ht="12.75" customHeight="1">
      <c r="A132" s="25"/>
      <c r="B132" s="59"/>
      <c r="C132" s="59"/>
      <c r="D132" s="59"/>
      <c r="E132" s="59"/>
      <c r="F132" s="59"/>
    </row>
    <row r="133" ht="12.75" customHeight="1">
      <c r="A133" s="25"/>
      <c r="B133" s="59"/>
      <c r="C133" s="59"/>
      <c r="D133" s="59"/>
      <c r="E133" s="59"/>
      <c r="F133" s="59"/>
    </row>
    <row r="134" ht="12.75" customHeight="1">
      <c r="A134" s="25"/>
      <c r="B134" s="59"/>
      <c r="C134" s="59"/>
      <c r="D134" s="59"/>
      <c r="E134" s="59"/>
      <c r="F134" s="59"/>
    </row>
    <row r="135" ht="12.75" customHeight="1">
      <c r="A135" s="25"/>
      <c r="B135" s="59"/>
      <c r="C135" s="59"/>
      <c r="D135" s="59"/>
      <c r="E135" s="59"/>
      <c r="F135" s="59"/>
    </row>
    <row r="136" ht="12.75" customHeight="1">
      <c r="A136" s="25"/>
      <c r="B136" s="59"/>
      <c r="C136" s="59"/>
      <c r="D136" s="59"/>
      <c r="E136" s="59"/>
      <c r="F136" s="59"/>
    </row>
    <row r="137" ht="12.75" customHeight="1">
      <c r="A137" s="25"/>
      <c r="B137" s="59"/>
      <c r="C137" s="59"/>
      <c r="D137" s="59"/>
      <c r="E137" s="59"/>
      <c r="F137" s="59"/>
    </row>
    <row r="138" ht="12.75" customHeight="1">
      <c r="A138" s="25"/>
      <c r="B138" s="59"/>
      <c r="C138" s="59"/>
      <c r="D138" s="59"/>
      <c r="E138" s="59"/>
      <c r="F138" s="59"/>
    </row>
    <row r="139" ht="12.75" customHeight="1">
      <c r="A139" s="25"/>
      <c r="B139" s="59"/>
      <c r="C139" s="59"/>
      <c r="D139" s="59"/>
      <c r="E139" s="59"/>
      <c r="F139" s="59"/>
    </row>
    <row r="140" ht="12.75" customHeight="1">
      <c r="A140" s="25"/>
      <c r="B140" s="59"/>
      <c r="C140" s="59"/>
      <c r="D140" s="59"/>
      <c r="E140" s="59"/>
      <c r="F140" s="59"/>
    </row>
    <row r="141" ht="12.75" customHeight="1">
      <c r="A141" s="25"/>
      <c r="B141" s="59"/>
      <c r="C141" s="59"/>
      <c r="D141" s="59"/>
      <c r="E141" s="59"/>
      <c r="F141" s="59"/>
    </row>
    <row r="142" ht="12.75" customHeight="1">
      <c r="A142" s="25"/>
      <c r="B142" s="59"/>
      <c r="C142" s="59"/>
      <c r="D142" s="59"/>
      <c r="E142" s="59"/>
      <c r="F142" s="59"/>
    </row>
    <row r="143" ht="12.75" customHeight="1">
      <c r="A143" s="25"/>
      <c r="B143" s="59"/>
      <c r="C143" s="59"/>
      <c r="D143" s="59"/>
      <c r="E143" s="59"/>
      <c r="F143" s="59"/>
    </row>
    <row r="144" ht="12.75" customHeight="1">
      <c r="A144" s="25"/>
      <c r="B144" s="59"/>
      <c r="C144" s="59"/>
      <c r="D144" s="59"/>
      <c r="E144" s="59"/>
      <c r="F144" s="59"/>
    </row>
    <row r="145" ht="12.75" customHeight="1">
      <c r="A145" s="25"/>
      <c r="B145" s="59"/>
      <c r="C145" s="59"/>
      <c r="D145" s="59"/>
      <c r="E145" s="59"/>
      <c r="F145" s="59"/>
    </row>
    <row r="146" ht="12.75" customHeight="1">
      <c r="A146" s="25"/>
      <c r="B146" s="59"/>
      <c r="C146" s="59"/>
      <c r="D146" s="59"/>
      <c r="E146" s="59"/>
      <c r="F146" s="59"/>
    </row>
    <row r="147" ht="12.75" customHeight="1">
      <c r="A147" s="25"/>
      <c r="B147" s="59"/>
      <c r="C147" s="59"/>
      <c r="D147" s="59"/>
      <c r="E147" s="59"/>
      <c r="F147" s="59"/>
    </row>
    <row r="148" ht="12.75" customHeight="1">
      <c r="A148" s="25"/>
      <c r="B148" s="59"/>
      <c r="C148" s="59"/>
      <c r="D148" s="59"/>
      <c r="E148" s="59"/>
      <c r="F148" s="59"/>
    </row>
    <row r="149" ht="12.75" customHeight="1">
      <c r="A149" s="25"/>
      <c r="B149" s="59"/>
      <c r="C149" s="59"/>
      <c r="D149" s="59"/>
      <c r="E149" s="59"/>
      <c r="F149" s="59"/>
    </row>
    <row r="150" ht="12.75" customHeight="1">
      <c r="A150" s="25"/>
      <c r="B150" s="59"/>
      <c r="C150" s="59"/>
      <c r="D150" s="59"/>
      <c r="E150" s="59"/>
      <c r="F150" s="59"/>
    </row>
    <row r="151" ht="12.75" customHeight="1">
      <c r="A151" s="25"/>
      <c r="B151" s="59"/>
      <c r="C151" s="59"/>
      <c r="D151" s="59"/>
      <c r="E151" s="59"/>
      <c r="F151" s="59"/>
    </row>
    <row r="152" ht="12.75" customHeight="1">
      <c r="A152" s="25"/>
      <c r="B152" s="59"/>
      <c r="C152" s="59"/>
      <c r="D152" s="59"/>
      <c r="E152" s="59"/>
      <c r="F152" s="59"/>
    </row>
    <row r="153" ht="12.75" customHeight="1">
      <c r="A153" s="25"/>
      <c r="B153" s="59"/>
      <c r="C153" s="59"/>
      <c r="D153" s="59"/>
      <c r="E153" s="59"/>
      <c r="F153" s="59"/>
    </row>
    <row r="154" ht="12.75" customHeight="1">
      <c r="A154" s="25"/>
      <c r="B154" s="59"/>
      <c r="C154" s="59"/>
      <c r="D154" s="59"/>
      <c r="E154" s="59"/>
      <c r="F154" s="59"/>
    </row>
    <row r="155" ht="12.75" customHeight="1">
      <c r="A155" s="25"/>
      <c r="B155" s="59"/>
      <c r="C155" s="59"/>
      <c r="D155" s="59"/>
      <c r="E155" s="59"/>
      <c r="F155" s="59"/>
    </row>
    <row r="156" ht="12.75" customHeight="1">
      <c r="A156" s="25"/>
      <c r="B156" s="59"/>
      <c r="C156" s="59"/>
      <c r="D156" s="59"/>
      <c r="E156" s="59"/>
      <c r="F156" s="59"/>
    </row>
    <row r="157" ht="12.75" customHeight="1">
      <c r="A157" s="25"/>
      <c r="B157" s="59"/>
      <c r="C157" s="59"/>
      <c r="D157" s="59"/>
      <c r="E157" s="59"/>
      <c r="F157" s="59"/>
    </row>
    <row r="158" ht="12.75" customHeight="1">
      <c r="A158" s="25"/>
      <c r="B158" s="59"/>
      <c r="C158" s="59"/>
      <c r="D158" s="59"/>
      <c r="E158" s="59"/>
      <c r="F158" s="59"/>
    </row>
    <row r="159" ht="12.75" customHeight="1">
      <c r="A159" s="25"/>
      <c r="B159" s="59"/>
      <c r="C159" s="59"/>
      <c r="D159" s="59"/>
      <c r="E159" s="59"/>
      <c r="F159" s="59"/>
    </row>
    <row r="160" ht="12.75" customHeight="1">
      <c r="A160" s="25"/>
      <c r="B160" s="59"/>
      <c r="C160" s="59"/>
      <c r="D160" s="59"/>
      <c r="E160" s="59"/>
      <c r="F160" s="59"/>
    </row>
    <row r="161" ht="12.75" customHeight="1">
      <c r="A161" s="25"/>
      <c r="B161" s="59"/>
      <c r="C161" s="59"/>
      <c r="D161" s="59"/>
      <c r="E161" s="59"/>
      <c r="F161" s="59"/>
    </row>
    <row r="162" ht="12.75" customHeight="1">
      <c r="A162" s="25"/>
      <c r="B162" s="59"/>
      <c r="C162" s="59"/>
      <c r="D162" s="59"/>
      <c r="E162" s="59"/>
      <c r="F162" s="59"/>
    </row>
    <row r="163" ht="12.75" customHeight="1">
      <c r="A163" s="25"/>
      <c r="B163" s="59"/>
      <c r="C163" s="59"/>
      <c r="D163" s="59"/>
      <c r="E163" s="59"/>
      <c r="F163" s="59"/>
    </row>
    <row r="164" ht="12.75" customHeight="1">
      <c r="A164" s="25"/>
      <c r="B164" s="59"/>
      <c r="C164" s="59"/>
      <c r="D164" s="59"/>
      <c r="E164" s="59"/>
      <c r="F164" s="59"/>
    </row>
    <row r="165" ht="12.75" customHeight="1">
      <c r="A165" s="25"/>
      <c r="B165" s="59"/>
      <c r="C165" s="59"/>
      <c r="D165" s="59"/>
      <c r="E165" s="59"/>
      <c r="F165" s="59"/>
    </row>
    <row r="166" ht="12.75" customHeight="1">
      <c r="A166" s="25"/>
      <c r="B166" s="59"/>
      <c r="C166" s="59"/>
      <c r="D166" s="59"/>
      <c r="E166" s="59"/>
      <c r="F166" s="59"/>
    </row>
    <row r="167" ht="12.75" customHeight="1">
      <c r="A167" s="25"/>
      <c r="B167" s="59"/>
      <c r="C167" s="59"/>
      <c r="D167" s="59"/>
      <c r="E167" s="59"/>
      <c r="F167" s="59"/>
    </row>
    <row r="168" ht="12.75" customHeight="1">
      <c r="A168" s="25"/>
      <c r="B168" s="59"/>
      <c r="C168" s="59"/>
      <c r="D168" s="59"/>
      <c r="E168" s="59"/>
      <c r="F168" s="59"/>
    </row>
    <row r="169" ht="12.75" customHeight="1">
      <c r="A169" s="25"/>
      <c r="B169" s="59"/>
      <c r="C169" s="59"/>
      <c r="D169" s="59"/>
      <c r="E169" s="59"/>
      <c r="F169" s="59"/>
    </row>
    <row r="170" ht="12.75" customHeight="1">
      <c r="A170" s="25"/>
      <c r="B170" s="59"/>
      <c r="C170" s="59"/>
      <c r="D170" s="59"/>
      <c r="E170" s="59"/>
      <c r="F170" s="59"/>
    </row>
    <row r="171" ht="12.75" customHeight="1">
      <c r="A171" s="25"/>
      <c r="B171" s="59"/>
      <c r="C171" s="59"/>
      <c r="D171" s="59"/>
      <c r="E171" s="59"/>
      <c r="F171" s="59"/>
    </row>
    <row r="172" ht="12.75" customHeight="1">
      <c r="A172" s="25"/>
      <c r="B172" s="59"/>
      <c r="C172" s="59"/>
      <c r="D172" s="59"/>
      <c r="E172" s="59"/>
      <c r="F172" s="59"/>
    </row>
    <row r="173" ht="12.75" customHeight="1">
      <c r="A173" s="25"/>
      <c r="B173" s="59"/>
      <c r="C173" s="59"/>
      <c r="D173" s="59"/>
      <c r="E173" s="59"/>
      <c r="F173" s="59"/>
    </row>
    <row r="174" ht="12.75" customHeight="1">
      <c r="A174" s="25"/>
      <c r="B174" s="59"/>
      <c r="C174" s="59"/>
      <c r="D174" s="59"/>
      <c r="E174" s="59"/>
      <c r="F174" s="59"/>
    </row>
    <row r="175" ht="12.75" customHeight="1">
      <c r="A175" s="25"/>
      <c r="B175" s="59"/>
      <c r="C175" s="59"/>
      <c r="D175" s="59"/>
      <c r="E175" s="59"/>
      <c r="F175" s="59"/>
    </row>
    <row r="176" ht="12.75" customHeight="1">
      <c r="A176" s="25"/>
      <c r="B176" s="59"/>
      <c r="C176" s="59"/>
      <c r="D176" s="59"/>
      <c r="E176" s="59"/>
      <c r="F176" s="59"/>
    </row>
    <row r="177" ht="12.75" customHeight="1">
      <c r="A177" s="25"/>
      <c r="B177" s="59"/>
      <c r="C177" s="59"/>
      <c r="D177" s="59"/>
      <c r="E177" s="59"/>
      <c r="F177" s="59"/>
    </row>
    <row r="178" ht="12.75" customHeight="1">
      <c r="A178" s="25"/>
      <c r="B178" s="59"/>
      <c r="C178" s="59"/>
      <c r="D178" s="59"/>
      <c r="E178" s="59"/>
      <c r="F178" s="59"/>
    </row>
    <row r="179" ht="12.75" customHeight="1">
      <c r="A179" s="25"/>
      <c r="B179" s="59"/>
      <c r="C179" s="59"/>
      <c r="D179" s="59"/>
      <c r="E179" s="59"/>
      <c r="F179" s="59"/>
    </row>
    <row r="180" ht="12.75" customHeight="1">
      <c r="A180" s="25"/>
      <c r="B180" s="59"/>
      <c r="C180" s="59"/>
      <c r="D180" s="59"/>
      <c r="E180" s="59"/>
      <c r="F180" s="59"/>
    </row>
    <row r="181" ht="12.75" customHeight="1">
      <c r="A181" s="25"/>
      <c r="B181" s="59"/>
      <c r="C181" s="59"/>
      <c r="D181" s="59"/>
      <c r="E181" s="59"/>
      <c r="F181" s="59"/>
    </row>
    <row r="182" ht="12.75" customHeight="1">
      <c r="A182" s="25"/>
      <c r="B182" s="59"/>
      <c r="C182" s="59"/>
      <c r="D182" s="59"/>
      <c r="E182" s="59"/>
      <c r="F182" s="59"/>
    </row>
    <row r="183" ht="12.75" customHeight="1">
      <c r="A183" s="25"/>
      <c r="B183" s="59"/>
      <c r="C183" s="59"/>
      <c r="D183" s="59"/>
      <c r="E183" s="59"/>
      <c r="F183" s="59"/>
    </row>
    <row r="184" ht="12.75" customHeight="1">
      <c r="A184" s="25"/>
      <c r="B184" s="59"/>
      <c r="C184" s="59"/>
      <c r="D184" s="59"/>
      <c r="E184" s="59"/>
      <c r="F184" s="59"/>
    </row>
    <row r="185" ht="12.75" customHeight="1">
      <c r="A185" s="25"/>
      <c r="B185" s="59"/>
      <c r="C185" s="59"/>
      <c r="D185" s="59"/>
      <c r="E185" s="59"/>
      <c r="F185" s="59"/>
    </row>
    <row r="186" ht="12.75" customHeight="1">
      <c r="A186" s="25"/>
      <c r="B186" s="59"/>
      <c r="C186" s="59"/>
      <c r="D186" s="59"/>
      <c r="E186" s="59"/>
      <c r="F186" s="59"/>
    </row>
    <row r="187" ht="12.75" customHeight="1">
      <c r="A187" s="25"/>
      <c r="B187" s="59"/>
      <c r="C187" s="59"/>
      <c r="D187" s="59"/>
      <c r="E187" s="59"/>
      <c r="F187" s="59"/>
    </row>
    <row r="188" ht="12.75" customHeight="1">
      <c r="A188" s="25"/>
      <c r="B188" s="59"/>
      <c r="C188" s="59"/>
      <c r="D188" s="59"/>
      <c r="E188" s="59"/>
      <c r="F188" s="59"/>
    </row>
    <row r="189" ht="12.75" customHeight="1">
      <c r="A189" s="25"/>
      <c r="B189" s="59"/>
      <c r="C189" s="59"/>
      <c r="D189" s="59"/>
      <c r="E189" s="59"/>
      <c r="F189" s="59"/>
    </row>
    <row r="190" ht="12.75" customHeight="1">
      <c r="A190" s="25"/>
      <c r="B190" s="59"/>
      <c r="C190" s="59"/>
      <c r="D190" s="59"/>
      <c r="E190" s="59"/>
      <c r="F190" s="59"/>
    </row>
    <row r="191" ht="12.75" customHeight="1">
      <c r="A191" s="25"/>
      <c r="B191" s="59"/>
      <c r="C191" s="59"/>
      <c r="D191" s="59"/>
      <c r="E191" s="59"/>
      <c r="F191" s="59"/>
    </row>
    <row r="192" ht="12.75" customHeight="1">
      <c r="A192" s="25"/>
      <c r="B192" s="59"/>
      <c r="C192" s="59"/>
      <c r="D192" s="59"/>
      <c r="E192" s="59"/>
      <c r="F192" s="59"/>
    </row>
    <row r="193" ht="12.75" customHeight="1">
      <c r="A193" s="25"/>
      <c r="B193" s="59"/>
      <c r="C193" s="59"/>
      <c r="D193" s="59"/>
      <c r="E193" s="59"/>
      <c r="F193" s="59"/>
    </row>
    <row r="194" ht="12.75" customHeight="1">
      <c r="A194" s="25"/>
      <c r="B194" s="59"/>
      <c r="C194" s="59"/>
      <c r="D194" s="59"/>
      <c r="E194" s="59"/>
      <c r="F194" s="59"/>
    </row>
    <row r="195" ht="12.75" customHeight="1">
      <c r="A195" s="25"/>
      <c r="B195" s="59"/>
      <c r="C195" s="59"/>
      <c r="D195" s="59"/>
      <c r="E195" s="59"/>
      <c r="F195" s="59"/>
    </row>
    <row r="196" ht="12.75" customHeight="1">
      <c r="A196" s="25"/>
      <c r="B196" s="59"/>
      <c r="C196" s="59"/>
      <c r="D196" s="59"/>
      <c r="E196" s="59"/>
      <c r="F196" s="59"/>
    </row>
    <row r="197" ht="12.75" customHeight="1">
      <c r="A197" s="25"/>
      <c r="B197" s="59"/>
      <c r="C197" s="59"/>
      <c r="D197" s="59"/>
      <c r="E197" s="59"/>
      <c r="F197" s="59"/>
    </row>
    <row r="198" ht="12.75" customHeight="1">
      <c r="A198" s="25"/>
      <c r="B198" s="59"/>
      <c r="C198" s="59"/>
      <c r="D198" s="59"/>
      <c r="E198" s="59"/>
      <c r="F198" s="59"/>
    </row>
    <row r="199" ht="12.75" customHeight="1">
      <c r="A199" s="25"/>
      <c r="B199" s="59"/>
      <c r="C199" s="59"/>
      <c r="D199" s="59"/>
      <c r="E199" s="59"/>
      <c r="F199" s="59"/>
    </row>
    <row r="200" ht="12.75" customHeight="1">
      <c r="A200" s="25"/>
      <c r="B200" s="59"/>
      <c r="C200" s="59"/>
      <c r="D200" s="59"/>
      <c r="E200" s="59"/>
      <c r="F200" s="59"/>
    </row>
    <row r="201" ht="12.75" customHeight="1">
      <c r="A201" s="25"/>
      <c r="B201" s="59"/>
      <c r="C201" s="59"/>
      <c r="D201" s="59"/>
      <c r="E201" s="59"/>
      <c r="F201" s="59"/>
    </row>
    <row r="202" ht="12.75" customHeight="1">
      <c r="A202" s="25"/>
      <c r="B202" s="59"/>
      <c r="C202" s="59"/>
      <c r="D202" s="59"/>
      <c r="E202" s="59"/>
      <c r="F202" s="59"/>
    </row>
    <row r="203" ht="12.75" customHeight="1">
      <c r="A203" s="25"/>
      <c r="B203" s="59"/>
      <c r="C203" s="59"/>
      <c r="D203" s="59"/>
      <c r="E203" s="59"/>
      <c r="F203" s="59"/>
    </row>
    <row r="204" ht="12.75" customHeight="1">
      <c r="A204" s="25"/>
      <c r="B204" s="59"/>
      <c r="C204" s="59"/>
      <c r="D204" s="59"/>
      <c r="E204" s="59"/>
      <c r="F204" s="59"/>
    </row>
    <row r="205" ht="12.75" customHeight="1">
      <c r="A205" s="25"/>
      <c r="B205" s="59"/>
      <c r="C205" s="59"/>
      <c r="D205" s="59"/>
      <c r="E205" s="59"/>
      <c r="F205" s="59"/>
    </row>
    <row r="206" ht="12.75" customHeight="1">
      <c r="A206" s="25"/>
      <c r="B206" s="59"/>
      <c r="C206" s="59"/>
      <c r="D206" s="59"/>
      <c r="E206" s="59"/>
      <c r="F206" s="59"/>
    </row>
    <row r="207" ht="12.75" customHeight="1">
      <c r="A207" s="25"/>
      <c r="B207" s="59"/>
      <c r="C207" s="59"/>
      <c r="D207" s="59"/>
      <c r="E207" s="59"/>
      <c r="F207" s="59"/>
    </row>
    <row r="208" ht="12.75" customHeight="1">
      <c r="A208" s="25"/>
      <c r="B208" s="59"/>
      <c r="C208" s="59"/>
      <c r="D208" s="59"/>
      <c r="E208" s="59"/>
      <c r="F208" s="59"/>
    </row>
    <row r="209" ht="12.75" customHeight="1">
      <c r="A209" s="25"/>
      <c r="B209" s="59"/>
      <c r="C209" s="59"/>
      <c r="D209" s="59"/>
      <c r="E209" s="59"/>
      <c r="F209" s="59"/>
    </row>
    <row r="210" ht="12.75" customHeight="1">
      <c r="A210" s="25"/>
      <c r="B210" s="59"/>
      <c r="C210" s="59"/>
      <c r="D210" s="59"/>
      <c r="E210" s="59"/>
      <c r="F210" s="59"/>
    </row>
    <row r="211" ht="12.75" customHeight="1">
      <c r="A211" s="25"/>
      <c r="B211" s="59"/>
      <c r="C211" s="59"/>
      <c r="D211" s="59"/>
      <c r="E211" s="59"/>
      <c r="F211" s="59"/>
    </row>
    <row r="212" ht="12.75" customHeight="1">
      <c r="A212" s="25"/>
      <c r="B212" s="59"/>
      <c r="C212" s="59"/>
      <c r="D212" s="59"/>
      <c r="E212" s="59"/>
      <c r="F212" s="59"/>
    </row>
    <row r="213" ht="12.75" customHeight="1">
      <c r="A213" s="25"/>
      <c r="B213" s="59"/>
      <c r="C213" s="59"/>
      <c r="D213" s="59"/>
      <c r="E213" s="59"/>
      <c r="F213" s="59"/>
    </row>
    <row r="214" ht="12.75" customHeight="1">
      <c r="A214" s="25"/>
      <c r="B214" s="59"/>
      <c r="C214" s="59"/>
      <c r="D214" s="59"/>
      <c r="E214" s="59"/>
      <c r="F214" s="59"/>
    </row>
    <row r="215" ht="12.75" customHeight="1">
      <c r="A215" s="25"/>
      <c r="B215" s="59"/>
      <c r="C215" s="59"/>
      <c r="D215" s="59"/>
      <c r="E215" s="59"/>
      <c r="F215" s="59"/>
    </row>
    <row r="216" ht="12.75" customHeight="1">
      <c r="A216" s="25"/>
      <c r="B216" s="59"/>
      <c r="C216" s="59"/>
      <c r="D216" s="59"/>
      <c r="E216" s="59"/>
      <c r="F216" s="59"/>
    </row>
    <row r="217" ht="12.75" customHeight="1">
      <c r="A217" s="25"/>
      <c r="B217" s="59"/>
      <c r="C217" s="59"/>
      <c r="D217" s="59"/>
      <c r="E217" s="59"/>
      <c r="F217" s="59"/>
    </row>
    <row r="218" ht="12.75" customHeight="1">
      <c r="A218" s="25"/>
      <c r="B218" s="59"/>
      <c r="C218" s="59"/>
      <c r="D218" s="59"/>
      <c r="E218" s="59"/>
      <c r="F218" s="59"/>
    </row>
    <row r="219" ht="12.75" customHeight="1">
      <c r="A219" s="25"/>
      <c r="B219" s="59"/>
      <c r="C219" s="59"/>
      <c r="D219" s="59"/>
      <c r="E219" s="59"/>
      <c r="F219" s="59"/>
    </row>
    <row r="220" ht="12.75" customHeight="1">
      <c r="A220" s="25"/>
      <c r="B220" s="59"/>
      <c r="C220" s="59"/>
      <c r="D220" s="59"/>
      <c r="E220" s="59"/>
      <c r="F220" s="59"/>
    </row>
    <row r="221" ht="12.75" customHeight="1">
      <c r="A221" s="25"/>
      <c r="B221" s="59"/>
      <c r="C221" s="59"/>
      <c r="D221" s="59"/>
      <c r="E221" s="59"/>
      <c r="F221" s="59"/>
    </row>
    <row r="222" ht="12.75" customHeight="1">
      <c r="A222" s="25"/>
      <c r="B222" s="59"/>
      <c r="C222" s="59"/>
      <c r="D222" s="59"/>
      <c r="E222" s="59"/>
      <c r="F222" s="59"/>
    </row>
    <row r="223" ht="12.75" customHeight="1">
      <c r="A223" s="25"/>
      <c r="B223" s="59"/>
      <c r="C223" s="59"/>
      <c r="D223" s="59"/>
      <c r="E223" s="59"/>
      <c r="F223" s="59"/>
    </row>
    <row r="224" ht="12.75" customHeight="1">
      <c r="A224" s="25"/>
      <c r="B224" s="59"/>
      <c r="C224" s="59"/>
      <c r="D224" s="59"/>
      <c r="E224" s="59"/>
      <c r="F224" s="59"/>
    </row>
    <row r="225" ht="12.75" customHeight="1">
      <c r="A225" s="25"/>
      <c r="B225" s="59"/>
      <c r="C225" s="59"/>
      <c r="D225" s="59"/>
      <c r="E225" s="59"/>
      <c r="F225" s="59"/>
    </row>
    <row r="226" ht="12.75" customHeight="1">
      <c r="A226" s="25"/>
      <c r="B226" s="59"/>
      <c r="C226" s="59"/>
      <c r="D226" s="59"/>
      <c r="E226" s="59"/>
      <c r="F226" s="59"/>
    </row>
    <row r="227" ht="12.75" customHeight="1">
      <c r="A227" s="25"/>
      <c r="B227" s="59"/>
      <c r="C227" s="59"/>
      <c r="D227" s="59"/>
      <c r="E227" s="59"/>
      <c r="F227" s="59"/>
    </row>
    <row r="228" ht="12.75" customHeight="1">
      <c r="A228" s="25"/>
      <c r="B228" s="59"/>
      <c r="C228" s="59"/>
      <c r="D228" s="59"/>
      <c r="E228" s="59"/>
      <c r="F228" s="59"/>
    </row>
    <row r="229" ht="12.75" customHeight="1">
      <c r="A229" s="25"/>
      <c r="B229" s="59"/>
      <c r="C229" s="59"/>
      <c r="D229" s="59"/>
      <c r="E229" s="59"/>
      <c r="F229" s="59"/>
    </row>
    <row r="230" ht="12.75" customHeight="1">
      <c r="A230" s="25"/>
      <c r="B230" s="59"/>
      <c r="C230" s="59"/>
      <c r="D230" s="59"/>
      <c r="E230" s="59"/>
      <c r="F230" s="59"/>
    </row>
    <row r="231" ht="12.75" customHeight="1">
      <c r="A231" s="25"/>
      <c r="B231" s="59"/>
      <c r="C231" s="59"/>
      <c r="D231" s="59"/>
      <c r="E231" s="59"/>
      <c r="F231" s="59"/>
    </row>
    <row r="232" ht="12.75" customHeight="1">
      <c r="A232" s="25"/>
      <c r="B232" s="59"/>
      <c r="C232" s="59"/>
      <c r="D232" s="59"/>
      <c r="E232" s="59"/>
      <c r="F232" s="59"/>
    </row>
    <row r="233" ht="12.75" customHeight="1">
      <c r="A233" s="25"/>
      <c r="B233" s="59"/>
      <c r="C233" s="59"/>
      <c r="D233" s="59"/>
      <c r="E233" s="59"/>
      <c r="F233" s="59"/>
    </row>
    <row r="234" ht="12.75" customHeight="1">
      <c r="A234" s="25"/>
      <c r="B234" s="59"/>
      <c r="C234" s="59"/>
      <c r="D234" s="59"/>
      <c r="E234" s="59"/>
      <c r="F234" s="59"/>
    </row>
    <row r="235" ht="12.75" customHeight="1">
      <c r="A235" s="25"/>
      <c r="B235" s="59"/>
      <c r="C235" s="59"/>
      <c r="D235" s="59"/>
      <c r="E235" s="59"/>
      <c r="F235" s="59"/>
    </row>
    <row r="236" ht="12.75" customHeight="1">
      <c r="A236" s="25"/>
      <c r="B236" s="59"/>
      <c r="C236" s="59"/>
      <c r="D236" s="59"/>
      <c r="E236" s="59"/>
      <c r="F236" s="59"/>
    </row>
    <row r="237" ht="12.75" customHeight="1">
      <c r="A237" s="25"/>
      <c r="B237" s="59"/>
      <c r="C237" s="59"/>
      <c r="D237" s="59"/>
      <c r="E237" s="59"/>
      <c r="F237" s="59"/>
    </row>
    <row r="238" ht="12.75" customHeight="1">
      <c r="A238" s="25"/>
      <c r="B238" s="59"/>
      <c r="C238" s="59"/>
      <c r="D238" s="59"/>
      <c r="E238" s="59"/>
      <c r="F238" s="59"/>
    </row>
    <row r="239" ht="12.75" customHeight="1">
      <c r="A239" s="25"/>
      <c r="B239" s="59"/>
      <c r="C239" s="59"/>
      <c r="D239" s="59"/>
      <c r="E239" s="59"/>
      <c r="F239" s="59"/>
    </row>
    <row r="240" ht="12.75" customHeight="1">
      <c r="A240" s="25"/>
      <c r="B240" s="59"/>
      <c r="C240" s="59"/>
      <c r="D240" s="59"/>
      <c r="E240" s="59"/>
      <c r="F240" s="59"/>
    </row>
    <row r="241" ht="12.75" customHeight="1">
      <c r="A241" s="25"/>
      <c r="B241" s="59"/>
      <c r="C241" s="59"/>
      <c r="D241" s="59"/>
      <c r="E241" s="59"/>
      <c r="F241" s="59"/>
    </row>
    <row r="242" ht="12.75" customHeight="1">
      <c r="A242" s="25"/>
      <c r="B242" s="59"/>
      <c r="C242" s="59"/>
      <c r="D242" s="59"/>
      <c r="E242" s="59"/>
      <c r="F242" s="59"/>
    </row>
    <row r="243" ht="12.75" customHeight="1">
      <c r="A243" s="25"/>
      <c r="B243" s="59"/>
      <c r="C243" s="59"/>
      <c r="D243" s="59"/>
      <c r="E243" s="59"/>
      <c r="F243" s="59"/>
    </row>
    <row r="244" ht="12.75" customHeight="1">
      <c r="A244" s="25"/>
      <c r="B244" s="59"/>
      <c r="C244" s="59"/>
      <c r="D244" s="59"/>
      <c r="E244" s="59"/>
      <c r="F244" s="59"/>
    </row>
    <row r="245" ht="12.75" customHeight="1">
      <c r="A245" s="25"/>
      <c r="B245" s="59"/>
      <c r="C245" s="59"/>
      <c r="D245" s="59"/>
      <c r="E245" s="59"/>
      <c r="F245" s="59"/>
    </row>
    <row r="246" ht="12.75" customHeight="1">
      <c r="A246" s="25"/>
      <c r="B246" s="59"/>
      <c r="C246" s="59"/>
      <c r="D246" s="59"/>
      <c r="E246" s="59"/>
      <c r="F246" s="59"/>
    </row>
    <row r="247" ht="12.75" customHeight="1">
      <c r="A247" s="25"/>
      <c r="B247" s="59"/>
      <c r="C247" s="59"/>
      <c r="D247" s="59"/>
      <c r="E247" s="59"/>
      <c r="F247" s="59"/>
    </row>
    <row r="248" ht="12.75" customHeight="1">
      <c r="A248" s="25"/>
      <c r="B248" s="59"/>
      <c r="C248" s="59"/>
      <c r="D248" s="59"/>
      <c r="E248" s="59"/>
      <c r="F248" s="59"/>
    </row>
    <row r="249" ht="12.75" customHeight="1">
      <c r="A249" s="25"/>
      <c r="B249" s="59"/>
      <c r="C249" s="59"/>
      <c r="D249" s="59"/>
      <c r="E249" s="59"/>
      <c r="F249" s="59"/>
    </row>
    <row r="250" ht="12.75" customHeight="1">
      <c r="A250" s="25"/>
      <c r="B250" s="59"/>
      <c r="C250" s="59"/>
      <c r="D250" s="59"/>
      <c r="E250" s="59"/>
      <c r="F250" s="59"/>
    </row>
    <row r="251" ht="12.75" customHeight="1">
      <c r="A251" s="25"/>
      <c r="B251" s="59"/>
      <c r="C251" s="59"/>
      <c r="D251" s="59"/>
      <c r="E251" s="59"/>
      <c r="F251" s="59"/>
    </row>
    <row r="252" ht="12.75" customHeight="1">
      <c r="A252" s="25"/>
      <c r="B252" s="59"/>
      <c r="C252" s="59"/>
      <c r="D252" s="59"/>
      <c r="E252" s="59"/>
      <c r="F252" s="59"/>
    </row>
    <row r="253" ht="12.75" customHeight="1">
      <c r="A253" s="25"/>
      <c r="B253" s="59"/>
      <c r="C253" s="59"/>
      <c r="D253" s="59"/>
      <c r="E253" s="59"/>
      <c r="F253" s="59"/>
    </row>
    <row r="254" ht="12.75" customHeight="1">
      <c r="A254" s="25"/>
      <c r="B254" s="59"/>
      <c r="C254" s="59"/>
      <c r="D254" s="59"/>
      <c r="E254" s="59"/>
      <c r="F254" s="59"/>
    </row>
    <row r="255" ht="12.75" customHeight="1">
      <c r="A255" s="25"/>
      <c r="B255" s="59"/>
      <c r="C255" s="59"/>
      <c r="D255" s="59"/>
      <c r="E255" s="59"/>
      <c r="F255" s="59"/>
    </row>
    <row r="256" ht="12.75" customHeight="1">
      <c r="A256" s="25"/>
      <c r="B256" s="59"/>
      <c r="C256" s="59"/>
      <c r="D256" s="59"/>
      <c r="E256" s="59"/>
      <c r="F256" s="59"/>
    </row>
    <row r="257" ht="12.75" customHeight="1">
      <c r="A257" s="25"/>
      <c r="B257" s="59"/>
      <c r="C257" s="59"/>
      <c r="D257" s="59"/>
      <c r="E257" s="59"/>
      <c r="F257" s="59"/>
    </row>
    <row r="258" ht="12.75" customHeight="1">
      <c r="A258" s="25"/>
      <c r="B258" s="59"/>
      <c r="C258" s="59"/>
      <c r="D258" s="59"/>
      <c r="E258" s="59"/>
      <c r="F258" s="59"/>
    </row>
    <row r="259" ht="12.75" customHeight="1">
      <c r="A259" s="25"/>
      <c r="B259" s="59"/>
      <c r="C259" s="59"/>
      <c r="D259" s="59"/>
      <c r="E259" s="59"/>
      <c r="F259" s="59"/>
    </row>
    <row r="260" ht="12.75" customHeight="1">
      <c r="A260" s="25"/>
      <c r="B260" s="59"/>
      <c r="C260" s="59"/>
      <c r="D260" s="59"/>
      <c r="E260" s="59"/>
      <c r="F260" s="59"/>
    </row>
    <row r="261" ht="12.75" customHeight="1">
      <c r="A261" s="25"/>
      <c r="B261" s="59"/>
      <c r="C261" s="59"/>
      <c r="D261" s="59"/>
      <c r="E261" s="59"/>
      <c r="F261" s="59"/>
    </row>
    <row r="262" ht="12.75" customHeight="1">
      <c r="A262" s="25"/>
      <c r="B262" s="59"/>
      <c r="C262" s="59"/>
      <c r="D262" s="59"/>
      <c r="E262" s="59"/>
      <c r="F262" s="59"/>
    </row>
    <row r="263" ht="12.75" customHeight="1">
      <c r="A263" s="25"/>
      <c r="B263" s="59"/>
      <c r="C263" s="59"/>
      <c r="D263" s="59"/>
      <c r="E263" s="59"/>
      <c r="F263" s="59"/>
    </row>
    <row r="264" ht="12.75" customHeight="1">
      <c r="A264" s="25"/>
      <c r="B264" s="59"/>
      <c r="C264" s="59"/>
      <c r="D264" s="59"/>
      <c r="E264" s="59"/>
      <c r="F264" s="59"/>
    </row>
    <row r="265" ht="12.75" customHeight="1">
      <c r="A265" s="25"/>
      <c r="B265" s="59"/>
      <c r="C265" s="59"/>
      <c r="D265" s="59"/>
      <c r="E265" s="59"/>
      <c r="F265" s="59"/>
    </row>
    <row r="266" ht="12.75" customHeight="1">
      <c r="A266" s="25"/>
      <c r="B266" s="59"/>
      <c r="C266" s="59"/>
      <c r="D266" s="59"/>
      <c r="E266" s="59"/>
      <c r="F266" s="59"/>
    </row>
    <row r="267" ht="12.75" customHeight="1">
      <c r="A267" s="25"/>
      <c r="B267" s="59"/>
      <c r="C267" s="59"/>
      <c r="D267" s="59"/>
      <c r="E267" s="59"/>
      <c r="F267" s="59"/>
    </row>
    <row r="268" ht="12.75" customHeight="1">
      <c r="A268" s="25"/>
      <c r="B268" s="59"/>
      <c r="C268" s="59"/>
      <c r="D268" s="59"/>
      <c r="E268" s="59"/>
      <c r="F268" s="59"/>
    </row>
    <row r="269" ht="12.75" customHeight="1">
      <c r="A269" s="25"/>
      <c r="B269" s="59"/>
      <c r="C269" s="59"/>
      <c r="D269" s="59"/>
      <c r="E269" s="59"/>
      <c r="F269" s="59"/>
    </row>
    <row r="270" ht="12.75" customHeight="1">
      <c r="A270" s="25"/>
      <c r="B270" s="59"/>
      <c r="C270" s="59"/>
      <c r="D270" s="59"/>
      <c r="E270" s="59"/>
      <c r="F270" s="59"/>
    </row>
    <row r="271" ht="12.75" customHeight="1">
      <c r="A271" s="25"/>
      <c r="B271" s="59"/>
      <c r="C271" s="59"/>
      <c r="D271" s="59"/>
      <c r="E271" s="59"/>
      <c r="F271" s="59"/>
    </row>
    <row r="272" ht="12.75" customHeight="1">
      <c r="A272" s="25"/>
      <c r="B272" s="59"/>
      <c r="C272" s="59"/>
      <c r="D272" s="59"/>
      <c r="E272" s="59"/>
      <c r="F272" s="59"/>
    </row>
    <row r="273" ht="12.75" customHeight="1">
      <c r="A273" s="25"/>
      <c r="B273" s="59"/>
      <c r="C273" s="59"/>
      <c r="D273" s="59"/>
      <c r="E273" s="59"/>
      <c r="F273" s="59"/>
    </row>
    <row r="274" ht="12.75" customHeight="1">
      <c r="A274" s="25"/>
      <c r="B274" s="59"/>
      <c r="C274" s="59"/>
      <c r="D274" s="59"/>
      <c r="E274" s="59"/>
      <c r="F274" s="59"/>
    </row>
    <row r="275" ht="12.75" customHeight="1">
      <c r="A275" s="25"/>
      <c r="B275" s="59"/>
      <c r="C275" s="59"/>
      <c r="D275" s="59"/>
      <c r="E275" s="59"/>
      <c r="F275" s="59"/>
    </row>
    <row r="276" ht="12.75" customHeight="1">
      <c r="A276" s="25"/>
      <c r="B276" s="59"/>
      <c r="C276" s="59"/>
      <c r="D276" s="59"/>
      <c r="E276" s="59"/>
      <c r="F276" s="59"/>
    </row>
    <row r="277" ht="12.75" customHeight="1">
      <c r="A277" s="25"/>
      <c r="B277" s="59"/>
      <c r="C277" s="59"/>
      <c r="D277" s="59"/>
      <c r="E277" s="59"/>
      <c r="F277" s="59"/>
    </row>
    <row r="278" ht="12.75" customHeight="1">
      <c r="A278" s="25"/>
      <c r="B278" s="59"/>
      <c r="C278" s="59"/>
      <c r="D278" s="59"/>
      <c r="E278" s="59"/>
      <c r="F278" s="59"/>
    </row>
    <row r="279" ht="12.75" customHeight="1">
      <c r="A279" s="25"/>
      <c r="B279" s="59"/>
      <c r="C279" s="59"/>
      <c r="D279" s="59"/>
      <c r="E279" s="59"/>
      <c r="F279" s="59"/>
    </row>
    <row r="280" ht="12.75" customHeight="1">
      <c r="A280" s="25"/>
      <c r="B280" s="59"/>
      <c r="C280" s="59"/>
      <c r="D280" s="59"/>
      <c r="E280" s="59"/>
      <c r="F280" s="59"/>
    </row>
    <row r="281" ht="12.75" customHeight="1">
      <c r="A281" s="25"/>
      <c r="B281" s="59"/>
      <c r="C281" s="59"/>
      <c r="D281" s="59"/>
      <c r="E281" s="59"/>
      <c r="F281" s="59"/>
    </row>
    <row r="282" ht="12.75" customHeight="1">
      <c r="A282" s="25"/>
      <c r="B282" s="59"/>
      <c r="C282" s="59"/>
      <c r="D282" s="59"/>
      <c r="E282" s="59"/>
      <c r="F282" s="59"/>
    </row>
    <row r="283" ht="12.75" customHeight="1">
      <c r="A283" s="25"/>
      <c r="B283" s="59"/>
      <c r="C283" s="59"/>
      <c r="D283" s="59"/>
      <c r="E283" s="59"/>
      <c r="F283" s="59"/>
    </row>
    <row r="284" ht="12.75" customHeight="1">
      <c r="A284" s="25"/>
      <c r="B284" s="59"/>
      <c r="C284" s="59"/>
      <c r="D284" s="59"/>
      <c r="E284" s="59"/>
      <c r="F284" s="59"/>
    </row>
    <row r="285" ht="12.75" customHeight="1">
      <c r="A285" s="25"/>
      <c r="B285" s="59"/>
      <c r="C285" s="59"/>
      <c r="D285" s="59"/>
      <c r="E285" s="59"/>
      <c r="F285" s="59"/>
    </row>
    <row r="286" ht="12.75" customHeight="1">
      <c r="A286" s="25"/>
      <c r="B286" s="59"/>
      <c r="C286" s="59"/>
      <c r="D286" s="59"/>
      <c r="E286" s="59"/>
      <c r="F286" s="59"/>
    </row>
    <row r="287" ht="12.75" customHeight="1">
      <c r="A287" s="25"/>
      <c r="B287" s="59"/>
      <c r="C287" s="59"/>
      <c r="D287" s="59"/>
      <c r="E287" s="59"/>
      <c r="F287" s="59"/>
    </row>
    <row r="288" ht="12.75" customHeight="1">
      <c r="A288" s="25"/>
      <c r="B288" s="59"/>
      <c r="C288" s="59"/>
      <c r="D288" s="59"/>
      <c r="E288" s="59"/>
      <c r="F288" s="59"/>
    </row>
    <row r="289" ht="12.75" customHeight="1">
      <c r="A289" s="25"/>
      <c r="B289" s="59"/>
      <c r="C289" s="59"/>
      <c r="D289" s="59"/>
      <c r="E289" s="59"/>
      <c r="F289" s="59"/>
    </row>
    <row r="290" ht="12.75" customHeight="1">
      <c r="A290" s="25"/>
      <c r="B290" s="59"/>
      <c r="C290" s="59"/>
      <c r="D290" s="59"/>
      <c r="E290" s="59"/>
      <c r="F290" s="59"/>
    </row>
    <row r="291" ht="12.75" customHeight="1">
      <c r="A291" s="25"/>
      <c r="B291" s="59"/>
      <c r="C291" s="59"/>
      <c r="D291" s="59"/>
      <c r="E291" s="59"/>
      <c r="F291" s="59"/>
    </row>
    <row r="292" ht="12.75" customHeight="1">
      <c r="A292" s="25"/>
      <c r="B292" s="59"/>
      <c r="C292" s="59"/>
      <c r="D292" s="59"/>
      <c r="E292" s="59"/>
      <c r="F292" s="59"/>
    </row>
    <row r="293" ht="12.75" customHeight="1">
      <c r="A293" s="25"/>
      <c r="B293" s="59"/>
      <c r="C293" s="59"/>
      <c r="D293" s="59"/>
      <c r="E293" s="59"/>
      <c r="F293" s="59"/>
    </row>
    <row r="294" ht="12.75" customHeight="1">
      <c r="A294" s="25"/>
      <c r="B294" s="59"/>
      <c r="C294" s="59"/>
      <c r="D294" s="59"/>
      <c r="E294" s="59"/>
      <c r="F294" s="59"/>
    </row>
    <row r="295" ht="12.75" customHeight="1">
      <c r="A295" s="25"/>
      <c r="B295" s="59"/>
      <c r="C295" s="59"/>
      <c r="D295" s="59"/>
      <c r="E295" s="59"/>
      <c r="F295" s="59"/>
    </row>
    <row r="296" ht="12.75" customHeight="1">
      <c r="A296" s="25"/>
      <c r="B296" s="59"/>
      <c r="C296" s="59"/>
      <c r="D296" s="59"/>
      <c r="E296" s="59"/>
      <c r="F296" s="59"/>
    </row>
    <row r="297" ht="12.75" customHeight="1">
      <c r="A297" s="25"/>
      <c r="B297" s="59"/>
      <c r="C297" s="59"/>
      <c r="D297" s="59"/>
      <c r="E297" s="59"/>
      <c r="F297" s="59"/>
    </row>
    <row r="298" ht="12.75" customHeight="1">
      <c r="A298" s="25"/>
      <c r="B298" s="59"/>
      <c r="C298" s="59"/>
      <c r="D298" s="59"/>
      <c r="E298" s="59"/>
      <c r="F298" s="59"/>
    </row>
    <row r="299" ht="12.75" customHeight="1">
      <c r="A299" s="25"/>
      <c r="B299" s="59"/>
      <c r="C299" s="59"/>
      <c r="D299" s="59"/>
      <c r="E299" s="59"/>
      <c r="F299" s="59"/>
    </row>
    <row r="300" ht="12.75" customHeight="1">
      <c r="A300" s="25"/>
      <c r="B300" s="59"/>
      <c r="C300" s="59"/>
      <c r="D300" s="59"/>
      <c r="E300" s="59"/>
      <c r="F300" s="59"/>
    </row>
    <row r="301" ht="12.75" customHeight="1">
      <c r="A301" s="25"/>
      <c r="B301" s="59"/>
      <c r="C301" s="59"/>
      <c r="D301" s="59"/>
      <c r="E301" s="59"/>
      <c r="F301" s="59"/>
    </row>
    <row r="302" ht="12.75" customHeight="1">
      <c r="A302" s="25"/>
      <c r="B302" s="59"/>
      <c r="C302" s="59"/>
      <c r="D302" s="59"/>
      <c r="E302" s="59"/>
      <c r="F302" s="59"/>
    </row>
    <row r="303" ht="12.75" customHeight="1">
      <c r="A303" s="25"/>
      <c r="B303" s="59"/>
      <c r="C303" s="59"/>
      <c r="D303" s="59"/>
      <c r="E303" s="59"/>
      <c r="F303" s="59"/>
    </row>
    <row r="304" ht="12.75" customHeight="1">
      <c r="A304" s="25"/>
      <c r="B304" s="59"/>
      <c r="C304" s="59"/>
      <c r="D304" s="59"/>
      <c r="E304" s="59"/>
      <c r="F304" s="59"/>
    </row>
    <row r="305" ht="12.75" customHeight="1">
      <c r="A305" s="25"/>
      <c r="B305" s="59"/>
      <c r="C305" s="59"/>
      <c r="D305" s="59"/>
      <c r="E305" s="59"/>
      <c r="F305" s="59"/>
    </row>
    <row r="306" ht="12.75" customHeight="1">
      <c r="A306" s="25"/>
      <c r="B306" s="59"/>
      <c r="C306" s="59"/>
      <c r="D306" s="59"/>
      <c r="E306" s="59"/>
      <c r="F306" s="59"/>
    </row>
    <row r="307" ht="12.75" customHeight="1">
      <c r="A307" s="25"/>
      <c r="B307" s="59"/>
      <c r="C307" s="59"/>
      <c r="D307" s="59"/>
      <c r="E307" s="59"/>
      <c r="F307" s="59"/>
    </row>
    <row r="308" ht="12.75" customHeight="1">
      <c r="A308" s="25"/>
      <c r="B308" s="59"/>
      <c r="C308" s="59"/>
      <c r="D308" s="59"/>
      <c r="E308" s="59"/>
      <c r="F308" s="59"/>
    </row>
    <row r="309" ht="12.75" customHeight="1">
      <c r="A309" s="25"/>
      <c r="B309" s="59"/>
      <c r="C309" s="59"/>
      <c r="D309" s="59"/>
      <c r="E309" s="59"/>
      <c r="F309" s="59"/>
    </row>
    <row r="310" ht="12.75" customHeight="1">
      <c r="A310" s="25"/>
      <c r="B310" s="59"/>
      <c r="C310" s="59"/>
      <c r="D310" s="59"/>
      <c r="E310" s="59"/>
      <c r="F310" s="59"/>
    </row>
    <row r="311" ht="12.75" customHeight="1">
      <c r="A311" s="25"/>
      <c r="B311" s="59"/>
      <c r="C311" s="59"/>
      <c r="D311" s="59"/>
      <c r="E311" s="59"/>
      <c r="F311" s="59"/>
    </row>
    <row r="312" ht="12.75" customHeight="1">
      <c r="A312" s="25"/>
      <c r="B312" s="59"/>
      <c r="C312" s="59"/>
      <c r="D312" s="59"/>
      <c r="E312" s="59"/>
      <c r="F312" s="59"/>
    </row>
    <row r="313" ht="12.75" customHeight="1">
      <c r="A313" s="25"/>
      <c r="B313" s="59"/>
      <c r="C313" s="59"/>
      <c r="D313" s="59"/>
      <c r="E313" s="59"/>
      <c r="F313" s="59"/>
    </row>
    <row r="314" ht="12.75" customHeight="1">
      <c r="A314" s="25"/>
      <c r="B314" s="59"/>
      <c r="C314" s="59"/>
      <c r="D314" s="59"/>
      <c r="E314" s="59"/>
      <c r="F314" s="59"/>
    </row>
    <row r="315" ht="12.75" customHeight="1">
      <c r="A315" s="25"/>
      <c r="B315" s="59"/>
      <c r="C315" s="59"/>
      <c r="D315" s="59"/>
      <c r="E315" s="59"/>
      <c r="F315" s="59"/>
    </row>
    <row r="316" ht="12.75" customHeight="1">
      <c r="A316" s="25"/>
      <c r="B316" s="59"/>
      <c r="C316" s="59"/>
      <c r="D316" s="59"/>
      <c r="E316" s="59"/>
      <c r="F316" s="59"/>
    </row>
    <row r="317" ht="12.75" customHeight="1">
      <c r="A317" s="25"/>
      <c r="B317" s="59"/>
      <c r="C317" s="59"/>
      <c r="D317" s="59"/>
      <c r="E317" s="59"/>
      <c r="F317" s="59"/>
    </row>
    <row r="318" ht="12.75" customHeight="1">
      <c r="A318" s="25"/>
      <c r="B318" s="59"/>
      <c r="C318" s="59"/>
      <c r="D318" s="59"/>
      <c r="E318" s="59"/>
      <c r="F318" s="59"/>
    </row>
    <row r="319" ht="12.75" customHeight="1">
      <c r="A319" s="25"/>
      <c r="B319" s="59"/>
      <c r="C319" s="59"/>
      <c r="D319" s="59"/>
      <c r="E319" s="59"/>
      <c r="F319" s="59"/>
    </row>
    <row r="320" ht="12.75" customHeight="1">
      <c r="A320" s="25"/>
      <c r="B320" s="59"/>
      <c r="C320" s="59"/>
      <c r="D320" s="59"/>
      <c r="E320" s="59"/>
      <c r="F320" s="59"/>
    </row>
    <row r="321" ht="12.75" customHeight="1">
      <c r="A321" s="25"/>
      <c r="B321" s="59"/>
      <c r="C321" s="59"/>
      <c r="D321" s="59"/>
      <c r="E321" s="59"/>
      <c r="F321" s="59"/>
    </row>
    <row r="322" ht="12.75" customHeight="1">
      <c r="A322" s="25"/>
      <c r="B322" s="59"/>
      <c r="C322" s="59"/>
      <c r="D322" s="59"/>
      <c r="E322" s="59"/>
      <c r="F322" s="59"/>
    </row>
    <row r="323" ht="12.75" customHeight="1">
      <c r="A323" s="25"/>
      <c r="B323" s="59"/>
      <c r="C323" s="59"/>
      <c r="D323" s="59"/>
      <c r="E323" s="59"/>
      <c r="F323" s="59"/>
    </row>
    <row r="324" ht="12.75" customHeight="1">
      <c r="A324" s="25"/>
      <c r="B324" s="59"/>
      <c r="C324" s="59"/>
      <c r="D324" s="59"/>
      <c r="E324" s="59"/>
      <c r="F324" s="59"/>
    </row>
    <row r="325" ht="12.75" customHeight="1">
      <c r="A325" s="25"/>
      <c r="B325" s="59"/>
      <c r="C325" s="59"/>
      <c r="D325" s="59"/>
      <c r="E325" s="59"/>
      <c r="F325" s="59"/>
    </row>
    <row r="326" ht="12.75" customHeight="1">
      <c r="A326" s="25"/>
      <c r="B326" s="59"/>
      <c r="C326" s="59"/>
      <c r="D326" s="59"/>
      <c r="E326" s="59"/>
      <c r="F326" s="59"/>
    </row>
    <row r="327" ht="12.75" customHeight="1">
      <c r="A327" s="25"/>
      <c r="B327" s="59"/>
      <c r="C327" s="59"/>
      <c r="D327" s="59"/>
      <c r="E327" s="59"/>
      <c r="F327" s="59"/>
    </row>
    <row r="328" ht="12.75" customHeight="1">
      <c r="A328" s="25"/>
      <c r="B328" s="59"/>
      <c r="C328" s="59"/>
      <c r="D328" s="59"/>
      <c r="E328" s="59"/>
      <c r="F328" s="59"/>
    </row>
    <row r="329" ht="12.75" customHeight="1">
      <c r="A329" s="25"/>
      <c r="B329" s="59"/>
      <c r="C329" s="59"/>
      <c r="D329" s="59"/>
      <c r="E329" s="59"/>
      <c r="F329" s="59"/>
    </row>
    <row r="330" ht="12.75" customHeight="1">
      <c r="A330" s="25"/>
      <c r="B330" s="59"/>
      <c r="C330" s="59"/>
      <c r="D330" s="59"/>
      <c r="E330" s="59"/>
      <c r="F330" s="59"/>
    </row>
    <row r="331" ht="12.75" customHeight="1">
      <c r="A331" s="25"/>
      <c r="B331" s="59"/>
      <c r="C331" s="59"/>
      <c r="D331" s="59"/>
      <c r="E331" s="59"/>
      <c r="F331" s="59"/>
    </row>
    <row r="332" ht="12.75" customHeight="1">
      <c r="A332" s="25"/>
      <c r="B332" s="59"/>
      <c r="C332" s="59"/>
      <c r="D332" s="59"/>
      <c r="E332" s="59"/>
      <c r="F332" s="59"/>
    </row>
    <row r="333" ht="12.75" customHeight="1">
      <c r="A333" s="25"/>
      <c r="B333" s="59"/>
      <c r="C333" s="59"/>
      <c r="D333" s="59"/>
      <c r="E333" s="59"/>
      <c r="F333" s="59"/>
    </row>
    <row r="334" ht="12.75" customHeight="1">
      <c r="A334" s="25"/>
      <c r="B334" s="59"/>
      <c r="C334" s="59"/>
      <c r="D334" s="59"/>
      <c r="E334" s="59"/>
      <c r="F334" s="59"/>
    </row>
    <row r="335" ht="12.75" customHeight="1">
      <c r="A335" s="25"/>
      <c r="B335" s="59"/>
      <c r="C335" s="59"/>
      <c r="D335" s="59"/>
      <c r="E335" s="59"/>
      <c r="F335" s="59"/>
    </row>
    <row r="336" ht="12.75" customHeight="1">
      <c r="A336" s="25"/>
      <c r="B336" s="59"/>
      <c r="C336" s="59"/>
      <c r="D336" s="59"/>
      <c r="E336" s="59"/>
      <c r="F336" s="59"/>
    </row>
    <row r="337" ht="12.75" customHeight="1">
      <c r="A337" s="25"/>
      <c r="B337" s="59"/>
      <c r="C337" s="59"/>
      <c r="D337" s="59"/>
      <c r="E337" s="59"/>
      <c r="F337" s="59"/>
    </row>
    <row r="338" ht="12.75" customHeight="1">
      <c r="A338" s="25"/>
      <c r="B338" s="59"/>
      <c r="C338" s="59"/>
      <c r="D338" s="59"/>
      <c r="E338" s="59"/>
      <c r="F338" s="59"/>
    </row>
    <row r="339" ht="12.75" customHeight="1">
      <c r="A339" s="25"/>
      <c r="B339" s="59"/>
      <c r="C339" s="59"/>
      <c r="D339" s="59"/>
      <c r="E339" s="59"/>
      <c r="F339" s="59"/>
    </row>
    <row r="340" ht="12.75" customHeight="1">
      <c r="A340" s="25"/>
      <c r="B340" s="59"/>
      <c r="C340" s="59"/>
      <c r="D340" s="59"/>
      <c r="E340" s="59"/>
      <c r="F340" s="59"/>
    </row>
    <row r="341" ht="12.75" customHeight="1">
      <c r="A341" s="25"/>
      <c r="B341" s="59"/>
      <c r="C341" s="59"/>
      <c r="D341" s="59"/>
      <c r="E341" s="59"/>
      <c r="F341" s="59"/>
    </row>
    <row r="342" ht="12.75" customHeight="1">
      <c r="A342" s="25"/>
      <c r="B342" s="59"/>
      <c r="C342" s="59"/>
      <c r="D342" s="59"/>
      <c r="E342" s="59"/>
      <c r="F342" s="59"/>
    </row>
    <row r="343" ht="12.75" customHeight="1">
      <c r="A343" s="25"/>
      <c r="B343" s="59"/>
      <c r="C343" s="59"/>
      <c r="D343" s="59"/>
      <c r="E343" s="59"/>
      <c r="F343" s="59"/>
    </row>
    <row r="344" ht="12.75" customHeight="1">
      <c r="A344" s="25"/>
      <c r="B344" s="59"/>
      <c r="C344" s="59"/>
      <c r="D344" s="59"/>
      <c r="E344" s="59"/>
      <c r="F344" s="59"/>
    </row>
    <row r="345" ht="12.75" customHeight="1">
      <c r="A345" s="25"/>
      <c r="B345" s="59"/>
      <c r="C345" s="59"/>
      <c r="D345" s="59"/>
      <c r="E345" s="59"/>
      <c r="F345" s="59"/>
    </row>
    <row r="346" ht="12.75" customHeight="1">
      <c r="A346" s="25"/>
      <c r="B346" s="59"/>
      <c r="C346" s="59"/>
      <c r="D346" s="59"/>
      <c r="E346" s="59"/>
      <c r="F346" s="59"/>
    </row>
    <row r="347" ht="12.75" customHeight="1">
      <c r="A347" s="25"/>
      <c r="B347" s="59"/>
      <c r="C347" s="59"/>
      <c r="D347" s="59"/>
      <c r="E347" s="59"/>
      <c r="F347" s="59"/>
    </row>
    <row r="348" ht="12.75" customHeight="1">
      <c r="A348" s="25"/>
      <c r="B348" s="59"/>
      <c r="C348" s="59"/>
      <c r="D348" s="59"/>
      <c r="E348" s="59"/>
      <c r="F348" s="59"/>
    </row>
    <row r="349" ht="12.75" customHeight="1">
      <c r="A349" s="25"/>
      <c r="B349" s="59"/>
      <c r="C349" s="59"/>
      <c r="D349" s="59"/>
      <c r="E349" s="59"/>
      <c r="F349" s="59"/>
    </row>
    <row r="350" ht="12.75" customHeight="1">
      <c r="A350" s="25"/>
      <c r="B350" s="59"/>
      <c r="C350" s="59"/>
      <c r="D350" s="59"/>
      <c r="E350" s="59"/>
      <c r="F350" s="59"/>
    </row>
    <row r="351" ht="12.75" customHeight="1">
      <c r="A351" s="25"/>
      <c r="B351" s="59"/>
      <c r="C351" s="59"/>
      <c r="D351" s="59"/>
      <c r="E351" s="59"/>
      <c r="F351" s="59"/>
    </row>
    <row r="352" ht="12.75" customHeight="1">
      <c r="A352" s="25"/>
      <c r="B352" s="59"/>
      <c r="C352" s="59"/>
      <c r="D352" s="59"/>
      <c r="E352" s="59"/>
      <c r="F352" s="59"/>
    </row>
    <row r="353" ht="12.75" customHeight="1">
      <c r="A353" s="25"/>
      <c r="B353" s="59"/>
      <c r="C353" s="59"/>
      <c r="D353" s="59"/>
      <c r="E353" s="59"/>
      <c r="F353" s="59"/>
    </row>
    <row r="354" ht="12.75" customHeight="1">
      <c r="A354" s="25"/>
      <c r="B354" s="59"/>
      <c r="C354" s="59"/>
      <c r="D354" s="59"/>
      <c r="E354" s="59"/>
      <c r="F354" s="59"/>
    </row>
    <row r="355" ht="12.75" customHeight="1">
      <c r="A355" s="25"/>
      <c r="B355" s="59"/>
      <c r="C355" s="59"/>
      <c r="D355" s="59"/>
      <c r="E355" s="59"/>
      <c r="F355" s="59"/>
    </row>
    <row r="356" ht="12.75" customHeight="1">
      <c r="A356" s="25"/>
      <c r="B356" s="59"/>
      <c r="C356" s="59"/>
      <c r="D356" s="59"/>
      <c r="E356" s="59"/>
      <c r="F356" s="59"/>
    </row>
    <row r="357" ht="12.75" customHeight="1">
      <c r="A357" s="25"/>
      <c r="B357" s="59"/>
      <c r="C357" s="59"/>
      <c r="D357" s="59"/>
      <c r="E357" s="59"/>
      <c r="F357" s="59"/>
    </row>
    <row r="358" ht="12.75" customHeight="1">
      <c r="A358" s="25"/>
      <c r="B358" s="59"/>
      <c r="C358" s="59"/>
      <c r="D358" s="59"/>
      <c r="E358" s="59"/>
      <c r="F358" s="59"/>
    </row>
    <row r="359" ht="12.75" customHeight="1">
      <c r="A359" s="25"/>
      <c r="B359" s="59"/>
      <c r="C359" s="59"/>
      <c r="D359" s="59"/>
      <c r="E359" s="59"/>
      <c r="F359" s="59"/>
    </row>
    <row r="360" ht="12.75" customHeight="1">
      <c r="A360" s="25"/>
      <c r="B360" s="59"/>
      <c r="C360" s="59"/>
      <c r="D360" s="59"/>
      <c r="E360" s="59"/>
      <c r="F360" s="59"/>
    </row>
    <row r="361" ht="12.75" customHeight="1">
      <c r="A361" s="25"/>
      <c r="B361" s="59"/>
      <c r="C361" s="59"/>
      <c r="D361" s="59"/>
      <c r="E361" s="59"/>
      <c r="F361" s="59"/>
    </row>
    <row r="362" ht="12.75" customHeight="1">
      <c r="A362" s="25"/>
      <c r="B362" s="59"/>
      <c r="C362" s="59"/>
      <c r="D362" s="59"/>
      <c r="E362" s="59"/>
      <c r="F362" s="59"/>
    </row>
    <row r="363" ht="12.75" customHeight="1">
      <c r="A363" s="25"/>
      <c r="B363" s="59"/>
      <c r="C363" s="59"/>
      <c r="D363" s="59"/>
      <c r="E363" s="59"/>
      <c r="F363" s="59"/>
    </row>
    <row r="364" ht="12.75" customHeight="1">
      <c r="A364" s="25"/>
      <c r="B364" s="59"/>
      <c r="C364" s="59"/>
      <c r="D364" s="59"/>
      <c r="E364" s="59"/>
      <c r="F364" s="59"/>
    </row>
    <row r="365" ht="12.75" customHeight="1">
      <c r="A365" s="25"/>
      <c r="B365" s="59"/>
      <c r="C365" s="59"/>
      <c r="D365" s="59"/>
      <c r="E365" s="59"/>
      <c r="F365" s="59"/>
    </row>
    <row r="366" ht="12.75" customHeight="1">
      <c r="A366" s="25"/>
      <c r="B366" s="59"/>
      <c r="C366" s="59"/>
      <c r="D366" s="59"/>
      <c r="E366" s="59"/>
      <c r="F366" s="59"/>
    </row>
    <row r="367" ht="12.75" customHeight="1">
      <c r="A367" s="25"/>
      <c r="B367" s="59"/>
      <c r="C367" s="59"/>
      <c r="D367" s="59"/>
      <c r="E367" s="59"/>
      <c r="F367" s="59"/>
    </row>
    <row r="368" ht="12.75" customHeight="1">
      <c r="A368" s="25"/>
      <c r="B368" s="59"/>
      <c r="C368" s="59"/>
      <c r="D368" s="59"/>
      <c r="E368" s="59"/>
      <c r="F368" s="59"/>
    </row>
    <row r="369" ht="12.75" customHeight="1">
      <c r="A369" s="25"/>
      <c r="B369" s="59"/>
      <c r="C369" s="59"/>
      <c r="D369" s="59"/>
      <c r="E369" s="59"/>
      <c r="F369" s="59"/>
    </row>
    <row r="370" ht="12.75" customHeight="1">
      <c r="A370" s="25"/>
      <c r="B370" s="59"/>
      <c r="C370" s="59"/>
      <c r="D370" s="59"/>
      <c r="E370" s="59"/>
      <c r="F370" s="59"/>
    </row>
    <row r="371" ht="12.75" customHeight="1">
      <c r="A371" s="25"/>
      <c r="B371" s="59"/>
      <c r="C371" s="59"/>
      <c r="D371" s="59"/>
      <c r="E371" s="59"/>
      <c r="F371" s="59"/>
    </row>
    <row r="372" ht="12.75" customHeight="1">
      <c r="A372" s="25"/>
      <c r="B372" s="59"/>
      <c r="C372" s="59"/>
      <c r="D372" s="59"/>
      <c r="E372" s="59"/>
      <c r="F372" s="59"/>
    </row>
    <row r="373" ht="12.75" customHeight="1">
      <c r="A373" s="25"/>
      <c r="B373" s="59"/>
      <c r="C373" s="59"/>
      <c r="D373" s="59"/>
      <c r="E373" s="59"/>
      <c r="F373" s="59"/>
    </row>
    <row r="374" ht="12.75" customHeight="1">
      <c r="A374" s="25"/>
      <c r="B374" s="59"/>
      <c r="C374" s="59"/>
      <c r="D374" s="59"/>
      <c r="E374" s="59"/>
      <c r="F374" s="59"/>
    </row>
    <row r="375" ht="12.75" customHeight="1">
      <c r="A375" s="25"/>
      <c r="B375" s="59"/>
      <c r="C375" s="59"/>
      <c r="D375" s="59"/>
      <c r="E375" s="59"/>
      <c r="F375" s="59"/>
    </row>
    <row r="376" ht="12.75" customHeight="1">
      <c r="A376" s="25"/>
      <c r="B376" s="59"/>
      <c r="C376" s="59"/>
      <c r="D376" s="59"/>
      <c r="E376" s="59"/>
      <c r="F376" s="59"/>
    </row>
    <row r="377" ht="12.75" customHeight="1">
      <c r="A377" s="25"/>
      <c r="B377" s="59"/>
      <c r="C377" s="59"/>
      <c r="D377" s="59"/>
      <c r="E377" s="59"/>
      <c r="F377" s="59"/>
    </row>
    <row r="378" ht="12.75" customHeight="1">
      <c r="A378" s="25"/>
      <c r="B378" s="59"/>
      <c r="C378" s="59"/>
      <c r="D378" s="59"/>
      <c r="E378" s="59"/>
      <c r="F378" s="59"/>
    </row>
    <row r="379" ht="12.75" customHeight="1">
      <c r="A379" s="25"/>
      <c r="B379" s="59"/>
      <c r="C379" s="59"/>
      <c r="D379" s="59"/>
      <c r="E379" s="59"/>
      <c r="F379" s="59"/>
    </row>
    <row r="380" ht="12.75" customHeight="1">
      <c r="A380" s="25"/>
      <c r="B380" s="59"/>
      <c r="C380" s="59"/>
      <c r="D380" s="59"/>
      <c r="E380" s="59"/>
      <c r="F380" s="59"/>
    </row>
    <row r="381" ht="12.75" customHeight="1">
      <c r="A381" s="25"/>
      <c r="B381" s="59"/>
      <c r="C381" s="59"/>
      <c r="D381" s="59"/>
      <c r="E381" s="59"/>
      <c r="F381" s="59"/>
    </row>
    <row r="382" ht="12.75" customHeight="1">
      <c r="A382" s="25"/>
      <c r="B382" s="59"/>
      <c r="C382" s="59"/>
      <c r="D382" s="59"/>
      <c r="E382" s="59"/>
      <c r="F382" s="59"/>
    </row>
    <row r="383" ht="12.75" customHeight="1">
      <c r="A383" s="25"/>
      <c r="B383" s="59"/>
      <c r="C383" s="59"/>
      <c r="D383" s="59"/>
      <c r="E383" s="59"/>
      <c r="F383" s="59"/>
    </row>
    <row r="384" ht="12.75" customHeight="1">
      <c r="A384" s="25"/>
      <c r="B384" s="59"/>
      <c r="C384" s="59"/>
      <c r="D384" s="59"/>
      <c r="E384" s="59"/>
      <c r="F384" s="59"/>
    </row>
    <row r="385" ht="12.75" customHeight="1">
      <c r="A385" s="25"/>
      <c r="B385" s="59"/>
      <c r="C385" s="59"/>
      <c r="D385" s="59"/>
      <c r="E385" s="59"/>
      <c r="F385" s="59"/>
    </row>
    <row r="386" ht="12.75" customHeight="1">
      <c r="A386" s="25"/>
      <c r="B386" s="59"/>
      <c r="C386" s="59"/>
      <c r="D386" s="59"/>
      <c r="E386" s="59"/>
      <c r="F386" s="59"/>
    </row>
    <row r="387" ht="12.75" customHeight="1">
      <c r="A387" s="25"/>
      <c r="B387" s="59"/>
      <c r="C387" s="59"/>
      <c r="D387" s="59"/>
      <c r="E387" s="59"/>
      <c r="F387" s="59"/>
    </row>
    <row r="388" ht="12.75" customHeight="1">
      <c r="A388" s="25"/>
      <c r="B388" s="59"/>
      <c r="C388" s="59"/>
      <c r="D388" s="59"/>
      <c r="E388" s="59"/>
      <c r="F388" s="59"/>
    </row>
    <row r="389" ht="12.75" customHeight="1">
      <c r="A389" s="25"/>
      <c r="B389" s="59"/>
      <c r="C389" s="59"/>
      <c r="D389" s="59"/>
      <c r="E389" s="59"/>
      <c r="F389" s="59"/>
    </row>
    <row r="390" ht="12.75" customHeight="1">
      <c r="A390" s="25"/>
      <c r="B390" s="59"/>
      <c r="C390" s="59"/>
      <c r="D390" s="59"/>
      <c r="E390" s="59"/>
      <c r="F390" s="59"/>
    </row>
    <row r="391" ht="12.75" customHeight="1">
      <c r="A391" s="25"/>
      <c r="B391" s="59"/>
      <c r="C391" s="59"/>
      <c r="D391" s="59"/>
      <c r="E391" s="59"/>
      <c r="F391" s="59"/>
    </row>
    <row r="392" ht="12.75" customHeight="1">
      <c r="A392" s="25"/>
      <c r="B392" s="59"/>
      <c r="C392" s="59"/>
      <c r="D392" s="59"/>
      <c r="E392" s="59"/>
      <c r="F392" s="59"/>
    </row>
    <row r="393" ht="12.75" customHeight="1">
      <c r="A393" s="25"/>
      <c r="B393" s="59"/>
      <c r="C393" s="59"/>
      <c r="D393" s="59"/>
      <c r="E393" s="59"/>
      <c r="F393" s="59"/>
    </row>
    <row r="394" ht="12.75" customHeight="1">
      <c r="A394" s="25"/>
      <c r="B394" s="59"/>
      <c r="C394" s="59"/>
      <c r="D394" s="59"/>
      <c r="E394" s="59"/>
      <c r="F394" s="59"/>
    </row>
    <row r="395" ht="12.75" customHeight="1">
      <c r="A395" s="25"/>
      <c r="B395" s="59"/>
      <c r="C395" s="59"/>
      <c r="D395" s="59"/>
      <c r="E395" s="59"/>
      <c r="F395" s="59"/>
    </row>
    <row r="396" ht="12.75" customHeight="1">
      <c r="A396" s="25"/>
      <c r="B396" s="59"/>
      <c r="C396" s="59"/>
      <c r="D396" s="59"/>
      <c r="E396" s="59"/>
      <c r="F396" s="59"/>
    </row>
    <row r="397" ht="12.75" customHeight="1">
      <c r="A397" s="25"/>
      <c r="B397" s="59"/>
      <c r="C397" s="59"/>
      <c r="D397" s="59"/>
      <c r="E397" s="59"/>
      <c r="F397" s="59"/>
    </row>
    <row r="398" ht="12.75" customHeight="1">
      <c r="A398" s="25"/>
      <c r="B398" s="59"/>
      <c r="C398" s="59"/>
      <c r="D398" s="59"/>
      <c r="E398" s="59"/>
      <c r="F398" s="59"/>
    </row>
    <row r="399" ht="12.75" customHeight="1">
      <c r="A399" s="25"/>
      <c r="B399" s="59"/>
      <c r="C399" s="59"/>
      <c r="D399" s="59"/>
      <c r="E399" s="59"/>
      <c r="F399" s="59"/>
    </row>
    <row r="400" ht="12.75" customHeight="1">
      <c r="A400" s="25"/>
      <c r="B400" s="59"/>
      <c r="C400" s="59"/>
      <c r="D400" s="59"/>
      <c r="E400" s="59"/>
      <c r="F400" s="59"/>
    </row>
    <row r="401" ht="12.75" customHeight="1">
      <c r="A401" s="25"/>
      <c r="B401" s="59"/>
      <c r="C401" s="59"/>
      <c r="D401" s="59"/>
      <c r="E401" s="59"/>
      <c r="F401" s="59"/>
    </row>
    <row r="402" ht="12.75" customHeight="1">
      <c r="A402" s="25"/>
      <c r="B402" s="59"/>
      <c r="C402" s="59"/>
      <c r="D402" s="59"/>
      <c r="E402" s="59"/>
      <c r="F402" s="59"/>
    </row>
    <row r="403" ht="12.75" customHeight="1">
      <c r="A403" s="25"/>
      <c r="B403" s="59"/>
      <c r="C403" s="59"/>
      <c r="D403" s="59"/>
      <c r="E403" s="59"/>
      <c r="F403" s="59"/>
    </row>
    <row r="404" ht="12.75" customHeight="1">
      <c r="A404" s="25"/>
      <c r="B404" s="59"/>
      <c r="C404" s="59"/>
      <c r="D404" s="59"/>
      <c r="E404" s="59"/>
      <c r="F404" s="59"/>
    </row>
    <row r="405" ht="12.75" customHeight="1">
      <c r="A405" s="25"/>
      <c r="B405" s="59"/>
      <c r="C405" s="59"/>
      <c r="D405" s="59"/>
      <c r="E405" s="59"/>
      <c r="F405" s="59"/>
    </row>
    <row r="406" ht="12.75" customHeight="1">
      <c r="A406" s="25"/>
      <c r="B406" s="59"/>
      <c r="C406" s="59"/>
      <c r="D406" s="59"/>
      <c r="E406" s="59"/>
      <c r="F406" s="59"/>
    </row>
    <row r="407" ht="12.75" customHeight="1">
      <c r="A407" s="25"/>
      <c r="B407" s="59"/>
      <c r="C407" s="59"/>
      <c r="D407" s="59"/>
      <c r="E407" s="59"/>
      <c r="F407" s="59"/>
    </row>
    <row r="408" ht="12.75" customHeight="1">
      <c r="A408" s="25"/>
      <c r="B408" s="59"/>
      <c r="C408" s="59"/>
      <c r="D408" s="59"/>
      <c r="E408" s="59"/>
      <c r="F408" s="59"/>
    </row>
    <row r="409" ht="12.75" customHeight="1">
      <c r="A409" s="25"/>
      <c r="B409" s="59"/>
      <c r="C409" s="59"/>
      <c r="D409" s="59"/>
      <c r="E409" s="59"/>
      <c r="F409" s="59"/>
    </row>
    <row r="410" ht="12.75" customHeight="1">
      <c r="A410" s="25"/>
      <c r="B410" s="59"/>
      <c r="C410" s="59"/>
      <c r="D410" s="59"/>
      <c r="E410" s="59"/>
      <c r="F410" s="59"/>
    </row>
    <row r="411" ht="12.75" customHeight="1">
      <c r="A411" s="25"/>
      <c r="B411" s="59"/>
      <c r="C411" s="59"/>
      <c r="D411" s="59"/>
      <c r="E411" s="59"/>
      <c r="F411" s="59"/>
    </row>
    <row r="412" ht="12.75" customHeight="1">
      <c r="A412" s="25"/>
      <c r="B412" s="59"/>
      <c r="C412" s="59"/>
      <c r="D412" s="59"/>
      <c r="E412" s="59"/>
      <c r="F412" s="59"/>
    </row>
    <row r="413" ht="12.75" customHeight="1">
      <c r="A413" s="25"/>
      <c r="B413" s="59"/>
      <c r="C413" s="59"/>
      <c r="D413" s="59"/>
      <c r="E413" s="59"/>
      <c r="F413" s="59"/>
    </row>
    <row r="414" ht="12.75" customHeight="1">
      <c r="A414" s="25"/>
      <c r="B414" s="59"/>
      <c r="C414" s="59"/>
      <c r="D414" s="59"/>
      <c r="E414" s="59"/>
      <c r="F414" s="59"/>
    </row>
    <row r="415" ht="12.75" customHeight="1">
      <c r="A415" s="25"/>
      <c r="B415" s="59"/>
      <c r="C415" s="59"/>
      <c r="D415" s="59"/>
      <c r="E415" s="59"/>
      <c r="F415" s="59"/>
    </row>
    <row r="416" ht="12.75" customHeight="1">
      <c r="A416" s="25"/>
      <c r="B416" s="59"/>
      <c r="C416" s="59"/>
      <c r="D416" s="59"/>
      <c r="E416" s="59"/>
      <c r="F416" s="59"/>
    </row>
    <row r="417" ht="12.75" customHeight="1">
      <c r="A417" s="25"/>
      <c r="B417" s="59"/>
      <c r="C417" s="59"/>
      <c r="D417" s="59"/>
      <c r="E417" s="59"/>
      <c r="F417" s="59"/>
    </row>
    <row r="418" ht="12.75" customHeight="1">
      <c r="A418" s="25"/>
      <c r="B418" s="59"/>
      <c r="C418" s="59"/>
      <c r="D418" s="59"/>
      <c r="E418" s="59"/>
      <c r="F418" s="59"/>
    </row>
    <row r="419" ht="12.75" customHeight="1">
      <c r="A419" s="25"/>
      <c r="B419" s="59"/>
      <c r="C419" s="59"/>
      <c r="D419" s="59"/>
      <c r="E419" s="59"/>
      <c r="F419" s="59"/>
    </row>
    <row r="420" ht="12.75" customHeight="1">
      <c r="A420" s="25"/>
      <c r="B420" s="59"/>
      <c r="C420" s="59"/>
      <c r="D420" s="59"/>
      <c r="E420" s="59"/>
      <c r="F420" s="59"/>
    </row>
    <row r="421" ht="12.75" customHeight="1">
      <c r="A421" s="25"/>
      <c r="B421" s="59"/>
      <c r="C421" s="59"/>
      <c r="D421" s="59"/>
      <c r="E421" s="59"/>
      <c r="F421" s="59"/>
    </row>
    <row r="422" ht="12.75" customHeight="1">
      <c r="A422" s="25"/>
      <c r="B422" s="59"/>
      <c r="C422" s="59"/>
      <c r="D422" s="59"/>
      <c r="E422" s="59"/>
      <c r="F422" s="59"/>
    </row>
    <row r="423" ht="12.75" customHeight="1">
      <c r="A423" s="25"/>
      <c r="B423" s="59"/>
      <c r="C423" s="59"/>
      <c r="D423" s="59"/>
      <c r="E423" s="59"/>
      <c r="F423" s="59"/>
    </row>
    <row r="424" ht="12.75" customHeight="1">
      <c r="A424" s="25"/>
      <c r="B424" s="59"/>
      <c r="C424" s="59"/>
      <c r="D424" s="59"/>
      <c r="E424" s="59"/>
      <c r="F424" s="59"/>
    </row>
    <row r="425" ht="12.75" customHeight="1">
      <c r="A425" s="25"/>
      <c r="B425" s="59"/>
      <c r="C425" s="59"/>
      <c r="D425" s="59"/>
      <c r="E425" s="59"/>
      <c r="F425" s="59"/>
    </row>
    <row r="426" ht="12.75" customHeight="1">
      <c r="A426" s="25"/>
      <c r="B426" s="59"/>
      <c r="C426" s="59"/>
      <c r="D426" s="59"/>
      <c r="E426" s="59"/>
      <c r="F426" s="59"/>
    </row>
    <row r="427" ht="12.75" customHeight="1">
      <c r="A427" s="25"/>
      <c r="B427" s="59"/>
      <c r="C427" s="59"/>
      <c r="D427" s="59"/>
      <c r="E427" s="59"/>
      <c r="F427" s="59"/>
    </row>
    <row r="428" ht="12.75" customHeight="1">
      <c r="A428" s="25"/>
      <c r="B428" s="59"/>
      <c r="C428" s="59"/>
      <c r="D428" s="59"/>
      <c r="E428" s="59"/>
      <c r="F428" s="59"/>
    </row>
    <row r="429" ht="12.75" customHeight="1">
      <c r="A429" s="25"/>
      <c r="B429" s="59"/>
      <c r="C429" s="59"/>
      <c r="D429" s="59"/>
      <c r="E429" s="59"/>
      <c r="F429" s="59"/>
    </row>
    <row r="430" ht="12.75" customHeight="1">
      <c r="A430" s="25"/>
      <c r="B430" s="59"/>
      <c r="C430" s="59"/>
      <c r="D430" s="59"/>
      <c r="E430" s="59"/>
      <c r="F430" s="59"/>
    </row>
    <row r="431" ht="12.75" customHeight="1">
      <c r="A431" s="25"/>
      <c r="B431" s="59"/>
      <c r="C431" s="59"/>
      <c r="D431" s="59"/>
      <c r="E431" s="59"/>
      <c r="F431" s="59"/>
    </row>
    <row r="432" ht="12.75" customHeight="1">
      <c r="A432" s="25"/>
      <c r="B432" s="59"/>
      <c r="C432" s="59"/>
      <c r="D432" s="59"/>
      <c r="E432" s="59"/>
      <c r="F432" s="59"/>
    </row>
    <row r="433" ht="12.75" customHeight="1">
      <c r="A433" s="25"/>
      <c r="B433" s="59"/>
      <c r="C433" s="59"/>
      <c r="D433" s="59"/>
      <c r="E433" s="59"/>
      <c r="F433" s="59"/>
    </row>
    <row r="434" ht="12.75" customHeight="1">
      <c r="A434" s="25"/>
      <c r="B434" s="59"/>
      <c r="C434" s="59"/>
      <c r="D434" s="59"/>
      <c r="E434" s="59"/>
      <c r="F434" s="59"/>
    </row>
    <row r="435" ht="12.75" customHeight="1">
      <c r="A435" s="25"/>
      <c r="B435" s="59"/>
      <c r="C435" s="59"/>
      <c r="D435" s="59"/>
      <c r="E435" s="59"/>
      <c r="F435" s="59"/>
    </row>
    <row r="436" ht="12.75" customHeight="1">
      <c r="A436" s="25"/>
      <c r="B436" s="59"/>
      <c r="C436" s="59"/>
      <c r="D436" s="59"/>
      <c r="E436" s="59"/>
      <c r="F436" s="59"/>
    </row>
    <row r="437" ht="12.75" customHeight="1">
      <c r="A437" s="25"/>
      <c r="B437" s="59"/>
      <c r="C437" s="59"/>
      <c r="D437" s="59"/>
      <c r="E437" s="59"/>
      <c r="F437" s="59"/>
    </row>
    <row r="438" ht="12.75" customHeight="1">
      <c r="A438" s="25"/>
      <c r="B438" s="59"/>
      <c r="C438" s="59"/>
      <c r="D438" s="59"/>
      <c r="E438" s="59"/>
      <c r="F438" s="59"/>
    </row>
    <row r="439" ht="12.75" customHeight="1">
      <c r="A439" s="25"/>
      <c r="B439" s="59"/>
      <c r="C439" s="59"/>
      <c r="D439" s="59"/>
      <c r="E439" s="59"/>
      <c r="F439" s="59"/>
    </row>
    <row r="440" ht="12.75" customHeight="1">
      <c r="A440" s="25"/>
      <c r="B440" s="59"/>
      <c r="C440" s="59"/>
      <c r="D440" s="59"/>
      <c r="E440" s="59"/>
      <c r="F440" s="59"/>
    </row>
    <row r="441" ht="12.75" customHeight="1">
      <c r="A441" s="25"/>
      <c r="B441" s="59"/>
      <c r="C441" s="59"/>
      <c r="D441" s="59"/>
      <c r="E441" s="59"/>
      <c r="F441" s="59"/>
    </row>
    <row r="442" ht="12.75" customHeight="1">
      <c r="A442" s="25"/>
      <c r="B442" s="59"/>
      <c r="C442" s="59"/>
      <c r="D442" s="59"/>
      <c r="E442" s="59"/>
      <c r="F442" s="59"/>
    </row>
    <row r="443" ht="12.75" customHeight="1">
      <c r="A443" s="25"/>
      <c r="B443" s="59"/>
      <c r="C443" s="59"/>
      <c r="D443" s="59"/>
      <c r="E443" s="59"/>
      <c r="F443" s="59"/>
    </row>
    <row r="444" ht="12.75" customHeight="1">
      <c r="A444" s="25"/>
      <c r="B444" s="59"/>
      <c r="C444" s="59"/>
      <c r="D444" s="59"/>
      <c r="E444" s="59"/>
      <c r="F444" s="59"/>
    </row>
    <row r="445" ht="12.75" customHeight="1">
      <c r="A445" s="25"/>
      <c r="B445" s="59"/>
      <c r="C445" s="59"/>
      <c r="D445" s="59"/>
      <c r="E445" s="59"/>
      <c r="F445" s="59"/>
    </row>
    <row r="446" ht="12.75" customHeight="1">
      <c r="A446" s="25"/>
      <c r="B446" s="59"/>
      <c r="C446" s="59"/>
      <c r="D446" s="59"/>
      <c r="E446" s="59"/>
      <c r="F446" s="59"/>
    </row>
    <row r="447" ht="12.75" customHeight="1">
      <c r="A447" s="25"/>
      <c r="B447" s="59"/>
      <c r="C447" s="59"/>
      <c r="D447" s="59"/>
      <c r="E447" s="59"/>
      <c r="F447" s="59"/>
    </row>
    <row r="448" ht="12.75" customHeight="1">
      <c r="A448" s="25"/>
      <c r="B448" s="59"/>
      <c r="C448" s="59"/>
      <c r="D448" s="59"/>
      <c r="E448" s="59"/>
      <c r="F448" s="59"/>
    </row>
    <row r="449" ht="12.75" customHeight="1">
      <c r="A449" s="25"/>
      <c r="B449" s="59"/>
      <c r="C449" s="59"/>
      <c r="D449" s="59"/>
      <c r="E449" s="59"/>
      <c r="F449" s="59"/>
    </row>
    <row r="450" ht="12.75" customHeight="1">
      <c r="A450" s="25"/>
      <c r="B450" s="59"/>
      <c r="C450" s="59"/>
      <c r="D450" s="59"/>
      <c r="E450" s="59"/>
      <c r="F450" s="59"/>
    </row>
    <row r="451" ht="12.75" customHeight="1">
      <c r="A451" s="25"/>
      <c r="B451" s="59"/>
      <c r="C451" s="59"/>
      <c r="D451" s="59"/>
      <c r="E451" s="59"/>
      <c r="F451" s="59"/>
    </row>
    <row r="452" ht="12.75" customHeight="1">
      <c r="A452" s="25"/>
      <c r="B452" s="59"/>
      <c r="C452" s="59"/>
      <c r="D452" s="59"/>
      <c r="E452" s="59"/>
      <c r="F452" s="59"/>
    </row>
    <row r="453" ht="12.75" customHeight="1">
      <c r="A453" s="25"/>
      <c r="B453" s="59"/>
      <c r="C453" s="59"/>
      <c r="D453" s="59"/>
      <c r="E453" s="59"/>
      <c r="F453" s="59"/>
    </row>
    <row r="454" ht="12.75" customHeight="1">
      <c r="A454" s="25"/>
      <c r="B454" s="59"/>
      <c r="C454" s="59"/>
      <c r="D454" s="59"/>
      <c r="E454" s="59"/>
      <c r="F454" s="59"/>
    </row>
    <row r="455" ht="12.75" customHeight="1">
      <c r="A455" s="25"/>
      <c r="B455" s="59"/>
      <c r="C455" s="59"/>
      <c r="D455" s="59"/>
      <c r="E455" s="59"/>
      <c r="F455" s="59"/>
    </row>
    <row r="456" ht="12.75" customHeight="1">
      <c r="A456" s="25"/>
      <c r="B456" s="59"/>
      <c r="C456" s="59"/>
      <c r="D456" s="59"/>
      <c r="E456" s="59"/>
      <c r="F456" s="59"/>
    </row>
    <row r="457" ht="12.75" customHeight="1">
      <c r="A457" s="25"/>
      <c r="B457" s="59"/>
      <c r="C457" s="59"/>
      <c r="D457" s="59"/>
      <c r="E457" s="59"/>
      <c r="F457" s="59"/>
    </row>
    <row r="458" ht="12.75" customHeight="1">
      <c r="A458" s="25"/>
      <c r="B458" s="59"/>
      <c r="C458" s="59"/>
      <c r="D458" s="59"/>
      <c r="E458" s="59"/>
      <c r="F458" s="59"/>
    </row>
    <row r="459" ht="12.75" customHeight="1">
      <c r="A459" s="25"/>
      <c r="B459" s="59"/>
      <c r="C459" s="59"/>
      <c r="D459" s="59"/>
      <c r="E459" s="59"/>
      <c r="F459" s="59"/>
    </row>
    <row r="460" ht="12.75" customHeight="1">
      <c r="A460" s="25"/>
      <c r="B460" s="59"/>
      <c r="C460" s="59"/>
      <c r="D460" s="59"/>
      <c r="E460" s="59"/>
      <c r="F460" s="59"/>
    </row>
    <row r="461" ht="12.75" customHeight="1">
      <c r="A461" s="25"/>
      <c r="B461" s="59"/>
      <c r="C461" s="59"/>
      <c r="D461" s="59"/>
      <c r="E461" s="59"/>
      <c r="F461" s="59"/>
    </row>
    <row r="462" ht="12.75" customHeight="1">
      <c r="A462" s="25"/>
      <c r="B462" s="59"/>
      <c r="C462" s="59"/>
      <c r="D462" s="59"/>
      <c r="E462" s="59"/>
      <c r="F462" s="59"/>
    </row>
    <row r="463" ht="12.75" customHeight="1">
      <c r="A463" s="25"/>
      <c r="B463" s="59"/>
      <c r="C463" s="59"/>
      <c r="D463" s="59"/>
      <c r="E463" s="59"/>
      <c r="F463" s="59"/>
    </row>
    <row r="464" ht="12.75" customHeight="1">
      <c r="A464" s="25"/>
      <c r="B464" s="59"/>
      <c r="C464" s="59"/>
      <c r="D464" s="59"/>
      <c r="E464" s="59"/>
      <c r="F464" s="59"/>
    </row>
    <row r="465" ht="12.75" customHeight="1">
      <c r="A465" s="25"/>
      <c r="B465" s="59"/>
      <c r="C465" s="59"/>
      <c r="D465" s="59"/>
      <c r="E465" s="59"/>
      <c r="F465" s="59"/>
    </row>
    <row r="466" ht="12.75" customHeight="1">
      <c r="A466" s="25"/>
      <c r="B466" s="59"/>
      <c r="C466" s="59"/>
      <c r="D466" s="59"/>
      <c r="E466" s="59"/>
      <c r="F466" s="59"/>
    </row>
    <row r="467" ht="12.75" customHeight="1">
      <c r="A467" s="25"/>
      <c r="B467" s="59"/>
      <c r="C467" s="59"/>
      <c r="D467" s="59"/>
      <c r="E467" s="59"/>
      <c r="F467" s="59"/>
    </row>
    <row r="468" ht="12.75" customHeight="1">
      <c r="A468" s="25"/>
      <c r="B468" s="59"/>
      <c r="C468" s="59"/>
      <c r="D468" s="59"/>
      <c r="E468" s="59"/>
      <c r="F468" s="59"/>
    </row>
    <row r="469" ht="12.75" customHeight="1">
      <c r="A469" s="25"/>
      <c r="B469" s="59"/>
      <c r="C469" s="59"/>
      <c r="D469" s="59"/>
      <c r="E469" s="59"/>
      <c r="F469" s="59"/>
    </row>
    <row r="470" ht="12.75" customHeight="1">
      <c r="A470" s="25"/>
      <c r="B470" s="59"/>
      <c r="C470" s="59"/>
      <c r="D470" s="59"/>
      <c r="E470" s="59"/>
      <c r="F470" s="59"/>
    </row>
    <row r="471" ht="12.75" customHeight="1">
      <c r="A471" s="25"/>
      <c r="B471" s="59"/>
      <c r="C471" s="59"/>
      <c r="D471" s="59"/>
      <c r="E471" s="59"/>
      <c r="F471" s="59"/>
    </row>
    <row r="472" ht="12.75" customHeight="1">
      <c r="A472" s="25"/>
      <c r="B472" s="59"/>
      <c r="C472" s="59"/>
      <c r="D472" s="59"/>
      <c r="E472" s="59"/>
      <c r="F472" s="59"/>
    </row>
    <row r="473" ht="12.75" customHeight="1">
      <c r="A473" s="25"/>
      <c r="B473" s="59"/>
      <c r="C473" s="59"/>
      <c r="D473" s="59"/>
      <c r="E473" s="59"/>
      <c r="F473" s="59"/>
    </row>
    <row r="474" ht="12.75" customHeight="1">
      <c r="A474" s="25"/>
      <c r="B474" s="59"/>
      <c r="C474" s="59"/>
      <c r="D474" s="59"/>
      <c r="E474" s="59"/>
      <c r="F474" s="59"/>
    </row>
    <row r="475" ht="12.75" customHeight="1">
      <c r="A475" s="25"/>
      <c r="B475" s="59"/>
      <c r="C475" s="59"/>
      <c r="D475" s="59"/>
      <c r="E475" s="59"/>
      <c r="F475" s="59"/>
    </row>
    <row r="476" ht="12.75" customHeight="1">
      <c r="A476" s="25"/>
      <c r="B476" s="59"/>
      <c r="C476" s="59"/>
      <c r="D476" s="59"/>
      <c r="E476" s="59"/>
      <c r="F476" s="59"/>
    </row>
    <row r="477" ht="12.75" customHeight="1">
      <c r="A477" s="25"/>
      <c r="B477" s="59"/>
      <c r="C477" s="59"/>
      <c r="D477" s="59"/>
      <c r="E477" s="59"/>
      <c r="F477" s="59"/>
    </row>
    <row r="478" ht="12.75" customHeight="1">
      <c r="A478" s="25"/>
      <c r="B478" s="59"/>
      <c r="C478" s="59"/>
      <c r="D478" s="59"/>
      <c r="E478" s="59"/>
      <c r="F478" s="59"/>
    </row>
    <row r="479" ht="12.75" customHeight="1">
      <c r="A479" s="25"/>
      <c r="B479" s="59"/>
      <c r="C479" s="59"/>
      <c r="D479" s="59"/>
      <c r="E479" s="59"/>
      <c r="F479" s="59"/>
    </row>
    <row r="480" ht="12.75" customHeight="1">
      <c r="A480" s="25"/>
      <c r="B480" s="59"/>
      <c r="C480" s="59"/>
      <c r="D480" s="59"/>
      <c r="E480" s="59"/>
      <c r="F480" s="59"/>
    </row>
    <row r="481" ht="12.75" customHeight="1">
      <c r="A481" s="25"/>
      <c r="B481" s="59"/>
      <c r="C481" s="59"/>
      <c r="D481" s="59"/>
      <c r="E481" s="59"/>
      <c r="F481" s="59"/>
    </row>
    <row r="482" ht="12.75" customHeight="1">
      <c r="A482" s="25"/>
      <c r="B482" s="59"/>
      <c r="C482" s="59"/>
      <c r="D482" s="59"/>
      <c r="E482" s="59"/>
      <c r="F482" s="59"/>
    </row>
    <row r="483" ht="12.75" customHeight="1">
      <c r="A483" s="25"/>
      <c r="B483" s="59"/>
      <c r="C483" s="59"/>
      <c r="D483" s="59"/>
      <c r="E483" s="59"/>
      <c r="F483" s="59"/>
    </row>
    <row r="484" ht="12.75" customHeight="1">
      <c r="A484" s="25"/>
      <c r="B484" s="59"/>
      <c r="C484" s="59"/>
      <c r="D484" s="59"/>
      <c r="E484" s="59"/>
      <c r="F484" s="59"/>
    </row>
    <row r="485" ht="12.75" customHeight="1">
      <c r="A485" s="25"/>
      <c r="B485" s="59"/>
      <c r="C485" s="59"/>
      <c r="D485" s="59"/>
      <c r="E485" s="59"/>
      <c r="F485" s="59"/>
    </row>
    <row r="486" ht="12.75" customHeight="1">
      <c r="A486" s="25"/>
      <c r="B486" s="59"/>
      <c r="C486" s="59"/>
      <c r="D486" s="59"/>
      <c r="E486" s="59"/>
      <c r="F486" s="59"/>
    </row>
    <row r="487" ht="12.75" customHeight="1">
      <c r="A487" s="25"/>
      <c r="B487" s="59"/>
      <c r="C487" s="59"/>
      <c r="D487" s="59"/>
      <c r="E487" s="59"/>
      <c r="F487" s="59"/>
    </row>
    <row r="488" ht="12.75" customHeight="1">
      <c r="A488" s="25"/>
      <c r="B488" s="59"/>
      <c r="C488" s="59"/>
      <c r="D488" s="59"/>
      <c r="E488" s="59"/>
      <c r="F488" s="59"/>
    </row>
    <row r="489" ht="12.75" customHeight="1">
      <c r="A489" s="25"/>
      <c r="B489" s="59"/>
      <c r="C489" s="59"/>
      <c r="D489" s="59"/>
      <c r="E489" s="59"/>
      <c r="F489" s="59"/>
    </row>
    <row r="490" ht="12.75" customHeight="1">
      <c r="A490" s="25"/>
      <c r="B490" s="59"/>
      <c r="C490" s="59"/>
      <c r="D490" s="59"/>
      <c r="E490" s="59"/>
      <c r="F490" s="59"/>
    </row>
    <row r="491" ht="12.75" customHeight="1">
      <c r="A491" s="25"/>
      <c r="B491" s="59"/>
      <c r="C491" s="59"/>
      <c r="D491" s="59"/>
      <c r="E491" s="59"/>
      <c r="F491" s="59"/>
    </row>
    <row r="492" ht="12.75" customHeight="1">
      <c r="A492" s="25"/>
      <c r="B492" s="59"/>
      <c r="C492" s="59"/>
      <c r="D492" s="59"/>
      <c r="E492" s="59"/>
      <c r="F492" s="59"/>
    </row>
    <row r="493" ht="12.75" customHeight="1">
      <c r="A493" s="25"/>
      <c r="B493" s="59"/>
      <c r="C493" s="59"/>
      <c r="D493" s="59"/>
      <c r="E493" s="59"/>
      <c r="F493" s="59"/>
    </row>
    <row r="494" ht="12.75" customHeight="1">
      <c r="A494" s="25"/>
      <c r="B494" s="59"/>
      <c r="C494" s="59"/>
      <c r="D494" s="59"/>
      <c r="E494" s="59"/>
      <c r="F494" s="59"/>
    </row>
    <row r="495" ht="12.75" customHeight="1">
      <c r="A495" s="25"/>
      <c r="B495" s="59"/>
      <c r="C495" s="59"/>
      <c r="D495" s="59"/>
      <c r="E495" s="59"/>
      <c r="F495" s="59"/>
    </row>
    <row r="496" ht="12.75" customHeight="1">
      <c r="A496" s="25"/>
      <c r="B496" s="59"/>
      <c r="C496" s="59"/>
      <c r="D496" s="59"/>
      <c r="E496" s="59"/>
      <c r="F496" s="59"/>
    </row>
    <row r="497" ht="12.75" customHeight="1">
      <c r="A497" s="25"/>
      <c r="B497" s="59"/>
      <c r="C497" s="59"/>
      <c r="D497" s="59"/>
      <c r="E497" s="59"/>
      <c r="F497" s="59"/>
    </row>
    <row r="498" ht="12.75" customHeight="1">
      <c r="A498" s="25"/>
      <c r="B498" s="59"/>
      <c r="C498" s="59"/>
      <c r="D498" s="59"/>
      <c r="E498" s="59"/>
      <c r="F498" s="59"/>
    </row>
    <row r="499" ht="12.75" customHeight="1">
      <c r="A499" s="25"/>
      <c r="B499" s="59"/>
      <c r="C499" s="59"/>
      <c r="D499" s="59"/>
      <c r="E499" s="59"/>
      <c r="F499" s="59"/>
    </row>
    <row r="500" ht="12.75" customHeight="1">
      <c r="A500" s="25"/>
      <c r="B500" s="59"/>
      <c r="C500" s="59"/>
      <c r="D500" s="59"/>
      <c r="E500" s="59"/>
      <c r="F500" s="59"/>
    </row>
    <row r="501" ht="12.75" customHeight="1">
      <c r="A501" s="25"/>
      <c r="B501" s="59"/>
      <c r="C501" s="59"/>
      <c r="D501" s="59"/>
      <c r="E501" s="59"/>
      <c r="F501" s="59"/>
    </row>
    <row r="502" ht="12.75" customHeight="1">
      <c r="A502" s="25"/>
      <c r="B502" s="59"/>
      <c r="C502" s="59"/>
      <c r="D502" s="59"/>
      <c r="E502" s="59"/>
      <c r="F502" s="59"/>
    </row>
    <row r="503" ht="12.75" customHeight="1">
      <c r="A503" s="25"/>
      <c r="B503" s="59"/>
      <c r="C503" s="59"/>
      <c r="D503" s="59"/>
      <c r="E503" s="59"/>
      <c r="F503" s="59"/>
    </row>
    <row r="504" ht="12.75" customHeight="1">
      <c r="A504" s="25"/>
      <c r="B504" s="59"/>
      <c r="C504" s="59"/>
      <c r="D504" s="59"/>
      <c r="E504" s="59"/>
      <c r="F504" s="59"/>
    </row>
    <row r="505" ht="12.75" customHeight="1">
      <c r="A505" s="25"/>
      <c r="B505" s="59"/>
      <c r="C505" s="59"/>
      <c r="D505" s="59"/>
      <c r="E505" s="59"/>
      <c r="F505" s="59"/>
    </row>
    <row r="506" ht="12.75" customHeight="1">
      <c r="A506" s="25"/>
      <c r="B506" s="59"/>
      <c r="C506" s="59"/>
      <c r="D506" s="59"/>
      <c r="E506" s="59"/>
      <c r="F506" s="59"/>
    </row>
    <row r="507" ht="12.75" customHeight="1">
      <c r="A507" s="25"/>
      <c r="B507" s="59"/>
      <c r="C507" s="59"/>
      <c r="D507" s="59"/>
      <c r="E507" s="59"/>
      <c r="F507" s="59"/>
    </row>
    <row r="508" ht="12.75" customHeight="1">
      <c r="A508" s="25"/>
      <c r="B508" s="59"/>
      <c r="C508" s="59"/>
      <c r="D508" s="59"/>
      <c r="E508" s="59"/>
      <c r="F508" s="59"/>
    </row>
    <row r="509" ht="12.75" customHeight="1">
      <c r="A509" s="25"/>
      <c r="B509" s="59"/>
      <c r="C509" s="59"/>
      <c r="D509" s="59"/>
      <c r="E509" s="59"/>
      <c r="F509" s="59"/>
    </row>
    <row r="510" ht="12.75" customHeight="1">
      <c r="A510" s="25"/>
      <c r="B510" s="59"/>
      <c r="C510" s="59"/>
      <c r="D510" s="59"/>
      <c r="E510" s="59"/>
      <c r="F510" s="59"/>
    </row>
    <row r="511" ht="12.75" customHeight="1">
      <c r="A511" s="25"/>
      <c r="B511" s="59"/>
      <c r="C511" s="59"/>
      <c r="D511" s="59"/>
      <c r="E511" s="59"/>
      <c r="F511" s="59"/>
    </row>
    <row r="512" ht="12.75" customHeight="1">
      <c r="A512" s="25"/>
      <c r="B512" s="59"/>
      <c r="C512" s="59"/>
      <c r="D512" s="59"/>
      <c r="E512" s="59"/>
      <c r="F512" s="59"/>
    </row>
    <row r="513" ht="12.75" customHeight="1">
      <c r="A513" s="25"/>
      <c r="B513" s="59"/>
      <c r="C513" s="59"/>
      <c r="D513" s="59"/>
      <c r="E513" s="59"/>
      <c r="F513" s="59"/>
    </row>
    <row r="514" ht="12.75" customHeight="1">
      <c r="A514" s="25"/>
      <c r="B514" s="59"/>
      <c r="C514" s="59"/>
      <c r="D514" s="59"/>
      <c r="E514" s="59"/>
      <c r="F514" s="59"/>
    </row>
    <row r="515" ht="12.75" customHeight="1">
      <c r="A515" s="25"/>
      <c r="B515" s="59"/>
      <c r="C515" s="59"/>
      <c r="D515" s="59"/>
      <c r="E515" s="59"/>
      <c r="F515" s="59"/>
    </row>
    <row r="516" ht="12.75" customHeight="1">
      <c r="A516" s="25"/>
      <c r="B516" s="59"/>
      <c r="C516" s="59"/>
      <c r="D516" s="59"/>
      <c r="E516" s="59"/>
      <c r="F516" s="59"/>
    </row>
    <row r="517" ht="12.75" customHeight="1">
      <c r="A517" s="25"/>
      <c r="B517" s="59"/>
      <c r="C517" s="59"/>
      <c r="D517" s="59"/>
      <c r="E517" s="59"/>
      <c r="F517" s="59"/>
    </row>
    <row r="518" ht="12.75" customHeight="1">
      <c r="A518" s="25"/>
      <c r="B518" s="59"/>
      <c r="C518" s="59"/>
      <c r="D518" s="59"/>
      <c r="E518" s="59"/>
      <c r="F518" s="59"/>
    </row>
    <row r="519" ht="12.75" customHeight="1">
      <c r="A519" s="25"/>
      <c r="B519" s="59"/>
      <c r="C519" s="59"/>
      <c r="D519" s="59"/>
      <c r="E519" s="59"/>
      <c r="F519" s="59"/>
    </row>
    <row r="520" ht="12.75" customHeight="1">
      <c r="A520" s="25"/>
      <c r="B520" s="59"/>
      <c r="C520" s="59"/>
      <c r="D520" s="59"/>
      <c r="E520" s="59"/>
      <c r="F520" s="59"/>
    </row>
    <row r="521" ht="12.75" customHeight="1">
      <c r="A521" s="25"/>
      <c r="B521" s="59"/>
      <c r="C521" s="59"/>
      <c r="D521" s="59"/>
      <c r="E521" s="59"/>
      <c r="F521" s="59"/>
    </row>
    <row r="522" ht="12.75" customHeight="1">
      <c r="A522" s="25"/>
      <c r="B522" s="59"/>
      <c r="C522" s="59"/>
      <c r="D522" s="59"/>
      <c r="E522" s="59"/>
      <c r="F522" s="59"/>
    </row>
    <row r="523" ht="12.75" customHeight="1">
      <c r="A523" s="25"/>
      <c r="B523" s="59"/>
      <c r="C523" s="59"/>
      <c r="D523" s="59"/>
      <c r="E523" s="59"/>
      <c r="F523" s="59"/>
    </row>
    <row r="524" ht="12.75" customHeight="1">
      <c r="A524" s="25"/>
      <c r="B524" s="59"/>
      <c r="C524" s="59"/>
      <c r="D524" s="59"/>
      <c r="E524" s="59"/>
      <c r="F524" s="59"/>
    </row>
    <row r="525" ht="12.75" customHeight="1">
      <c r="A525" s="25"/>
      <c r="B525" s="59"/>
      <c r="C525" s="59"/>
      <c r="D525" s="59"/>
      <c r="E525" s="59"/>
      <c r="F525" s="59"/>
    </row>
    <row r="526" ht="12.75" customHeight="1">
      <c r="A526" s="25"/>
      <c r="B526" s="59"/>
      <c r="C526" s="59"/>
      <c r="D526" s="59"/>
      <c r="E526" s="59"/>
      <c r="F526" s="59"/>
    </row>
    <row r="527" ht="12.75" customHeight="1">
      <c r="A527" s="25"/>
      <c r="B527" s="59"/>
      <c r="C527" s="59"/>
      <c r="D527" s="59"/>
      <c r="E527" s="59"/>
      <c r="F527" s="59"/>
    </row>
    <row r="528" ht="12.75" customHeight="1">
      <c r="A528" s="25"/>
      <c r="B528" s="59"/>
      <c r="C528" s="59"/>
      <c r="D528" s="59"/>
      <c r="E528" s="59"/>
      <c r="F528" s="59"/>
    </row>
    <row r="529" ht="12.75" customHeight="1">
      <c r="A529" s="25"/>
      <c r="B529" s="59"/>
      <c r="C529" s="59"/>
      <c r="D529" s="59"/>
      <c r="E529" s="59"/>
      <c r="F529" s="59"/>
    </row>
    <row r="530" ht="12.75" customHeight="1">
      <c r="A530" s="25"/>
      <c r="B530" s="59"/>
      <c r="C530" s="59"/>
      <c r="D530" s="59"/>
      <c r="E530" s="59"/>
      <c r="F530" s="59"/>
    </row>
    <row r="531" ht="12.75" customHeight="1">
      <c r="A531" s="25"/>
      <c r="B531" s="59"/>
      <c r="C531" s="59"/>
      <c r="D531" s="59"/>
      <c r="E531" s="59"/>
      <c r="F531" s="59"/>
    </row>
    <row r="532" ht="12.75" customHeight="1">
      <c r="A532" s="25"/>
      <c r="B532" s="59"/>
      <c r="C532" s="59"/>
      <c r="D532" s="59"/>
      <c r="E532" s="59"/>
      <c r="F532" s="59"/>
    </row>
    <row r="533" ht="12.75" customHeight="1">
      <c r="A533" s="25"/>
      <c r="B533" s="59"/>
      <c r="C533" s="59"/>
      <c r="D533" s="59"/>
      <c r="E533" s="59"/>
      <c r="F533" s="59"/>
    </row>
    <row r="534" ht="12.75" customHeight="1">
      <c r="A534" s="25"/>
      <c r="B534" s="59"/>
      <c r="C534" s="59"/>
      <c r="D534" s="59"/>
      <c r="E534" s="59"/>
      <c r="F534" s="59"/>
    </row>
    <row r="535" ht="12.75" customHeight="1">
      <c r="A535" s="25"/>
      <c r="B535" s="59"/>
      <c r="C535" s="59"/>
      <c r="D535" s="59"/>
      <c r="E535" s="59"/>
      <c r="F535" s="59"/>
    </row>
    <row r="536" ht="12.75" customHeight="1">
      <c r="A536" s="25"/>
      <c r="B536" s="59"/>
      <c r="C536" s="59"/>
      <c r="D536" s="59"/>
      <c r="E536" s="59"/>
      <c r="F536" s="59"/>
    </row>
    <row r="537" ht="12.75" customHeight="1">
      <c r="A537" s="25"/>
      <c r="B537" s="59"/>
      <c r="C537" s="59"/>
      <c r="D537" s="59"/>
      <c r="E537" s="59"/>
      <c r="F537" s="59"/>
    </row>
    <row r="538" ht="12.75" customHeight="1">
      <c r="A538" s="25"/>
      <c r="B538" s="59"/>
      <c r="C538" s="59"/>
      <c r="D538" s="59"/>
      <c r="E538" s="59"/>
      <c r="F538" s="59"/>
    </row>
    <row r="539" ht="12.75" customHeight="1">
      <c r="A539" s="25"/>
      <c r="B539" s="59"/>
      <c r="C539" s="59"/>
      <c r="D539" s="59"/>
      <c r="E539" s="59"/>
      <c r="F539" s="59"/>
    </row>
    <row r="540" ht="12.75" customHeight="1">
      <c r="A540" s="25"/>
      <c r="B540" s="59"/>
      <c r="C540" s="59"/>
      <c r="D540" s="59"/>
      <c r="E540" s="59"/>
      <c r="F540" s="59"/>
    </row>
    <row r="541" ht="12.75" customHeight="1">
      <c r="A541" s="25"/>
      <c r="B541" s="59"/>
      <c r="C541" s="59"/>
      <c r="D541" s="59"/>
      <c r="E541" s="59"/>
      <c r="F541" s="59"/>
    </row>
    <row r="542" ht="12.75" customHeight="1">
      <c r="A542" s="25"/>
      <c r="B542" s="59"/>
      <c r="C542" s="59"/>
      <c r="D542" s="59"/>
      <c r="E542" s="59"/>
      <c r="F542" s="59"/>
    </row>
    <row r="543" ht="12.75" customHeight="1">
      <c r="A543" s="25"/>
      <c r="B543" s="59"/>
      <c r="C543" s="59"/>
      <c r="D543" s="59"/>
      <c r="E543" s="59"/>
      <c r="F543" s="59"/>
    </row>
    <row r="544" ht="12.75" customHeight="1">
      <c r="A544" s="25"/>
      <c r="B544" s="59"/>
      <c r="C544" s="59"/>
      <c r="D544" s="59"/>
      <c r="E544" s="59"/>
      <c r="F544" s="59"/>
    </row>
    <row r="545" ht="12.75" customHeight="1">
      <c r="A545" s="25"/>
      <c r="B545" s="59"/>
      <c r="C545" s="59"/>
      <c r="D545" s="59"/>
      <c r="E545" s="59"/>
      <c r="F545" s="59"/>
    </row>
    <row r="546" ht="12.75" customHeight="1">
      <c r="A546" s="25"/>
      <c r="B546" s="59"/>
      <c r="C546" s="59"/>
      <c r="D546" s="59"/>
      <c r="E546" s="59"/>
      <c r="F546" s="59"/>
    </row>
    <row r="547" ht="12.75" customHeight="1">
      <c r="A547" s="25"/>
      <c r="B547" s="59"/>
      <c r="C547" s="59"/>
      <c r="D547" s="59"/>
      <c r="E547" s="59"/>
      <c r="F547" s="59"/>
    </row>
    <row r="548" ht="12.75" customHeight="1">
      <c r="A548" s="25"/>
      <c r="B548" s="59"/>
      <c r="C548" s="59"/>
      <c r="D548" s="59"/>
      <c r="E548" s="59"/>
      <c r="F548" s="59"/>
    </row>
    <row r="549" ht="12.75" customHeight="1">
      <c r="A549" s="25"/>
      <c r="B549" s="59"/>
      <c r="C549" s="59"/>
      <c r="D549" s="59"/>
      <c r="E549" s="59"/>
      <c r="F549" s="59"/>
    </row>
    <row r="550" ht="12.75" customHeight="1">
      <c r="A550" s="25"/>
      <c r="B550" s="59"/>
      <c r="C550" s="59"/>
      <c r="D550" s="59"/>
      <c r="E550" s="59"/>
      <c r="F550" s="59"/>
    </row>
    <row r="551" ht="12.75" customHeight="1">
      <c r="A551" s="25"/>
      <c r="B551" s="59"/>
      <c r="C551" s="59"/>
      <c r="D551" s="59"/>
      <c r="E551" s="59"/>
      <c r="F551" s="59"/>
    </row>
    <row r="552" ht="12.75" customHeight="1">
      <c r="A552" s="25"/>
      <c r="B552" s="59"/>
      <c r="C552" s="59"/>
      <c r="D552" s="59"/>
      <c r="E552" s="59"/>
      <c r="F552" s="59"/>
    </row>
    <row r="553" ht="12.75" customHeight="1">
      <c r="A553" s="25"/>
      <c r="B553" s="59"/>
      <c r="C553" s="59"/>
      <c r="D553" s="59"/>
      <c r="E553" s="59"/>
      <c r="F553" s="59"/>
    </row>
    <row r="554" ht="12.75" customHeight="1">
      <c r="A554" s="25"/>
      <c r="B554" s="59"/>
      <c r="C554" s="59"/>
      <c r="D554" s="59"/>
      <c r="E554" s="59"/>
      <c r="F554" s="59"/>
    </row>
    <row r="555" ht="12.75" customHeight="1">
      <c r="A555" s="25"/>
      <c r="B555" s="59"/>
      <c r="C555" s="59"/>
      <c r="D555" s="59"/>
      <c r="E555" s="59"/>
      <c r="F555" s="59"/>
    </row>
    <row r="556" ht="12.75" customHeight="1">
      <c r="A556" s="25"/>
      <c r="B556" s="59"/>
      <c r="C556" s="59"/>
      <c r="D556" s="59"/>
      <c r="E556" s="59"/>
      <c r="F556" s="59"/>
    </row>
    <row r="557" ht="12.75" customHeight="1">
      <c r="A557" s="25"/>
      <c r="B557" s="59"/>
      <c r="C557" s="59"/>
      <c r="D557" s="59"/>
      <c r="E557" s="59"/>
      <c r="F557" s="59"/>
    </row>
    <row r="558" ht="12.75" customHeight="1">
      <c r="A558" s="25"/>
      <c r="B558" s="59"/>
      <c r="C558" s="59"/>
      <c r="D558" s="59"/>
      <c r="E558" s="59"/>
      <c r="F558" s="59"/>
    </row>
    <row r="559" ht="12.75" customHeight="1">
      <c r="A559" s="25"/>
      <c r="B559" s="59"/>
      <c r="C559" s="59"/>
      <c r="D559" s="59"/>
      <c r="E559" s="59"/>
      <c r="F559" s="59"/>
    </row>
    <row r="560" ht="12.75" customHeight="1">
      <c r="A560" s="25"/>
      <c r="B560" s="59"/>
      <c r="C560" s="59"/>
      <c r="D560" s="59"/>
      <c r="E560" s="59"/>
      <c r="F560" s="59"/>
    </row>
    <row r="561" ht="12.75" customHeight="1">
      <c r="A561" s="25"/>
      <c r="B561" s="59"/>
      <c r="C561" s="59"/>
      <c r="D561" s="59"/>
      <c r="E561" s="59"/>
      <c r="F561" s="59"/>
    </row>
    <row r="562" ht="12.75" customHeight="1">
      <c r="A562" s="25"/>
      <c r="B562" s="59"/>
      <c r="C562" s="59"/>
      <c r="D562" s="59"/>
      <c r="E562" s="59"/>
      <c r="F562" s="59"/>
    </row>
    <row r="563" ht="12.75" customHeight="1">
      <c r="A563" s="25"/>
      <c r="B563" s="59"/>
      <c r="C563" s="59"/>
      <c r="D563" s="59"/>
      <c r="E563" s="59"/>
      <c r="F563" s="59"/>
    </row>
    <row r="564" ht="12.75" customHeight="1">
      <c r="A564" s="25"/>
      <c r="B564" s="59"/>
      <c r="C564" s="59"/>
      <c r="D564" s="59"/>
      <c r="E564" s="59"/>
      <c r="F564" s="59"/>
    </row>
    <row r="565" ht="12.75" customHeight="1">
      <c r="A565" s="25"/>
      <c r="B565" s="59"/>
      <c r="C565" s="59"/>
      <c r="D565" s="59"/>
      <c r="E565" s="59"/>
      <c r="F565" s="59"/>
    </row>
    <row r="566" ht="12.75" customHeight="1">
      <c r="A566" s="25"/>
      <c r="B566" s="59"/>
      <c r="C566" s="59"/>
      <c r="D566" s="59"/>
      <c r="E566" s="59"/>
      <c r="F566" s="59"/>
    </row>
    <row r="567" ht="12.75" customHeight="1">
      <c r="A567" s="25"/>
      <c r="B567" s="59"/>
      <c r="C567" s="59"/>
      <c r="D567" s="59"/>
      <c r="E567" s="59"/>
      <c r="F567" s="59"/>
    </row>
    <row r="568" ht="12.75" customHeight="1">
      <c r="A568" s="25"/>
      <c r="B568" s="59"/>
      <c r="C568" s="59"/>
      <c r="D568" s="59"/>
      <c r="E568" s="59"/>
      <c r="F568" s="59"/>
    </row>
    <row r="569" ht="12.75" customHeight="1">
      <c r="A569" s="25"/>
      <c r="B569" s="59"/>
      <c r="C569" s="59"/>
      <c r="D569" s="59"/>
      <c r="E569" s="59"/>
      <c r="F569" s="59"/>
    </row>
    <row r="570" ht="12.75" customHeight="1">
      <c r="A570" s="25"/>
      <c r="B570" s="59"/>
      <c r="C570" s="59"/>
      <c r="D570" s="59"/>
      <c r="E570" s="59"/>
      <c r="F570" s="59"/>
    </row>
    <row r="571" ht="12.75" customHeight="1">
      <c r="A571" s="25"/>
      <c r="B571" s="59"/>
      <c r="C571" s="59"/>
      <c r="D571" s="59"/>
      <c r="E571" s="59"/>
      <c r="F571" s="59"/>
    </row>
    <row r="572" ht="12.75" customHeight="1">
      <c r="A572" s="25"/>
      <c r="B572" s="59"/>
      <c r="C572" s="59"/>
      <c r="D572" s="59"/>
      <c r="E572" s="59"/>
      <c r="F572" s="59"/>
    </row>
    <row r="573" ht="12.75" customHeight="1">
      <c r="A573" s="25"/>
      <c r="B573" s="59"/>
      <c r="C573" s="59"/>
      <c r="D573" s="59"/>
      <c r="E573" s="59"/>
      <c r="F573" s="59"/>
    </row>
    <row r="574" ht="12.75" customHeight="1">
      <c r="A574" s="25"/>
      <c r="B574" s="59"/>
      <c r="C574" s="59"/>
      <c r="D574" s="59"/>
      <c r="E574" s="59"/>
      <c r="F574" s="59"/>
    </row>
    <row r="575" ht="12.75" customHeight="1">
      <c r="A575" s="25"/>
      <c r="B575" s="59"/>
      <c r="C575" s="59"/>
      <c r="D575" s="59"/>
      <c r="E575" s="59"/>
      <c r="F575" s="59"/>
    </row>
    <row r="576" ht="12.75" customHeight="1">
      <c r="A576" s="25"/>
      <c r="B576" s="59"/>
      <c r="C576" s="59"/>
      <c r="D576" s="59"/>
      <c r="E576" s="59"/>
      <c r="F576" s="59"/>
    </row>
    <row r="577" ht="12.75" customHeight="1">
      <c r="A577" s="25"/>
      <c r="B577" s="59"/>
      <c r="C577" s="59"/>
      <c r="D577" s="59"/>
      <c r="E577" s="59"/>
      <c r="F577" s="59"/>
    </row>
    <row r="578" ht="12.75" customHeight="1">
      <c r="A578" s="25"/>
      <c r="B578" s="59"/>
      <c r="C578" s="59"/>
      <c r="D578" s="59"/>
      <c r="E578" s="59"/>
      <c r="F578" s="59"/>
    </row>
    <row r="579" ht="12.75" customHeight="1">
      <c r="A579" s="25"/>
      <c r="B579" s="59"/>
      <c r="C579" s="59"/>
      <c r="D579" s="59"/>
      <c r="E579" s="59"/>
      <c r="F579" s="59"/>
    </row>
    <row r="580" ht="12.75" customHeight="1">
      <c r="A580" s="25"/>
      <c r="B580" s="59"/>
      <c r="C580" s="59"/>
      <c r="D580" s="59"/>
      <c r="E580" s="59"/>
      <c r="F580" s="59"/>
    </row>
    <row r="581" ht="12.75" customHeight="1">
      <c r="A581" s="25"/>
      <c r="B581" s="59"/>
      <c r="C581" s="59"/>
      <c r="D581" s="59"/>
      <c r="E581" s="59"/>
      <c r="F581" s="59"/>
    </row>
    <row r="582" ht="12.75" customHeight="1">
      <c r="A582" s="25"/>
      <c r="B582" s="59"/>
      <c r="C582" s="59"/>
      <c r="D582" s="59"/>
      <c r="E582" s="59"/>
      <c r="F582" s="59"/>
    </row>
    <row r="583" ht="12.75" customHeight="1">
      <c r="A583" s="25"/>
      <c r="B583" s="59"/>
      <c r="C583" s="59"/>
      <c r="D583" s="59"/>
      <c r="E583" s="59"/>
      <c r="F583" s="59"/>
    </row>
    <row r="584" ht="12.75" customHeight="1">
      <c r="A584" s="25"/>
      <c r="B584" s="59"/>
      <c r="C584" s="59"/>
      <c r="D584" s="59"/>
      <c r="E584" s="59"/>
      <c r="F584" s="59"/>
    </row>
    <row r="585" ht="12.75" customHeight="1">
      <c r="A585" s="25"/>
      <c r="B585" s="59"/>
      <c r="C585" s="59"/>
      <c r="D585" s="59"/>
      <c r="E585" s="59"/>
      <c r="F585" s="59"/>
    </row>
    <row r="586" ht="12.75" customHeight="1">
      <c r="A586" s="25"/>
      <c r="B586" s="59"/>
      <c r="C586" s="59"/>
      <c r="D586" s="59"/>
      <c r="E586" s="59"/>
      <c r="F586" s="59"/>
    </row>
    <row r="587" ht="12.75" customHeight="1">
      <c r="A587" s="25"/>
      <c r="B587" s="59"/>
      <c r="C587" s="59"/>
      <c r="D587" s="59"/>
      <c r="E587" s="59"/>
      <c r="F587" s="59"/>
    </row>
    <row r="588" ht="12.75" customHeight="1">
      <c r="A588" s="25"/>
      <c r="B588" s="59"/>
      <c r="C588" s="59"/>
      <c r="D588" s="59"/>
      <c r="E588" s="59"/>
      <c r="F588" s="59"/>
    </row>
    <row r="589" ht="12.75" customHeight="1">
      <c r="A589" s="25"/>
      <c r="B589" s="59"/>
      <c r="C589" s="59"/>
      <c r="D589" s="59"/>
      <c r="E589" s="59"/>
      <c r="F589" s="59"/>
    </row>
    <row r="590" ht="12.75" customHeight="1">
      <c r="A590" s="25"/>
      <c r="B590" s="59"/>
      <c r="C590" s="59"/>
      <c r="D590" s="59"/>
      <c r="E590" s="59"/>
      <c r="F590" s="59"/>
    </row>
    <row r="591" ht="12.75" customHeight="1">
      <c r="A591" s="25"/>
      <c r="B591" s="59"/>
      <c r="C591" s="59"/>
      <c r="D591" s="59"/>
      <c r="E591" s="59"/>
      <c r="F591" s="59"/>
    </row>
    <row r="592" ht="12.75" customHeight="1">
      <c r="A592" s="25"/>
      <c r="B592" s="59"/>
      <c r="C592" s="59"/>
      <c r="D592" s="59"/>
      <c r="E592" s="59"/>
      <c r="F592" s="59"/>
    </row>
    <row r="593" ht="12.75" customHeight="1">
      <c r="A593" s="25"/>
      <c r="B593" s="59"/>
      <c r="C593" s="59"/>
      <c r="D593" s="59"/>
      <c r="E593" s="59"/>
      <c r="F593" s="59"/>
    </row>
    <row r="594" ht="12.75" customHeight="1">
      <c r="A594" s="25"/>
      <c r="B594" s="59"/>
      <c r="C594" s="59"/>
      <c r="D594" s="59"/>
      <c r="E594" s="59"/>
      <c r="F594" s="59"/>
    </row>
    <row r="595" ht="12.75" customHeight="1">
      <c r="A595" s="25"/>
      <c r="B595" s="59"/>
      <c r="C595" s="59"/>
      <c r="D595" s="59"/>
      <c r="E595" s="59"/>
      <c r="F595" s="59"/>
    </row>
    <row r="596" ht="12.75" customHeight="1">
      <c r="A596" s="25"/>
      <c r="B596" s="59"/>
      <c r="C596" s="59"/>
      <c r="D596" s="59"/>
      <c r="E596" s="59"/>
      <c r="F596" s="59"/>
    </row>
    <row r="597" ht="12.75" customHeight="1">
      <c r="A597" s="25"/>
      <c r="B597" s="59"/>
      <c r="C597" s="59"/>
      <c r="D597" s="59"/>
      <c r="E597" s="59"/>
      <c r="F597" s="59"/>
    </row>
    <row r="598" ht="12.75" customHeight="1">
      <c r="A598" s="25"/>
      <c r="B598" s="59"/>
      <c r="C598" s="59"/>
      <c r="D598" s="59"/>
      <c r="E598" s="59"/>
      <c r="F598" s="59"/>
    </row>
    <row r="599" ht="12.75" customHeight="1">
      <c r="A599" s="25"/>
      <c r="B599" s="59"/>
      <c r="C599" s="59"/>
      <c r="D599" s="59"/>
      <c r="E599" s="59"/>
      <c r="F599" s="59"/>
    </row>
    <row r="600" ht="12.75" customHeight="1">
      <c r="A600" s="25"/>
      <c r="B600" s="59"/>
      <c r="C600" s="59"/>
      <c r="D600" s="59"/>
      <c r="E600" s="59"/>
      <c r="F600" s="59"/>
    </row>
    <row r="601" ht="12.75" customHeight="1">
      <c r="A601" s="25"/>
      <c r="B601" s="59"/>
      <c r="C601" s="59"/>
      <c r="D601" s="59"/>
      <c r="E601" s="59"/>
      <c r="F601" s="59"/>
    </row>
    <row r="602" ht="12.75" customHeight="1">
      <c r="A602" s="25"/>
      <c r="B602" s="59"/>
      <c r="C602" s="59"/>
      <c r="D602" s="59"/>
      <c r="E602" s="59"/>
      <c r="F602" s="59"/>
    </row>
    <row r="603" ht="12.75" customHeight="1">
      <c r="A603" s="25"/>
      <c r="B603" s="59"/>
      <c r="C603" s="59"/>
      <c r="D603" s="59"/>
      <c r="E603" s="59"/>
      <c r="F603" s="59"/>
    </row>
    <row r="604" ht="12.75" customHeight="1">
      <c r="A604" s="25"/>
      <c r="B604" s="59"/>
      <c r="C604" s="59"/>
      <c r="D604" s="59"/>
      <c r="E604" s="59"/>
      <c r="F604" s="59"/>
    </row>
    <row r="605" ht="12.75" customHeight="1">
      <c r="A605" s="25"/>
      <c r="B605" s="59"/>
      <c r="C605" s="59"/>
      <c r="D605" s="59"/>
      <c r="E605" s="59"/>
      <c r="F605" s="59"/>
    </row>
    <row r="606" ht="12.75" customHeight="1">
      <c r="A606" s="25"/>
      <c r="B606" s="59"/>
      <c r="C606" s="59"/>
      <c r="D606" s="59"/>
      <c r="E606" s="59"/>
      <c r="F606" s="59"/>
    </row>
    <row r="607" ht="12.75" customHeight="1">
      <c r="A607" s="25"/>
      <c r="B607" s="59"/>
      <c r="C607" s="59"/>
      <c r="D607" s="59"/>
      <c r="E607" s="59"/>
      <c r="F607" s="59"/>
    </row>
    <row r="608" ht="12.75" customHeight="1">
      <c r="A608" s="25"/>
      <c r="B608" s="59"/>
      <c r="C608" s="59"/>
      <c r="D608" s="59"/>
      <c r="E608" s="59"/>
      <c r="F608" s="59"/>
    </row>
    <row r="609" ht="12.75" customHeight="1">
      <c r="A609" s="25"/>
      <c r="B609" s="59"/>
      <c r="C609" s="59"/>
      <c r="D609" s="59"/>
      <c r="E609" s="59"/>
      <c r="F609" s="59"/>
    </row>
    <row r="610" ht="12.75" customHeight="1">
      <c r="A610" s="25"/>
      <c r="B610" s="59"/>
      <c r="C610" s="59"/>
      <c r="D610" s="59"/>
      <c r="E610" s="59"/>
      <c r="F610" s="59"/>
    </row>
    <row r="611" ht="12.75" customHeight="1">
      <c r="A611" s="25"/>
      <c r="B611" s="59"/>
      <c r="C611" s="59"/>
      <c r="D611" s="59"/>
      <c r="E611" s="59"/>
      <c r="F611" s="59"/>
    </row>
    <row r="612" ht="12.75" customHeight="1">
      <c r="A612" s="25"/>
      <c r="B612" s="59"/>
      <c r="C612" s="59"/>
      <c r="D612" s="59"/>
      <c r="E612" s="59"/>
      <c r="F612" s="59"/>
    </row>
    <row r="613" ht="12.75" customHeight="1">
      <c r="A613" s="25"/>
      <c r="B613" s="59"/>
      <c r="C613" s="59"/>
      <c r="D613" s="59"/>
      <c r="E613" s="59"/>
      <c r="F613" s="59"/>
    </row>
    <row r="614" ht="12.75" customHeight="1">
      <c r="A614" s="25"/>
      <c r="B614" s="59"/>
      <c r="C614" s="59"/>
      <c r="D614" s="59"/>
      <c r="E614" s="59"/>
      <c r="F614" s="59"/>
    </row>
    <row r="615" ht="12.75" customHeight="1">
      <c r="A615" s="25"/>
      <c r="B615" s="59"/>
      <c r="C615" s="59"/>
      <c r="D615" s="59"/>
      <c r="E615" s="59"/>
      <c r="F615" s="59"/>
    </row>
    <row r="616" ht="12.75" customHeight="1">
      <c r="A616" s="25"/>
      <c r="B616" s="59"/>
      <c r="C616" s="59"/>
      <c r="D616" s="59"/>
      <c r="E616" s="59"/>
      <c r="F616" s="59"/>
    </row>
    <row r="617" ht="12.75" customHeight="1">
      <c r="A617" s="25"/>
      <c r="B617" s="59"/>
      <c r="C617" s="59"/>
      <c r="D617" s="59"/>
      <c r="E617" s="59"/>
      <c r="F617" s="59"/>
    </row>
    <row r="618" ht="12.75" customHeight="1">
      <c r="A618" s="25"/>
      <c r="B618" s="59"/>
      <c r="C618" s="59"/>
      <c r="D618" s="59"/>
      <c r="E618" s="59"/>
      <c r="F618" s="59"/>
    </row>
    <row r="619" ht="12.75" customHeight="1">
      <c r="A619" s="25"/>
      <c r="B619" s="59"/>
      <c r="C619" s="59"/>
      <c r="D619" s="59"/>
      <c r="E619" s="59"/>
      <c r="F619" s="59"/>
    </row>
    <row r="620" ht="12.75" customHeight="1">
      <c r="A620" s="25"/>
      <c r="B620" s="59"/>
      <c r="C620" s="59"/>
      <c r="D620" s="59"/>
      <c r="E620" s="59"/>
      <c r="F620" s="59"/>
    </row>
    <row r="621" ht="12.75" customHeight="1">
      <c r="A621" s="25"/>
      <c r="B621" s="59"/>
      <c r="C621" s="59"/>
      <c r="D621" s="59"/>
      <c r="E621" s="59"/>
      <c r="F621" s="59"/>
    </row>
    <row r="622" ht="12.75" customHeight="1">
      <c r="A622" s="25"/>
      <c r="B622" s="59"/>
      <c r="C622" s="59"/>
      <c r="D622" s="59"/>
      <c r="E622" s="59"/>
      <c r="F622" s="59"/>
    </row>
    <row r="623" ht="12.75" customHeight="1">
      <c r="A623" s="25"/>
      <c r="B623" s="59"/>
      <c r="C623" s="59"/>
      <c r="D623" s="59"/>
      <c r="E623" s="59"/>
      <c r="F623" s="59"/>
    </row>
    <row r="624" ht="12.75" customHeight="1">
      <c r="A624" s="25"/>
      <c r="B624" s="59"/>
      <c r="C624" s="59"/>
      <c r="D624" s="59"/>
      <c r="E624" s="59"/>
      <c r="F624" s="59"/>
    </row>
    <row r="625" ht="12.75" customHeight="1">
      <c r="A625" s="25"/>
      <c r="B625" s="59"/>
      <c r="C625" s="59"/>
      <c r="D625" s="59"/>
      <c r="E625" s="59"/>
      <c r="F625" s="59"/>
    </row>
    <row r="626" ht="12.75" customHeight="1">
      <c r="A626" s="25"/>
      <c r="B626" s="59"/>
      <c r="C626" s="59"/>
      <c r="D626" s="59"/>
      <c r="E626" s="59"/>
      <c r="F626" s="59"/>
    </row>
    <row r="627" ht="12.75" customHeight="1">
      <c r="A627" s="25"/>
      <c r="B627" s="59"/>
      <c r="C627" s="59"/>
      <c r="D627" s="59"/>
      <c r="E627" s="59"/>
      <c r="F627" s="59"/>
    </row>
    <row r="628" ht="12.75" customHeight="1">
      <c r="A628" s="25"/>
      <c r="B628" s="59"/>
      <c r="C628" s="59"/>
      <c r="D628" s="59"/>
      <c r="E628" s="59"/>
      <c r="F628" s="59"/>
    </row>
    <row r="629" ht="12.75" customHeight="1">
      <c r="A629" s="25"/>
      <c r="B629" s="59"/>
      <c r="C629" s="59"/>
      <c r="D629" s="59"/>
      <c r="E629" s="59"/>
      <c r="F629" s="59"/>
    </row>
    <row r="630" ht="12.75" customHeight="1">
      <c r="A630" s="25"/>
      <c r="B630" s="59"/>
      <c r="C630" s="59"/>
      <c r="D630" s="59"/>
      <c r="E630" s="59"/>
      <c r="F630" s="59"/>
    </row>
    <row r="631" ht="12.75" customHeight="1">
      <c r="A631" s="25"/>
      <c r="B631" s="59"/>
      <c r="C631" s="59"/>
      <c r="D631" s="59"/>
      <c r="E631" s="59"/>
      <c r="F631" s="59"/>
    </row>
    <row r="632" ht="12.75" customHeight="1">
      <c r="A632" s="25"/>
      <c r="B632" s="59"/>
      <c r="C632" s="59"/>
      <c r="D632" s="59"/>
      <c r="E632" s="59"/>
      <c r="F632" s="59"/>
    </row>
    <row r="633" ht="12.75" customHeight="1">
      <c r="A633" s="25"/>
      <c r="B633" s="59"/>
      <c r="C633" s="59"/>
      <c r="D633" s="59"/>
      <c r="E633" s="59"/>
      <c r="F633" s="59"/>
    </row>
    <row r="634" ht="12.75" customHeight="1">
      <c r="A634" s="25"/>
      <c r="B634" s="59"/>
      <c r="C634" s="59"/>
      <c r="D634" s="59"/>
      <c r="E634" s="59"/>
      <c r="F634" s="59"/>
    </row>
    <row r="635" ht="12.75" customHeight="1">
      <c r="A635" s="25"/>
      <c r="B635" s="59"/>
      <c r="C635" s="59"/>
      <c r="D635" s="59"/>
      <c r="E635" s="59"/>
      <c r="F635" s="59"/>
    </row>
    <row r="636" ht="12.75" customHeight="1">
      <c r="A636" s="25"/>
      <c r="B636" s="59"/>
      <c r="C636" s="59"/>
      <c r="D636" s="59"/>
      <c r="E636" s="59"/>
      <c r="F636" s="59"/>
    </row>
    <row r="637" ht="12.75" customHeight="1">
      <c r="A637" s="25"/>
      <c r="B637" s="59"/>
      <c r="C637" s="59"/>
      <c r="D637" s="59"/>
      <c r="E637" s="59"/>
      <c r="F637" s="59"/>
    </row>
    <row r="638" ht="12.75" customHeight="1">
      <c r="A638" s="25"/>
      <c r="B638" s="59"/>
      <c r="C638" s="59"/>
      <c r="D638" s="59"/>
      <c r="E638" s="59"/>
      <c r="F638" s="59"/>
    </row>
    <row r="639" ht="12.75" customHeight="1">
      <c r="A639" s="25"/>
      <c r="B639" s="59"/>
      <c r="C639" s="59"/>
      <c r="D639" s="59"/>
      <c r="E639" s="59"/>
      <c r="F639" s="59"/>
    </row>
    <row r="640" ht="12.75" customHeight="1">
      <c r="A640" s="25"/>
      <c r="B640" s="59"/>
      <c r="C640" s="59"/>
      <c r="D640" s="59"/>
      <c r="E640" s="59"/>
      <c r="F640" s="59"/>
    </row>
    <row r="641" ht="12.75" customHeight="1">
      <c r="A641" s="25"/>
      <c r="B641" s="59"/>
      <c r="C641" s="59"/>
      <c r="D641" s="59"/>
      <c r="E641" s="59"/>
      <c r="F641" s="59"/>
    </row>
    <row r="642" ht="12.75" customHeight="1">
      <c r="A642" s="25"/>
      <c r="B642" s="59"/>
      <c r="C642" s="59"/>
      <c r="D642" s="59"/>
      <c r="E642" s="59"/>
      <c r="F642" s="59"/>
    </row>
    <row r="643" ht="12.75" customHeight="1">
      <c r="A643" s="25"/>
      <c r="B643" s="59"/>
      <c r="C643" s="59"/>
      <c r="D643" s="59"/>
      <c r="E643" s="59"/>
      <c r="F643" s="59"/>
    </row>
    <row r="644" ht="12.75" customHeight="1">
      <c r="A644" s="25"/>
      <c r="B644" s="59"/>
      <c r="C644" s="59"/>
      <c r="D644" s="59"/>
      <c r="E644" s="59"/>
      <c r="F644" s="59"/>
    </row>
    <row r="645" ht="12.75" customHeight="1">
      <c r="A645" s="25"/>
      <c r="B645" s="59"/>
      <c r="C645" s="59"/>
      <c r="D645" s="59"/>
      <c r="E645" s="59"/>
      <c r="F645" s="59"/>
    </row>
    <row r="646" ht="12.75" customHeight="1">
      <c r="A646" s="25"/>
      <c r="B646" s="59"/>
      <c r="C646" s="59"/>
      <c r="D646" s="59"/>
      <c r="E646" s="59"/>
      <c r="F646" s="59"/>
    </row>
    <row r="647" ht="12.75" customHeight="1">
      <c r="A647" s="25"/>
      <c r="B647" s="59"/>
      <c r="C647" s="59"/>
      <c r="D647" s="59"/>
      <c r="E647" s="59"/>
      <c r="F647" s="59"/>
    </row>
    <row r="648" ht="12.75" customHeight="1">
      <c r="A648" s="25"/>
      <c r="B648" s="59"/>
      <c r="C648" s="59"/>
      <c r="D648" s="59"/>
      <c r="E648" s="59"/>
      <c r="F648" s="59"/>
    </row>
    <row r="649" ht="12.75" customHeight="1">
      <c r="A649" s="25"/>
      <c r="B649" s="59"/>
      <c r="C649" s="59"/>
      <c r="D649" s="59"/>
      <c r="E649" s="59"/>
      <c r="F649" s="59"/>
    </row>
    <row r="650" ht="12.75" customHeight="1">
      <c r="A650" s="25"/>
      <c r="B650" s="59"/>
      <c r="C650" s="59"/>
      <c r="D650" s="59"/>
      <c r="E650" s="59"/>
      <c r="F650" s="59"/>
    </row>
    <row r="651" ht="12.75" customHeight="1">
      <c r="A651" s="25"/>
      <c r="B651" s="59"/>
      <c r="C651" s="59"/>
      <c r="D651" s="59"/>
      <c r="E651" s="59"/>
      <c r="F651" s="59"/>
    </row>
    <row r="652" ht="12.75" customHeight="1">
      <c r="A652" s="25"/>
      <c r="B652" s="59"/>
      <c r="C652" s="59"/>
      <c r="D652" s="59"/>
      <c r="E652" s="59"/>
      <c r="F652" s="59"/>
    </row>
    <row r="653" ht="12.75" customHeight="1">
      <c r="A653" s="25"/>
      <c r="B653" s="59"/>
      <c r="C653" s="59"/>
      <c r="D653" s="59"/>
      <c r="E653" s="59"/>
      <c r="F653" s="59"/>
    </row>
    <row r="654" ht="12.75" customHeight="1">
      <c r="A654" s="25"/>
      <c r="B654" s="59"/>
      <c r="C654" s="59"/>
      <c r="D654" s="59"/>
      <c r="E654" s="59"/>
      <c r="F654" s="59"/>
    </row>
    <row r="655" ht="12.75" customHeight="1">
      <c r="A655" s="25"/>
      <c r="B655" s="59"/>
      <c r="C655" s="59"/>
      <c r="D655" s="59"/>
      <c r="E655" s="59"/>
      <c r="F655" s="59"/>
    </row>
    <row r="656" ht="12.75" customHeight="1">
      <c r="A656" s="25"/>
      <c r="B656" s="59"/>
      <c r="C656" s="59"/>
      <c r="D656" s="59"/>
      <c r="E656" s="59"/>
      <c r="F656" s="59"/>
    </row>
    <row r="657" ht="12.75" customHeight="1">
      <c r="A657" s="25"/>
      <c r="B657" s="59"/>
      <c r="C657" s="59"/>
      <c r="D657" s="59"/>
      <c r="E657" s="59"/>
      <c r="F657" s="59"/>
    </row>
    <row r="658" ht="12.75" customHeight="1">
      <c r="A658" s="25"/>
      <c r="B658" s="59"/>
      <c r="C658" s="59"/>
      <c r="D658" s="59"/>
      <c r="E658" s="59"/>
      <c r="F658" s="59"/>
    </row>
    <row r="659" ht="12.75" customHeight="1">
      <c r="A659" s="25"/>
      <c r="B659" s="59"/>
      <c r="C659" s="59"/>
      <c r="D659" s="59"/>
      <c r="E659" s="59"/>
      <c r="F659" s="59"/>
    </row>
    <row r="660" ht="12.75" customHeight="1">
      <c r="A660" s="25"/>
      <c r="B660" s="59"/>
      <c r="C660" s="59"/>
      <c r="D660" s="59"/>
      <c r="E660" s="59"/>
      <c r="F660" s="59"/>
    </row>
    <row r="661" ht="12.75" customHeight="1">
      <c r="A661" s="25"/>
      <c r="B661" s="59"/>
      <c r="C661" s="59"/>
      <c r="D661" s="59"/>
      <c r="E661" s="59"/>
      <c r="F661" s="59"/>
    </row>
    <row r="662" ht="12.75" customHeight="1">
      <c r="A662" s="25"/>
      <c r="B662" s="59"/>
      <c r="C662" s="59"/>
      <c r="D662" s="59"/>
      <c r="E662" s="59"/>
      <c r="F662" s="59"/>
    </row>
    <row r="663" ht="12.75" customHeight="1">
      <c r="A663" s="25"/>
      <c r="B663" s="59"/>
      <c r="C663" s="59"/>
      <c r="D663" s="59"/>
      <c r="E663" s="59"/>
      <c r="F663" s="59"/>
    </row>
    <row r="664" ht="12.75" customHeight="1">
      <c r="A664" s="25"/>
      <c r="B664" s="59"/>
      <c r="C664" s="59"/>
      <c r="D664" s="59"/>
      <c r="E664" s="59"/>
      <c r="F664" s="59"/>
    </row>
    <row r="665" ht="12.75" customHeight="1">
      <c r="A665" s="25"/>
      <c r="B665" s="59"/>
      <c r="C665" s="59"/>
      <c r="D665" s="59"/>
      <c r="E665" s="59"/>
      <c r="F665" s="59"/>
    </row>
    <row r="666" ht="12.75" customHeight="1">
      <c r="A666" s="25"/>
      <c r="B666" s="59"/>
      <c r="C666" s="59"/>
      <c r="D666" s="59"/>
      <c r="E666" s="59"/>
      <c r="F666" s="59"/>
    </row>
    <row r="667" ht="12.75" customHeight="1">
      <c r="A667" s="25"/>
      <c r="B667" s="59"/>
      <c r="C667" s="59"/>
      <c r="D667" s="59"/>
      <c r="E667" s="59"/>
      <c r="F667" s="59"/>
    </row>
    <row r="668" ht="12.75" customHeight="1">
      <c r="A668" s="25"/>
      <c r="B668" s="59"/>
      <c r="C668" s="59"/>
      <c r="D668" s="59"/>
      <c r="E668" s="59"/>
      <c r="F668" s="59"/>
    </row>
    <row r="669" ht="12.75" customHeight="1">
      <c r="A669" s="25"/>
      <c r="B669" s="59"/>
      <c r="C669" s="59"/>
      <c r="D669" s="59"/>
      <c r="E669" s="59"/>
      <c r="F669" s="59"/>
    </row>
    <row r="670" ht="12.75" customHeight="1">
      <c r="A670" s="25"/>
      <c r="B670" s="59"/>
      <c r="C670" s="59"/>
      <c r="D670" s="59"/>
      <c r="E670" s="59"/>
      <c r="F670" s="59"/>
    </row>
    <row r="671" ht="12.75" customHeight="1">
      <c r="A671" s="25"/>
      <c r="B671" s="59"/>
      <c r="C671" s="59"/>
      <c r="D671" s="59"/>
      <c r="E671" s="59"/>
      <c r="F671" s="59"/>
    </row>
    <row r="672" ht="12.75" customHeight="1">
      <c r="A672" s="25"/>
      <c r="B672" s="59"/>
      <c r="C672" s="59"/>
      <c r="D672" s="59"/>
      <c r="E672" s="59"/>
      <c r="F672" s="59"/>
    </row>
    <row r="673" ht="12.75" customHeight="1">
      <c r="A673" s="25"/>
      <c r="B673" s="59"/>
      <c r="C673" s="59"/>
      <c r="D673" s="59"/>
      <c r="E673" s="59"/>
      <c r="F673" s="59"/>
    </row>
    <row r="674" ht="12.75" customHeight="1">
      <c r="A674" s="25"/>
      <c r="B674" s="59"/>
      <c r="C674" s="59"/>
      <c r="D674" s="59"/>
      <c r="E674" s="59"/>
      <c r="F674" s="59"/>
    </row>
    <row r="675" ht="12.75" customHeight="1">
      <c r="A675" s="25"/>
      <c r="B675" s="59"/>
      <c r="C675" s="59"/>
      <c r="D675" s="59"/>
      <c r="E675" s="59"/>
      <c r="F675" s="59"/>
    </row>
    <row r="676" ht="12.75" customHeight="1">
      <c r="A676" s="25"/>
      <c r="B676" s="59"/>
      <c r="C676" s="59"/>
      <c r="D676" s="59"/>
      <c r="E676" s="59"/>
      <c r="F676" s="59"/>
    </row>
    <row r="677" ht="12.75" customHeight="1">
      <c r="A677" s="25"/>
      <c r="B677" s="59"/>
      <c r="C677" s="59"/>
      <c r="D677" s="59"/>
      <c r="E677" s="59"/>
      <c r="F677" s="59"/>
    </row>
    <row r="678" ht="12.75" customHeight="1">
      <c r="A678" s="25"/>
      <c r="B678" s="59"/>
      <c r="C678" s="59"/>
      <c r="D678" s="59"/>
      <c r="E678" s="59"/>
      <c r="F678" s="59"/>
    </row>
    <row r="679" ht="12.75" customHeight="1">
      <c r="A679" s="25"/>
      <c r="B679" s="59"/>
      <c r="C679" s="59"/>
      <c r="D679" s="59"/>
      <c r="E679" s="59"/>
      <c r="F679" s="59"/>
    </row>
    <row r="680" ht="12.75" customHeight="1">
      <c r="A680" s="25"/>
      <c r="B680" s="59"/>
      <c r="C680" s="59"/>
      <c r="D680" s="59"/>
      <c r="E680" s="59"/>
      <c r="F680" s="59"/>
    </row>
    <row r="681" ht="12.75" customHeight="1">
      <c r="A681" s="25"/>
      <c r="B681" s="59"/>
      <c r="C681" s="59"/>
      <c r="D681" s="59"/>
      <c r="E681" s="59"/>
      <c r="F681" s="59"/>
    </row>
    <row r="682" ht="12.75" customHeight="1">
      <c r="A682" s="25"/>
      <c r="B682" s="59"/>
      <c r="C682" s="59"/>
      <c r="D682" s="59"/>
      <c r="E682" s="59"/>
      <c r="F682" s="59"/>
    </row>
    <row r="683" ht="12.75" customHeight="1">
      <c r="A683" s="25"/>
      <c r="B683" s="59"/>
      <c r="C683" s="59"/>
      <c r="D683" s="59"/>
      <c r="E683" s="59"/>
      <c r="F683" s="59"/>
    </row>
    <row r="684" ht="12.75" customHeight="1">
      <c r="A684" s="25"/>
      <c r="B684" s="59"/>
      <c r="C684" s="59"/>
      <c r="D684" s="59"/>
      <c r="E684" s="59"/>
      <c r="F684" s="59"/>
    </row>
    <row r="685" ht="12.75" customHeight="1">
      <c r="A685" s="25"/>
      <c r="B685" s="59"/>
      <c r="C685" s="59"/>
      <c r="D685" s="59"/>
      <c r="E685" s="59"/>
      <c r="F685" s="59"/>
    </row>
    <row r="686" ht="12.75" customHeight="1">
      <c r="A686" s="25"/>
      <c r="B686" s="59"/>
      <c r="C686" s="59"/>
      <c r="D686" s="59"/>
      <c r="E686" s="59"/>
      <c r="F686" s="59"/>
    </row>
    <row r="687" ht="12.75" customHeight="1">
      <c r="A687" s="25"/>
      <c r="B687" s="59"/>
      <c r="C687" s="59"/>
      <c r="D687" s="59"/>
      <c r="E687" s="59"/>
      <c r="F687" s="59"/>
    </row>
    <row r="688" ht="12.75" customHeight="1">
      <c r="A688" s="25"/>
      <c r="B688" s="59"/>
      <c r="C688" s="59"/>
      <c r="D688" s="59"/>
      <c r="E688" s="59"/>
      <c r="F688" s="59"/>
    </row>
    <row r="689" ht="12.75" customHeight="1">
      <c r="A689" s="25"/>
      <c r="B689" s="59"/>
      <c r="C689" s="59"/>
      <c r="D689" s="59"/>
      <c r="E689" s="59"/>
      <c r="F689" s="59"/>
    </row>
    <row r="690" ht="12.75" customHeight="1">
      <c r="A690" s="25"/>
      <c r="B690" s="59"/>
      <c r="C690" s="59"/>
      <c r="D690" s="59"/>
      <c r="E690" s="59"/>
      <c r="F690" s="59"/>
    </row>
    <row r="691" ht="12.75" customHeight="1">
      <c r="A691" s="25"/>
      <c r="B691" s="59"/>
      <c r="C691" s="59"/>
      <c r="D691" s="59"/>
      <c r="E691" s="59"/>
      <c r="F691" s="59"/>
    </row>
    <row r="692" ht="12.75" customHeight="1">
      <c r="A692" s="25"/>
      <c r="B692" s="59"/>
      <c r="C692" s="59"/>
      <c r="D692" s="59"/>
      <c r="E692" s="59"/>
      <c r="F692" s="59"/>
    </row>
    <row r="693" ht="12.75" customHeight="1">
      <c r="A693" s="25"/>
      <c r="B693" s="59"/>
      <c r="C693" s="59"/>
      <c r="D693" s="59"/>
      <c r="E693" s="59"/>
      <c r="F693" s="59"/>
    </row>
    <row r="694" ht="12.75" customHeight="1">
      <c r="A694" s="25"/>
      <c r="B694" s="59"/>
      <c r="C694" s="59"/>
      <c r="D694" s="59"/>
      <c r="E694" s="59"/>
      <c r="F694" s="59"/>
    </row>
    <row r="695" ht="12.75" customHeight="1">
      <c r="A695" s="25"/>
      <c r="B695" s="59"/>
      <c r="C695" s="59"/>
      <c r="D695" s="59"/>
      <c r="E695" s="59"/>
      <c r="F695" s="59"/>
    </row>
    <row r="696" ht="12.75" customHeight="1">
      <c r="A696" s="25"/>
      <c r="B696" s="59"/>
      <c r="C696" s="59"/>
      <c r="D696" s="59"/>
      <c r="E696" s="59"/>
      <c r="F696" s="59"/>
    </row>
    <row r="697" ht="12.75" customHeight="1">
      <c r="A697" s="25"/>
      <c r="B697" s="59"/>
      <c r="C697" s="59"/>
      <c r="D697" s="59"/>
      <c r="E697" s="59"/>
      <c r="F697" s="59"/>
    </row>
    <row r="698" ht="12.75" customHeight="1">
      <c r="A698" s="25"/>
      <c r="B698" s="59"/>
      <c r="C698" s="59"/>
      <c r="D698" s="59"/>
      <c r="E698" s="59"/>
      <c r="F698" s="59"/>
    </row>
    <row r="699" ht="12.75" customHeight="1">
      <c r="A699" s="25"/>
      <c r="B699" s="59"/>
      <c r="C699" s="59"/>
      <c r="D699" s="59"/>
      <c r="E699" s="59"/>
      <c r="F699" s="59"/>
    </row>
    <row r="700" ht="12.75" customHeight="1">
      <c r="A700" s="25"/>
      <c r="B700" s="59"/>
      <c r="C700" s="59"/>
      <c r="D700" s="59"/>
      <c r="E700" s="59"/>
      <c r="F700" s="59"/>
    </row>
    <row r="701" ht="12.75" customHeight="1">
      <c r="A701" s="25"/>
      <c r="B701" s="59"/>
      <c r="C701" s="59"/>
      <c r="D701" s="59"/>
      <c r="E701" s="59"/>
      <c r="F701" s="59"/>
    </row>
    <row r="702" ht="12.75" customHeight="1">
      <c r="A702" s="25"/>
      <c r="B702" s="59"/>
      <c r="C702" s="59"/>
      <c r="D702" s="59"/>
      <c r="E702" s="59"/>
      <c r="F702" s="59"/>
    </row>
    <row r="703" ht="12.75" customHeight="1">
      <c r="A703" s="25"/>
      <c r="B703" s="59"/>
      <c r="C703" s="59"/>
      <c r="D703" s="59"/>
      <c r="E703" s="59"/>
      <c r="F703" s="59"/>
    </row>
    <row r="704" ht="12.75" customHeight="1">
      <c r="A704" s="25"/>
      <c r="B704" s="59"/>
      <c r="C704" s="59"/>
      <c r="D704" s="59"/>
      <c r="E704" s="59"/>
      <c r="F704" s="59"/>
    </row>
    <row r="705" ht="12.75" customHeight="1">
      <c r="A705" s="25"/>
      <c r="B705" s="59"/>
      <c r="C705" s="59"/>
      <c r="D705" s="59"/>
      <c r="E705" s="59"/>
      <c r="F705" s="59"/>
    </row>
    <row r="706" ht="12.75" customHeight="1">
      <c r="A706" s="25"/>
      <c r="B706" s="59"/>
      <c r="C706" s="59"/>
      <c r="D706" s="59"/>
      <c r="E706" s="59"/>
      <c r="F706" s="59"/>
    </row>
    <row r="707" ht="12.75" customHeight="1">
      <c r="A707" s="25"/>
      <c r="B707" s="59"/>
      <c r="C707" s="59"/>
      <c r="D707" s="59"/>
      <c r="E707" s="59"/>
      <c r="F707" s="59"/>
    </row>
    <row r="708" ht="12.75" customHeight="1">
      <c r="A708" s="25"/>
      <c r="B708" s="59"/>
      <c r="C708" s="59"/>
      <c r="D708" s="59"/>
      <c r="E708" s="59"/>
      <c r="F708" s="59"/>
    </row>
    <row r="709" ht="12.75" customHeight="1">
      <c r="A709" s="25"/>
      <c r="B709" s="59"/>
      <c r="C709" s="59"/>
      <c r="D709" s="59"/>
      <c r="E709" s="59"/>
      <c r="F709" s="59"/>
    </row>
    <row r="710" ht="12.75" customHeight="1">
      <c r="A710" s="25"/>
      <c r="B710" s="59"/>
      <c r="C710" s="59"/>
      <c r="D710" s="59"/>
      <c r="E710" s="59"/>
      <c r="F710" s="59"/>
    </row>
    <row r="711" ht="12.75" customHeight="1">
      <c r="A711" s="25"/>
      <c r="B711" s="59"/>
      <c r="C711" s="59"/>
      <c r="D711" s="59"/>
      <c r="E711" s="59"/>
      <c r="F711" s="59"/>
    </row>
    <row r="712" ht="12.75" customHeight="1">
      <c r="A712" s="25"/>
      <c r="B712" s="59"/>
      <c r="C712" s="59"/>
      <c r="D712" s="59"/>
      <c r="E712" s="59"/>
      <c r="F712" s="59"/>
    </row>
    <row r="713" ht="12.75" customHeight="1">
      <c r="A713" s="25"/>
      <c r="B713" s="59"/>
      <c r="C713" s="59"/>
      <c r="D713" s="59"/>
      <c r="E713" s="59"/>
      <c r="F713" s="59"/>
    </row>
    <row r="714" ht="12.75" customHeight="1">
      <c r="A714" s="25"/>
      <c r="B714" s="59"/>
      <c r="C714" s="59"/>
      <c r="D714" s="59"/>
      <c r="E714" s="59"/>
      <c r="F714" s="59"/>
    </row>
    <row r="715" ht="12.75" customHeight="1">
      <c r="A715" s="25"/>
      <c r="B715" s="59"/>
      <c r="C715" s="59"/>
      <c r="D715" s="59"/>
      <c r="E715" s="59"/>
      <c r="F715" s="59"/>
    </row>
    <row r="716" ht="12.75" customHeight="1">
      <c r="A716" s="25"/>
      <c r="B716" s="59"/>
      <c r="C716" s="59"/>
      <c r="D716" s="59"/>
      <c r="E716" s="59"/>
      <c r="F716" s="59"/>
    </row>
    <row r="717" ht="12.75" customHeight="1">
      <c r="A717" s="25"/>
      <c r="B717" s="59"/>
      <c r="C717" s="59"/>
      <c r="D717" s="59"/>
      <c r="E717" s="59"/>
      <c r="F717" s="59"/>
    </row>
    <row r="718" ht="12.75" customHeight="1">
      <c r="A718" s="25"/>
      <c r="B718" s="59"/>
      <c r="C718" s="59"/>
      <c r="D718" s="59"/>
      <c r="E718" s="59"/>
      <c r="F718" s="59"/>
    </row>
    <row r="719" ht="12.75" customHeight="1">
      <c r="A719" s="25"/>
      <c r="B719" s="59"/>
      <c r="C719" s="59"/>
      <c r="D719" s="59"/>
      <c r="E719" s="59"/>
      <c r="F719" s="59"/>
    </row>
    <row r="720" ht="12.75" customHeight="1">
      <c r="A720" s="25"/>
      <c r="B720" s="59"/>
      <c r="C720" s="59"/>
      <c r="D720" s="59"/>
      <c r="E720" s="59"/>
      <c r="F720" s="59"/>
    </row>
    <row r="721" ht="12.75" customHeight="1">
      <c r="A721" s="25"/>
      <c r="B721" s="59"/>
      <c r="C721" s="59"/>
      <c r="D721" s="59"/>
      <c r="E721" s="59"/>
      <c r="F721" s="59"/>
    </row>
    <row r="722" ht="12.75" customHeight="1">
      <c r="A722" s="25"/>
      <c r="B722" s="59"/>
      <c r="C722" s="59"/>
      <c r="D722" s="59"/>
      <c r="E722" s="59"/>
      <c r="F722" s="59"/>
    </row>
    <row r="723" ht="12.75" customHeight="1">
      <c r="A723" s="25"/>
      <c r="B723" s="59"/>
      <c r="C723" s="59"/>
      <c r="D723" s="59"/>
      <c r="E723" s="59"/>
      <c r="F723" s="59"/>
    </row>
    <row r="724" ht="12.75" customHeight="1">
      <c r="A724" s="25"/>
      <c r="B724" s="59"/>
      <c r="C724" s="59"/>
      <c r="D724" s="59"/>
      <c r="E724" s="59"/>
      <c r="F724" s="59"/>
    </row>
    <row r="725" ht="12.75" customHeight="1">
      <c r="A725" s="25"/>
      <c r="B725" s="59"/>
      <c r="C725" s="59"/>
      <c r="D725" s="59"/>
      <c r="E725" s="59"/>
      <c r="F725" s="59"/>
    </row>
    <row r="726" ht="12.75" customHeight="1">
      <c r="A726" s="25"/>
      <c r="B726" s="59"/>
      <c r="C726" s="59"/>
      <c r="D726" s="59"/>
      <c r="E726" s="59"/>
      <c r="F726" s="59"/>
    </row>
    <row r="727" ht="12.75" customHeight="1">
      <c r="A727" s="25"/>
      <c r="B727" s="59"/>
      <c r="C727" s="59"/>
      <c r="D727" s="59"/>
      <c r="E727" s="59"/>
      <c r="F727" s="59"/>
    </row>
    <row r="728" ht="12.75" customHeight="1">
      <c r="A728" s="25"/>
      <c r="B728" s="59"/>
      <c r="C728" s="59"/>
      <c r="D728" s="59"/>
      <c r="E728" s="59"/>
      <c r="F728" s="59"/>
    </row>
    <row r="729" ht="12.75" customHeight="1">
      <c r="A729" s="25"/>
      <c r="B729" s="59"/>
      <c r="C729" s="59"/>
      <c r="D729" s="59"/>
      <c r="E729" s="59"/>
      <c r="F729" s="59"/>
    </row>
    <row r="730" ht="12.75" customHeight="1">
      <c r="A730" s="25"/>
      <c r="B730" s="59"/>
      <c r="C730" s="59"/>
      <c r="D730" s="59"/>
      <c r="E730" s="59"/>
      <c r="F730" s="59"/>
    </row>
    <row r="731" ht="12.75" customHeight="1">
      <c r="A731" s="25"/>
      <c r="B731" s="59"/>
      <c r="C731" s="59"/>
      <c r="D731" s="59"/>
      <c r="E731" s="59"/>
      <c r="F731" s="59"/>
    </row>
    <row r="732" ht="12.75" customHeight="1">
      <c r="A732" s="25"/>
      <c r="B732" s="59"/>
      <c r="C732" s="59"/>
      <c r="D732" s="59"/>
      <c r="E732" s="59"/>
      <c r="F732" s="59"/>
    </row>
    <row r="733" ht="12.75" customHeight="1">
      <c r="A733" s="25"/>
      <c r="B733" s="59"/>
      <c r="C733" s="59"/>
      <c r="D733" s="59"/>
      <c r="E733" s="59"/>
      <c r="F733" s="59"/>
    </row>
    <row r="734" ht="12.75" customHeight="1">
      <c r="A734" s="25"/>
      <c r="B734" s="59"/>
      <c r="C734" s="59"/>
      <c r="D734" s="59"/>
      <c r="E734" s="59"/>
      <c r="F734" s="59"/>
    </row>
    <row r="735" ht="12.75" customHeight="1">
      <c r="A735" s="25"/>
      <c r="B735" s="59"/>
      <c r="C735" s="59"/>
      <c r="D735" s="59"/>
      <c r="E735" s="59"/>
      <c r="F735" s="59"/>
    </row>
    <row r="736" ht="12.75" customHeight="1">
      <c r="A736" s="25"/>
      <c r="B736" s="59"/>
      <c r="C736" s="59"/>
      <c r="D736" s="59"/>
      <c r="E736" s="59"/>
      <c r="F736" s="59"/>
    </row>
    <row r="737" ht="12.75" customHeight="1">
      <c r="A737" s="25"/>
      <c r="B737" s="59"/>
      <c r="C737" s="59"/>
      <c r="D737" s="59"/>
      <c r="E737" s="59"/>
      <c r="F737" s="59"/>
    </row>
    <row r="738" ht="12.75" customHeight="1">
      <c r="A738" s="25"/>
      <c r="B738" s="59"/>
      <c r="C738" s="59"/>
      <c r="D738" s="59"/>
      <c r="E738" s="59"/>
      <c r="F738" s="59"/>
    </row>
    <row r="739" ht="12.75" customHeight="1">
      <c r="A739" s="25"/>
      <c r="B739" s="59"/>
      <c r="C739" s="59"/>
      <c r="D739" s="59"/>
      <c r="E739" s="59"/>
      <c r="F739" s="59"/>
    </row>
    <row r="740" ht="12.75" customHeight="1">
      <c r="A740" s="25"/>
      <c r="B740" s="59"/>
      <c r="C740" s="59"/>
      <c r="D740" s="59"/>
      <c r="E740" s="59"/>
      <c r="F740" s="59"/>
    </row>
    <row r="741" ht="12.75" customHeight="1">
      <c r="A741" s="25"/>
      <c r="B741" s="59"/>
      <c r="C741" s="59"/>
      <c r="D741" s="59"/>
      <c r="E741" s="59"/>
      <c r="F741" s="59"/>
    </row>
    <row r="742" ht="12.75" customHeight="1">
      <c r="A742" s="25"/>
      <c r="B742" s="59"/>
      <c r="C742" s="59"/>
      <c r="D742" s="59"/>
      <c r="E742" s="59"/>
      <c r="F742" s="59"/>
    </row>
    <row r="743" ht="12.75" customHeight="1">
      <c r="A743" s="25"/>
      <c r="B743" s="59"/>
      <c r="C743" s="59"/>
      <c r="D743" s="59"/>
      <c r="E743" s="59"/>
      <c r="F743" s="59"/>
    </row>
    <row r="744" ht="12.75" customHeight="1">
      <c r="A744" s="25"/>
      <c r="B744" s="59"/>
      <c r="C744" s="59"/>
      <c r="D744" s="59"/>
      <c r="E744" s="59"/>
      <c r="F744" s="59"/>
    </row>
    <row r="745" ht="12.75" customHeight="1">
      <c r="A745" s="25"/>
      <c r="B745" s="59"/>
      <c r="C745" s="59"/>
      <c r="D745" s="59"/>
      <c r="E745" s="59"/>
      <c r="F745" s="59"/>
    </row>
    <row r="746" ht="12.75" customHeight="1">
      <c r="A746" s="25"/>
      <c r="B746" s="59"/>
      <c r="C746" s="59"/>
      <c r="D746" s="59"/>
      <c r="E746" s="59"/>
      <c r="F746" s="59"/>
    </row>
    <row r="747" ht="12.75" customHeight="1">
      <c r="A747" s="25"/>
      <c r="B747" s="59"/>
      <c r="C747" s="59"/>
      <c r="D747" s="59"/>
      <c r="E747" s="59"/>
      <c r="F747" s="59"/>
    </row>
    <row r="748" ht="12.75" customHeight="1">
      <c r="A748" s="25"/>
      <c r="B748" s="59"/>
      <c r="C748" s="59"/>
      <c r="D748" s="59"/>
      <c r="E748" s="59"/>
      <c r="F748" s="59"/>
    </row>
    <row r="749" ht="12.75" customHeight="1">
      <c r="A749" s="25"/>
      <c r="B749" s="59"/>
      <c r="C749" s="59"/>
      <c r="D749" s="59"/>
      <c r="E749" s="59"/>
      <c r="F749" s="59"/>
    </row>
    <row r="750" ht="12.75" customHeight="1">
      <c r="A750" s="25"/>
      <c r="B750" s="59"/>
      <c r="C750" s="59"/>
      <c r="D750" s="59"/>
      <c r="E750" s="59"/>
      <c r="F750" s="59"/>
    </row>
    <row r="751" ht="12.75" customHeight="1">
      <c r="A751" s="25"/>
      <c r="B751" s="59"/>
      <c r="C751" s="59"/>
      <c r="D751" s="59"/>
      <c r="E751" s="59"/>
      <c r="F751" s="59"/>
    </row>
    <row r="752" ht="12.75" customHeight="1">
      <c r="A752" s="25"/>
      <c r="B752" s="59"/>
      <c r="C752" s="59"/>
      <c r="D752" s="59"/>
      <c r="E752" s="59"/>
      <c r="F752" s="59"/>
    </row>
    <row r="753" ht="12.75" customHeight="1">
      <c r="A753" s="25"/>
      <c r="B753" s="59"/>
      <c r="C753" s="59"/>
      <c r="D753" s="59"/>
      <c r="E753" s="59"/>
      <c r="F753" s="59"/>
    </row>
    <row r="754" ht="12.75" customHeight="1">
      <c r="A754" s="25"/>
      <c r="B754" s="59"/>
      <c r="C754" s="59"/>
      <c r="D754" s="59"/>
      <c r="E754" s="59"/>
      <c r="F754" s="59"/>
    </row>
    <row r="755" ht="12.75" customHeight="1">
      <c r="A755" s="25"/>
      <c r="B755" s="59"/>
      <c r="C755" s="59"/>
      <c r="D755" s="59"/>
      <c r="E755" s="59"/>
      <c r="F755" s="59"/>
    </row>
    <row r="756" ht="12.75" customHeight="1">
      <c r="A756" s="25"/>
      <c r="B756" s="59"/>
      <c r="C756" s="59"/>
      <c r="D756" s="59"/>
      <c r="E756" s="59"/>
      <c r="F756" s="59"/>
    </row>
    <row r="757" ht="12.75" customHeight="1">
      <c r="A757" s="25"/>
      <c r="B757" s="59"/>
      <c r="C757" s="59"/>
      <c r="D757" s="59"/>
      <c r="E757" s="59"/>
      <c r="F757" s="59"/>
    </row>
    <row r="758" ht="12.75" customHeight="1">
      <c r="A758" s="25"/>
      <c r="B758" s="59"/>
      <c r="C758" s="59"/>
      <c r="D758" s="59"/>
      <c r="E758" s="59"/>
      <c r="F758" s="59"/>
    </row>
    <row r="759" ht="12.75" customHeight="1">
      <c r="A759" s="25"/>
      <c r="B759" s="59"/>
      <c r="C759" s="59"/>
      <c r="D759" s="59"/>
      <c r="E759" s="59"/>
      <c r="F759" s="59"/>
    </row>
    <row r="760" ht="12.75" customHeight="1">
      <c r="A760" s="25"/>
      <c r="B760" s="59"/>
      <c r="C760" s="59"/>
      <c r="D760" s="59"/>
      <c r="E760" s="59"/>
      <c r="F760" s="59"/>
    </row>
    <row r="761" ht="12.75" customHeight="1">
      <c r="A761" s="25"/>
      <c r="B761" s="59"/>
      <c r="C761" s="59"/>
      <c r="D761" s="59"/>
      <c r="E761" s="59"/>
      <c r="F761" s="59"/>
    </row>
    <row r="762" ht="12.75" customHeight="1">
      <c r="A762" s="25"/>
      <c r="B762" s="59"/>
      <c r="C762" s="59"/>
      <c r="D762" s="59"/>
      <c r="E762" s="59"/>
      <c r="F762" s="59"/>
    </row>
    <row r="763" ht="12.75" customHeight="1">
      <c r="A763" s="25"/>
      <c r="B763" s="59"/>
      <c r="C763" s="59"/>
      <c r="D763" s="59"/>
      <c r="E763" s="59"/>
      <c r="F763" s="59"/>
    </row>
    <row r="764" ht="12.75" customHeight="1">
      <c r="A764" s="25"/>
      <c r="B764" s="59"/>
      <c r="C764" s="59"/>
      <c r="D764" s="59"/>
      <c r="E764" s="59"/>
      <c r="F764" s="59"/>
    </row>
    <row r="765" ht="12.75" customHeight="1">
      <c r="A765" s="25"/>
      <c r="B765" s="59"/>
      <c r="C765" s="59"/>
      <c r="D765" s="59"/>
      <c r="E765" s="59"/>
      <c r="F765" s="59"/>
    </row>
    <row r="766" ht="12.75" customHeight="1">
      <c r="A766" s="25"/>
      <c r="B766" s="59"/>
      <c r="C766" s="59"/>
      <c r="D766" s="59"/>
      <c r="E766" s="59"/>
      <c r="F766" s="59"/>
    </row>
    <row r="767" ht="12.75" customHeight="1">
      <c r="A767" s="25"/>
      <c r="B767" s="59"/>
      <c r="C767" s="59"/>
      <c r="D767" s="59"/>
      <c r="E767" s="59"/>
      <c r="F767" s="59"/>
    </row>
    <row r="768" ht="12.75" customHeight="1">
      <c r="A768" s="25"/>
      <c r="B768" s="59"/>
      <c r="C768" s="59"/>
      <c r="D768" s="59"/>
      <c r="E768" s="59"/>
      <c r="F768" s="59"/>
    </row>
    <row r="769" ht="12.75" customHeight="1">
      <c r="A769" s="25"/>
      <c r="B769" s="59"/>
      <c r="C769" s="59"/>
      <c r="D769" s="59"/>
      <c r="E769" s="59"/>
      <c r="F769" s="59"/>
    </row>
    <row r="770" ht="12.75" customHeight="1">
      <c r="A770" s="25"/>
      <c r="B770" s="59"/>
      <c r="C770" s="59"/>
      <c r="D770" s="59"/>
      <c r="E770" s="59"/>
      <c r="F770" s="59"/>
    </row>
    <row r="771" ht="12.75" customHeight="1">
      <c r="A771" s="25"/>
      <c r="B771" s="59"/>
      <c r="C771" s="59"/>
      <c r="D771" s="59"/>
      <c r="E771" s="59"/>
      <c r="F771" s="59"/>
    </row>
    <row r="772" ht="12.75" customHeight="1">
      <c r="A772" s="25"/>
      <c r="B772" s="59"/>
      <c r="C772" s="59"/>
      <c r="D772" s="59"/>
      <c r="E772" s="59"/>
      <c r="F772" s="59"/>
    </row>
    <row r="773" ht="12.75" customHeight="1">
      <c r="A773" s="25"/>
      <c r="B773" s="59"/>
      <c r="C773" s="59"/>
      <c r="D773" s="59"/>
      <c r="E773" s="59"/>
      <c r="F773" s="59"/>
    </row>
    <row r="774" ht="12.75" customHeight="1">
      <c r="A774" s="25"/>
      <c r="B774" s="59"/>
      <c r="C774" s="59"/>
      <c r="D774" s="59"/>
      <c r="E774" s="59"/>
      <c r="F774" s="59"/>
    </row>
    <row r="775" ht="12.75" customHeight="1">
      <c r="A775" s="25"/>
      <c r="B775" s="59"/>
      <c r="C775" s="59"/>
      <c r="D775" s="59"/>
      <c r="E775" s="59"/>
      <c r="F775" s="59"/>
    </row>
    <row r="776" ht="12.75" customHeight="1">
      <c r="A776" s="25"/>
      <c r="B776" s="59"/>
      <c r="C776" s="59"/>
      <c r="D776" s="59"/>
      <c r="E776" s="59"/>
      <c r="F776" s="59"/>
    </row>
    <row r="777" ht="12.75" customHeight="1">
      <c r="A777" s="25"/>
      <c r="B777" s="59"/>
      <c r="C777" s="59"/>
      <c r="D777" s="59"/>
      <c r="E777" s="59"/>
      <c r="F777" s="59"/>
    </row>
    <row r="778" ht="12.75" customHeight="1">
      <c r="A778" s="25"/>
      <c r="B778" s="59"/>
      <c r="C778" s="59"/>
      <c r="D778" s="59"/>
      <c r="E778" s="59"/>
      <c r="F778" s="59"/>
    </row>
    <row r="779" ht="12.75" customHeight="1">
      <c r="A779" s="25"/>
      <c r="B779" s="59"/>
      <c r="C779" s="59"/>
      <c r="D779" s="59"/>
      <c r="E779" s="59"/>
      <c r="F779" s="59"/>
    </row>
    <row r="780" ht="12.75" customHeight="1">
      <c r="A780" s="25"/>
      <c r="B780" s="59"/>
      <c r="C780" s="59"/>
      <c r="D780" s="59"/>
      <c r="E780" s="59"/>
      <c r="F780" s="59"/>
    </row>
    <row r="781" ht="12.75" customHeight="1">
      <c r="A781" s="25"/>
      <c r="B781" s="59"/>
      <c r="C781" s="59"/>
      <c r="D781" s="59"/>
      <c r="E781" s="59"/>
      <c r="F781" s="59"/>
    </row>
    <row r="782" ht="12.75" customHeight="1">
      <c r="A782" s="25"/>
      <c r="B782" s="59"/>
      <c r="C782" s="59"/>
      <c r="D782" s="59"/>
      <c r="E782" s="59"/>
      <c r="F782" s="59"/>
    </row>
    <row r="783" ht="12.75" customHeight="1">
      <c r="A783" s="25"/>
      <c r="B783" s="59"/>
      <c r="C783" s="59"/>
      <c r="D783" s="59"/>
      <c r="E783" s="59"/>
      <c r="F783" s="59"/>
    </row>
    <row r="784" ht="12.75" customHeight="1">
      <c r="A784" s="25"/>
      <c r="B784" s="59"/>
      <c r="C784" s="59"/>
      <c r="D784" s="59"/>
      <c r="E784" s="59"/>
      <c r="F784" s="59"/>
    </row>
    <row r="785" ht="12.75" customHeight="1">
      <c r="A785" s="25"/>
      <c r="B785" s="59"/>
      <c r="C785" s="59"/>
      <c r="D785" s="59"/>
      <c r="E785" s="59"/>
      <c r="F785" s="59"/>
    </row>
    <row r="786" ht="12.75" customHeight="1">
      <c r="A786" s="25"/>
      <c r="B786" s="59"/>
      <c r="C786" s="59"/>
      <c r="D786" s="59"/>
      <c r="E786" s="59"/>
      <c r="F786" s="59"/>
    </row>
    <row r="787" ht="12.75" customHeight="1">
      <c r="A787" s="25"/>
      <c r="B787" s="59"/>
      <c r="C787" s="59"/>
      <c r="D787" s="59"/>
      <c r="E787" s="59"/>
      <c r="F787" s="59"/>
    </row>
    <row r="788" ht="12.75" customHeight="1">
      <c r="A788" s="25"/>
      <c r="B788" s="59"/>
      <c r="C788" s="59"/>
      <c r="D788" s="59"/>
      <c r="E788" s="59"/>
      <c r="F788" s="59"/>
    </row>
    <row r="789" ht="12.75" customHeight="1">
      <c r="A789" s="25"/>
      <c r="B789" s="59"/>
      <c r="C789" s="59"/>
      <c r="D789" s="59"/>
      <c r="E789" s="59"/>
      <c r="F789" s="59"/>
    </row>
    <row r="790" ht="12.75" customHeight="1">
      <c r="A790" s="25"/>
      <c r="B790" s="59"/>
      <c r="C790" s="59"/>
      <c r="D790" s="59"/>
      <c r="E790" s="59"/>
      <c r="F790" s="59"/>
    </row>
    <row r="791" ht="12.75" customHeight="1">
      <c r="A791" s="25"/>
      <c r="B791" s="59"/>
      <c r="C791" s="59"/>
      <c r="D791" s="59"/>
      <c r="E791" s="59"/>
      <c r="F791" s="59"/>
    </row>
    <row r="792" ht="12.75" customHeight="1">
      <c r="A792" s="25"/>
      <c r="B792" s="59"/>
      <c r="C792" s="59"/>
      <c r="D792" s="59"/>
      <c r="E792" s="59"/>
      <c r="F792" s="59"/>
    </row>
    <row r="793" ht="12.75" customHeight="1">
      <c r="A793" s="25"/>
      <c r="B793" s="59"/>
      <c r="C793" s="59"/>
      <c r="D793" s="59"/>
      <c r="E793" s="59"/>
      <c r="F793" s="59"/>
    </row>
    <row r="794" ht="12.75" customHeight="1">
      <c r="A794" s="25"/>
      <c r="B794" s="59"/>
      <c r="C794" s="59"/>
      <c r="D794" s="59"/>
      <c r="E794" s="59"/>
      <c r="F794" s="59"/>
    </row>
    <row r="795" ht="12.75" customHeight="1">
      <c r="A795" s="25"/>
      <c r="B795" s="59"/>
      <c r="C795" s="59"/>
      <c r="D795" s="59"/>
      <c r="E795" s="59"/>
      <c r="F795" s="59"/>
    </row>
    <row r="796" ht="12.75" customHeight="1">
      <c r="A796" s="25"/>
      <c r="B796" s="59"/>
      <c r="C796" s="59"/>
      <c r="D796" s="59"/>
      <c r="E796" s="59"/>
      <c r="F796" s="59"/>
    </row>
    <row r="797" ht="12.75" customHeight="1">
      <c r="A797" s="25"/>
      <c r="B797" s="59"/>
      <c r="C797" s="59"/>
      <c r="D797" s="59"/>
      <c r="E797" s="59"/>
      <c r="F797" s="59"/>
    </row>
    <row r="798" ht="12.75" customHeight="1">
      <c r="A798" s="25"/>
      <c r="B798" s="59"/>
      <c r="C798" s="59"/>
      <c r="D798" s="59"/>
      <c r="E798" s="59"/>
      <c r="F798" s="59"/>
    </row>
    <row r="799" ht="12.75" customHeight="1">
      <c r="A799" s="25"/>
      <c r="B799" s="59"/>
      <c r="C799" s="59"/>
      <c r="D799" s="59"/>
      <c r="E799" s="59"/>
      <c r="F799" s="59"/>
    </row>
    <row r="800" ht="12.75" customHeight="1">
      <c r="A800" s="25"/>
      <c r="B800" s="59"/>
      <c r="C800" s="59"/>
      <c r="D800" s="59"/>
      <c r="E800" s="59"/>
      <c r="F800" s="59"/>
    </row>
    <row r="801" ht="12.75" customHeight="1">
      <c r="A801" s="25"/>
      <c r="B801" s="59"/>
      <c r="C801" s="59"/>
      <c r="D801" s="59"/>
      <c r="E801" s="59"/>
      <c r="F801" s="59"/>
    </row>
    <row r="802" ht="12.75" customHeight="1">
      <c r="A802" s="25"/>
      <c r="B802" s="59"/>
      <c r="C802" s="59"/>
      <c r="D802" s="59"/>
      <c r="E802" s="59"/>
      <c r="F802" s="59"/>
    </row>
    <row r="803" ht="12.75" customHeight="1">
      <c r="A803" s="25"/>
      <c r="B803" s="59"/>
      <c r="C803" s="59"/>
      <c r="D803" s="59"/>
      <c r="E803" s="59"/>
      <c r="F803" s="59"/>
    </row>
    <row r="804" ht="12.75" customHeight="1">
      <c r="A804" s="25"/>
      <c r="B804" s="59"/>
      <c r="C804" s="59"/>
      <c r="D804" s="59"/>
      <c r="E804" s="59"/>
      <c r="F804" s="59"/>
    </row>
    <row r="805" ht="12.75" customHeight="1">
      <c r="A805" s="25"/>
      <c r="B805" s="59"/>
      <c r="C805" s="59"/>
      <c r="D805" s="59"/>
      <c r="E805" s="59"/>
      <c r="F805" s="59"/>
    </row>
    <row r="806" ht="12.75" customHeight="1">
      <c r="A806" s="25"/>
      <c r="B806" s="59"/>
      <c r="C806" s="59"/>
      <c r="D806" s="59"/>
      <c r="E806" s="59"/>
      <c r="F806" s="59"/>
    </row>
    <row r="807" ht="12.75" customHeight="1">
      <c r="A807" s="25"/>
      <c r="B807" s="59"/>
      <c r="C807" s="59"/>
      <c r="D807" s="59"/>
      <c r="E807" s="59"/>
      <c r="F807" s="59"/>
    </row>
    <row r="808" ht="12.75" customHeight="1">
      <c r="A808" s="25"/>
      <c r="B808" s="59"/>
      <c r="C808" s="59"/>
      <c r="D808" s="59"/>
      <c r="E808" s="59"/>
      <c r="F808" s="59"/>
    </row>
    <row r="809" ht="12.75" customHeight="1">
      <c r="A809" s="25"/>
      <c r="B809" s="59"/>
      <c r="C809" s="59"/>
      <c r="D809" s="59"/>
      <c r="E809" s="59"/>
      <c r="F809" s="59"/>
    </row>
    <row r="810" ht="12.75" customHeight="1">
      <c r="A810" s="25"/>
      <c r="B810" s="59"/>
      <c r="C810" s="59"/>
      <c r="D810" s="59"/>
      <c r="E810" s="59"/>
      <c r="F810" s="59"/>
    </row>
    <row r="811" ht="12.75" customHeight="1">
      <c r="A811" s="25"/>
      <c r="B811" s="59"/>
      <c r="C811" s="59"/>
      <c r="D811" s="59"/>
      <c r="E811" s="59"/>
      <c r="F811" s="59"/>
    </row>
    <row r="812" ht="12.75" customHeight="1">
      <c r="A812" s="25"/>
      <c r="B812" s="59"/>
      <c r="C812" s="59"/>
      <c r="D812" s="59"/>
      <c r="E812" s="59"/>
      <c r="F812" s="59"/>
    </row>
    <row r="813" ht="12.75" customHeight="1">
      <c r="A813" s="25"/>
      <c r="B813" s="59"/>
      <c r="C813" s="59"/>
      <c r="D813" s="59"/>
      <c r="E813" s="59"/>
      <c r="F813" s="59"/>
    </row>
    <row r="814" ht="12.75" customHeight="1">
      <c r="A814" s="25"/>
      <c r="B814" s="59"/>
      <c r="C814" s="59"/>
      <c r="D814" s="59"/>
      <c r="E814" s="59"/>
      <c r="F814" s="59"/>
    </row>
    <row r="815" ht="12.75" customHeight="1">
      <c r="A815" s="25"/>
      <c r="B815" s="59"/>
      <c r="C815" s="59"/>
      <c r="D815" s="59"/>
      <c r="E815" s="59"/>
      <c r="F815" s="59"/>
    </row>
    <row r="816" ht="12.75" customHeight="1">
      <c r="A816" s="25"/>
      <c r="B816" s="59"/>
      <c r="C816" s="59"/>
      <c r="D816" s="59"/>
      <c r="E816" s="59"/>
      <c r="F816" s="59"/>
    </row>
    <row r="817" ht="12.75" customHeight="1">
      <c r="A817" s="25"/>
      <c r="B817" s="59"/>
      <c r="C817" s="59"/>
      <c r="D817" s="59"/>
      <c r="E817" s="59"/>
      <c r="F817" s="59"/>
    </row>
    <row r="818" ht="12.75" customHeight="1">
      <c r="A818" s="25"/>
      <c r="B818" s="59"/>
      <c r="C818" s="59"/>
      <c r="D818" s="59"/>
      <c r="E818" s="59"/>
      <c r="F818" s="59"/>
    </row>
    <row r="819" ht="12.75" customHeight="1">
      <c r="A819" s="25"/>
      <c r="B819" s="59"/>
      <c r="C819" s="59"/>
      <c r="D819" s="59"/>
      <c r="E819" s="59"/>
      <c r="F819" s="59"/>
    </row>
    <row r="820" ht="12.75" customHeight="1">
      <c r="A820" s="25"/>
      <c r="B820" s="59"/>
      <c r="C820" s="59"/>
      <c r="D820" s="59"/>
      <c r="E820" s="59"/>
      <c r="F820" s="59"/>
    </row>
    <row r="821" ht="12.75" customHeight="1">
      <c r="A821" s="25"/>
      <c r="B821" s="59"/>
      <c r="C821" s="59"/>
      <c r="D821" s="59"/>
      <c r="E821" s="59"/>
      <c r="F821" s="59"/>
    </row>
    <row r="822" ht="12.75" customHeight="1">
      <c r="A822" s="25"/>
      <c r="B822" s="59"/>
      <c r="C822" s="59"/>
      <c r="D822" s="59"/>
      <c r="E822" s="59"/>
      <c r="F822" s="59"/>
    </row>
    <row r="823" ht="12.75" customHeight="1">
      <c r="A823" s="25"/>
      <c r="B823" s="59"/>
      <c r="C823" s="59"/>
      <c r="D823" s="59"/>
      <c r="E823" s="59"/>
      <c r="F823" s="59"/>
    </row>
    <row r="824" ht="12.75" customHeight="1">
      <c r="A824" s="25"/>
      <c r="B824" s="59"/>
      <c r="C824" s="59"/>
      <c r="D824" s="59"/>
      <c r="E824" s="59"/>
      <c r="F824" s="59"/>
    </row>
    <row r="825" ht="12.75" customHeight="1">
      <c r="A825" s="25"/>
      <c r="B825" s="59"/>
      <c r="C825" s="59"/>
      <c r="D825" s="59"/>
      <c r="E825" s="59"/>
      <c r="F825" s="59"/>
    </row>
    <row r="826" ht="12.75" customHeight="1">
      <c r="A826" s="25"/>
      <c r="B826" s="59"/>
      <c r="C826" s="59"/>
      <c r="D826" s="59"/>
      <c r="E826" s="59"/>
      <c r="F826" s="59"/>
    </row>
    <row r="827" ht="12.75" customHeight="1">
      <c r="A827" s="25"/>
      <c r="B827" s="59"/>
      <c r="C827" s="59"/>
      <c r="D827" s="59"/>
      <c r="E827" s="59"/>
      <c r="F827" s="59"/>
    </row>
    <row r="828" ht="12.75" customHeight="1">
      <c r="A828" s="25"/>
      <c r="B828" s="59"/>
      <c r="C828" s="59"/>
      <c r="D828" s="59"/>
      <c r="E828" s="59"/>
      <c r="F828" s="59"/>
    </row>
    <row r="829" ht="12.75" customHeight="1">
      <c r="A829" s="25"/>
      <c r="B829" s="59"/>
      <c r="C829" s="59"/>
      <c r="D829" s="59"/>
      <c r="E829" s="59"/>
      <c r="F829" s="59"/>
    </row>
    <row r="830" ht="12.75" customHeight="1">
      <c r="A830" s="25"/>
      <c r="B830" s="59"/>
      <c r="C830" s="59"/>
      <c r="D830" s="59"/>
      <c r="E830" s="59"/>
      <c r="F830" s="59"/>
    </row>
    <row r="831" ht="12.75" customHeight="1">
      <c r="A831" s="25"/>
      <c r="B831" s="59"/>
      <c r="C831" s="59"/>
      <c r="D831" s="59"/>
      <c r="E831" s="59"/>
      <c r="F831" s="59"/>
    </row>
    <row r="832" ht="12.75" customHeight="1">
      <c r="A832" s="25"/>
      <c r="B832" s="59"/>
      <c r="C832" s="59"/>
      <c r="D832" s="59"/>
      <c r="E832" s="59"/>
      <c r="F832" s="59"/>
    </row>
    <row r="833" ht="12.75" customHeight="1">
      <c r="A833" s="25"/>
      <c r="B833" s="59"/>
      <c r="C833" s="59"/>
      <c r="D833" s="59"/>
      <c r="E833" s="59"/>
      <c r="F833" s="59"/>
    </row>
    <row r="834" ht="12.75" customHeight="1">
      <c r="A834" s="25"/>
      <c r="B834" s="59"/>
      <c r="C834" s="59"/>
      <c r="D834" s="59"/>
      <c r="E834" s="59"/>
      <c r="F834" s="59"/>
    </row>
    <row r="835" ht="12.75" customHeight="1">
      <c r="A835" s="25"/>
      <c r="B835" s="59"/>
      <c r="C835" s="59"/>
      <c r="D835" s="59"/>
      <c r="E835" s="59"/>
      <c r="F835" s="59"/>
    </row>
    <row r="836" ht="12.75" customHeight="1">
      <c r="A836" s="25"/>
      <c r="B836" s="59"/>
      <c r="C836" s="59"/>
      <c r="D836" s="59"/>
      <c r="E836" s="59"/>
      <c r="F836" s="59"/>
    </row>
    <row r="837" ht="12.75" customHeight="1">
      <c r="A837" s="25"/>
      <c r="B837" s="59"/>
      <c r="C837" s="59"/>
      <c r="D837" s="59"/>
      <c r="E837" s="59"/>
      <c r="F837" s="59"/>
    </row>
    <row r="838" ht="12.75" customHeight="1">
      <c r="A838" s="25"/>
      <c r="B838" s="59"/>
      <c r="C838" s="59"/>
      <c r="D838" s="59"/>
      <c r="E838" s="59"/>
      <c r="F838" s="59"/>
    </row>
    <row r="839" ht="12.75" customHeight="1">
      <c r="A839" s="25"/>
      <c r="B839" s="59"/>
      <c r="C839" s="59"/>
      <c r="D839" s="59"/>
      <c r="E839" s="59"/>
      <c r="F839" s="59"/>
    </row>
    <row r="840" ht="12.75" customHeight="1">
      <c r="A840" s="25"/>
      <c r="B840" s="59"/>
      <c r="C840" s="59"/>
      <c r="D840" s="59"/>
      <c r="E840" s="59"/>
      <c r="F840" s="59"/>
    </row>
    <row r="841" ht="12.75" customHeight="1">
      <c r="A841" s="25"/>
      <c r="B841" s="59"/>
      <c r="C841" s="59"/>
      <c r="D841" s="59"/>
      <c r="E841" s="59"/>
      <c r="F841" s="59"/>
    </row>
    <row r="842" ht="12.75" customHeight="1">
      <c r="A842" s="25"/>
      <c r="B842" s="59"/>
      <c r="C842" s="59"/>
      <c r="D842" s="59"/>
      <c r="E842" s="59"/>
      <c r="F842" s="59"/>
    </row>
    <row r="843" ht="12.75" customHeight="1">
      <c r="A843" s="25"/>
      <c r="B843" s="59"/>
      <c r="C843" s="59"/>
      <c r="D843" s="59"/>
      <c r="E843" s="59"/>
      <c r="F843" s="59"/>
    </row>
    <row r="844" ht="12.75" customHeight="1">
      <c r="A844" s="25"/>
      <c r="B844" s="59"/>
      <c r="C844" s="59"/>
      <c r="D844" s="59"/>
      <c r="E844" s="59"/>
      <c r="F844" s="59"/>
    </row>
    <row r="845" ht="12.75" customHeight="1">
      <c r="A845" s="25"/>
      <c r="B845" s="59"/>
      <c r="C845" s="59"/>
      <c r="D845" s="59"/>
      <c r="E845" s="59"/>
      <c r="F845" s="59"/>
    </row>
    <row r="846" ht="12.75" customHeight="1">
      <c r="A846" s="25"/>
      <c r="B846" s="59"/>
      <c r="C846" s="59"/>
      <c r="D846" s="59"/>
      <c r="E846" s="59"/>
      <c r="F846" s="59"/>
    </row>
    <row r="847" ht="12.75" customHeight="1">
      <c r="A847" s="25"/>
      <c r="B847" s="59"/>
      <c r="C847" s="59"/>
      <c r="D847" s="59"/>
      <c r="E847" s="59"/>
      <c r="F847" s="59"/>
    </row>
    <row r="848" ht="12.75" customHeight="1">
      <c r="A848" s="25"/>
      <c r="B848" s="59"/>
      <c r="C848" s="59"/>
      <c r="D848" s="59"/>
      <c r="E848" s="59"/>
      <c r="F848" s="59"/>
    </row>
    <row r="849" ht="12.75" customHeight="1">
      <c r="A849" s="25"/>
      <c r="B849" s="59"/>
      <c r="C849" s="59"/>
      <c r="D849" s="59"/>
      <c r="E849" s="59"/>
      <c r="F849" s="59"/>
    </row>
    <row r="850" ht="12.75" customHeight="1">
      <c r="A850" s="25"/>
      <c r="B850" s="59"/>
      <c r="C850" s="59"/>
      <c r="D850" s="59"/>
      <c r="E850" s="59"/>
      <c r="F850" s="59"/>
    </row>
    <row r="851" ht="12.75" customHeight="1">
      <c r="A851" s="25"/>
      <c r="B851" s="59"/>
      <c r="C851" s="59"/>
      <c r="D851" s="59"/>
      <c r="E851" s="59"/>
      <c r="F851" s="59"/>
    </row>
    <row r="852" ht="12.75" customHeight="1">
      <c r="A852" s="25"/>
      <c r="B852" s="59"/>
      <c r="C852" s="59"/>
      <c r="D852" s="59"/>
      <c r="E852" s="59"/>
      <c r="F852" s="59"/>
    </row>
    <row r="853" ht="12.75" customHeight="1">
      <c r="A853" s="25"/>
      <c r="B853" s="59"/>
      <c r="C853" s="59"/>
      <c r="D853" s="59"/>
      <c r="E853" s="59"/>
      <c r="F853" s="59"/>
    </row>
    <row r="854" ht="12.75" customHeight="1">
      <c r="A854" s="25"/>
      <c r="B854" s="59"/>
      <c r="C854" s="59"/>
      <c r="D854" s="59"/>
      <c r="E854" s="59"/>
      <c r="F854" s="59"/>
    </row>
    <row r="855" ht="12.75" customHeight="1">
      <c r="A855" s="25"/>
      <c r="B855" s="59"/>
      <c r="C855" s="59"/>
      <c r="D855" s="59"/>
      <c r="E855" s="59"/>
      <c r="F855" s="59"/>
    </row>
    <row r="856" ht="12.75" customHeight="1">
      <c r="A856" s="25"/>
      <c r="B856" s="59"/>
      <c r="C856" s="59"/>
      <c r="D856" s="59"/>
      <c r="E856" s="59"/>
      <c r="F856" s="59"/>
    </row>
    <row r="857" ht="12.75" customHeight="1">
      <c r="A857" s="25"/>
      <c r="B857" s="59"/>
      <c r="C857" s="59"/>
      <c r="D857" s="59"/>
      <c r="E857" s="59"/>
      <c r="F857" s="59"/>
    </row>
    <row r="858" ht="12.75" customHeight="1">
      <c r="A858" s="25"/>
      <c r="B858" s="59"/>
      <c r="C858" s="59"/>
      <c r="D858" s="59"/>
      <c r="E858" s="59"/>
      <c r="F858" s="59"/>
    </row>
    <row r="859" ht="12.75" customHeight="1">
      <c r="A859" s="25"/>
      <c r="B859" s="59"/>
      <c r="C859" s="59"/>
      <c r="D859" s="59"/>
      <c r="E859" s="59"/>
      <c r="F859" s="59"/>
    </row>
    <row r="860" ht="12.75" customHeight="1">
      <c r="A860" s="25"/>
      <c r="B860" s="59"/>
      <c r="C860" s="59"/>
      <c r="D860" s="59"/>
      <c r="E860" s="59"/>
      <c r="F860" s="59"/>
    </row>
    <row r="861" ht="12.75" customHeight="1">
      <c r="A861" s="25"/>
      <c r="B861" s="59"/>
      <c r="C861" s="59"/>
      <c r="D861" s="59"/>
      <c r="E861" s="59"/>
      <c r="F861" s="59"/>
    </row>
    <row r="862" ht="12.75" customHeight="1">
      <c r="A862" s="25"/>
      <c r="B862" s="59"/>
      <c r="C862" s="59"/>
      <c r="D862" s="59"/>
      <c r="E862" s="59"/>
      <c r="F862" s="59"/>
    </row>
    <row r="863" ht="12.75" customHeight="1">
      <c r="A863" s="25"/>
      <c r="B863" s="59"/>
      <c r="C863" s="59"/>
      <c r="D863" s="59"/>
      <c r="E863" s="59"/>
      <c r="F863" s="59"/>
    </row>
    <row r="864" ht="12.75" customHeight="1">
      <c r="A864" s="25"/>
      <c r="B864" s="59"/>
      <c r="C864" s="59"/>
      <c r="D864" s="59"/>
      <c r="E864" s="59"/>
      <c r="F864" s="59"/>
    </row>
    <row r="865" ht="12.75" customHeight="1">
      <c r="A865" s="25"/>
      <c r="B865" s="59"/>
      <c r="C865" s="59"/>
      <c r="D865" s="59"/>
      <c r="E865" s="59"/>
      <c r="F865" s="59"/>
    </row>
    <row r="866" ht="12.75" customHeight="1">
      <c r="A866" s="25"/>
      <c r="B866" s="59"/>
      <c r="C866" s="59"/>
      <c r="D866" s="59"/>
      <c r="E866" s="59"/>
      <c r="F866" s="59"/>
    </row>
    <row r="867" ht="12.75" customHeight="1">
      <c r="A867" s="25"/>
      <c r="B867" s="59"/>
      <c r="C867" s="59"/>
      <c r="D867" s="59"/>
      <c r="E867" s="59"/>
      <c r="F867" s="59"/>
    </row>
    <row r="868" ht="12.75" customHeight="1">
      <c r="A868" s="25"/>
      <c r="B868" s="59"/>
      <c r="C868" s="59"/>
      <c r="D868" s="59"/>
      <c r="E868" s="59"/>
      <c r="F868" s="59"/>
    </row>
    <row r="869" ht="12.75" customHeight="1">
      <c r="A869" s="25"/>
      <c r="B869" s="59"/>
      <c r="C869" s="59"/>
      <c r="D869" s="59"/>
      <c r="E869" s="59"/>
      <c r="F869" s="59"/>
    </row>
    <row r="870" ht="12.75" customHeight="1">
      <c r="A870" s="25"/>
      <c r="B870" s="59"/>
      <c r="C870" s="59"/>
      <c r="D870" s="59"/>
      <c r="E870" s="59"/>
      <c r="F870" s="59"/>
    </row>
    <row r="871" ht="12.75" customHeight="1">
      <c r="A871" s="25"/>
      <c r="B871" s="59"/>
      <c r="C871" s="59"/>
      <c r="D871" s="59"/>
      <c r="E871" s="59"/>
      <c r="F871" s="59"/>
    </row>
    <row r="872" ht="12.75" customHeight="1">
      <c r="A872" s="25"/>
      <c r="B872" s="59"/>
      <c r="C872" s="59"/>
      <c r="D872" s="59"/>
      <c r="E872" s="59"/>
      <c r="F872" s="59"/>
    </row>
    <row r="873" ht="12.75" customHeight="1">
      <c r="A873" s="25"/>
      <c r="B873" s="59"/>
      <c r="C873" s="59"/>
      <c r="D873" s="59"/>
      <c r="E873" s="59"/>
      <c r="F873" s="59"/>
    </row>
    <row r="874" ht="12.75" customHeight="1">
      <c r="A874" s="25"/>
      <c r="B874" s="59"/>
      <c r="C874" s="59"/>
      <c r="D874" s="59"/>
      <c r="E874" s="59"/>
      <c r="F874" s="59"/>
    </row>
    <row r="875" ht="12.75" customHeight="1">
      <c r="A875" s="25"/>
      <c r="B875" s="59"/>
      <c r="C875" s="59"/>
      <c r="D875" s="59"/>
      <c r="E875" s="59"/>
      <c r="F875" s="59"/>
    </row>
    <row r="876" ht="12.75" customHeight="1">
      <c r="A876" s="25"/>
      <c r="B876" s="59"/>
      <c r="C876" s="59"/>
      <c r="D876" s="59"/>
      <c r="E876" s="59"/>
      <c r="F876" s="59"/>
    </row>
    <row r="877" ht="12.75" customHeight="1">
      <c r="A877" s="25"/>
      <c r="B877" s="59"/>
      <c r="C877" s="59"/>
      <c r="D877" s="59"/>
      <c r="E877" s="59"/>
      <c r="F877" s="59"/>
    </row>
    <row r="878" ht="12.75" customHeight="1">
      <c r="A878" s="25"/>
      <c r="B878" s="59"/>
      <c r="C878" s="59"/>
      <c r="D878" s="59"/>
      <c r="E878" s="59"/>
      <c r="F878" s="59"/>
    </row>
    <row r="879" ht="12.75" customHeight="1">
      <c r="A879" s="25"/>
      <c r="B879" s="59"/>
      <c r="C879" s="59"/>
      <c r="D879" s="59"/>
      <c r="E879" s="59"/>
      <c r="F879" s="59"/>
    </row>
    <row r="880" ht="12.75" customHeight="1">
      <c r="A880" s="25"/>
      <c r="B880" s="59"/>
      <c r="C880" s="59"/>
      <c r="D880" s="59"/>
      <c r="E880" s="59"/>
      <c r="F880" s="59"/>
    </row>
    <row r="881" ht="12.75" customHeight="1">
      <c r="A881" s="25"/>
      <c r="B881" s="59"/>
      <c r="C881" s="59"/>
      <c r="D881" s="59"/>
      <c r="E881" s="59"/>
      <c r="F881" s="59"/>
    </row>
    <row r="882" ht="12.75" customHeight="1">
      <c r="A882" s="25"/>
      <c r="B882" s="59"/>
      <c r="C882" s="59"/>
      <c r="D882" s="59"/>
      <c r="E882" s="59"/>
      <c r="F882" s="59"/>
    </row>
    <row r="883" ht="12.75" customHeight="1">
      <c r="A883" s="25"/>
      <c r="B883" s="59"/>
      <c r="C883" s="59"/>
      <c r="D883" s="59"/>
      <c r="E883" s="59"/>
      <c r="F883" s="59"/>
    </row>
    <row r="884" ht="12.75" customHeight="1">
      <c r="A884" s="25"/>
      <c r="B884" s="59"/>
      <c r="C884" s="59"/>
      <c r="D884" s="59"/>
      <c r="E884" s="59"/>
      <c r="F884" s="59"/>
    </row>
    <row r="885" ht="12.75" customHeight="1">
      <c r="A885" s="25"/>
      <c r="B885" s="59"/>
      <c r="C885" s="59"/>
      <c r="D885" s="59"/>
      <c r="E885" s="59"/>
      <c r="F885" s="59"/>
    </row>
    <row r="886" ht="12.75" customHeight="1">
      <c r="A886" s="25"/>
      <c r="B886" s="59"/>
      <c r="C886" s="59"/>
      <c r="D886" s="59"/>
      <c r="E886" s="59"/>
      <c r="F886" s="59"/>
    </row>
    <row r="887" ht="12.75" customHeight="1">
      <c r="A887" s="25"/>
      <c r="B887" s="59"/>
      <c r="C887" s="59"/>
      <c r="D887" s="59"/>
      <c r="E887" s="59"/>
      <c r="F887" s="59"/>
    </row>
    <row r="888" ht="12.75" customHeight="1">
      <c r="A888" s="25"/>
      <c r="B888" s="59"/>
      <c r="C888" s="59"/>
      <c r="D888" s="59"/>
      <c r="E888" s="59"/>
      <c r="F888" s="59"/>
    </row>
    <row r="889" ht="12.75" customHeight="1">
      <c r="A889" s="25"/>
      <c r="B889" s="59"/>
      <c r="C889" s="59"/>
      <c r="D889" s="59"/>
      <c r="E889" s="59"/>
      <c r="F889" s="59"/>
    </row>
    <row r="890" ht="12.75" customHeight="1">
      <c r="A890" s="25"/>
      <c r="B890" s="59"/>
      <c r="C890" s="59"/>
      <c r="D890" s="59"/>
      <c r="E890" s="59"/>
      <c r="F890" s="59"/>
    </row>
    <row r="891" ht="12.75" customHeight="1">
      <c r="A891" s="25"/>
      <c r="B891" s="59"/>
      <c r="C891" s="59"/>
      <c r="D891" s="59"/>
      <c r="E891" s="59"/>
      <c r="F891" s="59"/>
    </row>
    <row r="892" ht="12.75" customHeight="1">
      <c r="A892" s="25"/>
      <c r="B892" s="59"/>
      <c r="C892" s="59"/>
      <c r="D892" s="59"/>
      <c r="E892" s="59"/>
      <c r="F892" s="59"/>
    </row>
    <row r="893" ht="12.75" customHeight="1">
      <c r="A893" s="25"/>
      <c r="B893" s="59"/>
      <c r="C893" s="59"/>
      <c r="D893" s="59"/>
      <c r="E893" s="59"/>
      <c r="F893" s="59"/>
    </row>
    <row r="894" ht="12.75" customHeight="1">
      <c r="A894" s="25"/>
      <c r="B894" s="59"/>
      <c r="C894" s="59"/>
      <c r="D894" s="59"/>
      <c r="E894" s="59"/>
      <c r="F894" s="59"/>
    </row>
    <row r="895" ht="12.75" customHeight="1">
      <c r="A895" s="25"/>
      <c r="B895" s="59"/>
      <c r="C895" s="59"/>
      <c r="D895" s="59"/>
      <c r="E895" s="59"/>
      <c r="F895" s="59"/>
    </row>
    <row r="896" ht="12.75" customHeight="1">
      <c r="A896" s="25"/>
      <c r="B896" s="59"/>
      <c r="C896" s="59"/>
      <c r="D896" s="59"/>
      <c r="E896" s="59"/>
      <c r="F896" s="59"/>
    </row>
    <row r="897" ht="12.75" customHeight="1">
      <c r="A897" s="25"/>
      <c r="B897" s="59"/>
      <c r="C897" s="59"/>
      <c r="D897" s="59"/>
      <c r="E897" s="59"/>
      <c r="F897" s="59"/>
    </row>
    <row r="898" ht="12.75" customHeight="1">
      <c r="A898" s="25"/>
      <c r="B898" s="59"/>
      <c r="C898" s="59"/>
      <c r="D898" s="59"/>
      <c r="E898" s="59"/>
      <c r="F898" s="59"/>
    </row>
    <row r="899" ht="12.75" customHeight="1">
      <c r="A899" s="25"/>
      <c r="B899" s="59"/>
      <c r="C899" s="59"/>
      <c r="D899" s="59"/>
      <c r="E899" s="59"/>
      <c r="F899" s="59"/>
    </row>
    <row r="900" ht="12.75" customHeight="1">
      <c r="A900" s="25"/>
      <c r="B900" s="59"/>
      <c r="C900" s="59"/>
      <c r="D900" s="59"/>
      <c r="E900" s="59"/>
      <c r="F900" s="59"/>
    </row>
    <row r="901" ht="12.75" customHeight="1">
      <c r="A901" s="25"/>
      <c r="B901" s="59"/>
      <c r="C901" s="59"/>
      <c r="D901" s="59"/>
      <c r="E901" s="59"/>
      <c r="F901" s="59"/>
    </row>
    <row r="902" ht="12.75" customHeight="1">
      <c r="A902" s="25"/>
      <c r="B902" s="59"/>
      <c r="C902" s="59"/>
      <c r="D902" s="59"/>
      <c r="E902" s="59"/>
      <c r="F902" s="59"/>
    </row>
    <row r="903" ht="12.75" customHeight="1">
      <c r="A903" s="25"/>
      <c r="B903" s="59"/>
      <c r="C903" s="59"/>
      <c r="D903" s="59"/>
      <c r="E903" s="59"/>
      <c r="F903" s="59"/>
    </row>
    <row r="904" ht="12.75" customHeight="1">
      <c r="A904" s="25"/>
      <c r="B904" s="59"/>
      <c r="C904" s="59"/>
      <c r="D904" s="59"/>
      <c r="E904" s="59"/>
      <c r="F904" s="59"/>
    </row>
    <row r="905" ht="12.75" customHeight="1">
      <c r="A905" s="25"/>
      <c r="B905" s="59"/>
      <c r="C905" s="59"/>
      <c r="D905" s="59"/>
      <c r="E905" s="59"/>
      <c r="F905" s="59"/>
    </row>
    <row r="906" ht="12.75" customHeight="1">
      <c r="A906" s="25"/>
      <c r="B906" s="59"/>
      <c r="C906" s="59"/>
      <c r="D906" s="59"/>
      <c r="E906" s="59"/>
      <c r="F906" s="59"/>
    </row>
    <row r="907" ht="12.75" customHeight="1">
      <c r="A907" s="25"/>
      <c r="B907" s="59"/>
      <c r="C907" s="59"/>
      <c r="D907" s="59"/>
      <c r="E907" s="59"/>
      <c r="F907" s="59"/>
    </row>
    <row r="908" ht="12.75" customHeight="1">
      <c r="A908" s="25"/>
      <c r="B908" s="59"/>
      <c r="C908" s="59"/>
      <c r="D908" s="59"/>
      <c r="E908" s="59"/>
      <c r="F908" s="59"/>
    </row>
    <row r="909" ht="12.75" customHeight="1">
      <c r="A909" s="25"/>
      <c r="B909" s="59"/>
      <c r="C909" s="59"/>
      <c r="D909" s="59"/>
      <c r="E909" s="59"/>
      <c r="F909" s="59"/>
    </row>
    <row r="910" ht="12.75" customHeight="1">
      <c r="A910" s="25"/>
      <c r="B910" s="59"/>
      <c r="C910" s="59"/>
      <c r="D910" s="59"/>
      <c r="E910" s="59"/>
      <c r="F910" s="59"/>
    </row>
    <row r="911" ht="12.75" customHeight="1">
      <c r="A911" s="25"/>
      <c r="B911" s="59"/>
      <c r="C911" s="59"/>
      <c r="D911" s="59"/>
      <c r="E911" s="59"/>
      <c r="F911" s="59"/>
    </row>
    <row r="912" ht="12.75" customHeight="1">
      <c r="A912" s="25"/>
      <c r="B912" s="59"/>
      <c r="C912" s="59"/>
      <c r="D912" s="59"/>
      <c r="E912" s="59"/>
      <c r="F912" s="59"/>
    </row>
    <row r="913" ht="12.75" customHeight="1">
      <c r="A913" s="25"/>
      <c r="B913" s="59"/>
      <c r="C913" s="59"/>
      <c r="D913" s="59"/>
      <c r="E913" s="59"/>
      <c r="F913" s="59"/>
    </row>
    <row r="914" ht="12.75" customHeight="1">
      <c r="A914" s="25"/>
      <c r="B914" s="59"/>
      <c r="C914" s="59"/>
      <c r="D914" s="59"/>
      <c r="E914" s="59"/>
      <c r="F914" s="59"/>
    </row>
    <row r="915" ht="12.75" customHeight="1">
      <c r="A915" s="25"/>
      <c r="B915" s="59"/>
      <c r="C915" s="59"/>
      <c r="D915" s="59"/>
      <c r="E915" s="59"/>
      <c r="F915" s="59"/>
    </row>
    <row r="916" ht="12.75" customHeight="1">
      <c r="A916" s="25"/>
      <c r="B916" s="59"/>
      <c r="C916" s="59"/>
      <c r="D916" s="59"/>
      <c r="E916" s="59"/>
      <c r="F916" s="59"/>
    </row>
    <row r="917" ht="12.75" customHeight="1">
      <c r="A917" s="25"/>
      <c r="B917" s="59"/>
      <c r="C917" s="59"/>
      <c r="D917" s="59"/>
      <c r="E917" s="59"/>
      <c r="F917" s="59"/>
    </row>
    <row r="918" ht="12.75" customHeight="1">
      <c r="A918" s="25"/>
      <c r="B918" s="59"/>
      <c r="C918" s="59"/>
      <c r="D918" s="59"/>
      <c r="E918" s="59"/>
      <c r="F918" s="59"/>
    </row>
    <row r="919" ht="12.75" customHeight="1">
      <c r="A919" s="25"/>
      <c r="B919" s="59"/>
      <c r="C919" s="59"/>
      <c r="D919" s="59"/>
      <c r="E919" s="59"/>
      <c r="F919" s="59"/>
    </row>
    <row r="920" ht="12.75" customHeight="1">
      <c r="A920" s="25"/>
      <c r="B920" s="59"/>
      <c r="C920" s="59"/>
      <c r="D920" s="59"/>
      <c r="E920" s="59"/>
      <c r="F920" s="59"/>
    </row>
    <row r="921" ht="12.75" customHeight="1">
      <c r="A921" s="25"/>
      <c r="B921" s="59"/>
      <c r="C921" s="59"/>
      <c r="D921" s="59"/>
      <c r="E921" s="59"/>
      <c r="F921" s="59"/>
    </row>
    <row r="922" ht="12.75" customHeight="1">
      <c r="A922" s="25"/>
      <c r="B922" s="59"/>
      <c r="C922" s="59"/>
      <c r="D922" s="59"/>
      <c r="E922" s="59"/>
      <c r="F922" s="59"/>
    </row>
    <row r="923" ht="12.75" customHeight="1">
      <c r="A923" s="25"/>
      <c r="B923" s="59"/>
      <c r="C923" s="59"/>
      <c r="D923" s="59"/>
      <c r="E923" s="59"/>
      <c r="F923" s="59"/>
    </row>
    <row r="924" ht="12.75" customHeight="1">
      <c r="A924" s="25"/>
      <c r="B924" s="59"/>
      <c r="C924" s="59"/>
      <c r="D924" s="59"/>
      <c r="E924" s="59"/>
      <c r="F924" s="59"/>
    </row>
    <row r="925" ht="12.75" customHeight="1">
      <c r="A925" s="25"/>
      <c r="B925" s="59"/>
      <c r="C925" s="59"/>
      <c r="D925" s="59"/>
      <c r="E925" s="59"/>
      <c r="F925" s="59"/>
    </row>
    <row r="926" ht="12.75" customHeight="1">
      <c r="A926" s="25"/>
      <c r="B926" s="59"/>
      <c r="C926" s="59"/>
      <c r="D926" s="59"/>
      <c r="E926" s="59"/>
      <c r="F926" s="59"/>
    </row>
    <row r="927" ht="12.75" customHeight="1">
      <c r="A927" s="25"/>
      <c r="B927" s="59"/>
      <c r="C927" s="59"/>
      <c r="D927" s="59"/>
      <c r="E927" s="59"/>
      <c r="F927" s="59"/>
    </row>
    <row r="928" ht="12.75" customHeight="1">
      <c r="A928" s="25"/>
      <c r="B928" s="59"/>
      <c r="C928" s="59"/>
      <c r="D928" s="59"/>
      <c r="E928" s="59"/>
      <c r="F928" s="59"/>
    </row>
    <row r="929" ht="12.75" customHeight="1">
      <c r="A929" s="25"/>
      <c r="B929" s="59"/>
      <c r="C929" s="59"/>
      <c r="D929" s="59"/>
      <c r="E929" s="59"/>
      <c r="F929" s="59"/>
    </row>
    <row r="930" ht="12.75" customHeight="1">
      <c r="A930" s="25"/>
      <c r="B930" s="59"/>
      <c r="C930" s="59"/>
      <c r="D930" s="59"/>
      <c r="E930" s="59"/>
      <c r="F930" s="59"/>
    </row>
    <row r="931" ht="12.75" customHeight="1">
      <c r="A931" s="25"/>
      <c r="B931" s="59"/>
      <c r="C931" s="59"/>
      <c r="D931" s="59"/>
      <c r="E931" s="59"/>
      <c r="F931" s="59"/>
    </row>
    <row r="932" ht="12.75" customHeight="1">
      <c r="A932" s="25"/>
      <c r="B932" s="59"/>
      <c r="C932" s="59"/>
      <c r="D932" s="59"/>
      <c r="E932" s="59"/>
      <c r="F932" s="59"/>
    </row>
    <row r="933" ht="12.75" customHeight="1">
      <c r="A933" s="25"/>
      <c r="B933" s="59"/>
      <c r="C933" s="59"/>
      <c r="D933" s="59"/>
      <c r="E933" s="59"/>
      <c r="F933" s="59"/>
    </row>
    <row r="934" ht="12.75" customHeight="1">
      <c r="A934" s="25"/>
      <c r="B934" s="59"/>
      <c r="C934" s="59"/>
      <c r="D934" s="59"/>
      <c r="E934" s="59"/>
      <c r="F934" s="59"/>
    </row>
    <row r="935" ht="12.75" customHeight="1">
      <c r="A935" s="25"/>
      <c r="B935" s="59"/>
      <c r="C935" s="59"/>
      <c r="D935" s="59"/>
      <c r="E935" s="59"/>
      <c r="F935" s="59"/>
    </row>
    <row r="936" ht="12.75" customHeight="1">
      <c r="A936" s="25"/>
      <c r="B936" s="59"/>
      <c r="C936" s="59"/>
      <c r="D936" s="59"/>
      <c r="E936" s="59"/>
      <c r="F936" s="59"/>
    </row>
    <row r="937" ht="12.75" customHeight="1">
      <c r="A937" s="25"/>
      <c r="B937" s="59"/>
      <c r="C937" s="59"/>
      <c r="D937" s="59"/>
      <c r="E937" s="59"/>
      <c r="F937" s="59"/>
    </row>
    <row r="938" ht="12.75" customHeight="1">
      <c r="A938" s="25"/>
      <c r="B938" s="59"/>
      <c r="C938" s="59"/>
      <c r="D938" s="59"/>
      <c r="E938" s="59"/>
      <c r="F938" s="59"/>
    </row>
    <row r="939" ht="12.75" customHeight="1">
      <c r="A939" s="25"/>
      <c r="B939" s="59"/>
      <c r="C939" s="59"/>
      <c r="D939" s="59"/>
      <c r="E939" s="59"/>
      <c r="F939" s="59"/>
    </row>
    <row r="940" ht="12.75" customHeight="1">
      <c r="A940" s="25"/>
      <c r="B940" s="59"/>
      <c r="C940" s="59"/>
      <c r="D940" s="59"/>
      <c r="E940" s="59"/>
      <c r="F940" s="59"/>
    </row>
    <row r="941" ht="12.75" customHeight="1">
      <c r="A941" s="25"/>
      <c r="B941" s="59"/>
      <c r="C941" s="59"/>
      <c r="D941" s="59"/>
      <c r="E941" s="59"/>
      <c r="F941" s="59"/>
    </row>
    <row r="942" ht="12.75" customHeight="1">
      <c r="A942" s="25"/>
      <c r="B942" s="59"/>
      <c r="C942" s="59"/>
      <c r="D942" s="59"/>
      <c r="E942" s="59"/>
      <c r="F942" s="59"/>
    </row>
    <row r="943" ht="12.75" customHeight="1">
      <c r="A943" s="25"/>
      <c r="B943" s="59"/>
      <c r="C943" s="59"/>
      <c r="D943" s="59"/>
      <c r="E943" s="59"/>
      <c r="F943" s="59"/>
    </row>
    <row r="944" ht="12.75" customHeight="1">
      <c r="A944" s="25"/>
      <c r="B944" s="59"/>
      <c r="C944" s="59"/>
      <c r="D944" s="59"/>
      <c r="E944" s="59"/>
      <c r="F944" s="59"/>
    </row>
    <row r="945" ht="12.75" customHeight="1">
      <c r="A945" s="25"/>
      <c r="B945" s="59"/>
      <c r="C945" s="59"/>
      <c r="D945" s="59"/>
      <c r="E945" s="59"/>
      <c r="F945" s="59"/>
    </row>
    <row r="946" ht="12.75" customHeight="1">
      <c r="A946" s="25"/>
      <c r="B946" s="59"/>
      <c r="C946" s="59"/>
      <c r="D946" s="59"/>
      <c r="E946" s="59"/>
      <c r="F946" s="59"/>
    </row>
    <row r="947" ht="12.75" customHeight="1">
      <c r="A947" s="25"/>
      <c r="B947" s="59"/>
      <c r="C947" s="59"/>
      <c r="D947" s="59"/>
      <c r="E947" s="59"/>
      <c r="F947" s="59"/>
    </row>
    <row r="948" ht="12.75" customHeight="1">
      <c r="A948" s="25"/>
      <c r="B948" s="59"/>
      <c r="C948" s="59"/>
      <c r="D948" s="59"/>
      <c r="E948" s="59"/>
      <c r="F948" s="59"/>
    </row>
    <row r="949" ht="12.75" customHeight="1">
      <c r="A949" s="25"/>
      <c r="B949" s="59"/>
      <c r="C949" s="59"/>
      <c r="D949" s="59"/>
      <c r="E949" s="59"/>
      <c r="F949" s="59"/>
    </row>
    <row r="950" ht="12.75" customHeight="1">
      <c r="A950" s="25"/>
      <c r="B950" s="59"/>
      <c r="C950" s="59"/>
      <c r="D950" s="59"/>
      <c r="E950" s="59"/>
      <c r="F950" s="59"/>
    </row>
    <row r="951" ht="12.75" customHeight="1">
      <c r="A951" s="25"/>
      <c r="B951" s="59"/>
      <c r="C951" s="59"/>
      <c r="D951" s="59"/>
      <c r="E951" s="59"/>
      <c r="F951" s="59"/>
    </row>
    <row r="952" ht="12.75" customHeight="1">
      <c r="A952" s="25"/>
      <c r="B952" s="59"/>
      <c r="C952" s="59"/>
      <c r="D952" s="59"/>
      <c r="E952" s="59"/>
      <c r="F952" s="59"/>
    </row>
    <row r="953" ht="12.75" customHeight="1">
      <c r="A953" s="25"/>
      <c r="B953" s="59"/>
      <c r="C953" s="59"/>
      <c r="D953" s="59"/>
      <c r="E953" s="59"/>
      <c r="F953" s="59"/>
    </row>
    <row r="954" ht="12.75" customHeight="1">
      <c r="A954" s="25"/>
      <c r="B954" s="59"/>
      <c r="C954" s="59"/>
      <c r="D954" s="59"/>
      <c r="E954" s="59"/>
      <c r="F954" s="59"/>
    </row>
    <row r="955" ht="12.75" customHeight="1">
      <c r="A955" s="25"/>
      <c r="B955" s="59"/>
      <c r="C955" s="59"/>
      <c r="D955" s="59"/>
      <c r="E955" s="59"/>
      <c r="F955" s="59"/>
    </row>
    <row r="956" ht="12.75" customHeight="1">
      <c r="A956" s="25"/>
      <c r="B956" s="59"/>
      <c r="C956" s="59"/>
      <c r="D956" s="59"/>
      <c r="E956" s="59"/>
      <c r="F956" s="59"/>
    </row>
    <row r="957" ht="12.75" customHeight="1">
      <c r="A957" s="25"/>
      <c r="B957" s="59"/>
      <c r="C957" s="59"/>
      <c r="D957" s="59"/>
      <c r="E957" s="59"/>
      <c r="F957" s="59"/>
    </row>
    <row r="958" ht="12.75" customHeight="1">
      <c r="A958" s="25"/>
      <c r="B958" s="59"/>
      <c r="C958" s="59"/>
      <c r="D958" s="59"/>
      <c r="E958" s="59"/>
      <c r="F958" s="59"/>
    </row>
    <row r="959" ht="12.75" customHeight="1">
      <c r="A959" s="25"/>
      <c r="B959" s="59"/>
      <c r="C959" s="59"/>
      <c r="D959" s="59"/>
      <c r="E959" s="59"/>
      <c r="F959" s="59"/>
    </row>
    <row r="960" ht="12.75" customHeight="1">
      <c r="A960" s="25"/>
      <c r="B960" s="59"/>
      <c r="C960" s="59"/>
      <c r="D960" s="59"/>
      <c r="E960" s="59"/>
      <c r="F960" s="59"/>
    </row>
    <row r="961" ht="12.75" customHeight="1">
      <c r="A961" s="25"/>
      <c r="B961" s="59"/>
      <c r="C961" s="59"/>
      <c r="D961" s="59"/>
      <c r="E961" s="59"/>
      <c r="F961" s="59"/>
    </row>
    <row r="962" ht="12.75" customHeight="1">
      <c r="A962" s="25"/>
      <c r="B962" s="59"/>
      <c r="C962" s="59"/>
      <c r="D962" s="59"/>
      <c r="E962" s="59"/>
      <c r="F962" s="59"/>
    </row>
    <row r="963" ht="12.75" customHeight="1">
      <c r="A963" s="25"/>
      <c r="B963" s="59"/>
      <c r="C963" s="59"/>
      <c r="D963" s="59"/>
      <c r="E963" s="59"/>
      <c r="F963" s="59"/>
    </row>
    <row r="964" ht="12.75" customHeight="1">
      <c r="A964" s="25"/>
      <c r="B964" s="59"/>
      <c r="C964" s="59"/>
      <c r="D964" s="59"/>
      <c r="E964" s="59"/>
      <c r="F964" s="59"/>
    </row>
    <row r="965" ht="12.75" customHeight="1">
      <c r="A965" s="25"/>
      <c r="B965" s="59"/>
      <c r="C965" s="59"/>
      <c r="D965" s="59"/>
      <c r="E965" s="59"/>
      <c r="F965" s="59"/>
    </row>
    <row r="966" ht="12.75" customHeight="1">
      <c r="A966" s="25"/>
      <c r="B966" s="59"/>
      <c r="C966" s="59"/>
      <c r="D966" s="59"/>
      <c r="E966" s="59"/>
      <c r="F966" s="59"/>
    </row>
    <row r="967" ht="12.75" customHeight="1">
      <c r="A967" s="25"/>
      <c r="B967" s="59"/>
      <c r="C967" s="59"/>
      <c r="D967" s="59"/>
      <c r="E967" s="59"/>
      <c r="F967" s="59"/>
    </row>
    <row r="968" ht="12.75" customHeight="1">
      <c r="A968" s="25"/>
      <c r="B968" s="59"/>
      <c r="C968" s="59"/>
      <c r="D968" s="59"/>
      <c r="E968" s="59"/>
      <c r="F968" s="59"/>
    </row>
    <row r="969" ht="12.75" customHeight="1">
      <c r="A969" s="25"/>
      <c r="B969" s="59"/>
      <c r="C969" s="59"/>
      <c r="D969" s="59"/>
      <c r="E969" s="59"/>
      <c r="F969" s="59"/>
    </row>
    <row r="970" ht="12.75" customHeight="1">
      <c r="A970" s="25"/>
      <c r="B970" s="59"/>
      <c r="C970" s="59"/>
      <c r="D970" s="59"/>
      <c r="E970" s="59"/>
      <c r="F970" s="59"/>
    </row>
    <row r="971" ht="12.75" customHeight="1">
      <c r="A971" s="25"/>
      <c r="B971" s="59"/>
      <c r="C971" s="59"/>
      <c r="D971" s="59"/>
      <c r="E971" s="59"/>
      <c r="F971" s="59"/>
    </row>
    <row r="972" ht="12.75" customHeight="1">
      <c r="A972" s="25"/>
      <c r="B972" s="59"/>
      <c r="C972" s="59"/>
      <c r="D972" s="59"/>
      <c r="E972" s="59"/>
      <c r="F972" s="59"/>
    </row>
    <row r="973" ht="12.75" customHeight="1">
      <c r="A973" s="25"/>
      <c r="B973" s="59"/>
      <c r="C973" s="59"/>
      <c r="D973" s="59"/>
      <c r="E973" s="59"/>
      <c r="F973" s="59"/>
    </row>
    <row r="974" ht="12.75" customHeight="1">
      <c r="A974" s="25"/>
      <c r="B974" s="59"/>
      <c r="C974" s="59"/>
      <c r="D974" s="59"/>
      <c r="E974" s="59"/>
      <c r="F974" s="59"/>
    </row>
    <row r="975" ht="12.75" customHeight="1">
      <c r="A975" s="25"/>
      <c r="B975" s="59"/>
      <c r="C975" s="59"/>
      <c r="D975" s="59"/>
      <c r="E975" s="59"/>
      <c r="F975" s="59"/>
    </row>
    <row r="976" ht="12.75" customHeight="1">
      <c r="A976" s="25"/>
      <c r="B976" s="59"/>
      <c r="C976" s="59"/>
      <c r="D976" s="59"/>
      <c r="E976" s="59"/>
      <c r="F976" s="59"/>
    </row>
    <row r="977" ht="12.75" customHeight="1">
      <c r="A977" s="25"/>
      <c r="B977" s="59"/>
      <c r="C977" s="59"/>
      <c r="D977" s="59"/>
      <c r="E977" s="59"/>
      <c r="F977" s="59"/>
    </row>
    <row r="978" ht="12.75" customHeight="1">
      <c r="A978" s="25"/>
      <c r="B978" s="59"/>
      <c r="C978" s="59"/>
      <c r="D978" s="59"/>
      <c r="E978" s="59"/>
      <c r="F978" s="59"/>
    </row>
    <row r="979" ht="12.75" customHeight="1">
      <c r="A979" s="25"/>
      <c r="B979" s="59"/>
      <c r="C979" s="59"/>
      <c r="D979" s="59"/>
      <c r="E979" s="59"/>
      <c r="F979" s="59"/>
    </row>
    <row r="980" ht="12.75" customHeight="1">
      <c r="A980" s="25"/>
      <c r="B980" s="59"/>
      <c r="C980" s="59"/>
      <c r="D980" s="59"/>
      <c r="E980" s="59"/>
      <c r="F980" s="59"/>
    </row>
    <row r="981" ht="12.75" customHeight="1">
      <c r="A981" s="25"/>
      <c r="B981" s="59"/>
      <c r="C981" s="59"/>
      <c r="D981" s="59"/>
      <c r="E981" s="59"/>
      <c r="F981" s="59"/>
    </row>
    <row r="982" ht="12.75" customHeight="1">
      <c r="A982" s="25"/>
      <c r="B982" s="59"/>
      <c r="C982" s="59"/>
      <c r="D982" s="59"/>
      <c r="E982" s="59"/>
      <c r="F982" s="59"/>
    </row>
    <row r="983" ht="12.75" customHeight="1">
      <c r="A983" s="25"/>
      <c r="B983" s="59"/>
      <c r="C983" s="59"/>
      <c r="D983" s="59"/>
      <c r="E983" s="59"/>
      <c r="F983" s="59"/>
    </row>
    <row r="984" ht="12.75" customHeight="1">
      <c r="A984" s="25"/>
      <c r="B984" s="59"/>
      <c r="C984" s="59"/>
      <c r="D984" s="59"/>
      <c r="E984" s="59"/>
      <c r="F984" s="59"/>
    </row>
    <row r="985" ht="12.75" customHeight="1">
      <c r="A985" s="25"/>
      <c r="B985" s="59"/>
      <c r="C985" s="59"/>
      <c r="D985" s="59"/>
      <c r="E985" s="59"/>
      <c r="F985" s="59"/>
    </row>
    <row r="986" ht="12.75" customHeight="1">
      <c r="A986" s="25"/>
      <c r="B986" s="59"/>
      <c r="C986" s="59"/>
      <c r="D986" s="59"/>
      <c r="E986" s="59"/>
      <c r="F986" s="59"/>
    </row>
    <row r="987" ht="12.75" customHeight="1">
      <c r="A987" s="25"/>
      <c r="B987" s="59"/>
      <c r="C987" s="59"/>
      <c r="D987" s="59"/>
      <c r="E987" s="59"/>
      <c r="F987" s="59"/>
    </row>
    <row r="988" ht="12.75" customHeight="1">
      <c r="A988" s="25"/>
      <c r="B988" s="59"/>
      <c r="C988" s="59"/>
      <c r="D988" s="59"/>
      <c r="E988" s="59"/>
      <c r="F988" s="59"/>
    </row>
    <row r="989" ht="12.75" customHeight="1">
      <c r="A989" s="25"/>
      <c r="B989" s="59"/>
      <c r="C989" s="59"/>
      <c r="D989" s="59"/>
      <c r="E989" s="59"/>
      <c r="F989" s="59"/>
    </row>
    <row r="990" ht="12.75" customHeight="1">
      <c r="A990" s="25"/>
      <c r="B990" s="59"/>
      <c r="C990" s="59"/>
      <c r="D990" s="59"/>
      <c r="E990" s="59"/>
      <c r="F990" s="59"/>
    </row>
    <row r="991" ht="12.75" customHeight="1">
      <c r="A991" s="25"/>
      <c r="B991" s="59"/>
      <c r="C991" s="59"/>
      <c r="D991" s="59"/>
      <c r="E991" s="59"/>
      <c r="F991" s="59"/>
    </row>
    <row r="992" ht="12.75" customHeight="1">
      <c r="A992" s="25"/>
      <c r="B992" s="59"/>
      <c r="C992" s="59"/>
      <c r="D992" s="59"/>
      <c r="E992" s="59"/>
      <c r="F992" s="59"/>
    </row>
    <row r="993" ht="12.75" customHeight="1">
      <c r="A993" s="25"/>
      <c r="B993" s="59"/>
      <c r="C993" s="59"/>
      <c r="D993" s="59"/>
      <c r="E993" s="59"/>
      <c r="F993" s="59"/>
    </row>
    <row r="994" ht="12.75" customHeight="1">
      <c r="A994" s="25"/>
      <c r="B994" s="59"/>
      <c r="C994" s="59"/>
      <c r="D994" s="59"/>
      <c r="E994" s="59"/>
      <c r="F994" s="59"/>
    </row>
    <row r="995" ht="12.75" customHeight="1">
      <c r="A995" s="25"/>
      <c r="B995" s="59"/>
      <c r="C995" s="59"/>
      <c r="D995" s="59"/>
      <c r="E995" s="59"/>
      <c r="F995" s="59"/>
    </row>
    <row r="996" ht="12.75" customHeight="1">
      <c r="A996" s="25"/>
      <c r="B996" s="59"/>
      <c r="C996" s="59"/>
      <c r="D996" s="59"/>
      <c r="E996" s="59"/>
      <c r="F996" s="59"/>
    </row>
    <row r="997" ht="12.75" customHeight="1">
      <c r="A997" s="25"/>
      <c r="B997" s="59"/>
      <c r="C997" s="59"/>
      <c r="D997" s="59"/>
      <c r="E997" s="59"/>
      <c r="F997" s="59"/>
    </row>
    <row r="998" ht="12.75" customHeight="1">
      <c r="A998" s="25"/>
      <c r="B998" s="59"/>
      <c r="C998" s="59"/>
      <c r="D998" s="59"/>
      <c r="E998" s="59"/>
      <c r="F998" s="59"/>
    </row>
    <row r="999" ht="12.75" customHeight="1">
      <c r="A999" s="25"/>
      <c r="B999" s="59"/>
      <c r="C999" s="59"/>
      <c r="D999" s="59"/>
      <c r="E999" s="59"/>
      <c r="F999" s="59"/>
    </row>
    <row r="1000" ht="12.75" customHeight="1">
      <c r="A1000" s="25"/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1.38"/>
    <col customWidth="1" min="3" max="3" width="13.75"/>
    <col customWidth="1" min="4" max="4" width="11.38"/>
    <col customWidth="1" min="5" max="26" width="10.63"/>
  </cols>
  <sheetData>
    <row r="1" ht="12.75" customHeight="1">
      <c r="A1" s="41">
        <v>0.0</v>
      </c>
      <c r="B1" s="59">
        <f t="shared" ref="B1:B29" si="1">D1-C1</f>
        <v>0</v>
      </c>
      <c r="C1" s="59">
        <v>0.0</v>
      </c>
      <c r="D1" s="59">
        <v>0.0</v>
      </c>
      <c r="E1" s="59">
        <f t="shared" ref="E1:E29" si="2">D1*2.3681%</f>
        <v>0</v>
      </c>
      <c r="F1" s="59">
        <f t="shared" ref="F1:F29" si="3">D1-E1</f>
        <v>0</v>
      </c>
    </row>
    <row r="2" ht="12.75" customHeight="1">
      <c r="A2" s="41">
        <v>4.0</v>
      </c>
      <c r="B2" s="59">
        <f t="shared" si="1"/>
        <v>22521</v>
      </c>
      <c r="C2" s="59">
        <f>527+1437+639+1676</f>
        <v>4279</v>
      </c>
      <c r="D2" s="59">
        <f>3300+9000+4000+10500</f>
        <v>26800</v>
      </c>
      <c r="E2" s="59">
        <f t="shared" si="2"/>
        <v>634.6508</v>
      </c>
      <c r="F2" s="59">
        <f t="shared" si="3"/>
        <v>26165.3492</v>
      </c>
    </row>
    <row r="3" ht="12.75" customHeight="1">
      <c r="A3" s="41">
        <v>1.0</v>
      </c>
      <c r="B3" s="59">
        <f t="shared" si="1"/>
        <v>30252</v>
      </c>
      <c r="C3" s="59">
        <v>5748.0</v>
      </c>
      <c r="D3" s="59">
        <v>36000.0</v>
      </c>
      <c r="E3" s="59">
        <f t="shared" si="2"/>
        <v>852.516</v>
      </c>
      <c r="F3" s="59">
        <f t="shared" si="3"/>
        <v>35147.484</v>
      </c>
    </row>
    <row r="4" ht="12.75" customHeight="1">
      <c r="A4" s="41">
        <v>2.0</v>
      </c>
      <c r="B4" s="59">
        <f t="shared" si="1"/>
        <v>19580</v>
      </c>
      <c r="C4" s="59">
        <f>2714+1006</f>
        <v>3720</v>
      </c>
      <c r="D4" s="59">
        <f>17000+6300</f>
        <v>23300</v>
      </c>
      <c r="E4" s="59">
        <f t="shared" si="2"/>
        <v>551.7673</v>
      </c>
      <c r="F4" s="59">
        <f t="shared" si="3"/>
        <v>22748.2327</v>
      </c>
      <c r="G4" s="37" t="s">
        <v>3202</v>
      </c>
    </row>
    <row r="5" ht="12.75" customHeight="1">
      <c r="A5" s="41">
        <v>1.0</v>
      </c>
      <c r="B5" s="59">
        <f t="shared" si="1"/>
        <v>2521</v>
      </c>
      <c r="C5" s="59">
        <v>479.0</v>
      </c>
      <c r="D5" s="59">
        <v>3000.0</v>
      </c>
      <c r="E5" s="59">
        <f t="shared" si="2"/>
        <v>71.043</v>
      </c>
      <c r="F5" s="59">
        <f t="shared" si="3"/>
        <v>2928.957</v>
      </c>
    </row>
    <row r="6" ht="12.75" customHeight="1">
      <c r="A6" s="41">
        <v>1.0</v>
      </c>
      <c r="B6" s="59">
        <f t="shared" si="1"/>
        <v>4538</v>
      </c>
      <c r="C6" s="59">
        <v>862.0</v>
      </c>
      <c r="D6" s="59">
        <v>5400.0</v>
      </c>
      <c r="E6" s="59">
        <f t="shared" si="2"/>
        <v>127.8774</v>
      </c>
      <c r="F6" s="59">
        <f t="shared" si="3"/>
        <v>5272.1226</v>
      </c>
    </row>
    <row r="7" ht="12.75" customHeight="1">
      <c r="A7" s="41">
        <v>2.0</v>
      </c>
      <c r="B7" s="59">
        <f t="shared" si="1"/>
        <v>4614</v>
      </c>
      <c r="C7" s="59">
        <f>525+351</f>
        <v>876</v>
      </c>
      <c r="D7" s="59">
        <f>3290+2200</f>
        <v>5490</v>
      </c>
      <c r="E7" s="59">
        <f t="shared" si="2"/>
        <v>130.00869</v>
      </c>
      <c r="F7" s="59">
        <f t="shared" si="3"/>
        <v>5359.99131</v>
      </c>
    </row>
    <row r="8" ht="12.75" customHeight="1">
      <c r="A8" s="41">
        <v>4.0</v>
      </c>
      <c r="B8" s="59">
        <f t="shared" si="1"/>
        <v>51513</v>
      </c>
      <c r="C8" s="59">
        <f>287+798+5269+3433</f>
        <v>9787</v>
      </c>
      <c r="D8" s="59">
        <f>1800+5000+33000+21500</f>
        <v>61300</v>
      </c>
      <c r="E8" s="59">
        <f t="shared" si="2"/>
        <v>1451.6453</v>
      </c>
      <c r="F8" s="59">
        <f t="shared" si="3"/>
        <v>59848.3547</v>
      </c>
    </row>
    <row r="9" ht="12.75" customHeight="1">
      <c r="A9" s="41">
        <v>1.0</v>
      </c>
      <c r="B9" s="59">
        <f t="shared" si="1"/>
        <v>6723</v>
      </c>
      <c r="C9" s="59">
        <v>1277.0</v>
      </c>
      <c r="D9" s="59">
        <v>8000.0</v>
      </c>
      <c r="E9" s="59">
        <f t="shared" si="2"/>
        <v>189.448</v>
      </c>
      <c r="F9" s="59">
        <f t="shared" si="3"/>
        <v>7810.552</v>
      </c>
    </row>
    <row r="10" ht="12.75" customHeight="1">
      <c r="A10" s="41">
        <v>7.0</v>
      </c>
      <c r="B10" s="59">
        <f t="shared" si="1"/>
        <v>54622</v>
      </c>
      <c r="C10" s="59">
        <f>255+96+639+255+1948+5908+1277</f>
        <v>10378</v>
      </c>
      <c r="D10" s="59">
        <f>1600+600+4000+1600+12200+37000+8000</f>
        <v>65000</v>
      </c>
      <c r="E10" s="59">
        <f t="shared" si="2"/>
        <v>1539.265</v>
      </c>
      <c r="F10" s="59">
        <f t="shared" si="3"/>
        <v>63460.735</v>
      </c>
    </row>
    <row r="11" ht="12.75" customHeight="1">
      <c r="A11" s="41">
        <v>1.0</v>
      </c>
      <c r="B11" s="59">
        <f t="shared" si="1"/>
        <v>1261</v>
      </c>
      <c r="C11" s="59">
        <v>239.0</v>
      </c>
      <c r="D11" s="59">
        <v>1500.0</v>
      </c>
      <c r="E11" s="59">
        <f t="shared" si="2"/>
        <v>35.5215</v>
      </c>
      <c r="F11" s="59">
        <f t="shared" si="3"/>
        <v>1464.4785</v>
      </c>
    </row>
    <row r="12" ht="12.75" customHeight="1">
      <c r="A12" s="41">
        <v>3.0</v>
      </c>
      <c r="B12" s="59">
        <f t="shared" si="1"/>
        <v>25715</v>
      </c>
      <c r="C12" s="59">
        <f>1836+2235+814</f>
        <v>4885</v>
      </c>
      <c r="D12" s="59">
        <f>11500+14000+5100</f>
        <v>30600</v>
      </c>
      <c r="E12" s="59">
        <f t="shared" si="2"/>
        <v>724.6386</v>
      </c>
      <c r="F12" s="59">
        <f t="shared" si="3"/>
        <v>29875.3614</v>
      </c>
    </row>
    <row r="13" ht="12.75" customHeight="1">
      <c r="A13" s="41">
        <v>2.0</v>
      </c>
      <c r="B13" s="59">
        <f t="shared" si="1"/>
        <v>6303</v>
      </c>
      <c r="C13" s="59">
        <f>718+479</f>
        <v>1197</v>
      </c>
      <c r="D13" s="59">
        <f>4500+3000</f>
        <v>7500</v>
      </c>
      <c r="E13" s="59">
        <f t="shared" si="2"/>
        <v>177.6075</v>
      </c>
      <c r="F13" s="59">
        <f t="shared" si="3"/>
        <v>7322.3925</v>
      </c>
    </row>
    <row r="14" ht="12.75" customHeight="1">
      <c r="A14" s="41">
        <v>2.0</v>
      </c>
      <c r="B14" s="59">
        <f t="shared" si="1"/>
        <v>3529</v>
      </c>
      <c r="C14" s="59">
        <f>192+479</f>
        <v>671</v>
      </c>
      <c r="D14" s="59">
        <f>1200+3000</f>
        <v>4200</v>
      </c>
      <c r="E14" s="59">
        <f t="shared" si="2"/>
        <v>99.4602</v>
      </c>
      <c r="F14" s="59">
        <f t="shared" si="3"/>
        <v>4100.5398</v>
      </c>
    </row>
    <row r="15" ht="12.75" customHeight="1">
      <c r="A15" s="41">
        <v>0.0</v>
      </c>
      <c r="B15" s="59">
        <f t="shared" si="1"/>
        <v>0</v>
      </c>
      <c r="C15" s="59">
        <v>0.0</v>
      </c>
      <c r="D15" s="59">
        <v>0.0</v>
      </c>
      <c r="E15" s="59">
        <f t="shared" si="2"/>
        <v>0</v>
      </c>
      <c r="F15" s="59">
        <f t="shared" si="3"/>
        <v>0</v>
      </c>
    </row>
    <row r="16" ht="12.75" customHeight="1">
      <c r="A16" s="41">
        <v>4.0</v>
      </c>
      <c r="B16" s="59">
        <f t="shared" si="1"/>
        <v>21765</v>
      </c>
      <c r="C16" s="59">
        <f>1197+2395+319+224</f>
        <v>4135</v>
      </c>
      <c r="D16" s="59">
        <f>7500+15000+2000+1400</f>
        <v>25900</v>
      </c>
      <c r="E16" s="59">
        <f t="shared" si="2"/>
        <v>613.3379</v>
      </c>
      <c r="F16" s="59">
        <f t="shared" si="3"/>
        <v>25286.6621</v>
      </c>
    </row>
    <row r="17" ht="12.75" customHeight="1">
      <c r="A17" s="41">
        <v>1.0</v>
      </c>
      <c r="B17" s="59">
        <f t="shared" si="1"/>
        <v>1261</v>
      </c>
      <c r="C17" s="59">
        <v>239.0</v>
      </c>
      <c r="D17" s="59">
        <v>1500.0</v>
      </c>
      <c r="E17" s="59">
        <f t="shared" si="2"/>
        <v>35.5215</v>
      </c>
      <c r="F17" s="59">
        <f t="shared" si="3"/>
        <v>1464.4785</v>
      </c>
    </row>
    <row r="18" ht="12.75" customHeight="1">
      <c r="A18" s="41">
        <v>4.0</v>
      </c>
      <c r="B18" s="59">
        <f t="shared" si="1"/>
        <v>33151</v>
      </c>
      <c r="C18" s="59">
        <f>2435+830+2443+591</f>
        <v>6299</v>
      </c>
      <c r="D18" s="59">
        <f>15250+5200+15300+3700</f>
        <v>39450</v>
      </c>
      <c r="E18" s="59">
        <f t="shared" si="2"/>
        <v>934.21545</v>
      </c>
      <c r="F18" s="59">
        <f t="shared" si="3"/>
        <v>38515.78455</v>
      </c>
    </row>
    <row r="19" ht="12.75" customHeight="1">
      <c r="A19" s="41">
        <v>3.0</v>
      </c>
      <c r="B19" s="59">
        <f t="shared" si="1"/>
        <v>55168</v>
      </c>
      <c r="C19" s="59">
        <f>6387+3672+423</f>
        <v>10482</v>
      </c>
      <c r="D19" s="59">
        <f>40000+23000+2650</f>
        <v>65650</v>
      </c>
      <c r="E19" s="59">
        <f t="shared" si="2"/>
        <v>1554.65765</v>
      </c>
      <c r="F19" s="59">
        <f t="shared" si="3"/>
        <v>64095.34235</v>
      </c>
    </row>
    <row r="20" ht="12.75" customHeight="1">
      <c r="A20" s="41">
        <v>1.0</v>
      </c>
      <c r="B20" s="59">
        <f t="shared" si="1"/>
        <v>3571</v>
      </c>
      <c r="C20" s="59">
        <v>679.0</v>
      </c>
      <c r="D20" s="59">
        <v>4250.0</v>
      </c>
      <c r="E20" s="59">
        <f t="shared" si="2"/>
        <v>100.64425</v>
      </c>
      <c r="F20" s="59">
        <f t="shared" si="3"/>
        <v>4149.35575</v>
      </c>
    </row>
    <row r="21" ht="12.75" customHeight="1">
      <c r="A21" s="41">
        <v>2.0</v>
      </c>
      <c r="B21" s="59">
        <f t="shared" si="1"/>
        <v>31168</v>
      </c>
      <c r="C21" s="59">
        <f>2010+3912</f>
        <v>5922</v>
      </c>
      <c r="D21" s="59">
        <f>12590+24500</f>
        <v>37090</v>
      </c>
      <c r="E21" s="59">
        <f t="shared" si="2"/>
        <v>878.32829</v>
      </c>
      <c r="F21" s="59">
        <f t="shared" si="3"/>
        <v>36211.67171</v>
      </c>
      <c r="G21" s="41" t="s">
        <v>3383</v>
      </c>
    </row>
    <row r="22" ht="12.75" customHeight="1">
      <c r="A22" s="41">
        <v>2.0</v>
      </c>
      <c r="B22" s="59">
        <f t="shared" si="1"/>
        <v>13529</v>
      </c>
      <c r="C22" s="59">
        <f>1916+655</f>
        <v>2571</v>
      </c>
      <c r="D22" s="59">
        <f>12000+4100</f>
        <v>16100</v>
      </c>
      <c r="E22" s="59">
        <f t="shared" si="2"/>
        <v>381.2641</v>
      </c>
      <c r="F22" s="59">
        <f t="shared" si="3"/>
        <v>15718.7359</v>
      </c>
    </row>
    <row r="23" ht="12.75" customHeight="1">
      <c r="A23" s="41">
        <v>1.0</v>
      </c>
      <c r="B23" s="59">
        <f t="shared" si="1"/>
        <v>3950</v>
      </c>
      <c r="C23" s="59">
        <v>750.0</v>
      </c>
      <c r="D23" s="59">
        <v>4700.0</v>
      </c>
      <c r="E23" s="59">
        <f t="shared" si="2"/>
        <v>111.3007</v>
      </c>
      <c r="F23" s="59">
        <f t="shared" si="3"/>
        <v>4588.6993</v>
      </c>
    </row>
    <row r="24" ht="12.75" customHeight="1">
      <c r="A24" s="41">
        <v>3.0</v>
      </c>
      <c r="B24" s="59">
        <f t="shared" si="1"/>
        <v>39916</v>
      </c>
      <c r="C24" s="59">
        <f>4790+1118+1676</f>
        <v>7584</v>
      </c>
      <c r="D24" s="59">
        <f>30000+7000+10500</f>
        <v>47500</v>
      </c>
      <c r="E24" s="59">
        <f t="shared" si="2"/>
        <v>1124.8475</v>
      </c>
      <c r="F24" s="59">
        <f t="shared" si="3"/>
        <v>46375.1525</v>
      </c>
    </row>
    <row r="25" ht="12.75" customHeight="1">
      <c r="A25" s="41">
        <v>1.0</v>
      </c>
      <c r="B25" s="59">
        <f t="shared" si="1"/>
        <v>3613</v>
      </c>
      <c r="C25" s="59">
        <v>687.0</v>
      </c>
      <c r="D25" s="59">
        <v>4300.0</v>
      </c>
      <c r="E25" s="59">
        <f t="shared" si="2"/>
        <v>101.8283</v>
      </c>
      <c r="F25" s="59">
        <f t="shared" si="3"/>
        <v>4198.1717</v>
      </c>
    </row>
    <row r="26" ht="12.75" customHeight="1">
      <c r="A26" s="41">
        <v>1.0</v>
      </c>
      <c r="B26" s="59">
        <f t="shared" si="1"/>
        <v>2521</v>
      </c>
      <c r="C26" s="59">
        <v>479.0</v>
      </c>
      <c r="D26" s="59">
        <v>3000.0</v>
      </c>
      <c r="E26" s="59">
        <f t="shared" si="2"/>
        <v>71.043</v>
      </c>
      <c r="F26" s="59">
        <f t="shared" si="3"/>
        <v>2928.957</v>
      </c>
    </row>
    <row r="27" ht="12.75" customHeight="1">
      <c r="A27" s="41">
        <v>5.0</v>
      </c>
      <c r="B27" s="59">
        <f t="shared" si="1"/>
        <v>24664</v>
      </c>
      <c r="C27" s="59">
        <f>1150+830+1565+742+399</f>
        <v>4686</v>
      </c>
      <c r="D27" s="59">
        <f>7200+5200+9800+4650+2500</f>
        <v>29350</v>
      </c>
      <c r="E27" s="59">
        <f t="shared" si="2"/>
        <v>695.03735</v>
      </c>
      <c r="F27" s="59">
        <f t="shared" si="3"/>
        <v>28654.96265</v>
      </c>
      <c r="G27" s="37" t="s">
        <v>3217</v>
      </c>
      <c r="I27" s="81" t="s">
        <v>1</v>
      </c>
      <c r="J27" s="81" t="s">
        <v>2</v>
      </c>
    </row>
    <row r="28" ht="12.75" customHeight="1">
      <c r="A28" s="41">
        <v>0.0</v>
      </c>
      <c r="B28" s="59">
        <f t="shared" si="1"/>
        <v>0</v>
      </c>
      <c r="C28" s="59">
        <v>0.0</v>
      </c>
      <c r="D28" s="59">
        <v>0.0</v>
      </c>
      <c r="E28" s="59">
        <f t="shared" si="2"/>
        <v>0</v>
      </c>
      <c r="F28" s="59">
        <f t="shared" si="3"/>
        <v>0</v>
      </c>
    </row>
    <row r="29" ht="12.75" customHeight="1">
      <c r="A29" s="41">
        <v>0.0</v>
      </c>
      <c r="B29" s="59">
        <f t="shared" si="1"/>
        <v>0</v>
      </c>
      <c r="C29" s="59">
        <v>0.0</v>
      </c>
      <c r="D29" s="59">
        <v>0.0</v>
      </c>
      <c r="E29" s="59">
        <f t="shared" si="2"/>
        <v>0</v>
      </c>
      <c r="F29" s="59">
        <f t="shared" si="3"/>
        <v>0</v>
      </c>
      <c r="H29" s="81" t="s">
        <v>3381</v>
      </c>
    </row>
    <row r="30" ht="12.75" customHeight="1">
      <c r="A30" s="65">
        <f t="shared" ref="A30:F30" si="4">SUM(A1:A29)</f>
        <v>59</v>
      </c>
      <c r="B30" s="66">
        <f t="shared" si="4"/>
        <v>467969</v>
      </c>
      <c r="C30" s="66">
        <f t="shared" si="4"/>
        <v>88911</v>
      </c>
      <c r="D30" s="66">
        <f t="shared" si="4"/>
        <v>556880</v>
      </c>
      <c r="E30" s="67">
        <f t="shared" si="4"/>
        <v>13187.47528</v>
      </c>
      <c r="F30" s="67">
        <f t="shared" si="4"/>
        <v>543692.5247</v>
      </c>
    </row>
    <row r="31" ht="12.75" customHeight="1">
      <c r="B31" s="59"/>
      <c r="C31" s="59"/>
      <c r="D31" s="59"/>
    </row>
    <row r="32" ht="12.75" customHeight="1">
      <c r="B32" s="59"/>
      <c r="C32" s="59"/>
      <c r="D32" s="59"/>
    </row>
    <row r="33" ht="12.75" customHeight="1">
      <c r="B33" s="59"/>
      <c r="C33" s="78" t="s">
        <v>3218</v>
      </c>
      <c r="D33" s="78">
        <f>D30*2.3681%</f>
        <v>13187.47528</v>
      </c>
    </row>
    <row r="34" ht="12.75" customHeight="1">
      <c r="B34" s="59">
        <v>467969.0</v>
      </c>
      <c r="C34" s="59">
        <v>88911.0</v>
      </c>
      <c r="D34" s="59">
        <v>556880.0</v>
      </c>
    </row>
    <row r="35" ht="12.75" customHeight="1">
      <c r="B35" s="59">
        <v>467963.0</v>
      </c>
      <c r="C35" s="59">
        <v>88913.0</v>
      </c>
      <c r="D35" s="59">
        <f>SUM(B35:C35)</f>
        <v>556876</v>
      </c>
    </row>
    <row r="36" ht="12.75" customHeight="1">
      <c r="B36" s="59">
        <f t="shared" ref="B36:D36" si="5">B34-B35</f>
        <v>6</v>
      </c>
      <c r="C36" s="59">
        <f t="shared" si="5"/>
        <v>-2</v>
      </c>
      <c r="D36" s="59">
        <f t="shared" si="5"/>
        <v>4</v>
      </c>
    </row>
    <row r="37" ht="12.75" customHeight="1">
      <c r="B37" s="59"/>
      <c r="C37" s="59"/>
      <c r="D37" s="59"/>
    </row>
    <row r="38" ht="12.75" customHeight="1">
      <c r="B38" s="59"/>
      <c r="C38" s="59"/>
      <c r="D38" s="59"/>
    </row>
    <row r="39" ht="12.75" customHeight="1">
      <c r="B39" s="59"/>
      <c r="C39" s="59"/>
      <c r="D39" s="59"/>
    </row>
    <row r="40" ht="12.75" customHeight="1">
      <c r="B40" s="59"/>
      <c r="C40" s="59"/>
      <c r="D40" s="59"/>
    </row>
    <row r="41" ht="12.75" customHeight="1">
      <c r="B41" s="59"/>
      <c r="C41" s="59"/>
      <c r="D41" s="59"/>
    </row>
    <row r="42" ht="12.75" customHeight="1">
      <c r="B42" s="59"/>
      <c r="C42" s="59"/>
      <c r="D42" s="59"/>
    </row>
    <row r="43" ht="12.75" customHeight="1">
      <c r="B43" s="59"/>
      <c r="C43" s="59"/>
      <c r="D43" s="59"/>
    </row>
    <row r="44" ht="12.75" customHeight="1">
      <c r="B44" s="59"/>
      <c r="C44" s="59"/>
      <c r="D44" s="59"/>
    </row>
    <row r="45" ht="12.75" customHeight="1">
      <c r="B45" s="59"/>
      <c r="C45" s="59"/>
      <c r="D45" s="59"/>
    </row>
    <row r="46" ht="12.75" customHeight="1">
      <c r="B46" s="59"/>
      <c r="C46" s="59"/>
      <c r="D46" s="59"/>
    </row>
    <row r="47" ht="12.75" customHeight="1">
      <c r="B47" s="59"/>
      <c r="C47" s="59"/>
      <c r="D47" s="59"/>
    </row>
    <row r="48" ht="12.75" customHeight="1">
      <c r="B48" s="59"/>
      <c r="C48" s="59"/>
      <c r="D48" s="59"/>
    </row>
    <row r="49" ht="12.75" customHeight="1">
      <c r="B49" s="59"/>
      <c r="C49" s="59"/>
      <c r="D49" s="59"/>
    </row>
    <row r="50" ht="12.75" customHeight="1">
      <c r="B50" s="59"/>
      <c r="C50" s="59"/>
      <c r="D50" s="59"/>
    </row>
    <row r="51" ht="12.75" customHeight="1">
      <c r="B51" s="59"/>
      <c r="C51" s="59"/>
      <c r="D51" s="59"/>
    </row>
    <row r="52" ht="12.75" customHeight="1">
      <c r="B52" s="59"/>
      <c r="C52" s="59"/>
      <c r="D52" s="59"/>
    </row>
    <row r="53" ht="12.75" customHeight="1">
      <c r="B53" s="59"/>
      <c r="C53" s="59"/>
      <c r="D53" s="59"/>
    </row>
    <row r="54" ht="12.75" customHeight="1">
      <c r="B54" s="59"/>
      <c r="C54" s="59"/>
      <c r="D54" s="59"/>
    </row>
    <row r="55" ht="12.75" customHeight="1">
      <c r="B55" s="59"/>
      <c r="C55" s="59"/>
      <c r="D55" s="59"/>
    </row>
    <row r="56" ht="12.75" customHeight="1">
      <c r="B56" s="59"/>
      <c r="C56" s="59"/>
      <c r="D56" s="59"/>
    </row>
    <row r="57" ht="12.75" customHeight="1">
      <c r="B57" s="59"/>
      <c r="C57" s="59"/>
      <c r="D57" s="59"/>
    </row>
    <row r="58" ht="12.75" customHeight="1">
      <c r="B58" s="59"/>
      <c r="C58" s="59"/>
      <c r="D58" s="59"/>
    </row>
    <row r="59" ht="12.75" customHeight="1">
      <c r="B59" s="59"/>
      <c r="C59" s="59"/>
      <c r="D59" s="59"/>
    </row>
    <row r="60" ht="12.75" customHeight="1">
      <c r="B60" s="59"/>
      <c r="C60" s="59"/>
      <c r="D60" s="59"/>
    </row>
    <row r="61" ht="12.75" customHeight="1">
      <c r="B61" s="59"/>
      <c r="C61" s="59"/>
      <c r="D61" s="59"/>
    </row>
    <row r="62" ht="12.75" customHeight="1">
      <c r="B62" s="59"/>
      <c r="C62" s="59"/>
      <c r="D62" s="59"/>
    </row>
    <row r="63" ht="12.75" customHeight="1">
      <c r="B63" s="59"/>
      <c r="C63" s="59"/>
      <c r="D63" s="59"/>
    </row>
    <row r="64" ht="12.75" customHeight="1">
      <c r="B64" s="59"/>
      <c r="C64" s="59"/>
      <c r="D64" s="59"/>
    </row>
    <row r="65" ht="12.75" customHeight="1">
      <c r="B65" s="59"/>
      <c r="C65" s="59"/>
      <c r="D65" s="59"/>
    </row>
    <row r="66" ht="12.75" customHeight="1">
      <c r="B66" s="59"/>
      <c r="C66" s="59"/>
      <c r="D66" s="59"/>
    </row>
    <row r="67" ht="12.75" customHeight="1">
      <c r="B67" s="59"/>
      <c r="C67" s="59"/>
      <c r="D67" s="59"/>
    </row>
    <row r="68" ht="12.75" customHeight="1">
      <c r="B68" s="59"/>
      <c r="C68" s="59"/>
      <c r="D68" s="59"/>
    </row>
    <row r="69" ht="12.75" customHeight="1">
      <c r="B69" s="59"/>
      <c r="C69" s="59"/>
      <c r="D69" s="59"/>
    </row>
    <row r="70" ht="12.75" customHeight="1">
      <c r="B70" s="59"/>
      <c r="C70" s="59"/>
      <c r="D70" s="59"/>
    </row>
    <row r="71" ht="12.75" customHeight="1">
      <c r="B71" s="59"/>
      <c r="C71" s="59"/>
      <c r="D71" s="59"/>
    </row>
    <row r="72" ht="12.75" customHeight="1">
      <c r="B72" s="59"/>
      <c r="C72" s="59"/>
      <c r="D72" s="59"/>
    </row>
    <row r="73" ht="12.75" customHeight="1">
      <c r="B73" s="59"/>
      <c r="C73" s="59"/>
      <c r="D73" s="59"/>
    </row>
    <row r="74" ht="12.75" customHeight="1">
      <c r="B74" s="59"/>
      <c r="C74" s="59"/>
      <c r="D74" s="59"/>
    </row>
    <row r="75" ht="12.75" customHeight="1">
      <c r="B75" s="59"/>
      <c r="C75" s="59"/>
      <c r="D75" s="59"/>
    </row>
    <row r="76" ht="12.75" customHeight="1">
      <c r="B76" s="59"/>
      <c r="C76" s="59"/>
      <c r="D76" s="59"/>
    </row>
    <row r="77" ht="12.75" customHeight="1">
      <c r="B77" s="59"/>
      <c r="C77" s="59"/>
      <c r="D77" s="59"/>
    </row>
    <row r="78" ht="12.75" customHeight="1">
      <c r="B78" s="59"/>
      <c r="C78" s="59"/>
      <c r="D78" s="59"/>
    </row>
    <row r="79" ht="12.75" customHeight="1">
      <c r="B79" s="59"/>
      <c r="C79" s="59"/>
      <c r="D79" s="59"/>
    </row>
    <row r="80" ht="12.75" customHeight="1">
      <c r="B80" s="59"/>
      <c r="C80" s="59"/>
      <c r="D80" s="59"/>
    </row>
    <row r="81" ht="12.75" customHeight="1">
      <c r="B81" s="59"/>
      <c r="C81" s="59"/>
      <c r="D81" s="59"/>
    </row>
    <row r="82" ht="12.75" customHeight="1">
      <c r="B82" s="59"/>
      <c r="C82" s="59"/>
      <c r="D82" s="59"/>
    </row>
    <row r="83" ht="12.75" customHeight="1">
      <c r="B83" s="59"/>
      <c r="C83" s="59"/>
      <c r="D83" s="59"/>
    </row>
    <row r="84" ht="12.75" customHeight="1">
      <c r="B84" s="59"/>
      <c r="C84" s="59"/>
      <c r="D84" s="59"/>
    </row>
    <row r="85" ht="12.75" customHeight="1">
      <c r="B85" s="59"/>
      <c r="C85" s="59"/>
      <c r="D85" s="59"/>
    </row>
    <row r="86" ht="12.75" customHeight="1">
      <c r="B86" s="59"/>
      <c r="C86" s="59"/>
      <c r="D86" s="59"/>
    </row>
    <row r="87" ht="12.75" customHeight="1">
      <c r="B87" s="59"/>
      <c r="C87" s="59"/>
      <c r="D87" s="59"/>
    </row>
    <row r="88" ht="12.75" customHeight="1">
      <c r="B88" s="59"/>
      <c r="C88" s="59"/>
      <c r="D88" s="59"/>
    </row>
    <row r="89" ht="12.75" customHeight="1">
      <c r="B89" s="59"/>
      <c r="C89" s="59"/>
      <c r="D89" s="59"/>
    </row>
    <row r="90" ht="12.75" customHeight="1">
      <c r="B90" s="59"/>
      <c r="C90" s="59"/>
      <c r="D90" s="59"/>
    </row>
    <row r="91" ht="12.75" customHeight="1">
      <c r="B91" s="59"/>
      <c r="C91" s="59"/>
      <c r="D91" s="59"/>
    </row>
    <row r="92" ht="12.75" customHeight="1">
      <c r="B92" s="59"/>
      <c r="C92" s="59"/>
      <c r="D92" s="59"/>
    </row>
    <row r="93" ht="12.75" customHeight="1">
      <c r="B93" s="59"/>
      <c r="C93" s="59"/>
      <c r="D93" s="59"/>
    </row>
    <row r="94" ht="12.75" customHeight="1">
      <c r="B94" s="59"/>
      <c r="C94" s="59"/>
      <c r="D94" s="59"/>
    </row>
    <row r="95" ht="12.75" customHeight="1">
      <c r="B95" s="59"/>
      <c r="C95" s="59"/>
      <c r="D95" s="59"/>
    </row>
    <row r="96" ht="12.75" customHeight="1">
      <c r="B96" s="59"/>
      <c r="C96" s="59"/>
      <c r="D96" s="59"/>
    </row>
    <row r="97" ht="12.75" customHeight="1">
      <c r="B97" s="59"/>
      <c r="C97" s="59"/>
      <c r="D97" s="59"/>
    </row>
    <row r="98" ht="12.75" customHeight="1">
      <c r="B98" s="59"/>
      <c r="C98" s="59"/>
      <c r="D98" s="59"/>
    </row>
    <row r="99" ht="12.75" customHeight="1">
      <c r="B99" s="59"/>
      <c r="C99" s="59"/>
      <c r="D99" s="59"/>
    </row>
    <row r="100" ht="12.75" customHeight="1">
      <c r="B100" s="59"/>
      <c r="C100" s="59"/>
      <c r="D100" s="59"/>
    </row>
    <row r="101" ht="12.75" customHeight="1">
      <c r="B101" s="59"/>
      <c r="C101" s="59"/>
      <c r="D101" s="59"/>
    </row>
    <row r="102" ht="12.75" customHeight="1">
      <c r="B102" s="59"/>
      <c r="C102" s="59"/>
      <c r="D102" s="59"/>
    </row>
    <row r="103" ht="12.75" customHeight="1">
      <c r="B103" s="59"/>
      <c r="C103" s="59"/>
      <c r="D103" s="59"/>
    </row>
    <row r="104" ht="12.75" customHeight="1">
      <c r="B104" s="59"/>
      <c r="C104" s="59"/>
      <c r="D104" s="59"/>
    </row>
    <row r="105" ht="12.75" customHeight="1">
      <c r="B105" s="59"/>
      <c r="C105" s="59"/>
      <c r="D105" s="59"/>
    </row>
    <row r="106" ht="12.75" customHeight="1">
      <c r="B106" s="59"/>
      <c r="C106" s="59"/>
      <c r="D106" s="59"/>
    </row>
    <row r="107" ht="12.75" customHeight="1">
      <c r="B107" s="59"/>
      <c r="C107" s="59"/>
      <c r="D107" s="59"/>
    </row>
    <row r="108" ht="12.75" customHeight="1">
      <c r="B108" s="59"/>
      <c r="C108" s="59"/>
      <c r="D108" s="59"/>
    </row>
    <row r="109" ht="12.75" customHeight="1">
      <c r="B109" s="59"/>
      <c r="C109" s="59"/>
      <c r="D109" s="59"/>
    </row>
    <row r="110" ht="12.75" customHeight="1">
      <c r="B110" s="59"/>
      <c r="C110" s="59"/>
      <c r="D110" s="59"/>
    </row>
    <row r="111" ht="12.75" customHeight="1">
      <c r="B111" s="59"/>
      <c r="C111" s="59"/>
      <c r="D111" s="59"/>
    </row>
    <row r="112" ht="12.75" customHeight="1">
      <c r="B112" s="59"/>
      <c r="C112" s="59"/>
      <c r="D112" s="59"/>
    </row>
    <row r="113" ht="12.75" customHeight="1">
      <c r="B113" s="59"/>
      <c r="C113" s="59"/>
      <c r="D113" s="59"/>
    </row>
    <row r="114" ht="12.75" customHeight="1">
      <c r="B114" s="59"/>
      <c r="C114" s="59"/>
      <c r="D114" s="59"/>
    </row>
    <row r="115" ht="12.75" customHeight="1">
      <c r="B115" s="59"/>
      <c r="C115" s="59"/>
      <c r="D115" s="59"/>
    </row>
    <row r="116" ht="12.75" customHeight="1">
      <c r="B116" s="59"/>
      <c r="C116" s="59"/>
      <c r="D116" s="59"/>
    </row>
    <row r="117" ht="12.75" customHeight="1">
      <c r="B117" s="59"/>
      <c r="C117" s="59"/>
      <c r="D117" s="59"/>
    </row>
    <row r="118" ht="12.75" customHeight="1">
      <c r="B118" s="59"/>
      <c r="C118" s="59"/>
      <c r="D118" s="59"/>
    </row>
    <row r="119" ht="12.75" customHeight="1">
      <c r="B119" s="59"/>
      <c r="C119" s="59"/>
      <c r="D119" s="59"/>
    </row>
    <row r="120" ht="12.75" customHeight="1">
      <c r="B120" s="59"/>
      <c r="C120" s="59"/>
      <c r="D120" s="59"/>
    </row>
    <row r="121" ht="12.75" customHeight="1">
      <c r="B121" s="59"/>
      <c r="C121" s="59"/>
      <c r="D121" s="59"/>
    </row>
    <row r="122" ht="12.75" customHeight="1">
      <c r="B122" s="59"/>
      <c r="C122" s="59"/>
      <c r="D122" s="59"/>
    </row>
    <row r="123" ht="12.75" customHeight="1">
      <c r="B123" s="59"/>
      <c r="C123" s="59"/>
      <c r="D123" s="59"/>
    </row>
    <row r="124" ht="12.75" customHeight="1">
      <c r="B124" s="59"/>
      <c r="C124" s="59"/>
      <c r="D124" s="59"/>
    </row>
    <row r="125" ht="12.75" customHeight="1">
      <c r="B125" s="59"/>
      <c r="C125" s="59"/>
      <c r="D125" s="59"/>
    </row>
    <row r="126" ht="12.75" customHeight="1">
      <c r="B126" s="59"/>
      <c r="C126" s="59"/>
      <c r="D126" s="59"/>
    </row>
    <row r="127" ht="12.75" customHeight="1">
      <c r="B127" s="59"/>
      <c r="C127" s="59"/>
      <c r="D127" s="59"/>
    </row>
    <row r="128" ht="12.75" customHeight="1">
      <c r="B128" s="59"/>
      <c r="C128" s="59"/>
      <c r="D128" s="59"/>
    </row>
    <row r="129" ht="12.75" customHeight="1">
      <c r="B129" s="59"/>
      <c r="C129" s="59"/>
      <c r="D129" s="59"/>
    </row>
    <row r="130" ht="12.75" customHeight="1">
      <c r="B130" s="59"/>
      <c r="C130" s="59"/>
      <c r="D130" s="59"/>
    </row>
    <row r="131" ht="12.75" customHeight="1">
      <c r="B131" s="59"/>
      <c r="C131" s="59"/>
      <c r="D131" s="59"/>
    </row>
    <row r="132" ht="12.75" customHeight="1">
      <c r="B132" s="59"/>
      <c r="C132" s="59"/>
      <c r="D132" s="59"/>
    </row>
    <row r="133" ht="12.75" customHeight="1">
      <c r="B133" s="59"/>
      <c r="C133" s="59"/>
      <c r="D133" s="59"/>
    </row>
    <row r="134" ht="12.75" customHeight="1">
      <c r="B134" s="59"/>
      <c r="C134" s="59"/>
      <c r="D134" s="59"/>
    </row>
    <row r="135" ht="12.75" customHeight="1">
      <c r="B135" s="59"/>
      <c r="C135" s="59"/>
      <c r="D135" s="59"/>
    </row>
    <row r="136" ht="12.75" customHeight="1">
      <c r="B136" s="59"/>
      <c r="C136" s="59"/>
      <c r="D136" s="59"/>
    </row>
    <row r="137" ht="12.75" customHeight="1">
      <c r="B137" s="59"/>
      <c r="C137" s="59"/>
      <c r="D137" s="59"/>
    </row>
    <row r="138" ht="12.75" customHeight="1">
      <c r="B138" s="59"/>
      <c r="C138" s="59"/>
      <c r="D138" s="59"/>
    </row>
    <row r="139" ht="12.75" customHeight="1">
      <c r="B139" s="59"/>
      <c r="C139" s="59"/>
      <c r="D139" s="59"/>
    </row>
    <row r="140" ht="12.75" customHeight="1">
      <c r="B140" s="59"/>
      <c r="C140" s="59"/>
      <c r="D140" s="59"/>
    </row>
    <row r="141" ht="12.75" customHeight="1">
      <c r="B141" s="59"/>
      <c r="C141" s="59"/>
      <c r="D141" s="59"/>
    </row>
    <row r="142" ht="12.75" customHeight="1">
      <c r="B142" s="59"/>
      <c r="C142" s="59"/>
      <c r="D142" s="59"/>
    </row>
    <row r="143" ht="12.75" customHeight="1">
      <c r="B143" s="59"/>
      <c r="C143" s="59"/>
      <c r="D143" s="59"/>
    </row>
    <row r="144" ht="12.75" customHeight="1">
      <c r="B144" s="59"/>
      <c r="C144" s="59"/>
      <c r="D144" s="59"/>
    </row>
    <row r="145" ht="12.75" customHeight="1">
      <c r="B145" s="59"/>
      <c r="C145" s="59"/>
      <c r="D145" s="59"/>
    </row>
    <row r="146" ht="12.75" customHeight="1">
      <c r="B146" s="59"/>
      <c r="C146" s="59"/>
      <c r="D146" s="59"/>
    </row>
    <row r="147" ht="12.75" customHeight="1">
      <c r="B147" s="59"/>
      <c r="C147" s="59"/>
      <c r="D147" s="59"/>
    </row>
    <row r="148" ht="12.75" customHeight="1">
      <c r="B148" s="59"/>
      <c r="C148" s="59"/>
      <c r="D148" s="59"/>
    </row>
    <row r="149" ht="12.75" customHeight="1">
      <c r="B149" s="59"/>
      <c r="C149" s="59"/>
      <c r="D149" s="59"/>
    </row>
    <row r="150" ht="12.75" customHeight="1">
      <c r="B150" s="59"/>
      <c r="C150" s="59"/>
      <c r="D150" s="59"/>
    </row>
    <row r="151" ht="12.75" customHeight="1">
      <c r="B151" s="59"/>
      <c r="C151" s="59"/>
      <c r="D151" s="59"/>
    </row>
    <row r="152" ht="12.75" customHeight="1">
      <c r="B152" s="59"/>
      <c r="C152" s="59"/>
      <c r="D152" s="59"/>
    </row>
    <row r="153" ht="12.75" customHeight="1">
      <c r="B153" s="59"/>
      <c r="C153" s="59"/>
      <c r="D153" s="59"/>
    </row>
    <row r="154" ht="12.75" customHeight="1">
      <c r="B154" s="59"/>
      <c r="C154" s="59"/>
      <c r="D154" s="59"/>
    </row>
    <row r="155" ht="12.75" customHeight="1">
      <c r="B155" s="59"/>
      <c r="C155" s="59"/>
      <c r="D155" s="59"/>
    </row>
    <row r="156" ht="12.75" customHeight="1">
      <c r="B156" s="59"/>
      <c r="C156" s="59"/>
      <c r="D156" s="59"/>
    </row>
    <row r="157" ht="12.75" customHeight="1">
      <c r="B157" s="59"/>
      <c r="C157" s="59"/>
      <c r="D157" s="59"/>
    </row>
    <row r="158" ht="12.75" customHeight="1">
      <c r="B158" s="59"/>
      <c r="C158" s="59"/>
      <c r="D158" s="59"/>
    </row>
    <row r="159" ht="12.75" customHeight="1">
      <c r="B159" s="59"/>
      <c r="C159" s="59"/>
      <c r="D159" s="59"/>
    </row>
    <row r="160" ht="12.75" customHeight="1">
      <c r="B160" s="59"/>
      <c r="C160" s="59"/>
      <c r="D160" s="59"/>
    </row>
    <row r="161" ht="12.75" customHeight="1">
      <c r="B161" s="59"/>
      <c r="C161" s="59"/>
      <c r="D161" s="59"/>
    </row>
    <row r="162" ht="12.75" customHeight="1">
      <c r="B162" s="59"/>
      <c r="C162" s="59"/>
      <c r="D162" s="59"/>
    </row>
    <row r="163" ht="12.75" customHeight="1">
      <c r="B163" s="59"/>
      <c r="C163" s="59"/>
      <c r="D163" s="59"/>
    </row>
    <row r="164" ht="12.75" customHeight="1">
      <c r="B164" s="59"/>
      <c r="C164" s="59"/>
      <c r="D164" s="59"/>
    </row>
    <row r="165" ht="12.75" customHeight="1">
      <c r="B165" s="59"/>
      <c r="C165" s="59"/>
      <c r="D165" s="59"/>
    </row>
    <row r="166" ht="12.75" customHeight="1">
      <c r="B166" s="59"/>
      <c r="C166" s="59"/>
      <c r="D166" s="59"/>
    </row>
    <row r="167" ht="12.75" customHeight="1">
      <c r="B167" s="59"/>
      <c r="C167" s="59"/>
      <c r="D167" s="59"/>
    </row>
    <row r="168" ht="12.75" customHeight="1">
      <c r="B168" s="59"/>
      <c r="C168" s="59"/>
      <c r="D168" s="59"/>
    </row>
    <row r="169" ht="12.75" customHeight="1">
      <c r="B169" s="59"/>
      <c r="C169" s="59"/>
      <c r="D169" s="59"/>
    </row>
    <row r="170" ht="12.75" customHeight="1">
      <c r="B170" s="59"/>
      <c r="C170" s="59"/>
      <c r="D170" s="59"/>
    </row>
    <row r="171" ht="12.75" customHeight="1">
      <c r="B171" s="59"/>
      <c r="C171" s="59"/>
      <c r="D171" s="59"/>
    </row>
    <row r="172" ht="12.75" customHeight="1">
      <c r="B172" s="59"/>
      <c r="C172" s="59"/>
      <c r="D172" s="59"/>
    </row>
    <row r="173" ht="12.75" customHeight="1">
      <c r="B173" s="59"/>
      <c r="C173" s="59"/>
      <c r="D173" s="59"/>
    </row>
    <row r="174" ht="12.75" customHeight="1">
      <c r="B174" s="59"/>
      <c r="C174" s="59"/>
      <c r="D174" s="59"/>
    </row>
    <row r="175" ht="12.75" customHeight="1">
      <c r="B175" s="59"/>
      <c r="C175" s="59"/>
      <c r="D175" s="59"/>
    </row>
    <row r="176" ht="12.75" customHeight="1">
      <c r="B176" s="59"/>
      <c r="C176" s="59"/>
      <c r="D176" s="59"/>
    </row>
    <row r="177" ht="12.75" customHeight="1">
      <c r="B177" s="59"/>
      <c r="C177" s="59"/>
      <c r="D177" s="59"/>
    </row>
    <row r="178" ht="12.75" customHeight="1">
      <c r="B178" s="59"/>
      <c r="C178" s="59"/>
      <c r="D178" s="59"/>
    </row>
    <row r="179" ht="12.75" customHeight="1">
      <c r="B179" s="59"/>
      <c r="C179" s="59"/>
      <c r="D179" s="59"/>
    </row>
    <row r="180" ht="12.75" customHeight="1">
      <c r="B180" s="59"/>
      <c r="C180" s="59"/>
      <c r="D180" s="59"/>
    </row>
    <row r="181" ht="12.75" customHeight="1">
      <c r="B181" s="59"/>
      <c r="C181" s="59"/>
      <c r="D181" s="59"/>
    </row>
    <row r="182" ht="12.75" customHeight="1">
      <c r="B182" s="59"/>
      <c r="C182" s="59"/>
      <c r="D182" s="59"/>
    </row>
    <row r="183" ht="12.75" customHeight="1">
      <c r="B183" s="59"/>
      <c r="C183" s="59"/>
      <c r="D183" s="59"/>
    </row>
    <row r="184" ht="12.75" customHeight="1">
      <c r="B184" s="59"/>
      <c r="C184" s="59"/>
      <c r="D184" s="59"/>
    </row>
    <row r="185" ht="12.75" customHeight="1">
      <c r="B185" s="59"/>
      <c r="C185" s="59"/>
      <c r="D185" s="59"/>
    </row>
    <row r="186" ht="12.75" customHeight="1">
      <c r="B186" s="59"/>
      <c r="C186" s="59"/>
      <c r="D186" s="59"/>
    </row>
    <row r="187" ht="12.75" customHeight="1">
      <c r="B187" s="59"/>
      <c r="C187" s="59"/>
      <c r="D187" s="59"/>
    </row>
    <row r="188" ht="12.75" customHeight="1">
      <c r="B188" s="59"/>
      <c r="C188" s="59"/>
      <c r="D188" s="59"/>
    </row>
    <row r="189" ht="12.75" customHeight="1">
      <c r="B189" s="59"/>
      <c r="C189" s="59"/>
      <c r="D189" s="59"/>
    </row>
    <row r="190" ht="12.75" customHeight="1">
      <c r="B190" s="59"/>
      <c r="C190" s="59"/>
      <c r="D190" s="59"/>
    </row>
    <row r="191" ht="12.75" customHeight="1">
      <c r="B191" s="59"/>
      <c r="C191" s="59"/>
      <c r="D191" s="59"/>
    </row>
    <row r="192" ht="12.75" customHeight="1">
      <c r="B192" s="59"/>
      <c r="C192" s="59"/>
      <c r="D192" s="59"/>
    </row>
    <row r="193" ht="12.75" customHeight="1">
      <c r="B193" s="59"/>
      <c r="C193" s="59"/>
      <c r="D193" s="59"/>
    </row>
    <row r="194" ht="12.75" customHeight="1">
      <c r="B194" s="59"/>
      <c r="C194" s="59"/>
      <c r="D194" s="59"/>
    </row>
    <row r="195" ht="12.75" customHeight="1">
      <c r="B195" s="59"/>
      <c r="C195" s="59"/>
      <c r="D195" s="59"/>
    </row>
    <row r="196" ht="12.75" customHeight="1">
      <c r="B196" s="59"/>
      <c r="C196" s="59"/>
      <c r="D196" s="59"/>
    </row>
    <row r="197" ht="12.75" customHeight="1">
      <c r="B197" s="59"/>
      <c r="C197" s="59"/>
      <c r="D197" s="59"/>
    </row>
    <row r="198" ht="12.75" customHeight="1">
      <c r="B198" s="59"/>
      <c r="C198" s="59"/>
      <c r="D198" s="59"/>
    </row>
    <row r="199" ht="12.75" customHeight="1">
      <c r="B199" s="59"/>
      <c r="C199" s="59"/>
      <c r="D199" s="59"/>
    </row>
    <row r="200" ht="12.75" customHeight="1">
      <c r="B200" s="59"/>
      <c r="C200" s="59"/>
      <c r="D200" s="59"/>
    </row>
    <row r="201" ht="12.75" customHeight="1">
      <c r="B201" s="59"/>
      <c r="C201" s="59"/>
      <c r="D201" s="59"/>
    </row>
    <row r="202" ht="12.75" customHeight="1">
      <c r="B202" s="59"/>
      <c r="C202" s="59"/>
      <c r="D202" s="59"/>
    </row>
    <row r="203" ht="12.75" customHeight="1">
      <c r="B203" s="59"/>
      <c r="C203" s="59"/>
      <c r="D203" s="59"/>
    </row>
    <row r="204" ht="12.75" customHeight="1">
      <c r="B204" s="59"/>
      <c r="C204" s="59"/>
      <c r="D204" s="59"/>
    </row>
    <row r="205" ht="12.75" customHeight="1">
      <c r="B205" s="59"/>
      <c r="C205" s="59"/>
      <c r="D205" s="59"/>
    </row>
    <row r="206" ht="12.75" customHeight="1">
      <c r="B206" s="59"/>
      <c r="C206" s="59"/>
      <c r="D206" s="59"/>
    </row>
    <row r="207" ht="12.75" customHeight="1">
      <c r="B207" s="59"/>
      <c r="C207" s="59"/>
      <c r="D207" s="59"/>
    </row>
    <row r="208" ht="12.75" customHeight="1">
      <c r="B208" s="59"/>
      <c r="C208" s="59"/>
      <c r="D208" s="59"/>
    </row>
    <row r="209" ht="12.75" customHeight="1">
      <c r="B209" s="59"/>
      <c r="C209" s="59"/>
      <c r="D209" s="59"/>
    </row>
    <row r="210" ht="12.75" customHeight="1">
      <c r="B210" s="59"/>
      <c r="C210" s="59"/>
      <c r="D210" s="59"/>
    </row>
    <row r="211" ht="12.75" customHeight="1">
      <c r="B211" s="59"/>
      <c r="C211" s="59"/>
      <c r="D211" s="59"/>
    </row>
    <row r="212" ht="12.75" customHeight="1">
      <c r="B212" s="59"/>
      <c r="C212" s="59"/>
      <c r="D212" s="59"/>
    </row>
    <row r="213" ht="12.75" customHeight="1">
      <c r="B213" s="59"/>
      <c r="C213" s="59"/>
      <c r="D213" s="59"/>
    </row>
    <row r="214" ht="12.75" customHeight="1">
      <c r="B214" s="59"/>
      <c r="C214" s="59"/>
      <c r="D214" s="59"/>
    </row>
    <row r="215" ht="12.75" customHeight="1">
      <c r="B215" s="59"/>
      <c r="C215" s="59"/>
      <c r="D215" s="59"/>
    </row>
    <row r="216" ht="12.75" customHeight="1">
      <c r="B216" s="59"/>
      <c r="C216" s="59"/>
      <c r="D216" s="59"/>
    </row>
    <row r="217" ht="12.75" customHeight="1">
      <c r="B217" s="59"/>
      <c r="C217" s="59"/>
      <c r="D217" s="59"/>
    </row>
    <row r="218" ht="12.75" customHeight="1">
      <c r="B218" s="59"/>
      <c r="C218" s="59"/>
      <c r="D218" s="59"/>
    </row>
    <row r="219" ht="12.75" customHeight="1">
      <c r="B219" s="59"/>
      <c r="C219" s="59"/>
      <c r="D219" s="59"/>
    </row>
    <row r="220" ht="12.75" customHeight="1">
      <c r="B220" s="59"/>
      <c r="C220" s="59"/>
      <c r="D220" s="59"/>
    </row>
    <row r="221" ht="12.75" customHeight="1">
      <c r="B221" s="59"/>
      <c r="C221" s="59"/>
      <c r="D221" s="59"/>
    </row>
    <row r="222" ht="12.75" customHeight="1">
      <c r="B222" s="59"/>
      <c r="C222" s="59"/>
      <c r="D222" s="59"/>
    </row>
    <row r="223" ht="12.75" customHeight="1">
      <c r="B223" s="59"/>
      <c r="C223" s="59"/>
      <c r="D223" s="59"/>
    </row>
    <row r="224" ht="12.75" customHeight="1">
      <c r="B224" s="59"/>
      <c r="C224" s="59"/>
      <c r="D224" s="59"/>
    </row>
    <row r="225" ht="12.75" customHeight="1">
      <c r="B225" s="59"/>
      <c r="C225" s="59"/>
      <c r="D225" s="59"/>
    </row>
    <row r="226" ht="12.75" customHeight="1">
      <c r="B226" s="59"/>
      <c r="C226" s="59"/>
      <c r="D226" s="59"/>
    </row>
    <row r="227" ht="12.75" customHeight="1">
      <c r="B227" s="59"/>
      <c r="C227" s="59"/>
      <c r="D227" s="59"/>
    </row>
    <row r="228" ht="12.75" customHeight="1">
      <c r="B228" s="59"/>
      <c r="C228" s="59"/>
      <c r="D228" s="59"/>
    </row>
    <row r="229" ht="12.75" customHeight="1">
      <c r="B229" s="59"/>
      <c r="C229" s="59"/>
      <c r="D229" s="59"/>
    </row>
    <row r="230" ht="12.75" customHeight="1">
      <c r="B230" s="59"/>
      <c r="C230" s="59"/>
      <c r="D230" s="59"/>
    </row>
    <row r="231" ht="12.75" customHeight="1">
      <c r="B231" s="59"/>
      <c r="C231" s="59"/>
      <c r="D231" s="59"/>
    </row>
    <row r="232" ht="12.75" customHeight="1">
      <c r="B232" s="59"/>
      <c r="C232" s="59"/>
      <c r="D232" s="59"/>
    </row>
    <row r="233" ht="12.75" customHeight="1">
      <c r="B233" s="59"/>
      <c r="C233" s="59"/>
      <c r="D233" s="59"/>
    </row>
    <row r="234" ht="12.75" customHeight="1">
      <c r="B234" s="59"/>
      <c r="C234" s="59"/>
      <c r="D234" s="59"/>
    </row>
    <row r="235" ht="12.75" customHeight="1">
      <c r="B235" s="59"/>
      <c r="C235" s="59"/>
      <c r="D235" s="59"/>
    </row>
    <row r="236" ht="12.75" customHeight="1">
      <c r="B236" s="59"/>
      <c r="C236" s="59"/>
      <c r="D236" s="59"/>
    </row>
    <row r="237" ht="12.75" customHeight="1">
      <c r="B237" s="59"/>
      <c r="C237" s="59"/>
      <c r="D237" s="59"/>
    </row>
    <row r="238" ht="12.75" customHeight="1">
      <c r="B238" s="59"/>
      <c r="C238" s="59"/>
      <c r="D238" s="59"/>
    </row>
    <row r="239" ht="12.75" customHeight="1">
      <c r="B239" s="59"/>
      <c r="C239" s="59"/>
      <c r="D239" s="59"/>
    </row>
    <row r="240" ht="12.75" customHeight="1">
      <c r="B240" s="59"/>
      <c r="C240" s="59"/>
      <c r="D240" s="59"/>
    </row>
    <row r="241" ht="12.75" customHeight="1">
      <c r="B241" s="59"/>
      <c r="C241" s="59"/>
      <c r="D241" s="59"/>
    </row>
    <row r="242" ht="12.75" customHeight="1">
      <c r="B242" s="59"/>
      <c r="C242" s="59"/>
      <c r="D242" s="59"/>
    </row>
    <row r="243" ht="12.75" customHeight="1">
      <c r="B243" s="59"/>
      <c r="C243" s="59"/>
      <c r="D243" s="59"/>
    </row>
    <row r="244" ht="12.75" customHeight="1">
      <c r="B244" s="59"/>
      <c r="C244" s="59"/>
      <c r="D244" s="59"/>
    </row>
    <row r="245" ht="12.75" customHeight="1">
      <c r="B245" s="59"/>
      <c r="C245" s="59"/>
      <c r="D245" s="59"/>
    </row>
    <row r="246" ht="12.75" customHeight="1">
      <c r="B246" s="59"/>
      <c r="C246" s="59"/>
      <c r="D246" s="59"/>
    </row>
    <row r="247" ht="12.75" customHeight="1">
      <c r="B247" s="59"/>
      <c r="C247" s="59"/>
      <c r="D247" s="59"/>
    </row>
    <row r="248" ht="12.75" customHeight="1">
      <c r="B248" s="59"/>
      <c r="C248" s="59"/>
      <c r="D248" s="59"/>
    </row>
    <row r="249" ht="12.75" customHeight="1">
      <c r="B249" s="59"/>
      <c r="C249" s="59"/>
      <c r="D249" s="59"/>
    </row>
    <row r="250" ht="12.75" customHeight="1">
      <c r="B250" s="59"/>
      <c r="C250" s="59"/>
      <c r="D250" s="59"/>
    </row>
    <row r="251" ht="12.75" customHeight="1">
      <c r="B251" s="59"/>
      <c r="C251" s="59"/>
      <c r="D251" s="59"/>
    </row>
    <row r="252" ht="12.75" customHeight="1">
      <c r="B252" s="59"/>
      <c r="C252" s="59"/>
      <c r="D252" s="59"/>
    </row>
    <row r="253" ht="12.75" customHeight="1">
      <c r="B253" s="59"/>
      <c r="C253" s="59"/>
      <c r="D253" s="59"/>
    </row>
    <row r="254" ht="12.75" customHeight="1">
      <c r="B254" s="59"/>
      <c r="C254" s="59"/>
      <c r="D254" s="59"/>
    </row>
    <row r="255" ht="12.75" customHeight="1">
      <c r="B255" s="59"/>
      <c r="C255" s="59"/>
      <c r="D255" s="59"/>
    </row>
    <row r="256" ht="12.75" customHeight="1">
      <c r="B256" s="59"/>
      <c r="C256" s="59"/>
      <c r="D256" s="59"/>
    </row>
    <row r="257" ht="12.75" customHeight="1">
      <c r="B257" s="59"/>
      <c r="C257" s="59"/>
      <c r="D257" s="59"/>
    </row>
    <row r="258" ht="12.75" customHeight="1">
      <c r="B258" s="59"/>
      <c r="C258" s="59"/>
      <c r="D258" s="59"/>
    </row>
    <row r="259" ht="12.75" customHeight="1">
      <c r="B259" s="59"/>
      <c r="C259" s="59"/>
      <c r="D259" s="59"/>
    </row>
    <row r="260" ht="12.75" customHeight="1">
      <c r="B260" s="59"/>
      <c r="C260" s="59"/>
      <c r="D260" s="59"/>
    </row>
    <row r="261" ht="12.75" customHeight="1">
      <c r="B261" s="59"/>
      <c r="C261" s="59"/>
      <c r="D261" s="59"/>
    </row>
    <row r="262" ht="12.75" customHeight="1">
      <c r="B262" s="59"/>
      <c r="C262" s="59"/>
      <c r="D262" s="59"/>
    </row>
    <row r="263" ht="12.75" customHeight="1">
      <c r="B263" s="59"/>
      <c r="C263" s="59"/>
      <c r="D263" s="59"/>
    </row>
    <row r="264" ht="12.75" customHeight="1">
      <c r="B264" s="59"/>
      <c r="C264" s="59"/>
      <c r="D264" s="59"/>
    </row>
    <row r="265" ht="12.75" customHeight="1">
      <c r="B265" s="59"/>
      <c r="C265" s="59"/>
      <c r="D265" s="59"/>
    </row>
    <row r="266" ht="12.75" customHeight="1">
      <c r="B266" s="59"/>
      <c r="C266" s="59"/>
      <c r="D266" s="59"/>
    </row>
    <row r="267" ht="12.75" customHeight="1">
      <c r="B267" s="59"/>
      <c r="C267" s="59"/>
      <c r="D267" s="59"/>
    </row>
    <row r="268" ht="12.75" customHeight="1">
      <c r="B268" s="59"/>
      <c r="C268" s="59"/>
      <c r="D268" s="59"/>
    </row>
    <row r="269" ht="12.75" customHeight="1">
      <c r="B269" s="59"/>
      <c r="C269" s="59"/>
      <c r="D269" s="59"/>
    </row>
    <row r="270" ht="12.75" customHeight="1">
      <c r="B270" s="59"/>
      <c r="C270" s="59"/>
      <c r="D270" s="59"/>
    </row>
    <row r="271" ht="12.75" customHeight="1">
      <c r="B271" s="59"/>
      <c r="C271" s="59"/>
      <c r="D271" s="59"/>
    </row>
    <row r="272" ht="12.75" customHeight="1">
      <c r="B272" s="59"/>
      <c r="C272" s="59"/>
      <c r="D272" s="59"/>
    </row>
    <row r="273" ht="12.75" customHeight="1">
      <c r="B273" s="59"/>
      <c r="C273" s="59"/>
      <c r="D273" s="59"/>
    </row>
    <row r="274" ht="12.75" customHeight="1">
      <c r="B274" s="59"/>
      <c r="C274" s="59"/>
      <c r="D274" s="59"/>
    </row>
    <row r="275" ht="12.75" customHeight="1">
      <c r="B275" s="59"/>
      <c r="C275" s="59"/>
      <c r="D275" s="59"/>
    </row>
    <row r="276" ht="12.75" customHeight="1">
      <c r="B276" s="59"/>
      <c r="C276" s="59"/>
      <c r="D276" s="59"/>
    </row>
    <row r="277" ht="12.75" customHeight="1">
      <c r="B277" s="59"/>
      <c r="C277" s="59"/>
      <c r="D277" s="59"/>
    </row>
    <row r="278" ht="12.75" customHeight="1">
      <c r="B278" s="59"/>
      <c r="C278" s="59"/>
      <c r="D278" s="59"/>
    </row>
    <row r="279" ht="12.75" customHeight="1">
      <c r="B279" s="59"/>
      <c r="C279" s="59"/>
      <c r="D279" s="59"/>
    </row>
    <row r="280" ht="12.75" customHeight="1">
      <c r="B280" s="59"/>
      <c r="C280" s="59"/>
      <c r="D280" s="59"/>
    </row>
    <row r="281" ht="12.75" customHeight="1">
      <c r="B281" s="59"/>
      <c r="C281" s="59"/>
      <c r="D281" s="59"/>
    </row>
    <row r="282" ht="12.75" customHeight="1">
      <c r="B282" s="59"/>
      <c r="C282" s="59"/>
      <c r="D282" s="59"/>
    </row>
    <row r="283" ht="12.75" customHeight="1">
      <c r="B283" s="59"/>
      <c r="C283" s="59"/>
      <c r="D283" s="59"/>
    </row>
    <row r="284" ht="12.75" customHeight="1">
      <c r="B284" s="59"/>
      <c r="C284" s="59"/>
      <c r="D284" s="59"/>
    </row>
    <row r="285" ht="12.75" customHeight="1">
      <c r="B285" s="59"/>
      <c r="C285" s="59"/>
      <c r="D285" s="59"/>
    </row>
    <row r="286" ht="12.75" customHeight="1">
      <c r="B286" s="59"/>
      <c r="C286" s="59"/>
      <c r="D286" s="59"/>
    </row>
    <row r="287" ht="12.75" customHeight="1">
      <c r="B287" s="59"/>
      <c r="C287" s="59"/>
      <c r="D287" s="59"/>
    </row>
    <row r="288" ht="12.75" customHeight="1">
      <c r="B288" s="59"/>
      <c r="C288" s="59"/>
      <c r="D288" s="59"/>
    </row>
    <row r="289" ht="12.75" customHeight="1">
      <c r="B289" s="59"/>
      <c r="C289" s="59"/>
      <c r="D289" s="59"/>
    </row>
    <row r="290" ht="12.75" customHeight="1">
      <c r="B290" s="59"/>
      <c r="C290" s="59"/>
      <c r="D290" s="59"/>
    </row>
    <row r="291" ht="12.75" customHeight="1">
      <c r="B291" s="59"/>
      <c r="C291" s="59"/>
      <c r="D291" s="59"/>
    </row>
    <row r="292" ht="12.75" customHeight="1">
      <c r="B292" s="59"/>
      <c r="C292" s="59"/>
      <c r="D292" s="59"/>
    </row>
    <row r="293" ht="12.75" customHeight="1">
      <c r="B293" s="59"/>
      <c r="C293" s="59"/>
      <c r="D293" s="59"/>
    </row>
    <row r="294" ht="12.75" customHeight="1">
      <c r="B294" s="59"/>
      <c r="C294" s="59"/>
      <c r="D294" s="59"/>
    </row>
    <row r="295" ht="12.75" customHeight="1">
      <c r="B295" s="59"/>
      <c r="C295" s="59"/>
      <c r="D295" s="59"/>
    </row>
    <row r="296" ht="12.75" customHeight="1">
      <c r="B296" s="59"/>
      <c r="C296" s="59"/>
      <c r="D296" s="59"/>
    </row>
    <row r="297" ht="12.75" customHeight="1">
      <c r="B297" s="59"/>
      <c r="C297" s="59"/>
      <c r="D297" s="59"/>
    </row>
    <row r="298" ht="12.75" customHeight="1">
      <c r="B298" s="59"/>
      <c r="C298" s="59"/>
      <c r="D298" s="59"/>
    </row>
    <row r="299" ht="12.75" customHeight="1">
      <c r="B299" s="59"/>
      <c r="C299" s="59"/>
      <c r="D299" s="59"/>
    </row>
    <row r="300" ht="12.75" customHeight="1">
      <c r="B300" s="59"/>
      <c r="C300" s="59"/>
      <c r="D300" s="59"/>
    </row>
    <row r="301" ht="12.75" customHeight="1">
      <c r="B301" s="59"/>
      <c r="C301" s="59"/>
      <c r="D301" s="59"/>
    </row>
    <row r="302" ht="12.75" customHeight="1">
      <c r="B302" s="59"/>
      <c r="C302" s="59"/>
      <c r="D302" s="59"/>
    </row>
    <row r="303" ht="12.75" customHeight="1">
      <c r="B303" s="59"/>
      <c r="C303" s="59"/>
      <c r="D303" s="59"/>
    </row>
    <row r="304" ht="12.75" customHeight="1">
      <c r="B304" s="59"/>
      <c r="C304" s="59"/>
      <c r="D304" s="59"/>
    </row>
    <row r="305" ht="12.75" customHeight="1">
      <c r="B305" s="59"/>
      <c r="C305" s="59"/>
      <c r="D305" s="59"/>
    </row>
    <row r="306" ht="12.75" customHeight="1">
      <c r="B306" s="59"/>
      <c r="C306" s="59"/>
      <c r="D306" s="59"/>
    </row>
    <row r="307" ht="12.75" customHeight="1">
      <c r="B307" s="59"/>
      <c r="C307" s="59"/>
      <c r="D307" s="59"/>
    </row>
    <row r="308" ht="12.75" customHeight="1">
      <c r="B308" s="59"/>
      <c r="C308" s="59"/>
      <c r="D308" s="59"/>
    </row>
    <row r="309" ht="12.75" customHeight="1">
      <c r="B309" s="59"/>
      <c r="C309" s="59"/>
      <c r="D309" s="59"/>
    </row>
    <row r="310" ht="12.75" customHeight="1">
      <c r="B310" s="59"/>
      <c r="C310" s="59"/>
      <c r="D310" s="59"/>
    </row>
    <row r="311" ht="12.75" customHeight="1">
      <c r="B311" s="59"/>
      <c r="C311" s="59"/>
      <c r="D311" s="59"/>
    </row>
    <row r="312" ht="12.75" customHeight="1">
      <c r="B312" s="59"/>
      <c r="C312" s="59"/>
      <c r="D312" s="59"/>
    </row>
    <row r="313" ht="12.75" customHeight="1">
      <c r="B313" s="59"/>
      <c r="C313" s="59"/>
      <c r="D313" s="59"/>
    </row>
    <row r="314" ht="12.75" customHeight="1">
      <c r="B314" s="59"/>
      <c r="C314" s="59"/>
      <c r="D314" s="59"/>
    </row>
    <row r="315" ht="12.75" customHeight="1">
      <c r="B315" s="59"/>
      <c r="C315" s="59"/>
      <c r="D315" s="59"/>
    </row>
    <row r="316" ht="12.75" customHeight="1">
      <c r="B316" s="59"/>
      <c r="C316" s="59"/>
      <c r="D316" s="59"/>
    </row>
    <row r="317" ht="12.75" customHeight="1">
      <c r="B317" s="59"/>
      <c r="C317" s="59"/>
      <c r="D317" s="59"/>
    </row>
    <row r="318" ht="12.75" customHeight="1">
      <c r="B318" s="59"/>
      <c r="C318" s="59"/>
      <c r="D318" s="59"/>
    </row>
    <row r="319" ht="12.75" customHeight="1">
      <c r="B319" s="59"/>
      <c r="C319" s="59"/>
      <c r="D319" s="59"/>
    </row>
    <row r="320" ht="12.75" customHeight="1">
      <c r="B320" s="59"/>
      <c r="C320" s="59"/>
      <c r="D320" s="59"/>
    </row>
    <row r="321" ht="12.75" customHeight="1">
      <c r="B321" s="59"/>
      <c r="C321" s="59"/>
      <c r="D321" s="59"/>
    </row>
    <row r="322" ht="12.75" customHeight="1">
      <c r="B322" s="59"/>
      <c r="C322" s="59"/>
      <c r="D322" s="59"/>
    </row>
    <row r="323" ht="12.75" customHeight="1">
      <c r="B323" s="59"/>
      <c r="C323" s="59"/>
      <c r="D323" s="59"/>
    </row>
    <row r="324" ht="12.75" customHeight="1">
      <c r="B324" s="59"/>
      <c r="C324" s="59"/>
      <c r="D324" s="59"/>
    </row>
    <row r="325" ht="12.75" customHeight="1">
      <c r="B325" s="59"/>
      <c r="C325" s="59"/>
      <c r="D325" s="59"/>
    </row>
    <row r="326" ht="12.75" customHeight="1">
      <c r="B326" s="59"/>
      <c r="C326" s="59"/>
      <c r="D326" s="59"/>
    </row>
    <row r="327" ht="12.75" customHeight="1">
      <c r="B327" s="59"/>
      <c r="C327" s="59"/>
      <c r="D327" s="59"/>
    </row>
    <row r="328" ht="12.75" customHeight="1">
      <c r="B328" s="59"/>
      <c r="C328" s="59"/>
      <c r="D328" s="59"/>
    </row>
    <row r="329" ht="12.75" customHeight="1">
      <c r="B329" s="59"/>
      <c r="C329" s="59"/>
      <c r="D329" s="59"/>
    </row>
    <row r="330" ht="12.75" customHeight="1">
      <c r="B330" s="59"/>
      <c r="C330" s="59"/>
      <c r="D330" s="59"/>
    </row>
    <row r="331" ht="12.75" customHeight="1">
      <c r="B331" s="59"/>
      <c r="C331" s="59"/>
      <c r="D331" s="59"/>
    </row>
    <row r="332" ht="12.75" customHeight="1">
      <c r="B332" s="59"/>
      <c r="C332" s="59"/>
      <c r="D332" s="59"/>
    </row>
    <row r="333" ht="12.75" customHeight="1">
      <c r="B333" s="59"/>
      <c r="C333" s="59"/>
      <c r="D333" s="59"/>
    </row>
    <row r="334" ht="12.75" customHeight="1">
      <c r="B334" s="59"/>
      <c r="C334" s="59"/>
      <c r="D334" s="59"/>
    </row>
    <row r="335" ht="12.75" customHeight="1">
      <c r="B335" s="59"/>
      <c r="C335" s="59"/>
      <c r="D335" s="59"/>
    </row>
    <row r="336" ht="12.75" customHeight="1">
      <c r="B336" s="59"/>
      <c r="C336" s="59"/>
      <c r="D336" s="59"/>
    </row>
    <row r="337" ht="12.75" customHeight="1">
      <c r="B337" s="59"/>
      <c r="C337" s="59"/>
      <c r="D337" s="59"/>
    </row>
    <row r="338" ht="12.75" customHeight="1">
      <c r="B338" s="59"/>
      <c r="C338" s="59"/>
      <c r="D338" s="59"/>
    </row>
    <row r="339" ht="12.75" customHeight="1">
      <c r="B339" s="59"/>
      <c r="C339" s="59"/>
      <c r="D339" s="59"/>
    </row>
    <row r="340" ht="12.75" customHeight="1">
      <c r="B340" s="59"/>
      <c r="C340" s="59"/>
      <c r="D340" s="59"/>
    </row>
    <row r="341" ht="12.75" customHeight="1">
      <c r="B341" s="59"/>
      <c r="C341" s="59"/>
      <c r="D341" s="59"/>
    </row>
    <row r="342" ht="12.75" customHeight="1">
      <c r="B342" s="59"/>
      <c r="C342" s="59"/>
      <c r="D342" s="59"/>
    </row>
    <row r="343" ht="12.75" customHeight="1">
      <c r="B343" s="59"/>
      <c r="C343" s="59"/>
      <c r="D343" s="59"/>
    </row>
    <row r="344" ht="12.75" customHeight="1">
      <c r="B344" s="59"/>
      <c r="C344" s="59"/>
      <c r="D344" s="59"/>
    </row>
    <row r="345" ht="12.75" customHeight="1">
      <c r="B345" s="59"/>
      <c r="C345" s="59"/>
      <c r="D345" s="59"/>
    </row>
    <row r="346" ht="12.75" customHeight="1">
      <c r="B346" s="59"/>
      <c r="C346" s="59"/>
      <c r="D346" s="59"/>
    </row>
    <row r="347" ht="12.75" customHeight="1">
      <c r="B347" s="59"/>
      <c r="C347" s="59"/>
      <c r="D347" s="59"/>
    </row>
    <row r="348" ht="12.75" customHeight="1">
      <c r="B348" s="59"/>
      <c r="C348" s="59"/>
      <c r="D348" s="59"/>
    </row>
    <row r="349" ht="12.75" customHeight="1">
      <c r="B349" s="59"/>
      <c r="C349" s="59"/>
      <c r="D349" s="59"/>
    </row>
    <row r="350" ht="12.75" customHeight="1">
      <c r="B350" s="59"/>
      <c r="C350" s="59"/>
      <c r="D350" s="59"/>
    </row>
    <row r="351" ht="12.75" customHeight="1">
      <c r="B351" s="59"/>
      <c r="C351" s="59"/>
      <c r="D351" s="59"/>
    </row>
    <row r="352" ht="12.75" customHeight="1">
      <c r="B352" s="59"/>
      <c r="C352" s="59"/>
      <c r="D352" s="59"/>
    </row>
    <row r="353" ht="12.75" customHeight="1">
      <c r="B353" s="59"/>
      <c r="C353" s="59"/>
      <c r="D353" s="59"/>
    </row>
    <row r="354" ht="12.75" customHeight="1">
      <c r="B354" s="59"/>
      <c r="C354" s="59"/>
      <c r="D354" s="59"/>
    </row>
    <row r="355" ht="12.75" customHeight="1">
      <c r="B355" s="59"/>
      <c r="C355" s="59"/>
      <c r="D355" s="59"/>
    </row>
    <row r="356" ht="12.75" customHeight="1">
      <c r="B356" s="59"/>
      <c r="C356" s="59"/>
      <c r="D356" s="59"/>
    </row>
    <row r="357" ht="12.75" customHeight="1">
      <c r="B357" s="59"/>
      <c r="C357" s="59"/>
      <c r="D357" s="59"/>
    </row>
    <row r="358" ht="12.75" customHeight="1">
      <c r="B358" s="59"/>
      <c r="C358" s="59"/>
      <c r="D358" s="59"/>
    </row>
    <row r="359" ht="12.75" customHeight="1">
      <c r="B359" s="59"/>
      <c r="C359" s="59"/>
      <c r="D359" s="59"/>
    </row>
    <row r="360" ht="12.75" customHeight="1">
      <c r="B360" s="59"/>
      <c r="C360" s="59"/>
      <c r="D360" s="59"/>
    </row>
    <row r="361" ht="12.75" customHeight="1">
      <c r="B361" s="59"/>
      <c r="C361" s="59"/>
      <c r="D361" s="59"/>
    </row>
    <row r="362" ht="12.75" customHeight="1">
      <c r="B362" s="59"/>
      <c r="C362" s="59"/>
      <c r="D362" s="59"/>
    </row>
    <row r="363" ht="12.75" customHeight="1">
      <c r="B363" s="59"/>
      <c r="C363" s="59"/>
      <c r="D363" s="59"/>
    </row>
    <row r="364" ht="12.75" customHeight="1">
      <c r="B364" s="59"/>
      <c r="C364" s="59"/>
      <c r="D364" s="59"/>
    </row>
    <row r="365" ht="12.75" customHeight="1">
      <c r="B365" s="59"/>
      <c r="C365" s="59"/>
      <c r="D365" s="59"/>
    </row>
    <row r="366" ht="12.75" customHeight="1">
      <c r="B366" s="59"/>
      <c r="C366" s="59"/>
      <c r="D366" s="59"/>
    </row>
    <row r="367" ht="12.75" customHeight="1">
      <c r="B367" s="59"/>
      <c r="C367" s="59"/>
      <c r="D367" s="59"/>
    </row>
    <row r="368" ht="12.75" customHeight="1">
      <c r="B368" s="59"/>
      <c r="C368" s="59"/>
      <c r="D368" s="59"/>
    </row>
    <row r="369" ht="12.75" customHeight="1">
      <c r="B369" s="59"/>
      <c r="C369" s="59"/>
      <c r="D369" s="59"/>
    </row>
    <row r="370" ht="12.75" customHeight="1">
      <c r="B370" s="59"/>
      <c r="C370" s="59"/>
      <c r="D370" s="59"/>
    </row>
    <row r="371" ht="12.75" customHeight="1">
      <c r="B371" s="59"/>
      <c r="C371" s="59"/>
      <c r="D371" s="59"/>
    </row>
    <row r="372" ht="12.75" customHeight="1">
      <c r="B372" s="59"/>
      <c r="C372" s="59"/>
      <c r="D372" s="59"/>
    </row>
    <row r="373" ht="12.75" customHeight="1">
      <c r="B373" s="59"/>
      <c r="C373" s="59"/>
      <c r="D373" s="59"/>
    </row>
    <row r="374" ht="12.75" customHeight="1">
      <c r="B374" s="59"/>
      <c r="C374" s="59"/>
      <c r="D374" s="59"/>
    </row>
    <row r="375" ht="12.75" customHeight="1">
      <c r="B375" s="59"/>
      <c r="C375" s="59"/>
      <c r="D375" s="59"/>
    </row>
    <row r="376" ht="12.75" customHeight="1">
      <c r="B376" s="59"/>
      <c r="C376" s="59"/>
      <c r="D376" s="59"/>
    </row>
    <row r="377" ht="12.75" customHeight="1">
      <c r="B377" s="59"/>
      <c r="C377" s="59"/>
      <c r="D377" s="59"/>
    </row>
    <row r="378" ht="12.75" customHeight="1">
      <c r="B378" s="59"/>
      <c r="C378" s="59"/>
      <c r="D378" s="59"/>
    </row>
    <row r="379" ht="12.75" customHeight="1">
      <c r="B379" s="59"/>
      <c r="C379" s="59"/>
      <c r="D379" s="59"/>
    </row>
    <row r="380" ht="12.75" customHeight="1">
      <c r="B380" s="59"/>
      <c r="C380" s="59"/>
      <c r="D380" s="59"/>
    </row>
    <row r="381" ht="12.75" customHeight="1">
      <c r="B381" s="59"/>
      <c r="C381" s="59"/>
      <c r="D381" s="59"/>
    </row>
    <row r="382" ht="12.75" customHeight="1">
      <c r="B382" s="59"/>
      <c r="C382" s="59"/>
      <c r="D382" s="59"/>
    </row>
    <row r="383" ht="12.75" customHeight="1">
      <c r="B383" s="59"/>
      <c r="C383" s="59"/>
      <c r="D383" s="59"/>
    </row>
    <row r="384" ht="12.75" customHeight="1">
      <c r="B384" s="59"/>
      <c r="C384" s="59"/>
      <c r="D384" s="59"/>
    </row>
    <row r="385" ht="12.75" customHeight="1">
      <c r="B385" s="59"/>
      <c r="C385" s="59"/>
      <c r="D385" s="59"/>
    </row>
    <row r="386" ht="12.75" customHeight="1">
      <c r="B386" s="59"/>
      <c r="C386" s="59"/>
      <c r="D386" s="59"/>
    </row>
    <row r="387" ht="12.75" customHeight="1">
      <c r="B387" s="59"/>
      <c r="C387" s="59"/>
      <c r="D387" s="59"/>
    </row>
    <row r="388" ht="12.75" customHeight="1">
      <c r="B388" s="59"/>
      <c r="C388" s="59"/>
      <c r="D388" s="59"/>
    </row>
    <row r="389" ht="12.75" customHeight="1">
      <c r="B389" s="59"/>
      <c r="C389" s="59"/>
      <c r="D389" s="59"/>
    </row>
    <row r="390" ht="12.75" customHeight="1">
      <c r="B390" s="59"/>
      <c r="C390" s="59"/>
      <c r="D390" s="59"/>
    </row>
    <row r="391" ht="12.75" customHeight="1">
      <c r="B391" s="59"/>
      <c r="C391" s="59"/>
      <c r="D391" s="59"/>
    </row>
    <row r="392" ht="12.75" customHeight="1">
      <c r="B392" s="59"/>
      <c r="C392" s="59"/>
      <c r="D392" s="59"/>
    </row>
    <row r="393" ht="12.75" customHeight="1">
      <c r="B393" s="59"/>
      <c r="C393" s="59"/>
      <c r="D393" s="59"/>
    </row>
    <row r="394" ht="12.75" customHeight="1">
      <c r="B394" s="59"/>
      <c r="C394" s="59"/>
      <c r="D394" s="59"/>
    </row>
    <row r="395" ht="12.75" customHeight="1">
      <c r="B395" s="59"/>
      <c r="C395" s="59"/>
      <c r="D395" s="59"/>
    </row>
    <row r="396" ht="12.75" customHeight="1">
      <c r="B396" s="59"/>
      <c r="C396" s="59"/>
      <c r="D396" s="59"/>
    </row>
    <row r="397" ht="12.75" customHeight="1">
      <c r="B397" s="59"/>
      <c r="C397" s="59"/>
      <c r="D397" s="59"/>
    </row>
    <row r="398" ht="12.75" customHeight="1">
      <c r="B398" s="59"/>
      <c r="C398" s="59"/>
      <c r="D398" s="59"/>
    </row>
    <row r="399" ht="12.75" customHeight="1">
      <c r="B399" s="59"/>
      <c r="C399" s="59"/>
      <c r="D399" s="59"/>
    </row>
    <row r="400" ht="12.75" customHeight="1">
      <c r="B400" s="59"/>
      <c r="C400" s="59"/>
      <c r="D400" s="59"/>
    </row>
    <row r="401" ht="12.75" customHeight="1">
      <c r="B401" s="59"/>
      <c r="C401" s="59"/>
      <c r="D401" s="59"/>
    </row>
    <row r="402" ht="12.75" customHeight="1">
      <c r="B402" s="59"/>
      <c r="C402" s="59"/>
      <c r="D402" s="59"/>
    </row>
    <row r="403" ht="12.75" customHeight="1">
      <c r="B403" s="59"/>
      <c r="C403" s="59"/>
      <c r="D403" s="59"/>
    </row>
    <row r="404" ht="12.75" customHeight="1">
      <c r="B404" s="59"/>
      <c r="C404" s="59"/>
      <c r="D404" s="59"/>
    </row>
    <row r="405" ht="12.75" customHeight="1">
      <c r="B405" s="59"/>
      <c r="C405" s="59"/>
      <c r="D405" s="59"/>
    </row>
    <row r="406" ht="12.75" customHeight="1">
      <c r="B406" s="59"/>
      <c r="C406" s="59"/>
      <c r="D406" s="59"/>
    </row>
    <row r="407" ht="12.75" customHeight="1">
      <c r="B407" s="59"/>
      <c r="C407" s="59"/>
      <c r="D407" s="59"/>
    </row>
    <row r="408" ht="12.75" customHeight="1">
      <c r="B408" s="59"/>
      <c r="C408" s="59"/>
      <c r="D408" s="59"/>
    </row>
    <row r="409" ht="12.75" customHeight="1">
      <c r="B409" s="59"/>
      <c r="C409" s="59"/>
      <c r="D409" s="59"/>
    </row>
    <row r="410" ht="12.75" customHeight="1">
      <c r="B410" s="59"/>
      <c r="C410" s="59"/>
      <c r="D410" s="59"/>
    </row>
    <row r="411" ht="12.75" customHeight="1">
      <c r="B411" s="59"/>
      <c r="C411" s="59"/>
      <c r="D411" s="59"/>
    </row>
    <row r="412" ht="12.75" customHeight="1">
      <c r="B412" s="59"/>
      <c r="C412" s="59"/>
      <c r="D412" s="59"/>
    </row>
    <row r="413" ht="12.75" customHeight="1">
      <c r="B413" s="59"/>
      <c r="C413" s="59"/>
      <c r="D413" s="59"/>
    </row>
    <row r="414" ht="12.75" customHeight="1">
      <c r="B414" s="59"/>
      <c r="C414" s="59"/>
      <c r="D414" s="59"/>
    </row>
    <row r="415" ht="12.75" customHeight="1">
      <c r="B415" s="59"/>
      <c r="C415" s="59"/>
      <c r="D415" s="59"/>
    </row>
    <row r="416" ht="12.75" customHeight="1">
      <c r="B416" s="59"/>
      <c r="C416" s="59"/>
      <c r="D416" s="59"/>
    </row>
    <row r="417" ht="12.75" customHeight="1">
      <c r="B417" s="59"/>
      <c r="C417" s="59"/>
      <c r="D417" s="59"/>
    </row>
    <row r="418" ht="12.75" customHeight="1">
      <c r="B418" s="59"/>
      <c r="C418" s="59"/>
      <c r="D418" s="59"/>
    </row>
    <row r="419" ht="12.75" customHeight="1">
      <c r="B419" s="59"/>
      <c r="C419" s="59"/>
      <c r="D419" s="59"/>
    </row>
    <row r="420" ht="12.75" customHeight="1">
      <c r="B420" s="59"/>
      <c r="C420" s="59"/>
      <c r="D420" s="59"/>
    </row>
    <row r="421" ht="12.75" customHeight="1">
      <c r="B421" s="59"/>
      <c r="C421" s="59"/>
      <c r="D421" s="59"/>
    </row>
    <row r="422" ht="12.75" customHeight="1">
      <c r="B422" s="59"/>
      <c r="C422" s="59"/>
      <c r="D422" s="59"/>
    </row>
    <row r="423" ht="12.75" customHeight="1">
      <c r="B423" s="59"/>
      <c r="C423" s="59"/>
      <c r="D423" s="59"/>
    </row>
    <row r="424" ht="12.75" customHeight="1">
      <c r="B424" s="59"/>
      <c r="C424" s="59"/>
      <c r="D424" s="59"/>
    </row>
    <row r="425" ht="12.75" customHeight="1">
      <c r="B425" s="59"/>
      <c r="C425" s="59"/>
      <c r="D425" s="59"/>
    </row>
    <row r="426" ht="12.75" customHeight="1">
      <c r="B426" s="59"/>
      <c r="C426" s="59"/>
      <c r="D426" s="59"/>
    </row>
    <row r="427" ht="12.75" customHeight="1">
      <c r="B427" s="59"/>
      <c r="C427" s="59"/>
      <c r="D427" s="59"/>
    </row>
    <row r="428" ht="12.75" customHeight="1">
      <c r="B428" s="59"/>
      <c r="C428" s="59"/>
      <c r="D428" s="59"/>
    </row>
    <row r="429" ht="12.75" customHeight="1">
      <c r="B429" s="59"/>
      <c r="C429" s="59"/>
      <c r="D429" s="59"/>
    </row>
    <row r="430" ht="12.75" customHeight="1">
      <c r="B430" s="59"/>
      <c r="C430" s="59"/>
      <c r="D430" s="59"/>
    </row>
    <row r="431" ht="12.75" customHeight="1">
      <c r="B431" s="59"/>
      <c r="C431" s="59"/>
      <c r="D431" s="59"/>
    </row>
    <row r="432" ht="12.75" customHeight="1">
      <c r="B432" s="59"/>
      <c r="C432" s="59"/>
      <c r="D432" s="59"/>
    </row>
    <row r="433" ht="12.75" customHeight="1">
      <c r="B433" s="59"/>
      <c r="C433" s="59"/>
      <c r="D433" s="59"/>
    </row>
    <row r="434" ht="12.75" customHeight="1">
      <c r="B434" s="59"/>
      <c r="C434" s="59"/>
      <c r="D434" s="59"/>
    </row>
    <row r="435" ht="12.75" customHeight="1">
      <c r="B435" s="59"/>
      <c r="C435" s="59"/>
      <c r="D435" s="59"/>
    </row>
    <row r="436" ht="12.75" customHeight="1">
      <c r="B436" s="59"/>
      <c r="C436" s="59"/>
      <c r="D436" s="59"/>
    </row>
    <row r="437" ht="12.75" customHeight="1">
      <c r="B437" s="59"/>
      <c r="C437" s="59"/>
      <c r="D437" s="59"/>
    </row>
    <row r="438" ht="12.75" customHeight="1">
      <c r="B438" s="59"/>
      <c r="C438" s="59"/>
      <c r="D438" s="59"/>
    </row>
    <row r="439" ht="12.75" customHeight="1">
      <c r="B439" s="59"/>
      <c r="C439" s="59"/>
      <c r="D439" s="59"/>
    </row>
    <row r="440" ht="12.75" customHeight="1">
      <c r="B440" s="59"/>
      <c r="C440" s="59"/>
      <c r="D440" s="59"/>
    </row>
    <row r="441" ht="12.75" customHeight="1">
      <c r="B441" s="59"/>
      <c r="C441" s="59"/>
      <c r="D441" s="59"/>
    </row>
    <row r="442" ht="12.75" customHeight="1">
      <c r="B442" s="59"/>
      <c r="C442" s="59"/>
      <c r="D442" s="59"/>
    </row>
    <row r="443" ht="12.75" customHeight="1">
      <c r="B443" s="59"/>
      <c r="C443" s="59"/>
      <c r="D443" s="59"/>
    </row>
    <row r="444" ht="12.75" customHeight="1">
      <c r="B444" s="59"/>
      <c r="C444" s="59"/>
      <c r="D444" s="59"/>
    </row>
    <row r="445" ht="12.75" customHeight="1">
      <c r="B445" s="59"/>
      <c r="C445" s="59"/>
      <c r="D445" s="59"/>
    </row>
    <row r="446" ht="12.75" customHeight="1">
      <c r="B446" s="59"/>
      <c r="C446" s="59"/>
      <c r="D446" s="59"/>
    </row>
    <row r="447" ht="12.75" customHeight="1">
      <c r="B447" s="59"/>
      <c r="C447" s="59"/>
      <c r="D447" s="59"/>
    </row>
    <row r="448" ht="12.75" customHeight="1">
      <c r="B448" s="59"/>
      <c r="C448" s="59"/>
      <c r="D448" s="59"/>
    </row>
    <row r="449" ht="12.75" customHeight="1">
      <c r="B449" s="59"/>
      <c r="C449" s="59"/>
      <c r="D449" s="59"/>
    </row>
    <row r="450" ht="12.75" customHeight="1">
      <c r="B450" s="59"/>
      <c r="C450" s="59"/>
      <c r="D450" s="59"/>
    </row>
    <row r="451" ht="12.75" customHeight="1">
      <c r="B451" s="59"/>
      <c r="C451" s="59"/>
      <c r="D451" s="59"/>
    </row>
    <row r="452" ht="12.75" customHeight="1">
      <c r="B452" s="59"/>
      <c r="C452" s="59"/>
      <c r="D452" s="59"/>
    </row>
    <row r="453" ht="12.75" customHeight="1">
      <c r="B453" s="59"/>
      <c r="C453" s="59"/>
      <c r="D453" s="59"/>
    </row>
    <row r="454" ht="12.75" customHeight="1">
      <c r="B454" s="59"/>
      <c r="C454" s="59"/>
      <c r="D454" s="59"/>
    </row>
    <row r="455" ht="12.75" customHeight="1">
      <c r="B455" s="59"/>
      <c r="C455" s="59"/>
      <c r="D455" s="59"/>
    </row>
    <row r="456" ht="12.75" customHeight="1">
      <c r="B456" s="59"/>
      <c r="C456" s="59"/>
      <c r="D456" s="59"/>
    </row>
    <row r="457" ht="12.75" customHeight="1">
      <c r="B457" s="59"/>
      <c r="C457" s="59"/>
      <c r="D457" s="59"/>
    </row>
    <row r="458" ht="12.75" customHeight="1">
      <c r="B458" s="59"/>
      <c r="C458" s="59"/>
      <c r="D458" s="59"/>
    </row>
    <row r="459" ht="12.75" customHeight="1">
      <c r="B459" s="59"/>
      <c r="C459" s="59"/>
      <c r="D459" s="59"/>
    </row>
    <row r="460" ht="12.75" customHeight="1">
      <c r="B460" s="59"/>
      <c r="C460" s="59"/>
      <c r="D460" s="59"/>
    </row>
    <row r="461" ht="12.75" customHeight="1">
      <c r="B461" s="59"/>
      <c r="C461" s="59"/>
      <c r="D461" s="59"/>
    </row>
    <row r="462" ht="12.75" customHeight="1">
      <c r="B462" s="59"/>
      <c r="C462" s="59"/>
      <c r="D462" s="59"/>
    </row>
    <row r="463" ht="12.75" customHeight="1">
      <c r="B463" s="59"/>
      <c r="C463" s="59"/>
      <c r="D463" s="59"/>
    </row>
    <row r="464" ht="12.75" customHeight="1">
      <c r="B464" s="59"/>
      <c r="C464" s="59"/>
      <c r="D464" s="59"/>
    </row>
    <row r="465" ht="12.75" customHeight="1">
      <c r="B465" s="59"/>
      <c r="C465" s="59"/>
      <c r="D465" s="59"/>
    </row>
    <row r="466" ht="12.75" customHeight="1">
      <c r="B466" s="59"/>
      <c r="C466" s="59"/>
      <c r="D466" s="59"/>
    </row>
    <row r="467" ht="12.75" customHeight="1">
      <c r="B467" s="59"/>
      <c r="C467" s="59"/>
      <c r="D467" s="59"/>
    </row>
    <row r="468" ht="12.75" customHeight="1">
      <c r="B468" s="59"/>
      <c r="C468" s="59"/>
      <c r="D468" s="59"/>
    </row>
    <row r="469" ht="12.75" customHeight="1">
      <c r="B469" s="59"/>
      <c r="C469" s="59"/>
      <c r="D469" s="59"/>
    </row>
    <row r="470" ht="12.75" customHeight="1">
      <c r="B470" s="59"/>
      <c r="C470" s="59"/>
      <c r="D470" s="59"/>
    </row>
    <row r="471" ht="12.75" customHeight="1">
      <c r="B471" s="59"/>
      <c r="C471" s="59"/>
      <c r="D471" s="59"/>
    </row>
    <row r="472" ht="12.75" customHeight="1">
      <c r="B472" s="59"/>
      <c r="C472" s="59"/>
      <c r="D472" s="59"/>
    </row>
    <row r="473" ht="12.75" customHeight="1">
      <c r="B473" s="59"/>
      <c r="C473" s="59"/>
      <c r="D473" s="59"/>
    </row>
    <row r="474" ht="12.75" customHeight="1">
      <c r="B474" s="59"/>
      <c r="C474" s="59"/>
      <c r="D474" s="59"/>
    </row>
    <row r="475" ht="12.75" customHeight="1">
      <c r="B475" s="59"/>
      <c r="C475" s="59"/>
      <c r="D475" s="59"/>
    </row>
    <row r="476" ht="12.75" customHeight="1">
      <c r="B476" s="59"/>
      <c r="C476" s="59"/>
      <c r="D476" s="59"/>
    </row>
    <row r="477" ht="12.75" customHeight="1">
      <c r="B477" s="59"/>
      <c r="C477" s="59"/>
      <c r="D477" s="59"/>
    </row>
    <row r="478" ht="12.75" customHeight="1">
      <c r="B478" s="59"/>
      <c r="C478" s="59"/>
      <c r="D478" s="59"/>
    </row>
    <row r="479" ht="12.75" customHeight="1">
      <c r="B479" s="59"/>
      <c r="C479" s="59"/>
      <c r="D479" s="59"/>
    </row>
    <row r="480" ht="12.75" customHeight="1">
      <c r="B480" s="59"/>
      <c r="C480" s="59"/>
      <c r="D480" s="59"/>
    </row>
    <row r="481" ht="12.75" customHeight="1">
      <c r="B481" s="59"/>
      <c r="C481" s="59"/>
      <c r="D481" s="59"/>
    </row>
    <row r="482" ht="12.75" customHeight="1">
      <c r="B482" s="59"/>
      <c r="C482" s="59"/>
      <c r="D482" s="59"/>
    </row>
    <row r="483" ht="12.75" customHeight="1">
      <c r="B483" s="59"/>
      <c r="C483" s="59"/>
      <c r="D483" s="59"/>
    </row>
    <row r="484" ht="12.75" customHeight="1">
      <c r="B484" s="59"/>
      <c r="C484" s="59"/>
      <c r="D484" s="59"/>
    </row>
    <row r="485" ht="12.75" customHeight="1">
      <c r="B485" s="59"/>
      <c r="C485" s="59"/>
      <c r="D485" s="59"/>
    </row>
    <row r="486" ht="12.75" customHeight="1">
      <c r="B486" s="59"/>
      <c r="C486" s="59"/>
      <c r="D486" s="59"/>
    </row>
    <row r="487" ht="12.75" customHeight="1">
      <c r="B487" s="59"/>
      <c r="C487" s="59"/>
      <c r="D487" s="59"/>
    </row>
    <row r="488" ht="12.75" customHeight="1">
      <c r="B488" s="59"/>
      <c r="C488" s="59"/>
      <c r="D488" s="59"/>
    </row>
    <row r="489" ht="12.75" customHeight="1">
      <c r="B489" s="59"/>
      <c r="C489" s="59"/>
      <c r="D489" s="59"/>
    </row>
    <row r="490" ht="12.75" customHeight="1">
      <c r="B490" s="59"/>
      <c r="C490" s="59"/>
      <c r="D490" s="59"/>
    </row>
    <row r="491" ht="12.75" customHeight="1">
      <c r="B491" s="59"/>
      <c r="C491" s="59"/>
      <c r="D491" s="59"/>
    </row>
    <row r="492" ht="12.75" customHeight="1">
      <c r="B492" s="59"/>
      <c r="C492" s="59"/>
      <c r="D492" s="59"/>
    </row>
    <row r="493" ht="12.75" customHeight="1">
      <c r="B493" s="59"/>
      <c r="C493" s="59"/>
      <c r="D493" s="59"/>
    </row>
    <row r="494" ht="12.75" customHeight="1">
      <c r="B494" s="59"/>
      <c r="C494" s="59"/>
      <c r="D494" s="59"/>
    </row>
    <row r="495" ht="12.75" customHeight="1">
      <c r="B495" s="59"/>
      <c r="C495" s="59"/>
      <c r="D495" s="59"/>
    </row>
    <row r="496" ht="12.75" customHeight="1">
      <c r="B496" s="59"/>
      <c r="C496" s="59"/>
      <c r="D496" s="59"/>
    </row>
    <row r="497" ht="12.75" customHeight="1">
      <c r="B497" s="59"/>
      <c r="C497" s="59"/>
      <c r="D497" s="59"/>
    </row>
    <row r="498" ht="12.75" customHeight="1">
      <c r="B498" s="59"/>
      <c r="C498" s="59"/>
      <c r="D498" s="59"/>
    </row>
    <row r="499" ht="12.75" customHeight="1">
      <c r="B499" s="59"/>
      <c r="C499" s="59"/>
      <c r="D499" s="59"/>
    </row>
    <row r="500" ht="12.75" customHeight="1">
      <c r="B500" s="59"/>
      <c r="C500" s="59"/>
      <c r="D500" s="59"/>
    </row>
    <row r="501" ht="12.75" customHeight="1">
      <c r="B501" s="59"/>
      <c r="C501" s="59"/>
      <c r="D501" s="59"/>
    </row>
    <row r="502" ht="12.75" customHeight="1">
      <c r="B502" s="59"/>
      <c r="C502" s="59"/>
      <c r="D502" s="59"/>
    </row>
    <row r="503" ht="12.75" customHeight="1">
      <c r="B503" s="59"/>
      <c r="C503" s="59"/>
      <c r="D503" s="59"/>
    </row>
    <row r="504" ht="12.75" customHeight="1">
      <c r="B504" s="59"/>
      <c r="C504" s="59"/>
      <c r="D504" s="59"/>
    </row>
    <row r="505" ht="12.75" customHeight="1">
      <c r="B505" s="59"/>
      <c r="C505" s="59"/>
      <c r="D505" s="59"/>
    </row>
    <row r="506" ht="12.75" customHeight="1">
      <c r="B506" s="59"/>
      <c r="C506" s="59"/>
      <c r="D506" s="59"/>
    </row>
    <row r="507" ht="12.75" customHeight="1">
      <c r="B507" s="59"/>
      <c r="C507" s="59"/>
      <c r="D507" s="59"/>
    </row>
    <row r="508" ht="12.75" customHeight="1">
      <c r="B508" s="59"/>
      <c r="C508" s="59"/>
      <c r="D508" s="59"/>
    </row>
    <row r="509" ht="12.75" customHeight="1">
      <c r="B509" s="59"/>
      <c r="C509" s="59"/>
      <c r="D509" s="59"/>
    </row>
    <row r="510" ht="12.75" customHeight="1">
      <c r="B510" s="59"/>
      <c r="C510" s="59"/>
      <c r="D510" s="59"/>
    </row>
    <row r="511" ht="12.75" customHeight="1">
      <c r="B511" s="59"/>
      <c r="C511" s="59"/>
      <c r="D511" s="59"/>
    </row>
    <row r="512" ht="12.75" customHeight="1">
      <c r="B512" s="59"/>
      <c r="C512" s="59"/>
      <c r="D512" s="59"/>
    </row>
    <row r="513" ht="12.75" customHeight="1">
      <c r="B513" s="59"/>
      <c r="C513" s="59"/>
      <c r="D513" s="59"/>
    </row>
    <row r="514" ht="12.75" customHeight="1">
      <c r="B514" s="59"/>
      <c r="C514" s="59"/>
      <c r="D514" s="59"/>
    </row>
    <row r="515" ht="12.75" customHeight="1">
      <c r="B515" s="59"/>
      <c r="C515" s="59"/>
      <c r="D515" s="59"/>
    </row>
    <row r="516" ht="12.75" customHeight="1">
      <c r="B516" s="59"/>
      <c r="C516" s="59"/>
      <c r="D516" s="59"/>
    </row>
    <row r="517" ht="12.75" customHeight="1">
      <c r="B517" s="59"/>
      <c r="C517" s="59"/>
      <c r="D517" s="59"/>
    </row>
    <row r="518" ht="12.75" customHeight="1">
      <c r="B518" s="59"/>
      <c r="C518" s="59"/>
      <c r="D518" s="59"/>
    </row>
    <row r="519" ht="12.75" customHeight="1">
      <c r="B519" s="59"/>
      <c r="C519" s="59"/>
      <c r="D519" s="59"/>
    </row>
    <row r="520" ht="12.75" customHeight="1">
      <c r="B520" s="59"/>
      <c r="C520" s="59"/>
      <c r="D520" s="59"/>
    </row>
    <row r="521" ht="12.75" customHeight="1">
      <c r="B521" s="59"/>
      <c r="C521" s="59"/>
      <c r="D521" s="59"/>
    </row>
    <row r="522" ht="12.75" customHeight="1">
      <c r="B522" s="59"/>
      <c r="C522" s="59"/>
      <c r="D522" s="59"/>
    </row>
    <row r="523" ht="12.75" customHeight="1">
      <c r="B523" s="59"/>
      <c r="C523" s="59"/>
      <c r="D523" s="59"/>
    </row>
    <row r="524" ht="12.75" customHeight="1">
      <c r="B524" s="59"/>
      <c r="C524" s="59"/>
      <c r="D524" s="59"/>
    </row>
    <row r="525" ht="12.75" customHeight="1">
      <c r="B525" s="59"/>
      <c r="C525" s="59"/>
      <c r="D525" s="59"/>
    </row>
    <row r="526" ht="12.75" customHeight="1">
      <c r="B526" s="59"/>
      <c r="C526" s="59"/>
      <c r="D526" s="59"/>
    </row>
    <row r="527" ht="12.75" customHeight="1">
      <c r="B527" s="59"/>
      <c r="C527" s="59"/>
      <c r="D527" s="59"/>
    </row>
    <row r="528" ht="12.75" customHeight="1">
      <c r="B528" s="59"/>
      <c r="C528" s="59"/>
      <c r="D528" s="59"/>
    </row>
    <row r="529" ht="12.75" customHeight="1">
      <c r="B529" s="59"/>
      <c r="C529" s="59"/>
      <c r="D529" s="59"/>
    </row>
    <row r="530" ht="12.75" customHeight="1">
      <c r="B530" s="59"/>
      <c r="C530" s="59"/>
      <c r="D530" s="59"/>
    </row>
    <row r="531" ht="12.75" customHeight="1">
      <c r="B531" s="59"/>
      <c r="C531" s="59"/>
      <c r="D531" s="59"/>
    </row>
    <row r="532" ht="12.75" customHeight="1">
      <c r="B532" s="59"/>
      <c r="C532" s="59"/>
      <c r="D532" s="59"/>
    </row>
    <row r="533" ht="12.75" customHeight="1">
      <c r="B533" s="59"/>
      <c r="C533" s="59"/>
      <c r="D533" s="59"/>
    </row>
    <row r="534" ht="12.75" customHeight="1">
      <c r="B534" s="59"/>
      <c r="C534" s="59"/>
      <c r="D534" s="59"/>
    </row>
    <row r="535" ht="12.75" customHeight="1">
      <c r="B535" s="59"/>
      <c r="C535" s="59"/>
      <c r="D535" s="59"/>
    </row>
    <row r="536" ht="12.75" customHeight="1">
      <c r="B536" s="59"/>
      <c r="C536" s="59"/>
      <c r="D536" s="59"/>
    </row>
    <row r="537" ht="12.75" customHeight="1">
      <c r="B537" s="59"/>
      <c r="C537" s="59"/>
      <c r="D537" s="59"/>
    </row>
    <row r="538" ht="12.75" customHeight="1">
      <c r="B538" s="59"/>
      <c r="C538" s="59"/>
      <c r="D538" s="59"/>
    </row>
    <row r="539" ht="12.75" customHeight="1">
      <c r="B539" s="59"/>
      <c r="C539" s="59"/>
      <c r="D539" s="59"/>
    </row>
    <row r="540" ht="12.75" customHeight="1">
      <c r="B540" s="59"/>
      <c r="C540" s="59"/>
      <c r="D540" s="59"/>
    </row>
    <row r="541" ht="12.75" customHeight="1">
      <c r="B541" s="59"/>
      <c r="C541" s="59"/>
      <c r="D541" s="59"/>
    </row>
    <row r="542" ht="12.75" customHeight="1">
      <c r="B542" s="59"/>
      <c r="C542" s="59"/>
      <c r="D542" s="59"/>
    </row>
    <row r="543" ht="12.75" customHeight="1">
      <c r="B543" s="59"/>
      <c r="C543" s="59"/>
      <c r="D543" s="59"/>
    </row>
    <row r="544" ht="12.75" customHeight="1">
      <c r="B544" s="59"/>
      <c r="C544" s="59"/>
      <c r="D544" s="59"/>
    </row>
    <row r="545" ht="12.75" customHeight="1">
      <c r="B545" s="59"/>
      <c r="C545" s="59"/>
      <c r="D545" s="59"/>
    </row>
    <row r="546" ht="12.75" customHeight="1">
      <c r="B546" s="59"/>
      <c r="C546" s="59"/>
      <c r="D546" s="59"/>
    </row>
    <row r="547" ht="12.75" customHeight="1">
      <c r="B547" s="59"/>
      <c r="C547" s="59"/>
      <c r="D547" s="59"/>
    </row>
    <row r="548" ht="12.75" customHeight="1">
      <c r="B548" s="59"/>
      <c r="C548" s="59"/>
      <c r="D548" s="59"/>
    </row>
    <row r="549" ht="12.75" customHeight="1">
      <c r="B549" s="59"/>
      <c r="C549" s="59"/>
      <c r="D549" s="59"/>
    </row>
    <row r="550" ht="12.75" customHeight="1">
      <c r="B550" s="59"/>
      <c r="C550" s="59"/>
      <c r="D550" s="59"/>
    </row>
    <row r="551" ht="12.75" customHeight="1">
      <c r="B551" s="59"/>
      <c r="C551" s="59"/>
      <c r="D551" s="59"/>
    </row>
    <row r="552" ht="12.75" customHeight="1">
      <c r="B552" s="59"/>
      <c r="C552" s="59"/>
      <c r="D552" s="59"/>
    </row>
    <row r="553" ht="12.75" customHeight="1">
      <c r="B553" s="59"/>
      <c r="C553" s="59"/>
      <c r="D553" s="59"/>
    </row>
    <row r="554" ht="12.75" customHeight="1">
      <c r="B554" s="59"/>
      <c r="C554" s="59"/>
      <c r="D554" s="59"/>
    </row>
    <row r="555" ht="12.75" customHeight="1">
      <c r="B555" s="59"/>
      <c r="C555" s="59"/>
      <c r="D555" s="59"/>
    </row>
    <row r="556" ht="12.75" customHeight="1">
      <c r="B556" s="59"/>
      <c r="C556" s="59"/>
      <c r="D556" s="59"/>
    </row>
    <row r="557" ht="12.75" customHeight="1">
      <c r="B557" s="59"/>
      <c r="C557" s="59"/>
      <c r="D557" s="59"/>
    </row>
    <row r="558" ht="12.75" customHeight="1">
      <c r="B558" s="59"/>
      <c r="C558" s="59"/>
      <c r="D558" s="59"/>
    </row>
    <row r="559" ht="12.75" customHeight="1">
      <c r="B559" s="59"/>
      <c r="C559" s="59"/>
      <c r="D559" s="59"/>
    </row>
    <row r="560" ht="12.75" customHeight="1">
      <c r="B560" s="59"/>
      <c r="C560" s="59"/>
      <c r="D560" s="59"/>
    </row>
    <row r="561" ht="12.75" customHeight="1">
      <c r="B561" s="59"/>
      <c r="C561" s="59"/>
      <c r="D561" s="59"/>
    </row>
    <row r="562" ht="12.75" customHeight="1">
      <c r="B562" s="59"/>
      <c r="C562" s="59"/>
      <c r="D562" s="59"/>
    </row>
    <row r="563" ht="12.75" customHeight="1">
      <c r="B563" s="59"/>
      <c r="C563" s="59"/>
      <c r="D563" s="59"/>
    </row>
    <row r="564" ht="12.75" customHeight="1">
      <c r="B564" s="59"/>
      <c r="C564" s="59"/>
      <c r="D564" s="59"/>
    </row>
    <row r="565" ht="12.75" customHeight="1">
      <c r="B565" s="59"/>
      <c r="C565" s="59"/>
      <c r="D565" s="59"/>
    </row>
    <row r="566" ht="12.75" customHeight="1">
      <c r="B566" s="59"/>
      <c r="C566" s="59"/>
      <c r="D566" s="59"/>
    </row>
    <row r="567" ht="12.75" customHeight="1">
      <c r="B567" s="59"/>
      <c r="C567" s="59"/>
      <c r="D567" s="59"/>
    </row>
    <row r="568" ht="12.75" customHeight="1">
      <c r="B568" s="59"/>
      <c r="C568" s="59"/>
      <c r="D568" s="59"/>
    </row>
    <row r="569" ht="12.75" customHeight="1">
      <c r="B569" s="59"/>
      <c r="C569" s="59"/>
      <c r="D569" s="59"/>
    </row>
    <row r="570" ht="12.75" customHeight="1">
      <c r="B570" s="59"/>
      <c r="C570" s="59"/>
      <c r="D570" s="59"/>
    </row>
    <row r="571" ht="12.75" customHeight="1">
      <c r="B571" s="59"/>
      <c r="C571" s="59"/>
      <c r="D571" s="59"/>
    </row>
    <row r="572" ht="12.75" customHeight="1">
      <c r="B572" s="59"/>
      <c r="C572" s="59"/>
      <c r="D572" s="59"/>
    </row>
    <row r="573" ht="12.75" customHeight="1">
      <c r="B573" s="59"/>
      <c r="C573" s="59"/>
      <c r="D573" s="59"/>
    </row>
    <row r="574" ht="12.75" customHeight="1">
      <c r="B574" s="59"/>
      <c r="C574" s="59"/>
      <c r="D574" s="59"/>
    </row>
    <row r="575" ht="12.75" customHeight="1">
      <c r="B575" s="59"/>
      <c r="C575" s="59"/>
      <c r="D575" s="59"/>
    </row>
    <row r="576" ht="12.75" customHeight="1">
      <c r="B576" s="59"/>
      <c r="C576" s="59"/>
      <c r="D576" s="59"/>
    </row>
    <row r="577" ht="12.75" customHeight="1">
      <c r="B577" s="59"/>
      <c r="C577" s="59"/>
      <c r="D577" s="59"/>
    </row>
    <row r="578" ht="12.75" customHeight="1">
      <c r="B578" s="59"/>
      <c r="C578" s="59"/>
      <c r="D578" s="59"/>
    </row>
    <row r="579" ht="12.75" customHeight="1">
      <c r="B579" s="59"/>
      <c r="C579" s="59"/>
      <c r="D579" s="59"/>
    </row>
    <row r="580" ht="12.75" customHeight="1">
      <c r="B580" s="59"/>
      <c r="C580" s="59"/>
      <c r="D580" s="59"/>
    </row>
    <row r="581" ht="12.75" customHeight="1">
      <c r="B581" s="59"/>
      <c r="C581" s="59"/>
      <c r="D581" s="59"/>
    </row>
    <row r="582" ht="12.75" customHeight="1">
      <c r="B582" s="59"/>
      <c r="C582" s="59"/>
      <c r="D582" s="59"/>
    </row>
    <row r="583" ht="12.75" customHeight="1">
      <c r="B583" s="59"/>
      <c r="C583" s="59"/>
      <c r="D583" s="59"/>
    </row>
    <row r="584" ht="12.75" customHeight="1">
      <c r="B584" s="59"/>
      <c r="C584" s="59"/>
      <c r="D584" s="59"/>
    </row>
    <row r="585" ht="12.75" customHeight="1">
      <c r="B585" s="59"/>
      <c r="C585" s="59"/>
      <c r="D585" s="59"/>
    </row>
    <row r="586" ht="12.75" customHeight="1">
      <c r="B586" s="59"/>
      <c r="C586" s="59"/>
      <c r="D586" s="59"/>
    </row>
    <row r="587" ht="12.75" customHeight="1">
      <c r="B587" s="59"/>
      <c r="C587" s="59"/>
      <c r="D587" s="59"/>
    </row>
    <row r="588" ht="12.75" customHeight="1">
      <c r="B588" s="59"/>
      <c r="C588" s="59"/>
      <c r="D588" s="59"/>
    </row>
    <row r="589" ht="12.75" customHeight="1">
      <c r="B589" s="59"/>
      <c r="C589" s="59"/>
      <c r="D589" s="59"/>
    </row>
    <row r="590" ht="12.75" customHeight="1">
      <c r="B590" s="59"/>
      <c r="C590" s="59"/>
      <c r="D590" s="59"/>
    </row>
    <row r="591" ht="12.75" customHeight="1">
      <c r="B591" s="59"/>
      <c r="C591" s="59"/>
      <c r="D591" s="59"/>
    </row>
    <row r="592" ht="12.75" customHeight="1">
      <c r="B592" s="59"/>
      <c r="C592" s="59"/>
      <c r="D592" s="59"/>
    </row>
    <row r="593" ht="12.75" customHeight="1">
      <c r="B593" s="59"/>
      <c r="C593" s="59"/>
      <c r="D593" s="59"/>
    </row>
    <row r="594" ht="12.75" customHeight="1">
      <c r="B594" s="59"/>
      <c r="C594" s="59"/>
      <c r="D594" s="59"/>
    </row>
    <row r="595" ht="12.75" customHeight="1">
      <c r="B595" s="59"/>
      <c r="C595" s="59"/>
      <c r="D595" s="59"/>
    </row>
    <row r="596" ht="12.75" customHeight="1">
      <c r="B596" s="59"/>
      <c r="C596" s="59"/>
      <c r="D596" s="59"/>
    </row>
    <row r="597" ht="12.75" customHeight="1">
      <c r="B597" s="59"/>
      <c r="C597" s="59"/>
      <c r="D597" s="59"/>
    </row>
    <row r="598" ht="12.75" customHeight="1">
      <c r="B598" s="59"/>
      <c r="C598" s="59"/>
      <c r="D598" s="59"/>
    </row>
    <row r="599" ht="12.75" customHeight="1">
      <c r="B599" s="59"/>
      <c r="C599" s="59"/>
      <c r="D599" s="59"/>
    </row>
    <row r="600" ht="12.75" customHeight="1">
      <c r="B600" s="59"/>
      <c r="C600" s="59"/>
      <c r="D600" s="59"/>
    </row>
    <row r="601" ht="12.75" customHeight="1">
      <c r="B601" s="59"/>
      <c r="C601" s="59"/>
      <c r="D601" s="59"/>
    </row>
    <row r="602" ht="12.75" customHeight="1">
      <c r="B602" s="59"/>
      <c r="C602" s="59"/>
      <c r="D602" s="59"/>
    </row>
    <row r="603" ht="12.75" customHeight="1">
      <c r="B603" s="59"/>
      <c r="C603" s="59"/>
      <c r="D603" s="59"/>
    </row>
    <row r="604" ht="12.75" customHeight="1">
      <c r="B604" s="59"/>
      <c r="C604" s="59"/>
      <c r="D604" s="59"/>
    </row>
    <row r="605" ht="12.75" customHeight="1">
      <c r="B605" s="59"/>
      <c r="C605" s="59"/>
      <c r="D605" s="59"/>
    </row>
    <row r="606" ht="12.75" customHeight="1">
      <c r="B606" s="59"/>
      <c r="C606" s="59"/>
      <c r="D606" s="59"/>
    </row>
    <row r="607" ht="12.75" customHeight="1">
      <c r="B607" s="59"/>
      <c r="C607" s="59"/>
      <c r="D607" s="59"/>
    </row>
    <row r="608" ht="12.75" customHeight="1">
      <c r="B608" s="59"/>
      <c r="C608" s="59"/>
      <c r="D608" s="59"/>
    </row>
    <row r="609" ht="12.75" customHeight="1">
      <c r="B609" s="59"/>
      <c r="C609" s="59"/>
      <c r="D609" s="59"/>
    </row>
    <row r="610" ht="12.75" customHeight="1">
      <c r="B610" s="59"/>
      <c r="C610" s="59"/>
      <c r="D610" s="59"/>
    </row>
    <row r="611" ht="12.75" customHeight="1">
      <c r="B611" s="59"/>
      <c r="C611" s="59"/>
      <c r="D611" s="59"/>
    </row>
    <row r="612" ht="12.75" customHeight="1">
      <c r="B612" s="59"/>
      <c r="C612" s="59"/>
      <c r="D612" s="59"/>
    </row>
    <row r="613" ht="12.75" customHeight="1">
      <c r="B613" s="59"/>
      <c r="C613" s="59"/>
      <c r="D613" s="59"/>
    </row>
    <row r="614" ht="12.75" customHeight="1">
      <c r="B614" s="59"/>
      <c r="C614" s="59"/>
      <c r="D614" s="59"/>
    </row>
    <row r="615" ht="12.75" customHeight="1">
      <c r="B615" s="59"/>
      <c r="C615" s="59"/>
      <c r="D615" s="59"/>
    </row>
    <row r="616" ht="12.75" customHeight="1">
      <c r="B616" s="59"/>
      <c r="C616" s="59"/>
      <c r="D616" s="59"/>
    </row>
    <row r="617" ht="12.75" customHeight="1">
      <c r="B617" s="59"/>
      <c r="C617" s="59"/>
      <c r="D617" s="59"/>
    </row>
    <row r="618" ht="12.75" customHeight="1">
      <c r="B618" s="59"/>
      <c r="C618" s="59"/>
      <c r="D618" s="59"/>
    </row>
    <row r="619" ht="12.75" customHeight="1">
      <c r="B619" s="59"/>
      <c r="C619" s="59"/>
      <c r="D619" s="59"/>
    </row>
    <row r="620" ht="12.75" customHeight="1">
      <c r="B620" s="59"/>
      <c r="C620" s="59"/>
      <c r="D620" s="59"/>
    </row>
    <row r="621" ht="12.75" customHeight="1">
      <c r="B621" s="59"/>
      <c r="C621" s="59"/>
      <c r="D621" s="59"/>
    </row>
    <row r="622" ht="12.75" customHeight="1">
      <c r="B622" s="59"/>
      <c r="C622" s="59"/>
      <c r="D622" s="59"/>
    </row>
    <row r="623" ht="12.75" customHeight="1">
      <c r="B623" s="59"/>
      <c r="C623" s="59"/>
      <c r="D623" s="59"/>
    </row>
    <row r="624" ht="12.75" customHeight="1">
      <c r="B624" s="59"/>
      <c r="C624" s="59"/>
      <c r="D624" s="59"/>
    </row>
    <row r="625" ht="12.75" customHeight="1">
      <c r="B625" s="59"/>
      <c r="C625" s="59"/>
      <c r="D625" s="59"/>
    </row>
    <row r="626" ht="12.75" customHeight="1">
      <c r="B626" s="59"/>
      <c r="C626" s="59"/>
      <c r="D626" s="59"/>
    </row>
    <row r="627" ht="12.75" customHeight="1">
      <c r="B627" s="59"/>
      <c r="C627" s="59"/>
      <c r="D627" s="59"/>
    </row>
    <row r="628" ht="12.75" customHeight="1">
      <c r="B628" s="59"/>
      <c r="C628" s="59"/>
      <c r="D628" s="59"/>
    </row>
    <row r="629" ht="12.75" customHeight="1">
      <c r="B629" s="59"/>
      <c r="C629" s="59"/>
      <c r="D629" s="59"/>
    </row>
    <row r="630" ht="12.75" customHeight="1">
      <c r="B630" s="59"/>
      <c r="C630" s="59"/>
      <c r="D630" s="59"/>
    </row>
    <row r="631" ht="12.75" customHeight="1">
      <c r="B631" s="59"/>
      <c r="C631" s="59"/>
      <c r="D631" s="59"/>
    </row>
    <row r="632" ht="12.75" customHeight="1">
      <c r="B632" s="59"/>
      <c r="C632" s="59"/>
      <c r="D632" s="59"/>
    </row>
    <row r="633" ht="12.75" customHeight="1">
      <c r="B633" s="59"/>
      <c r="C633" s="59"/>
      <c r="D633" s="59"/>
    </row>
    <row r="634" ht="12.75" customHeight="1">
      <c r="B634" s="59"/>
      <c r="C634" s="59"/>
      <c r="D634" s="59"/>
    </row>
    <row r="635" ht="12.75" customHeight="1">
      <c r="B635" s="59"/>
      <c r="C635" s="59"/>
      <c r="D635" s="59"/>
    </row>
    <row r="636" ht="12.75" customHeight="1">
      <c r="B636" s="59"/>
      <c r="C636" s="59"/>
      <c r="D636" s="59"/>
    </row>
    <row r="637" ht="12.75" customHeight="1">
      <c r="B637" s="59"/>
      <c r="C637" s="59"/>
      <c r="D637" s="59"/>
    </row>
    <row r="638" ht="12.75" customHeight="1">
      <c r="B638" s="59"/>
      <c r="C638" s="59"/>
      <c r="D638" s="59"/>
    </row>
    <row r="639" ht="12.75" customHeight="1">
      <c r="B639" s="59"/>
      <c r="C639" s="59"/>
      <c r="D639" s="59"/>
    </row>
    <row r="640" ht="12.75" customHeight="1">
      <c r="B640" s="59"/>
      <c r="C640" s="59"/>
      <c r="D640" s="59"/>
    </row>
    <row r="641" ht="12.75" customHeight="1">
      <c r="B641" s="59"/>
      <c r="C641" s="59"/>
      <c r="D641" s="59"/>
    </row>
    <row r="642" ht="12.75" customHeight="1">
      <c r="B642" s="59"/>
      <c r="C642" s="59"/>
      <c r="D642" s="59"/>
    </row>
    <row r="643" ht="12.75" customHeight="1">
      <c r="B643" s="59"/>
      <c r="C643" s="59"/>
      <c r="D643" s="59"/>
    </row>
    <row r="644" ht="12.75" customHeight="1">
      <c r="B644" s="59"/>
      <c r="C644" s="59"/>
      <c r="D644" s="59"/>
    </row>
    <row r="645" ht="12.75" customHeight="1">
      <c r="B645" s="59"/>
      <c r="C645" s="59"/>
      <c r="D645" s="59"/>
    </row>
    <row r="646" ht="12.75" customHeight="1">
      <c r="B646" s="59"/>
      <c r="C646" s="59"/>
      <c r="D646" s="59"/>
    </row>
    <row r="647" ht="12.75" customHeight="1">
      <c r="B647" s="59"/>
      <c r="C647" s="59"/>
      <c r="D647" s="59"/>
    </row>
    <row r="648" ht="12.75" customHeight="1">
      <c r="B648" s="59"/>
      <c r="C648" s="59"/>
      <c r="D648" s="59"/>
    </row>
    <row r="649" ht="12.75" customHeight="1">
      <c r="B649" s="59"/>
      <c r="C649" s="59"/>
      <c r="D649" s="59"/>
    </row>
    <row r="650" ht="12.75" customHeight="1">
      <c r="B650" s="59"/>
      <c r="C650" s="59"/>
      <c r="D650" s="59"/>
    </row>
    <row r="651" ht="12.75" customHeight="1">
      <c r="B651" s="59"/>
      <c r="C651" s="59"/>
      <c r="D651" s="59"/>
    </row>
    <row r="652" ht="12.75" customHeight="1">
      <c r="B652" s="59"/>
      <c r="C652" s="59"/>
      <c r="D652" s="59"/>
    </row>
    <row r="653" ht="12.75" customHeight="1">
      <c r="B653" s="59"/>
      <c r="C653" s="59"/>
      <c r="D653" s="59"/>
    </row>
    <row r="654" ht="12.75" customHeight="1">
      <c r="B654" s="59"/>
      <c r="C654" s="59"/>
      <c r="D654" s="59"/>
    </row>
    <row r="655" ht="12.75" customHeight="1">
      <c r="B655" s="59"/>
      <c r="C655" s="59"/>
      <c r="D655" s="59"/>
    </row>
    <row r="656" ht="12.75" customHeight="1">
      <c r="B656" s="59"/>
      <c r="C656" s="59"/>
      <c r="D656" s="59"/>
    </row>
    <row r="657" ht="12.75" customHeight="1">
      <c r="B657" s="59"/>
      <c r="C657" s="59"/>
      <c r="D657" s="59"/>
    </row>
    <row r="658" ht="12.75" customHeight="1">
      <c r="B658" s="59"/>
      <c r="C658" s="59"/>
      <c r="D658" s="59"/>
    </row>
    <row r="659" ht="12.75" customHeight="1">
      <c r="B659" s="59"/>
      <c r="C659" s="59"/>
      <c r="D659" s="59"/>
    </row>
    <row r="660" ht="12.75" customHeight="1">
      <c r="B660" s="59"/>
      <c r="C660" s="59"/>
      <c r="D660" s="59"/>
    </row>
    <row r="661" ht="12.75" customHeight="1">
      <c r="B661" s="59"/>
      <c r="C661" s="59"/>
      <c r="D661" s="59"/>
    </row>
    <row r="662" ht="12.75" customHeight="1">
      <c r="B662" s="59"/>
      <c r="C662" s="59"/>
      <c r="D662" s="59"/>
    </row>
    <row r="663" ht="12.75" customHeight="1">
      <c r="B663" s="59"/>
      <c r="C663" s="59"/>
      <c r="D663" s="59"/>
    </row>
    <row r="664" ht="12.75" customHeight="1">
      <c r="B664" s="59"/>
      <c r="C664" s="59"/>
      <c r="D664" s="59"/>
    </row>
    <row r="665" ht="12.75" customHeight="1">
      <c r="B665" s="59"/>
      <c r="C665" s="59"/>
      <c r="D665" s="59"/>
    </row>
    <row r="666" ht="12.75" customHeight="1">
      <c r="B666" s="59"/>
      <c r="C666" s="59"/>
      <c r="D666" s="59"/>
    </row>
    <row r="667" ht="12.75" customHeight="1">
      <c r="B667" s="59"/>
      <c r="C667" s="59"/>
      <c r="D667" s="59"/>
    </row>
    <row r="668" ht="12.75" customHeight="1">
      <c r="B668" s="59"/>
      <c r="C668" s="59"/>
      <c r="D668" s="59"/>
    </row>
    <row r="669" ht="12.75" customHeight="1">
      <c r="B669" s="59"/>
      <c r="C669" s="59"/>
      <c r="D669" s="59"/>
    </row>
    <row r="670" ht="12.75" customHeight="1">
      <c r="B670" s="59"/>
      <c r="C670" s="59"/>
      <c r="D670" s="59"/>
    </row>
    <row r="671" ht="12.75" customHeight="1">
      <c r="B671" s="59"/>
      <c r="C671" s="59"/>
      <c r="D671" s="59"/>
    </row>
    <row r="672" ht="12.75" customHeight="1">
      <c r="B672" s="59"/>
      <c r="C672" s="59"/>
      <c r="D672" s="59"/>
    </row>
    <row r="673" ht="12.75" customHeight="1">
      <c r="B673" s="59"/>
      <c r="C673" s="59"/>
      <c r="D673" s="59"/>
    </row>
    <row r="674" ht="12.75" customHeight="1">
      <c r="B674" s="59"/>
      <c r="C674" s="59"/>
      <c r="D674" s="59"/>
    </row>
    <row r="675" ht="12.75" customHeight="1">
      <c r="B675" s="59"/>
      <c r="C675" s="59"/>
      <c r="D675" s="59"/>
    </row>
    <row r="676" ht="12.75" customHeight="1">
      <c r="B676" s="59"/>
      <c r="C676" s="59"/>
      <c r="D676" s="59"/>
    </row>
    <row r="677" ht="12.75" customHeight="1">
      <c r="B677" s="59"/>
      <c r="C677" s="59"/>
      <c r="D677" s="59"/>
    </row>
    <row r="678" ht="12.75" customHeight="1">
      <c r="B678" s="59"/>
      <c r="C678" s="59"/>
      <c r="D678" s="59"/>
    </row>
    <row r="679" ht="12.75" customHeight="1">
      <c r="B679" s="59"/>
      <c r="C679" s="59"/>
      <c r="D679" s="59"/>
    </row>
    <row r="680" ht="12.75" customHeight="1">
      <c r="B680" s="59"/>
      <c r="C680" s="59"/>
      <c r="D680" s="59"/>
    </row>
    <row r="681" ht="12.75" customHeight="1">
      <c r="B681" s="59"/>
      <c r="C681" s="59"/>
      <c r="D681" s="59"/>
    </row>
    <row r="682" ht="12.75" customHeight="1">
      <c r="B682" s="59"/>
      <c r="C682" s="59"/>
      <c r="D682" s="59"/>
    </row>
    <row r="683" ht="12.75" customHeight="1">
      <c r="B683" s="59"/>
      <c r="C683" s="59"/>
      <c r="D683" s="59"/>
    </row>
    <row r="684" ht="12.75" customHeight="1">
      <c r="B684" s="59"/>
      <c r="C684" s="59"/>
      <c r="D684" s="59"/>
    </row>
    <row r="685" ht="12.75" customHeight="1">
      <c r="B685" s="59"/>
      <c r="C685" s="59"/>
      <c r="D685" s="59"/>
    </row>
    <row r="686" ht="12.75" customHeight="1">
      <c r="B686" s="59"/>
      <c r="C686" s="59"/>
      <c r="D686" s="59"/>
    </row>
    <row r="687" ht="12.75" customHeight="1">
      <c r="B687" s="59"/>
      <c r="C687" s="59"/>
      <c r="D687" s="59"/>
    </row>
    <row r="688" ht="12.75" customHeight="1">
      <c r="B688" s="59"/>
      <c r="C688" s="59"/>
      <c r="D688" s="59"/>
    </row>
    <row r="689" ht="12.75" customHeight="1">
      <c r="B689" s="59"/>
      <c r="C689" s="59"/>
      <c r="D689" s="59"/>
    </row>
    <row r="690" ht="12.75" customHeight="1">
      <c r="B690" s="59"/>
      <c r="C690" s="59"/>
      <c r="D690" s="59"/>
    </row>
    <row r="691" ht="12.75" customHeight="1">
      <c r="B691" s="59"/>
      <c r="C691" s="59"/>
      <c r="D691" s="59"/>
    </row>
    <row r="692" ht="12.75" customHeight="1">
      <c r="B692" s="59"/>
      <c r="C692" s="59"/>
      <c r="D692" s="59"/>
    </row>
    <row r="693" ht="12.75" customHeight="1">
      <c r="B693" s="59"/>
      <c r="C693" s="59"/>
      <c r="D693" s="59"/>
    </row>
    <row r="694" ht="12.75" customHeight="1">
      <c r="B694" s="59"/>
      <c r="C694" s="59"/>
      <c r="D694" s="59"/>
    </row>
    <row r="695" ht="12.75" customHeight="1">
      <c r="B695" s="59"/>
      <c r="C695" s="59"/>
      <c r="D695" s="59"/>
    </row>
    <row r="696" ht="12.75" customHeight="1">
      <c r="B696" s="59"/>
      <c r="C696" s="59"/>
      <c r="D696" s="59"/>
    </row>
    <row r="697" ht="12.75" customHeight="1">
      <c r="B697" s="59"/>
      <c r="C697" s="59"/>
      <c r="D697" s="59"/>
    </row>
    <row r="698" ht="12.75" customHeight="1">
      <c r="B698" s="59"/>
      <c r="C698" s="59"/>
      <c r="D698" s="59"/>
    </row>
    <row r="699" ht="12.75" customHeight="1">
      <c r="B699" s="59"/>
      <c r="C699" s="59"/>
      <c r="D699" s="59"/>
    </row>
    <row r="700" ht="12.75" customHeight="1">
      <c r="B700" s="59"/>
      <c r="C700" s="59"/>
      <c r="D700" s="59"/>
    </row>
    <row r="701" ht="12.75" customHeight="1">
      <c r="B701" s="59"/>
      <c r="C701" s="59"/>
      <c r="D701" s="59"/>
    </row>
    <row r="702" ht="12.75" customHeight="1">
      <c r="B702" s="59"/>
      <c r="C702" s="59"/>
      <c r="D702" s="59"/>
    </row>
    <row r="703" ht="12.75" customHeight="1">
      <c r="B703" s="59"/>
      <c r="C703" s="59"/>
      <c r="D703" s="59"/>
    </row>
    <row r="704" ht="12.75" customHeight="1">
      <c r="B704" s="59"/>
      <c r="C704" s="59"/>
      <c r="D704" s="59"/>
    </row>
    <row r="705" ht="12.75" customHeight="1">
      <c r="B705" s="59"/>
      <c r="C705" s="59"/>
      <c r="D705" s="59"/>
    </row>
    <row r="706" ht="12.75" customHeight="1">
      <c r="B706" s="59"/>
      <c r="C706" s="59"/>
      <c r="D706" s="59"/>
    </row>
    <row r="707" ht="12.75" customHeight="1">
      <c r="B707" s="59"/>
      <c r="C707" s="59"/>
      <c r="D707" s="59"/>
    </row>
    <row r="708" ht="12.75" customHeight="1">
      <c r="B708" s="59"/>
      <c r="C708" s="59"/>
      <c r="D708" s="59"/>
    </row>
    <row r="709" ht="12.75" customHeight="1">
      <c r="B709" s="59"/>
      <c r="C709" s="59"/>
      <c r="D709" s="59"/>
    </row>
    <row r="710" ht="12.75" customHeight="1">
      <c r="B710" s="59"/>
      <c r="C710" s="59"/>
      <c r="D710" s="59"/>
    </row>
    <row r="711" ht="12.75" customHeight="1">
      <c r="B711" s="59"/>
      <c r="C711" s="59"/>
      <c r="D711" s="59"/>
    </row>
    <row r="712" ht="12.75" customHeight="1">
      <c r="B712" s="59"/>
      <c r="C712" s="59"/>
      <c r="D712" s="59"/>
    </row>
    <row r="713" ht="12.75" customHeight="1">
      <c r="B713" s="59"/>
      <c r="C713" s="59"/>
      <c r="D713" s="59"/>
    </row>
    <row r="714" ht="12.75" customHeight="1">
      <c r="B714" s="59"/>
      <c r="C714" s="59"/>
      <c r="D714" s="59"/>
    </row>
    <row r="715" ht="12.75" customHeight="1">
      <c r="B715" s="59"/>
      <c r="C715" s="59"/>
      <c r="D715" s="59"/>
    </row>
    <row r="716" ht="12.75" customHeight="1">
      <c r="B716" s="59"/>
      <c r="C716" s="59"/>
      <c r="D716" s="59"/>
    </row>
    <row r="717" ht="12.75" customHeight="1">
      <c r="B717" s="59"/>
      <c r="C717" s="59"/>
      <c r="D717" s="59"/>
    </row>
    <row r="718" ht="12.75" customHeight="1">
      <c r="B718" s="59"/>
      <c r="C718" s="59"/>
      <c r="D718" s="59"/>
    </row>
    <row r="719" ht="12.75" customHeight="1">
      <c r="B719" s="59"/>
      <c r="C719" s="59"/>
      <c r="D719" s="59"/>
    </row>
    <row r="720" ht="12.75" customHeight="1">
      <c r="B720" s="59"/>
      <c r="C720" s="59"/>
      <c r="D720" s="59"/>
    </row>
    <row r="721" ht="12.75" customHeight="1">
      <c r="B721" s="59"/>
      <c r="C721" s="59"/>
      <c r="D721" s="59"/>
    </row>
    <row r="722" ht="12.75" customHeight="1">
      <c r="B722" s="59"/>
      <c r="C722" s="59"/>
      <c r="D722" s="59"/>
    </row>
    <row r="723" ht="12.75" customHeight="1">
      <c r="B723" s="59"/>
      <c r="C723" s="59"/>
      <c r="D723" s="59"/>
    </row>
    <row r="724" ht="12.75" customHeight="1">
      <c r="B724" s="59"/>
      <c r="C724" s="59"/>
      <c r="D724" s="59"/>
    </row>
    <row r="725" ht="12.75" customHeight="1">
      <c r="B725" s="59"/>
      <c r="C725" s="59"/>
      <c r="D725" s="59"/>
    </row>
    <row r="726" ht="12.75" customHeight="1">
      <c r="B726" s="59"/>
      <c r="C726" s="59"/>
      <c r="D726" s="59"/>
    </row>
    <row r="727" ht="12.75" customHeight="1">
      <c r="B727" s="59"/>
      <c r="C727" s="59"/>
      <c r="D727" s="59"/>
    </row>
    <row r="728" ht="12.75" customHeight="1">
      <c r="B728" s="59"/>
      <c r="C728" s="59"/>
      <c r="D728" s="59"/>
    </row>
    <row r="729" ht="12.75" customHeight="1">
      <c r="B729" s="59"/>
      <c r="C729" s="59"/>
      <c r="D729" s="59"/>
    </row>
    <row r="730" ht="12.75" customHeight="1">
      <c r="B730" s="59"/>
      <c r="C730" s="59"/>
      <c r="D730" s="59"/>
    </row>
    <row r="731" ht="12.75" customHeight="1">
      <c r="B731" s="59"/>
      <c r="C731" s="59"/>
      <c r="D731" s="59"/>
    </row>
    <row r="732" ht="12.75" customHeight="1">
      <c r="B732" s="59"/>
      <c r="C732" s="59"/>
      <c r="D732" s="59"/>
    </row>
    <row r="733" ht="12.75" customHeight="1">
      <c r="B733" s="59"/>
      <c r="C733" s="59"/>
      <c r="D733" s="59"/>
    </row>
    <row r="734" ht="12.75" customHeight="1">
      <c r="B734" s="59"/>
      <c r="C734" s="59"/>
      <c r="D734" s="59"/>
    </row>
    <row r="735" ht="12.75" customHeight="1">
      <c r="B735" s="59"/>
      <c r="C735" s="59"/>
      <c r="D735" s="59"/>
    </row>
    <row r="736" ht="12.75" customHeight="1">
      <c r="B736" s="59"/>
      <c r="C736" s="59"/>
      <c r="D736" s="59"/>
    </row>
    <row r="737" ht="12.75" customHeight="1">
      <c r="B737" s="59"/>
      <c r="C737" s="59"/>
      <c r="D737" s="59"/>
    </row>
    <row r="738" ht="12.75" customHeight="1">
      <c r="B738" s="59"/>
      <c r="C738" s="59"/>
      <c r="D738" s="59"/>
    </row>
    <row r="739" ht="12.75" customHeight="1">
      <c r="B739" s="59"/>
      <c r="C739" s="59"/>
      <c r="D739" s="59"/>
    </row>
    <row r="740" ht="12.75" customHeight="1">
      <c r="B740" s="59"/>
      <c r="C740" s="59"/>
      <c r="D740" s="59"/>
    </row>
    <row r="741" ht="12.75" customHeight="1">
      <c r="B741" s="59"/>
      <c r="C741" s="59"/>
      <c r="D741" s="59"/>
    </row>
    <row r="742" ht="12.75" customHeight="1">
      <c r="B742" s="59"/>
      <c r="C742" s="59"/>
      <c r="D742" s="59"/>
    </row>
    <row r="743" ht="12.75" customHeight="1">
      <c r="B743" s="59"/>
      <c r="C743" s="59"/>
      <c r="D743" s="59"/>
    </row>
    <row r="744" ht="12.75" customHeight="1">
      <c r="B744" s="59"/>
      <c r="C744" s="59"/>
      <c r="D744" s="59"/>
    </row>
    <row r="745" ht="12.75" customHeight="1">
      <c r="B745" s="59"/>
      <c r="C745" s="59"/>
      <c r="D745" s="59"/>
    </row>
    <row r="746" ht="12.75" customHeight="1">
      <c r="B746" s="59"/>
      <c r="C746" s="59"/>
      <c r="D746" s="59"/>
    </row>
    <row r="747" ht="12.75" customHeight="1">
      <c r="B747" s="59"/>
      <c r="C747" s="59"/>
      <c r="D747" s="59"/>
    </row>
    <row r="748" ht="12.75" customHeight="1">
      <c r="B748" s="59"/>
      <c r="C748" s="59"/>
      <c r="D748" s="59"/>
    </row>
    <row r="749" ht="12.75" customHeight="1">
      <c r="B749" s="59"/>
      <c r="C749" s="59"/>
      <c r="D749" s="59"/>
    </row>
    <row r="750" ht="12.75" customHeight="1">
      <c r="B750" s="59"/>
      <c r="C750" s="59"/>
      <c r="D750" s="59"/>
    </row>
    <row r="751" ht="12.75" customHeight="1">
      <c r="B751" s="59"/>
      <c r="C751" s="59"/>
      <c r="D751" s="59"/>
    </row>
    <row r="752" ht="12.75" customHeight="1">
      <c r="B752" s="59"/>
      <c r="C752" s="59"/>
      <c r="D752" s="59"/>
    </row>
    <row r="753" ht="12.75" customHeight="1">
      <c r="B753" s="59"/>
      <c r="C753" s="59"/>
      <c r="D753" s="59"/>
    </row>
    <row r="754" ht="12.75" customHeight="1">
      <c r="B754" s="59"/>
      <c r="C754" s="59"/>
      <c r="D754" s="59"/>
    </row>
    <row r="755" ht="12.75" customHeight="1">
      <c r="B755" s="59"/>
      <c r="C755" s="59"/>
      <c r="D755" s="59"/>
    </row>
    <row r="756" ht="12.75" customHeight="1">
      <c r="B756" s="59"/>
      <c r="C756" s="59"/>
      <c r="D756" s="59"/>
    </row>
    <row r="757" ht="12.75" customHeight="1">
      <c r="B757" s="59"/>
      <c r="C757" s="59"/>
      <c r="D757" s="59"/>
    </row>
    <row r="758" ht="12.75" customHeight="1">
      <c r="B758" s="59"/>
      <c r="C758" s="59"/>
      <c r="D758" s="59"/>
    </row>
    <row r="759" ht="12.75" customHeight="1">
      <c r="B759" s="59"/>
      <c r="C759" s="59"/>
      <c r="D759" s="59"/>
    </row>
    <row r="760" ht="12.75" customHeight="1">
      <c r="B760" s="59"/>
      <c r="C760" s="59"/>
      <c r="D760" s="59"/>
    </row>
    <row r="761" ht="12.75" customHeight="1">
      <c r="B761" s="59"/>
      <c r="C761" s="59"/>
      <c r="D761" s="59"/>
    </row>
    <row r="762" ht="12.75" customHeight="1">
      <c r="B762" s="59"/>
      <c r="C762" s="59"/>
      <c r="D762" s="59"/>
    </row>
    <row r="763" ht="12.75" customHeight="1">
      <c r="B763" s="59"/>
      <c r="C763" s="59"/>
      <c r="D763" s="59"/>
    </row>
    <row r="764" ht="12.75" customHeight="1">
      <c r="B764" s="59"/>
      <c r="C764" s="59"/>
      <c r="D764" s="59"/>
    </row>
    <row r="765" ht="12.75" customHeight="1">
      <c r="B765" s="59"/>
      <c r="C765" s="59"/>
      <c r="D765" s="59"/>
    </row>
    <row r="766" ht="12.75" customHeight="1">
      <c r="B766" s="59"/>
      <c r="C766" s="59"/>
      <c r="D766" s="59"/>
    </row>
    <row r="767" ht="12.75" customHeight="1">
      <c r="B767" s="59"/>
      <c r="C767" s="59"/>
      <c r="D767" s="59"/>
    </row>
    <row r="768" ht="12.75" customHeight="1">
      <c r="B768" s="59"/>
      <c r="C768" s="59"/>
      <c r="D768" s="59"/>
    </row>
    <row r="769" ht="12.75" customHeight="1">
      <c r="B769" s="59"/>
      <c r="C769" s="59"/>
      <c r="D769" s="59"/>
    </row>
    <row r="770" ht="12.75" customHeight="1">
      <c r="B770" s="59"/>
      <c r="C770" s="59"/>
      <c r="D770" s="59"/>
    </row>
    <row r="771" ht="12.75" customHeight="1">
      <c r="B771" s="59"/>
      <c r="C771" s="59"/>
      <c r="D771" s="59"/>
    </row>
    <row r="772" ht="12.75" customHeight="1">
      <c r="B772" s="59"/>
      <c r="C772" s="59"/>
      <c r="D772" s="59"/>
    </row>
    <row r="773" ht="12.75" customHeight="1">
      <c r="B773" s="59"/>
      <c r="C773" s="59"/>
      <c r="D773" s="59"/>
    </row>
    <row r="774" ht="12.75" customHeight="1">
      <c r="B774" s="59"/>
      <c r="C774" s="59"/>
      <c r="D774" s="59"/>
    </row>
    <row r="775" ht="12.75" customHeight="1">
      <c r="B775" s="59"/>
      <c r="C775" s="59"/>
      <c r="D775" s="59"/>
    </row>
    <row r="776" ht="12.75" customHeight="1">
      <c r="B776" s="59"/>
      <c r="C776" s="59"/>
      <c r="D776" s="59"/>
    </row>
    <row r="777" ht="12.75" customHeight="1">
      <c r="B777" s="59"/>
      <c r="C777" s="59"/>
      <c r="D777" s="59"/>
    </row>
    <row r="778" ht="12.75" customHeight="1">
      <c r="B778" s="59"/>
      <c r="C778" s="59"/>
      <c r="D778" s="59"/>
    </row>
    <row r="779" ht="12.75" customHeight="1">
      <c r="B779" s="59"/>
      <c r="C779" s="59"/>
      <c r="D779" s="59"/>
    </row>
    <row r="780" ht="12.75" customHeight="1">
      <c r="B780" s="59"/>
      <c r="C780" s="59"/>
      <c r="D780" s="59"/>
    </row>
    <row r="781" ht="12.75" customHeight="1">
      <c r="B781" s="59"/>
      <c r="C781" s="59"/>
      <c r="D781" s="59"/>
    </row>
    <row r="782" ht="12.75" customHeight="1">
      <c r="B782" s="59"/>
      <c r="C782" s="59"/>
      <c r="D782" s="59"/>
    </row>
    <row r="783" ht="12.75" customHeight="1">
      <c r="B783" s="59"/>
      <c r="C783" s="59"/>
      <c r="D783" s="59"/>
    </row>
    <row r="784" ht="12.75" customHeight="1">
      <c r="B784" s="59"/>
      <c r="C784" s="59"/>
      <c r="D784" s="59"/>
    </row>
    <row r="785" ht="12.75" customHeight="1">
      <c r="B785" s="59"/>
      <c r="C785" s="59"/>
      <c r="D785" s="59"/>
    </row>
    <row r="786" ht="12.75" customHeight="1">
      <c r="B786" s="59"/>
      <c r="C786" s="59"/>
      <c r="D786" s="59"/>
    </row>
    <row r="787" ht="12.75" customHeight="1">
      <c r="B787" s="59"/>
      <c r="C787" s="59"/>
      <c r="D787" s="59"/>
    </row>
    <row r="788" ht="12.75" customHeight="1">
      <c r="B788" s="59"/>
      <c r="C788" s="59"/>
      <c r="D788" s="59"/>
    </row>
    <row r="789" ht="12.75" customHeight="1">
      <c r="B789" s="59"/>
      <c r="C789" s="59"/>
      <c r="D789" s="59"/>
    </row>
    <row r="790" ht="12.75" customHeight="1">
      <c r="B790" s="59"/>
      <c r="C790" s="59"/>
      <c r="D790" s="59"/>
    </row>
    <row r="791" ht="12.75" customHeight="1">
      <c r="B791" s="59"/>
      <c r="C791" s="59"/>
      <c r="D791" s="59"/>
    </row>
    <row r="792" ht="12.75" customHeight="1">
      <c r="B792" s="59"/>
      <c r="C792" s="59"/>
      <c r="D792" s="59"/>
    </row>
    <row r="793" ht="12.75" customHeight="1">
      <c r="B793" s="59"/>
      <c r="C793" s="59"/>
      <c r="D793" s="59"/>
    </row>
    <row r="794" ht="12.75" customHeight="1">
      <c r="B794" s="59"/>
      <c r="C794" s="59"/>
      <c r="D794" s="59"/>
    </row>
    <row r="795" ht="12.75" customHeight="1">
      <c r="B795" s="59"/>
      <c r="C795" s="59"/>
      <c r="D795" s="59"/>
    </row>
    <row r="796" ht="12.75" customHeight="1">
      <c r="B796" s="59"/>
      <c r="C796" s="59"/>
      <c r="D796" s="59"/>
    </row>
    <row r="797" ht="12.75" customHeight="1">
      <c r="B797" s="59"/>
      <c r="C797" s="59"/>
      <c r="D797" s="59"/>
    </row>
    <row r="798" ht="12.75" customHeight="1">
      <c r="B798" s="59"/>
      <c r="C798" s="59"/>
      <c r="D798" s="59"/>
    </row>
    <row r="799" ht="12.75" customHeight="1">
      <c r="B799" s="59"/>
      <c r="C799" s="59"/>
      <c r="D799" s="59"/>
    </row>
    <row r="800" ht="12.75" customHeight="1">
      <c r="B800" s="59"/>
      <c r="C800" s="59"/>
      <c r="D800" s="59"/>
    </row>
    <row r="801" ht="12.75" customHeight="1">
      <c r="B801" s="59"/>
      <c r="C801" s="59"/>
      <c r="D801" s="59"/>
    </row>
    <row r="802" ht="12.75" customHeight="1">
      <c r="B802" s="59"/>
      <c r="C802" s="59"/>
      <c r="D802" s="59"/>
    </row>
    <row r="803" ht="12.75" customHeight="1">
      <c r="B803" s="59"/>
      <c r="C803" s="59"/>
      <c r="D803" s="59"/>
    </row>
    <row r="804" ht="12.75" customHeight="1">
      <c r="B804" s="59"/>
      <c r="C804" s="59"/>
      <c r="D804" s="59"/>
    </row>
    <row r="805" ht="12.75" customHeight="1">
      <c r="B805" s="59"/>
      <c r="C805" s="59"/>
      <c r="D805" s="59"/>
    </row>
    <row r="806" ht="12.75" customHeight="1">
      <c r="B806" s="59"/>
      <c r="C806" s="59"/>
      <c r="D806" s="59"/>
    </row>
    <row r="807" ht="12.75" customHeight="1">
      <c r="B807" s="59"/>
      <c r="C807" s="59"/>
      <c r="D807" s="59"/>
    </row>
    <row r="808" ht="12.75" customHeight="1">
      <c r="B808" s="59"/>
      <c r="C808" s="59"/>
      <c r="D808" s="59"/>
    </row>
    <row r="809" ht="12.75" customHeight="1">
      <c r="B809" s="59"/>
      <c r="C809" s="59"/>
      <c r="D809" s="59"/>
    </row>
    <row r="810" ht="12.75" customHeight="1">
      <c r="B810" s="59"/>
      <c r="C810" s="59"/>
      <c r="D810" s="59"/>
    </row>
    <row r="811" ht="12.75" customHeight="1">
      <c r="B811" s="59"/>
      <c r="C811" s="59"/>
      <c r="D811" s="59"/>
    </row>
    <row r="812" ht="12.75" customHeight="1">
      <c r="B812" s="59"/>
      <c r="C812" s="59"/>
      <c r="D812" s="59"/>
    </row>
    <row r="813" ht="12.75" customHeight="1">
      <c r="B813" s="59"/>
      <c r="C813" s="59"/>
      <c r="D813" s="59"/>
    </row>
    <row r="814" ht="12.75" customHeight="1">
      <c r="B814" s="59"/>
      <c r="C814" s="59"/>
      <c r="D814" s="59"/>
    </row>
    <row r="815" ht="12.75" customHeight="1">
      <c r="B815" s="59"/>
      <c r="C815" s="59"/>
      <c r="D815" s="59"/>
    </row>
    <row r="816" ht="12.75" customHeight="1">
      <c r="B816" s="59"/>
      <c r="C816" s="59"/>
      <c r="D816" s="59"/>
    </row>
    <row r="817" ht="12.75" customHeight="1">
      <c r="B817" s="59"/>
      <c r="C817" s="59"/>
      <c r="D817" s="59"/>
    </row>
    <row r="818" ht="12.75" customHeight="1">
      <c r="B818" s="59"/>
      <c r="C818" s="59"/>
      <c r="D818" s="59"/>
    </row>
    <row r="819" ht="12.75" customHeight="1">
      <c r="B819" s="59"/>
      <c r="C819" s="59"/>
      <c r="D819" s="59"/>
    </row>
    <row r="820" ht="12.75" customHeight="1">
      <c r="B820" s="59"/>
      <c r="C820" s="59"/>
      <c r="D820" s="59"/>
    </row>
    <row r="821" ht="12.75" customHeight="1">
      <c r="B821" s="59"/>
      <c r="C821" s="59"/>
      <c r="D821" s="59"/>
    </row>
    <row r="822" ht="12.75" customHeight="1">
      <c r="B822" s="59"/>
      <c r="C822" s="59"/>
      <c r="D822" s="59"/>
    </row>
    <row r="823" ht="12.75" customHeight="1">
      <c r="B823" s="59"/>
      <c r="C823" s="59"/>
      <c r="D823" s="59"/>
    </row>
    <row r="824" ht="12.75" customHeight="1">
      <c r="B824" s="59"/>
      <c r="C824" s="59"/>
      <c r="D824" s="59"/>
    </row>
    <row r="825" ht="12.75" customHeight="1">
      <c r="B825" s="59"/>
      <c r="C825" s="59"/>
      <c r="D825" s="59"/>
    </row>
    <row r="826" ht="12.75" customHeight="1">
      <c r="B826" s="59"/>
      <c r="C826" s="59"/>
      <c r="D826" s="59"/>
    </row>
    <row r="827" ht="12.75" customHeight="1">
      <c r="B827" s="59"/>
      <c r="C827" s="59"/>
      <c r="D827" s="59"/>
    </row>
    <row r="828" ht="12.75" customHeight="1">
      <c r="B828" s="59"/>
      <c r="C828" s="59"/>
      <c r="D828" s="59"/>
    </row>
    <row r="829" ht="12.75" customHeight="1">
      <c r="B829" s="59"/>
      <c r="C829" s="59"/>
      <c r="D829" s="59"/>
    </row>
    <row r="830" ht="12.75" customHeight="1">
      <c r="B830" s="59"/>
      <c r="C830" s="59"/>
      <c r="D830" s="59"/>
    </row>
    <row r="831" ht="12.75" customHeight="1">
      <c r="B831" s="59"/>
      <c r="C831" s="59"/>
      <c r="D831" s="59"/>
    </row>
    <row r="832" ht="12.75" customHeight="1">
      <c r="B832" s="59"/>
      <c r="C832" s="59"/>
      <c r="D832" s="59"/>
    </row>
    <row r="833" ht="12.75" customHeight="1">
      <c r="B833" s="59"/>
      <c r="C833" s="59"/>
      <c r="D833" s="59"/>
    </row>
    <row r="834" ht="12.75" customHeight="1">
      <c r="B834" s="59"/>
      <c r="C834" s="59"/>
      <c r="D834" s="59"/>
    </row>
    <row r="835" ht="12.75" customHeight="1">
      <c r="B835" s="59"/>
      <c r="C835" s="59"/>
      <c r="D835" s="59"/>
    </row>
    <row r="836" ht="12.75" customHeight="1">
      <c r="B836" s="59"/>
      <c r="C836" s="59"/>
      <c r="D836" s="59"/>
    </row>
    <row r="837" ht="12.75" customHeight="1">
      <c r="B837" s="59"/>
      <c r="C837" s="59"/>
      <c r="D837" s="59"/>
    </row>
    <row r="838" ht="12.75" customHeight="1">
      <c r="B838" s="59"/>
      <c r="C838" s="59"/>
      <c r="D838" s="59"/>
    </row>
    <row r="839" ht="12.75" customHeight="1">
      <c r="B839" s="59"/>
      <c r="C839" s="59"/>
      <c r="D839" s="59"/>
    </row>
    <row r="840" ht="12.75" customHeight="1">
      <c r="B840" s="59"/>
      <c r="C840" s="59"/>
      <c r="D840" s="59"/>
    </row>
    <row r="841" ht="12.75" customHeight="1">
      <c r="B841" s="59"/>
      <c r="C841" s="59"/>
      <c r="D841" s="59"/>
    </row>
    <row r="842" ht="12.75" customHeight="1">
      <c r="B842" s="59"/>
      <c r="C842" s="59"/>
      <c r="D842" s="59"/>
    </row>
    <row r="843" ht="12.75" customHeight="1">
      <c r="B843" s="59"/>
      <c r="C843" s="59"/>
      <c r="D843" s="59"/>
    </row>
    <row r="844" ht="12.75" customHeight="1">
      <c r="B844" s="59"/>
      <c r="C844" s="59"/>
      <c r="D844" s="59"/>
    </row>
    <row r="845" ht="12.75" customHeight="1">
      <c r="B845" s="59"/>
      <c r="C845" s="59"/>
      <c r="D845" s="59"/>
    </row>
    <row r="846" ht="12.75" customHeight="1">
      <c r="B846" s="59"/>
      <c r="C846" s="59"/>
      <c r="D846" s="59"/>
    </row>
    <row r="847" ht="12.75" customHeight="1">
      <c r="B847" s="59"/>
      <c r="C847" s="59"/>
      <c r="D847" s="59"/>
    </row>
    <row r="848" ht="12.75" customHeight="1">
      <c r="B848" s="59"/>
      <c r="C848" s="59"/>
      <c r="D848" s="59"/>
    </row>
    <row r="849" ht="12.75" customHeight="1">
      <c r="B849" s="59"/>
      <c r="C849" s="59"/>
      <c r="D849" s="59"/>
    </row>
    <row r="850" ht="12.75" customHeight="1">
      <c r="B850" s="59"/>
      <c r="C850" s="59"/>
      <c r="D850" s="59"/>
    </row>
    <row r="851" ht="12.75" customHeight="1">
      <c r="B851" s="59"/>
      <c r="C851" s="59"/>
      <c r="D851" s="59"/>
    </row>
    <row r="852" ht="12.75" customHeight="1">
      <c r="B852" s="59"/>
      <c r="C852" s="59"/>
      <c r="D852" s="59"/>
    </row>
    <row r="853" ht="12.75" customHeight="1">
      <c r="B853" s="59"/>
      <c r="C853" s="59"/>
      <c r="D853" s="59"/>
    </row>
    <row r="854" ht="12.75" customHeight="1">
      <c r="B854" s="59"/>
      <c r="C854" s="59"/>
      <c r="D854" s="59"/>
    </row>
    <row r="855" ht="12.75" customHeight="1">
      <c r="B855" s="59"/>
      <c r="C855" s="59"/>
      <c r="D855" s="59"/>
    </row>
    <row r="856" ht="12.75" customHeight="1">
      <c r="B856" s="59"/>
      <c r="C856" s="59"/>
      <c r="D856" s="59"/>
    </row>
    <row r="857" ht="12.75" customHeight="1">
      <c r="B857" s="59"/>
      <c r="C857" s="59"/>
      <c r="D857" s="59"/>
    </row>
    <row r="858" ht="12.75" customHeight="1">
      <c r="B858" s="59"/>
      <c r="C858" s="59"/>
      <c r="D858" s="59"/>
    </row>
    <row r="859" ht="12.75" customHeight="1">
      <c r="B859" s="59"/>
      <c r="C859" s="59"/>
      <c r="D859" s="59"/>
    </row>
    <row r="860" ht="12.75" customHeight="1">
      <c r="B860" s="59"/>
      <c r="C860" s="59"/>
      <c r="D860" s="59"/>
    </row>
    <row r="861" ht="12.75" customHeight="1">
      <c r="B861" s="59"/>
      <c r="C861" s="59"/>
      <c r="D861" s="59"/>
    </row>
    <row r="862" ht="12.75" customHeight="1">
      <c r="B862" s="59"/>
      <c r="C862" s="59"/>
      <c r="D862" s="59"/>
    </row>
    <row r="863" ht="12.75" customHeight="1">
      <c r="B863" s="59"/>
      <c r="C863" s="59"/>
      <c r="D863" s="59"/>
    </row>
    <row r="864" ht="12.75" customHeight="1">
      <c r="B864" s="59"/>
      <c r="C864" s="59"/>
      <c r="D864" s="59"/>
    </row>
    <row r="865" ht="12.75" customHeight="1">
      <c r="B865" s="59"/>
      <c r="C865" s="59"/>
      <c r="D865" s="59"/>
    </row>
    <row r="866" ht="12.75" customHeight="1">
      <c r="B866" s="59"/>
      <c r="C866" s="59"/>
      <c r="D866" s="59"/>
    </row>
    <row r="867" ht="12.75" customHeight="1">
      <c r="B867" s="59"/>
      <c r="C867" s="59"/>
      <c r="D867" s="59"/>
    </row>
    <row r="868" ht="12.75" customHeight="1">
      <c r="B868" s="59"/>
      <c r="C868" s="59"/>
      <c r="D868" s="59"/>
    </row>
    <row r="869" ht="12.75" customHeight="1">
      <c r="B869" s="59"/>
      <c r="C869" s="59"/>
      <c r="D869" s="59"/>
    </row>
    <row r="870" ht="12.75" customHeight="1">
      <c r="B870" s="59"/>
      <c r="C870" s="59"/>
      <c r="D870" s="59"/>
    </row>
    <row r="871" ht="12.75" customHeight="1">
      <c r="B871" s="59"/>
      <c r="C871" s="59"/>
      <c r="D871" s="59"/>
    </row>
    <row r="872" ht="12.75" customHeight="1">
      <c r="B872" s="59"/>
      <c r="C872" s="59"/>
      <c r="D872" s="59"/>
    </row>
    <row r="873" ht="12.75" customHeight="1">
      <c r="B873" s="59"/>
      <c r="C873" s="59"/>
      <c r="D873" s="59"/>
    </row>
    <row r="874" ht="12.75" customHeight="1">
      <c r="B874" s="59"/>
      <c r="C874" s="59"/>
      <c r="D874" s="59"/>
    </row>
    <row r="875" ht="12.75" customHeight="1">
      <c r="B875" s="59"/>
      <c r="C875" s="59"/>
      <c r="D875" s="59"/>
    </row>
    <row r="876" ht="12.75" customHeight="1">
      <c r="B876" s="59"/>
      <c r="C876" s="59"/>
      <c r="D876" s="59"/>
    </row>
    <row r="877" ht="12.75" customHeight="1">
      <c r="B877" s="59"/>
      <c r="C877" s="59"/>
      <c r="D877" s="59"/>
    </row>
    <row r="878" ht="12.75" customHeight="1">
      <c r="B878" s="59"/>
      <c r="C878" s="59"/>
      <c r="D878" s="59"/>
    </row>
    <row r="879" ht="12.75" customHeight="1">
      <c r="B879" s="59"/>
      <c r="C879" s="59"/>
      <c r="D879" s="59"/>
    </row>
    <row r="880" ht="12.75" customHeight="1">
      <c r="B880" s="59"/>
      <c r="C880" s="59"/>
      <c r="D880" s="59"/>
    </row>
    <row r="881" ht="12.75" customHeight="1">
      <c r="B881" s="59"/>
      <c r="C881" s="59"/>
      <c r="D881" s="59"/>
    </row>
    <row r="882" ht="12.75" customHeight="1">
      <c r="B882" s="59"/>
      <c r="C882" s="59"/>
      <c r="D882" s="59"/>
    </row>
    <row r="883" ht="12.75" customHeight="1">
      <c r="B883" s="59"/>
      <c r="C883" s="59"/>
      <c r="D883" s="59"/>
    </row>
    <row r="884" ht="12.75" customHeight="1">
      <c r="B884" s="59"/>
      <c r="C884" s="59"/>
      <c r="D884" s="59"/>
    </row>
    <row r="885" ht="12.75" customHeight="1">
      <c r="B885" s="59"/>
      <c r="C885" s="59"/>
      <c r="D885" s="59"/>
    </row>
    <row r="886" ht="12.75" customHeight="1">
      <c r="B886" s="59"/>
      <c r="C886" s="59"/>
      <c r="D886" s="59"/>
    </row>
    <row r="887" ht="12.75" customHeight="1">
      <c r="B887" s="59"/>
      <c r="C887" s="59"/>
      <c r="D887" s="59"/>
    </row>
    <row r="888" ht="12.75" customHeight="1">
      <c r="B888" s="59"/>
      <c r="C888" s="59"/>
      <c r="D888" s="59"/>
    </row>
    <row r="889" ht="12.75" customHeight="1">
      <c r="B889" s="59"/>
      <c r="C889" s="59"/>
      <c r="D889" s="59"/>
    </row>
    <row r="890" ht="12.75" customHeight="1">
      <c r="B890" s="59"/>
      <c r="C890" s="59"/>
      <c r="D890" s="59"/>
    </row>
    <row r="891" ht="12.75" customHeight="1">
      <c r="B891" s="59"/>
      <c r="C891" s="59"/>
      <c r="D891" s="59"/>
    </row>
    <row r="892" ht="12.75" customHeight="1">
      <c r="B892" s="59"/>
      <c r="C892" s="59"/>
      <c r="D892" s="59"/>
    </row>
    <row r="893" ht="12.75" customHeight="1">
      <c r="B893" s="59"/>
      <c r="C893" s="59"/>
      <c r="D893" s="59"/>
    </row>
    <row r="894" ht="12.75" customHeight="1">
      <c r="B894" s="59"/>
      <c r="C894" s="59"/>
      <c r="D894" s="59"/>
    </row>
    <row r="895" ht="12.75" customHeight="1">
      <c r="B895" s="59"/>
      <c r="C895" s="59"/>
      <c r="D895" s="59"/>
    </row>
    <row r="896" ht="12.75" customHeight="1">
      <c r="B896" s="59"/>
      <c r="C896" s="59"/>
      <c r="D896" s="59"/>
    </row>
    <row r="897" ht="12.75" customHeight="1">
      <c r="B897" s="59"/>
      <c r="C897" s="59"/>
      <c r="D897" s="59"/>
    </row>
    <row r="898" ht="12.75" customHeight="1">
      <c r="B898" s="59"/>
      <c r="C898" s="59"/>
      <c r="D898" s="59"/>
    </row>
    <row r="899" ht="12.75" customHeight="1">
      <c r="B899" s="59"/>
      <c r="C899" s="59"/>
      <c r="D899" s="59"/>
    </row>
    <row r="900" ht="12.75" customHeight="1">
      <c r="B900" s="59"/>
      <c r="C900" s="59"/>
      <c r="D900" s="59"/>
    </row>
    <row r="901" ht="12.75" customHeight="1">
      <c r="B901" s="59"/>
      <c r="C901" s="59"/>
      <c r="D901" s="59"/>
    </row>
    <row r="902" ht="12.75" customHeight="1">
      <c r="B902" s="59"/>
      <c r="C902" s="59"/>
      <c r="D902" s="59"/>
    </row>
    <row r="903" ht="12.75" customHeight="1">
      <c r="B903" s="59"/>
      <c r="C903" s="59"/>
      <c r="D903" s="59"/>
    </row>
    <row r="904" ht="12.75" customHeight="1">
      <c r="B904" s="59"/>
      <c r="C904" s="59"/>
      <c r="D904" s="59"/>
    </row>
    <row r="905" ht="12.75" customHeight="1">
      <c r="B905" s="59"/>
      <c r="C905" s="59"/>
      <c r="D905" s="59"/>
    </row>
    <row r="906" ht="12.75" customHeight="1">
      <c r="B906" s="59"/>
      <c r="C906" s="59"/>
      <c r="D906" s="59"/>
    </row>
    <row r="907" ht="12.75" customHeight="1">
      <c r="B907" s="59"/>
      <c r="C907" s="59"/>
      <c r="D907" s="59"/>
    </row>
    <row r="908" ht="12.75" customHeight="1">
      <c r="B908" s="59"/>
      <c r="C908" s="59"/>
      <c r="D908" s="59"/>
    </row>
    <row r="909" ht="12.75" customHeight="1">
      <c r="B909" s="59"/>
      <c r="C909" s="59"/>
      <c r="D909" s="59"/>
    </row>
    <row r="910" ht="12.75" customHeight="1">
      <c r="B910" s="59"/>
      <c r="C910" s="59"/>
      <c r="D910" s="59"/>
    </row>
    <row r="911" ht="12.75" customHeight="1">
      <c r="B911" s="59"/>
      <c r="C911" s="59"/>
      <c r="D911" s="59"/>
    </row>
    <row r="912" ht="12.75" customHeight="1">
      <c r="B912" s="59"/>
      <c r="C912" s="59"/>
      <c r="D912" s="59"/>
    </row>
    <row r="913" ht="12.75" customHeight="1">
      <c r="B913" s="59"/>
      <c r="C913" s="59"/>
      <c r="D913" s="59"/>
    </row>
    <row r="914" ht="12.75" customHeight="1">
      <c r="B914" s="59"/>
      <c r="C914" s="59"/>
      <c r="D914" s="59"/>
    </row>
    <row r="915" ht="12.75" customHeight="1">
      <c r="B915" s="59"/>
      <c r="C915" s="59"/>
      <c r="D915" s="59"/>
    </row>
    <row r="916" ht="12.75" customHeight="1">
      <c r="B916" s="59"/>
      <c r="C916" s="59"/>
      <c r="D916" s="59"/>
    </row>
    <row r="917" ht="12.75" customHeight="1">
      <c r="B917" s="59"/>
      <c r="C917" s="59"/>
      <c r="D917" s="59"/>
    </row>
    <row r="918" ht="12.75" customHeight="1">
      <c r="B918" s="59"/>
      <c r="C918" s="59"/>
      <c r="D918" s="59"/>
    </row>
    <row r="919" ht="12.75" customHeight="1">
      <c r="B919" s="59"/>
      <c r="C919" s="59"/>
      <c r="D919" s="59"/>
    </row>
    <row r="920" ht="12.75" customHeight="1">
      <c r="B920" s="59"/>
      <c r="C920" s="59"/>
      <c r="D920" s="59"/>
    </row>
    <row r="921" ht="12.75" customHeight="1">
      <c r="B921" s="59"/>
      <c r="C921" s="59"/>
      <c r="D921" s="59"/>
    </row>
    <row r="922" ht="12.75" customHeight="1">
      <c r="B922" s="59"/>
      <c r="C922" s="59"/>
      <c r="D922" s="59"/>
    </row>
    <row r="923" ht="12.75" customHeight="1">
      <c r="B923" s="59"/>
      <c r="C923" s="59"/>
      <c r="D923" s="59"/>
    </row>
    <row r="924" ht="12.75" customHeight="1">
      <c r="B924" s="59"/>
      <c r="C924" s="59"/>
      <c r="D924" s="59"/>
    </row>
    <row r="925" ht="12.75" customHeight="1">
      <c r="B925" s="59"/>
      <c r="C925" s="59"/>
      <c r="D925" s="59"/>
    </row>
    <row r="926" ht="12.75" customHeight="1">
      <c r="B926" s="59"/>
      <c r="C926" s="59"/>
      <c r="D926" s="59"/>
    </row>
    <row r="927" ht="12.75" customHeight="1">
      <c r="B927" s="59"/>
      <c r="C927" s="59"/>
      <c r="D927" s="59"/>
    </row>
    <row r="928" ht="12.75" customHeight="1">
      <c r="B928" s="59"/>
      <c r="C928" s="59"/>
      <c r="D928" s="59"/>
    </row>
    <row r="929" ht="12.75" customHeight="1">
      <c r="B929" s="59"/>
      <c r="C929" s="59"/>
      <c r="D929" s="59"/>
    </row>
    <row r="930" ht="12.75" customHeight="1">
      <c r="B930" s="59"/>
      <c r="C930" s="59"/>
      <c r="D930" s="59"/>
    </row>
    <row r="931" ht="12.75" customHeight="1">
      <c r="B931" s="59"/>
      <c r="C931" s="59"/>
      <c r="D931" s="59"/>
    </row>
    <row r="932" ht="12.75" customHeight="1">
      <c r="B932" s="59"/>
      <c r="C932" s="59"/>
      <c r="D932" s="59"/>
    </row>
    <row r="933" ht="12.75" customHeight="1">
      <c r="B933" s="59"/>
      <c r="C933" s="59"/>
      <c r="D933" s="59"/>
    </row>
    <row r="934" ht="12.75" customHeight="1">
      <c r="B934" s="59"/>
      <c r="C934" s="59"/>
      <c r="D934" s="59"/>
    </row>
    <row r="935" ht="12.75" customHeight="1">
      <c r="B935" s="59"/>
      <c r="C935" s="59"/>
      <c r="D935" s="59"/>
    </row>
    <row r="936" ht="12.75" customHeight="1">
      <c r="B936" s="59"/>
      <c r="C936" s="59"/>
      <c r="D936" s="59"/>
    </row>
    <row r="937" ht="12.75" customHeight="1">
      <c r="B937" s="59"/>
      <c r="C937" s="59"/>
      <c r="D937" s="59"/>
    </row>
    <row r="938" ht="12.75" customHeight="1">
      <c r="B938" s="59"/>
      <c r="C938" s="59"/>
      <c r="D938" s="59"/>
    </row>
    <row r="939" ht="12.75" customHeight="1">
      <c r="B939" s="59"/>
      <c r="C939" s="59"/>
      <c r="D939" s="59"/>
    </row>
    <row r="940" ht="12.75" customHeight="1">
      <c r="B940" s="59"/>
      <c r="C940" s="59"/>
      <c r="D940" s="59"/>
    </row>
    <row r="941" ht="12.75" customHeight="1">
      <c r="B941" s="59"/>
      <c r="C941" s="59"/>
      <c r="D941" s="59"/>
    </row>
    <row r="942" ht="12.75" customHeight="1">
      <c r="B942" s="59"/>
      <c r="C942" s="59"/>
      <c r="D942" s="59"/>
    </row>
    <row r="943" ht="12.75" customHeight="1">
      <c r="B943" s="59"/>
      <c r="C943" s="59"/>
      <c r="D943" s="59"/>
    </row>
    <row r="944" ht="12.75" customHeight="1">
      <c r="B944" s="59"/>
      <c r="C944" s="59"/>
      <c r="D944" s="59"/>
    </row>
    <row r="945" ht="12.75" customHeight="1">
      <c r="B945" s="59"/>
      <c r="C945" s="59"/>
      <c r="D945" s="59"/>
    </row>
    <row r="946" ht="12.75" customHeight="1">
      <c r="B946" s="59"/>
      <c r="C946" s="59"/>
      <c r="D946" s="59"/>
    </row>
    <row r="947" ht="12.75" customHeight="1">
      <c r="B947" s="59"/>
      <c r="C947" s="59"/>
      <c r="D947" s="59"/>
    </row>
    <row r="948" ht="12.75" customHeight="1">
      <c r="B948" s="59"/>
      <c r="C948" s="59"/>
      <c r="D948" s="59"/>
    </row>
    <row r="949" ht="12.75" customHeight="1">
      <c r="B949" s="59"/>
      <c r="C949" s="59"/>
      <c r="D949" s="59"/>
    </row>
    <row r="950" ht="12.75" customHeight="1">
      <c r="B950" s="59"/>
      <c r="C950" s="59"/>
      <c r="D950" s="59"/>
    </row>
    <row r="951" ht="12.75" customHeight="1">
      <c r="B951" s="59"/>
      <c r="C951" s="59"/>
      <c r="D951" s="59"/>
    </row>
    <row r="952" ht="12.75" customHeight="1">
      <c r="B952" s="59"/>
      <c r="C952" s="59"/>
      <c r="D952" s="59"/>
    </row>
    <row r="953" ht="12.75" customHeight="1">
      <c r="B953" s="59"/>
      <c r="C953" s="59"/>
      <c r="D953" s="59"/>
    </row>
    <row r="954" ht="12.75" customHeight="1">
      <c r="B954" s="59"/>
      <c r="C954" s="59"/>
      <c r="D954" s="59"/>
    </row>
    <row r="955" ht="12.75" customHeight="1">
      <c r="B955" s="59"/>
      <c r="C955" s="59"/>
      <c r="D955" s="59"/>
    </row>
    <row r="956" ht="12.75" customHeight="1">
      <c r="B956" s="59"/>
      <c r="C956" s="59"/>
      <c r="D956" s="59"/>
    </row>
    <row r="957" ht="12.75" customHeight="1">
      <c r="B957" s="59"/>
      <c r="C957" s="59"/>
      <c r="D957" s="59"/>
    </row>
    <row r="958" ht="12.75" customHeight="1">
      <c r="B958" s="59"/>
      <c r="C958" s="59"/>
      <c r="D958" s="59"/>
    </row>
    <row r="959" ht="12.75" customHeight="1">
      <c r="B959" s="59"/>
      <c r="C959" s="59"/>
      <c r="D959" s="59"/>
    </row>
    <row r="960" ht="12.75" customHeight="1">
      <c r="B960" s="59"/>
      <c r="C960" s="59"/>
      <c r="D960" s="59"/>
    </row>
    <row r="961" ht="12.75" customHeight="1">
      <c r="B961" s="59"/>
      <c r="C961" s="59"/>
      <c r="D961" s="59"/>
    </row>
    <row r="962" ht="12.75" customHeight="1">
      <c r="B962" s="59"/>
      <c r="C962" s="59"/>
      <c r="D962" s="59"/>
    </row>
    <row r="963" ht="12.75" customHeight="1">
      <c r="B963" s="59"/>
      <c r="C963" s="59"/>
      <c r="D963" s="59"/>
    </row>
    <row r="964" ht="12.75" customHeight="1">
      <c r="B964" s="59"/>
      <c r="C964" s="59"/>
      <c r="D964" s="59"/>
    </row>
    <row r="965" ht="12.75" customHeight="1">
      <c r="B965" s="59"/>
      <c r="C965" s="59"/>
      <c r="D965" s="59"/>
    </row>
    <row r="966" ht="12.75" customHeight="1">
      <c r="B966" s="59"/>
      <c r="C966" s="59"/>
      <c r="D966" s="59"/>
    </row>
    <row r="967" ht="12.75" customHeight="1">
      <c r="B967" s="59"/>
      <c r="C967" s="59"/>
      <c r="D967" s="59"/>
    </row>
    <row r="968" ht="12.75" customHeight="1">
      <c r="B968" s="59"/>
      <c r="C968" s="59"/>
      <c r="D968" s="59"/>
    </row>
    <row r="969" ht="12.75" customHeight="1">
      <c r="B969" s="59"/>
      <c r="C969" s="59"/>
      <c r="D969" s="59"/>
    </row>
    <row r="970" ht="12.75" customHeight="1">
      <c r="B970" s="59"/>
      <c r="C970" s="59"/>
      <c r="D970" s="59"/>
    </row>
    <row r="971" ht="12.75" customHeight="1">
      <c r="B971" s="59"/>
      <c r="C971" s="59"/>
      <c r="D971" s="59"/>
    </row>
    <row r="972" ht="12.75" customHeight="1">
      <c r="B972" s="59"/>
      <c r="C972" s="59"/>
      <c r="D972" s="59"/>
    </row>
    <row r="973" ht="12.75" customHeight="1">
      <c r="B973" s="59"/>
      <c r="C973" s="59"/>
      <c r="D973" s="59"/>
    </row>
    <row r="974" ht="12.75" customHeight="1">
      <c r="B974" s="59"/>
      <c r="C974" s="59"/>
      <c r="D974" s="59"/>
    </row>
    <row r="975" ht="12.75" customHeight="1">
      <c r="B975" s="59"/>
      <c r="C975" s="59"/>
      <c r="D975" s="59"/>
    </row>
    <row r="976" ht="12.75" customHeight="1">
      <c r="B976" s="59"/>
      <c r="C976" s="59"/>
      <c r="D976" s="59"/>
    </row>
    <row r="977" ht="12.75" customHeight="1">
      <c r="B977" s="59"/>
      <c r="C977" s="59"/>
      <c r="D977" s="59"/>
    </row>
    <row r="978" ht="12.75" customHeight="1">
      <c r="B978" s="59"/>
      <c r="C978" s="59"/>
      <c r="D978" s="59"/>
    </row>
    <row r="979" ht="12.75" customHeight="1">
      <c r="B979" s="59"/>
      <c r="C979" s="59"/>
      <c r="D979" s="59"/>
    </row>
    <row r="980" ht="12.75" customHeight="1">
      <c r="B980" s="59"/>
      <c r="C980" s="59"/>
      <c r="D980" s="59"/>
    </row>
    <row r="981" ht="12.75" customHeight="1">
      <c r="B981" s="59"/>
      <c r="C981" s="59"/>
      <c r="D981" s="59"/>
    </row>
    <row r="982" ht="12.75" customHeight="1">
      <c r="B982" s="59"/>
      <c r="C982" s="59"/>
      <c r="D982" s="59"/>
    </row>
    <row r="983" ht="12.75" customHeight="1">
      <c r="B983" s="59"/>
      <c r="C983" s="59"/>
      <c r="D983" s="59"/>
    </row>
    <row r="984" ht="12.75" customHeight="1">
      <c r="B984" s="59"/>
      <c r="C984" s="59"/>
      <c r="D984" s="59"/>
    </row>
    <row r="985" ht="12.75" customHeight="1">
      <c r="B985" s="59"/>
      <c r="C985" s="59"/>
      <c r="D985" s="59"/>
    </row>
    <row r="986" ht="12.75" customHeight="1">
      <c r="B986" s="59"/>
      <c r="C986" s="59"/>
      <c r="D986" s="59"/>
    </row>
    <row r="987" ht="12.75" customHeight="1">
      <c r="B987" s="59"/>
      <c r="C987" s="59"/>
      <c r="D987" s="59"/>
    </row>
    <row r="988" ht="12.75" customHeight="1">
      <c r="B988" s="59"/>
      <c r="C988" s="59"/>
      <c r="D988" s="59"/>
    </row>
    <row r="989" ht="12.75" customHeight="1">
      <c r="B989" s="59"/>
      <c r="C989" s="59"/>
      <c r="D989" s="59"/>
    </row>
    <row r="990" ht="12.75" customHeight="1">
      <c r="B990" s="59"/>
      <c r="C990" s="59"/>
      <c r="D990" s="59"/>
    </row>
    <row r="991" ht="12.75" customHeight="1">
      <c r="B991" s="59"/>
      <c r="C991" s="59"/>
      <c r="D991" s="59"/>
    </row>
    <row r="992" ht="12.75" customHeight="1">
      <c r="B992" s="59"/>
      <c r="C992" s="59"/>
      <c r="D992" s="59"/>
    </row>
    <row r="993" ht="12.75" customHeight="1">
      <c r="B993" s="59"/>
      <c r="C993" s="59"/>
      <c r="D993" s="59"/>
    </row>
    <row r="994" ht="12.75" customHeight="1">
      <c r="B994" s="59"/>
      <c r="C994" s="59"/>
      <c r="D994" s="59"/>
    </row>
    <row r="995" ht="12.75" customHeight="1">
      <c r="B995" s="59"/>
      <c r="C995" s="59"/>
      <c r="D995" s="59"/>
    </row>
    <row r="996" ht="12.75" customHeight="1">
      <c r="B996" s="59"/>
      <c r="C996" s="59"/>
      <c r="D996" s="59"/>
    </row>
    <row r="997" ht="12.75" customHeight="1">
      <c r="B997" s="59"/>
      <c r="C997" s="59"/>
      <c r="D997" s="59"/>
    </row>
    <row r="998" ht="12.75" customHeight="1">
      <c r="B998" s="59"/>
      <c r="C998" s="59"/>
      <c r="D998" s="59"/>
    </row>
    <row r="999" ht="12.75" customHeight="1">
      <c r="B999" s="59"/>
      <c r="C999" s="59"/>
      <c r="D999" s="59"/>
    </row>
    <row r="1000" ht="12.75" customHeight="1">
      <c r="B1000" s="59"/>
      <c r="C1000" s="59"/>
      <c r="D1000" s="59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38"/>
    <col customWidth="1" min="3" max="3" width="13.75"/>
    <col customWidth="1" min="4" max="6" width="11.38"/>
    <col customWidth="1" min="7" max="7" width="12.25"/>
    <col customWidth="1" min="8" max="26" width="10.63"/>
  </cols>
  <sheetData>
    <row r="1" ht="12.75" customHeight="1">
      <c r="A1" s="46">
        <v>0.0</v>
      </c>
      <c r="B1" s="59">
        <f t="shared" ref="B1:B31" si="1">D1-C1</f>
        <v>0</v>
      </c>
      <c r="C1" s="59">
        <v>0.0</v>
      </c>
      <c r="D1" s="59">
        <v>0.0</v>
      </c>
      <c r="E1" s="59">
        <f t="shared" ref="E1:E31" si="2">D1*2.3681%</f>
        <v>0</v>
      </c>
      <c r="F1" s="59">
        <f t="shared" ref="F1:F31" si="3">D1-E1</f>
        <v>0</v>
      </c>
    </row>
    <row r="2" ht="12.75" customHeight="1">
      <c r="A2" s="46">
        <v>1.0</v>
      </c>
      <c r="B2" s="59">
        <f t="shared" si="1"/>
        <v>1050</v>
      </c>
      <c r="C2" s="59">
        <v>200.0</v>
      </c>
      <c r="D2" s="59">
        <v>1250.0</v>
      </c>
      <c r="E2" s="59">
        <f t="shared" si="2"/>
        <v>29.60125</v>
      </c>
      <c r="F2" s="59">
        <f t="shared" si="3"/>
        <v>1220.39875</v>
      </c>
    </row>
    <row r="3" ht="12.75" customHeight="1">
      <c r="A3" s="46">
        <v>1.0</v>
      </c>
      <c r="B3" s="59">
        <f t="shared" si="1"/>
        <v>7143</v>
      </c>
      <c r="C3" s="59">
        <v>1357.0</v>
      </c>
      <c r="D3" s="59">
        <v>8500.0</v>
      </c>
      <c r="E3" s="59">
        <f t="shared" si="2"/>
        <v>201.2885</v>
      </c>
      <c r="F3" s="59">
        <f t="shared" si="3"/>
        <v>8298.7115</v>
      </c>
    </row>
    <row r="4" ht="12.75" customHeight="1">
      <c r="A4" s="46">
        <v>2.0</v>
      </c>
      <c r="B4" s="59">
        <f t="shared" si="1"/>
        <v>14579</v>
      </c>
      <c r="C4" s="59">
        <f>1118+1653</f>
        <v>2771</v>
      </c>
      <c r="D4" s="59">
        <f>7000+10350</f>
        <v>17350</v>
      </c>
      <c r="E4" s="59">
        <f t="shared" si="2"/>
        <v>410.86535</v>
      </c>
      <c r="F4" s="59">
        <f t="shared" si="3"/>
        <v>16939.13465</v>
      </c>
    </row>
    <row r="5" ht="12.75" customHeight="1">
      <c r="A5" s="46">
        <v>2.0</v>
      </c>
      <c r="B5" s="59">
        <f t="shared" si="1"/>
        <v>5463</v>
      </c>
      <c r="C5" s="59">
        <f>319+718</f>
        <v>1037</v>
      </c>
      <c r="D5" s="59">
        <f>2000+4500</f>
        <v>6500</v>
      </c>
      <c r="E5" s="59">
        <f t="shared" si="2"/>
        <v>153.9265</v>
      </c>
      <c r="F5" s="59">
        <f t="shared" si="3"/>
        <v>6346.0735</v>
      </c>
    </row>
    <row r="6" ht="12.75" customHeight="1">
      <c r="A6" s="46">
        <v>1.0</v>
      </c>
      <c r="B6" s="59">
        <f t="shared" si="1"/>
        <v>4034</v>
      </c>
      <c r="C6" s="59">
        <v>766.0</v>
      </c>
      <c r="D6" s="59">
        <v>4800.0</v>
      </c>
      <c r="E6" s="59">
        <f t="shared" si="2"/>
        <v>113.6688</v>
      </c>
      <c r="F6" s="59">
        <f t="shared" si="3"/>
        <v>4686.3312</v>
      </c>
    </row>
    <row r="7" ht="12.75" customHeight="1">
      <c r="A7" s="46">
        <v>3.0</v>
      </c>
      <c r="B7" s="59">
        <f t="shared" si="1"/>
        <v>53487</v>
      </c>
      <c r="C7" s="59">
        <f>2179+3002+4982</f>
        <v>10163</v>
      </c>
      <c r="D7" s="59">
        <f>13650+18800+31200</f>
        <v>63650</v>
      </c>
      <c r="E7" s="59">
        <f t="shared" si="2"/>
        <v>1507.29565</v>
      </c>
      <c r="F7" s="59">
        <f t="shared" si="3"/>
        <v>62142.70435</v>
      </c>
    </row>
    <row r="8" ht="12.75" customHeight="1">
      <c r="A8" s="46">
        <v>0.0</v>
      </c>
      <c r="B8" s="59">
        <f t="shared" si="1"/>
        <v>0</v>
      </c>
      <c r="C8" s="59">
        <v>0.0</v>
      </c>
      <c r="D8" s="59">
        <v>0.0</v>
      </c>
      <c r="E8" s="59">
        <f t="shared" si="2"/>
        <v>0</v>
      </c>
      <c r="F8" s="59">
        <f t="shared" si="3"/>
        <v>0</v>
      </c>
    </row>
    <row r="9" ht="12.75" customHeight="1">
      <c r="A9" s="46">
        <v>0.0</v>
      </c>
      <c r="B9" s="59">
        <f t="shared" si="1"/>
        <v>0</v>
      </c>
      <c r="C9" s="59">
        <v>0.0</v>
      </c>
      <c r="D9" s="59">
        <v>0.0</v>
      </c>
      <c r="E9" s="59">
        <f t="shared" si="2"/>
        <v>0</v>
      </c>
      <c r="F9" s="59">
        <f t="shared" si="3"/>
        <v>0</v>
      </c>
    </row>
    <row r="10" ht="12.75" customHeight="1">
      <c r="A10" s="46">
        <v>1.0</v>
      </c>
      <c r="B10" s="59">
        <f t="shared" si="1"/>
        <v>25210</v>
      </c>
      <c r="C10" s="59">
        <v>4790.0</v>
      </c>
      <c r="D10" s="59">
        <v>30000.0</v>
      </c>
      <c r="E10" s="59">
        <f t="shared" si="2"/>
        <v>710.43</v>
      </c>
      <c r="F10" s="59">
        <f t="shared" si="3"/>
        <v>29289.57</v>
      </c>
    </row>
    <row r="11" ht="12.75" customHeight="1">
      <c r="A11" s="46">
        <v>7.0</v>
      </c>
      <c r="B11" s="59">
        <f t="shared" si="1"/>
        <v>73025</v>
      </c>
      <c r="C11" s="59">
        <f>3513+160+479+7824+798+319+782</f>
        <v>13875</v>
      </c>
      <c r="D11" s="59">
        <f>22000+1000+3000+49000+5000+2000+4900</f>
        <v>86900</v>
      </c>
      <c r="E11" s="59">
        <f t="shared" si="2"/>
        <v>2057.8789</v>
      </c>
      <c r="F11" s="59">
        <f t="shared" si="3"/>
        <v>84842.1211</v>
      </c>
      <c r="G11" s="37" t="s">
        <v>3384</v>
      </c>
    </row>
    <row r="12" ht="12.75" customHeight="1">
      <c r="A12" s="46">
        <v>2.0</v>
      </c>
      <c r="B12" s="59">
        <f t="shared" si="1"/>
        <v>34538</v>
      </c>
      <c r="C12" s="59">
        <f>814+5748</f>
        <v>6562</v>
      </c>
      <c r="D12" s="59">
        <f>5100+36000</f>
        <v>41100</v>
      </c>
      <c r="E12" s="59">
        <f t="shared" si="2"/>
        <v>973.2891</v>
      </c>
      <c r="F12" s="59">
        <f t="shared" si="3"/>
        <v>40126.7109</v>
      </c>
    </row>
    <row r="13" ht="12.75" customHeight="1">
      <c r="A13" s="46">
        <v>1.0</v>
      </c>
      <c r="B13" s="59">
        <f t="shared" si="1"/>
        <v>2521</v>
      </c>
      <c r="C13" s="59">
        <v>479.0</v>
      </c>
      <c r="D13" s="59">
        <v>3000.0</v>
      </c>
      <c r="E13" s="59">
        <f t="shared" si="2"/>
        <v>71.043</v>
      </c>
      <c r="F13" s="59">
        <f t="shared" si="3"/>
        <v>2928.957</v>
      </c>
    </row>
    <row r="14" ht="12.75" customHeight="1">
      <c r="A14" s="46">
        <v>4.0</v>
      </c>
      <c r="B14" s="59">
        <f t="shared" si="1"/>
        <v>26723</v>
      </c>
      <c r="C14" s="59">
        <f>1756+958+239+2124</f>
        <v>5077</v>
      </c>
      <c r="D14" s="59">
        <f>11000+6000+1500+13300</f>
        <v>31800</v>
      </c>
      <c r="E14" s="59">
        <f t="shared" si="2"/>
        <v>753.0558</v>
      </c>
      <c r="F14" s="59">
        <f t="shared" si="3"/>
        <v>31046.9442</v>
      </c>
    </row>
    <row r="15" ht="12.75" customHeight="1">
      <c r="A15" s="46">
        <v>1.0</v>
      </c>
      <c r="B15" s="59">
        <f t="shared" si="1"/>
        <v>6723</v>
      </c>
      <c r="C15" s="59">
        <v>1277.0</v>
      </c>
      <c r="D15" s="59">
        <v>8000.0</v>
      </c>
      <c r="E15" s="59">
        <f t="shared" si="2"/>
        <v>189.448</v>
      </c>
      <c r="F15" s="59">
        <f t="shared" si="3"/>
        <v>7810.552</v>
      </c>
    </row>
    <row r="16" ht="12.75" customHeight="1">
      <c r="A16" s="46">
        <v>1.0</v>
      </c>
      <c r="B16" s="59">
        <f t="shared" si="1"/>
        <v>30252</v>
      </c>
      <c r="C16" s="59">
        <v>5748.0</v>
      </c>
      <c r="D16" s="59">
        <v>36000.0</v>
      </c>
      <c r="E16" s="59">
        <f t="shared" si="2"/>
        <v>852.516</v>
      </c>
      <c r="F16" s="59">
        <f t="shared" si="3"/>
        <v>35147.484</v>
      </c>
    </row>
    <row r="17" ht="12.75" customHeight="1">
      <c r="A17" s="46">
        <v>4.0</v>
      </c>
      <c r="B17" s="59">
        <f t="shared" si="1"/>
        <v>47479</v>
      </c>
      <c r="C17" s="59">
        <f>2395+639+399+5588</f>
        <v>9021</v>
      </c>
      <c r="D17" s="59">
        <f>15000+4000+2500+35000</f>
        <v>56500</v>
      </c>
      <c r="E17" s="59">
        <f t="shared" si="2"/>
        <v>1337.9765</v>
      </c>
      <c r="F17" s="59">
        <f t="shared" si="3"/>
        <v>55162.0235</v>
      </c>
    </row>
    <row r="18" ht="12.75" customHeight="1">
      <c r="A18" s="46">
        <v>0.0</v>
      </c>
      <c r="B18" s="59">
        <f t="shared" si="1"/>
        <v>0</v>
      </c>
      <c r="C18" s="59">
        <v>0.0</v>
      </c>
      <c r="D18" s="59">
        <v>0.0</v>
      </c>
      <c r="E18" s="59">
        <f t="shared" si="2"/>
        <v>0</v>
      </c>
      <c r="F18" s="59">
        <f t="shared" si="3"/>
        <v>0</v>
      </c>
    </row>
    <row r="19" ht="12.75" customHeight="1">
      <c r="A19" s="46">
        <v>3.0</v>
      </c>
      <c r="B19" s="59">
        <f t="shared" si="1"/>
        <v>15210</v>
      </c>
      <c r="C19" s="59">
        <f>399+894+1597</f>
        <v>2890</v>
      </c>
      <c r="D19" s="59">
        <f>2500+5600+10000</f>
        <v>18100</v>
      </c>
      <c r="E19" s="59">
        <f t="shared" si="2"/>
        <v>428.6261</v>
      </c>
      <c r="F19" s="59">
        <f t="shared" si="3"/>
        <v>17671.3739</v>
      </c>
    </row>
    <row r="20" ht="12.75" customHeight="1">
      <c r="A20" s="46">
        <v>5.0</v>
      </c>
      <c r="B20" s="59">
        <f t="shared" si="1"/>
        <v>22521</v>
      </c>
      <c r="C20" s="59">
        <f>559+399+1437+1756+128</f>
        <v>4279</v>
      </c>
      <c r="D20" s="59">
        <f>3500+2500+9000+11000+800</f>
        <v>26800</v>
      </c>
      <c r="E20" s="59">
        <f t="shared" si="2"/>
        <v>634.6508</v>
      </c>
      <c r="F20" s="59">
        <f t="shared" si="3"/>
        <v>26165.3492</v>
      </c>
    </row>
    <row r="21" ht="12.75" customHeight="1">
      <c r="A21" s="46">
        <v>3.0</v>
      </c>
      <c r="B21" s="59">
        <f t="shared" si="1"/>
        <v>8824</v>
      </c>
      <c r="C21" s="59">
        <f>1277+255+144</f>
        <v>1676</v>
      </c>
      <c r="D21" s="59">
        <f>8000+1600+900</f>
        <v>10500</v>
      </c>
      <c r="E21" s="59">
        <f t="shared" si="2"/>
        <v>248.6505</v>
      </c>
      <c r="F21" s="59">
        <f t="shared" si="3"/>
        <v>10251.3495</v>
      </c>
    </row>
    <row r="22" ht="12.75" customHeight="1">
      <c r="A22" s="46">
        <v>1.0</v>
      </c>
      <c r="B22" s="59">
        <f t="shared" si="1"/>
        <v>1849</v>
      </c>
      <c r="C22" s="59">
        <v>351.0</v>
      </c>
      <c r="D22" s="59">
        <v>2200.0</v>
      </c>
      <c r="E22" s="59">
        <f t="shared" si="2"/>
        <v>52.0982</v>
      </c>
      <c r="F22" s="59">
        <f t="shared" si="3"/>
        <v>2147.9018</v>
      </c>
    </row>
    <row r="23" ht="12.75" customHeight="1">
      <c r="A23" s="46">
        <v>1.0</v>
      </c>
      <c r="B23" s="59">
        <f t="shared" si="1"/>
        <v>11345</v>
      </c>
      <c r="C23" s="59">
        <v>2155.0</v>
      </c>
      <c r="D23" s="59">
        <v>13500.0</v>
      </c>
      <c r="E23" s="59">
        <f t="shared" si="2"/>
        <v>319.6935</v>
      </c>
      <c r="F23" s="59">
        <f t="shared" si="3"/>
        <v>13180.3065</v>
      </c>
      <c r="G23" s="41" t="s">
        <v>3385</v>
      </c>
    </row>
    <row r="24" ht="12.75" customHeight="1">
      <c r="A24" s="46">
        <v>2.0</v>
      </c>
      <c r="B24" s="59">
        <f t="shared" si="1"/>
        <v>12437</v>
      </c>
      <c r="C24" s="59">
        <f>1916+447</f>
        <v>2363</v>
      </c>
      <c r="D24" s="59">
        <f>12000+2800</f>
        <v>14800</v>
      </c>
      <c r="E24" s="59">
        <f t="shared" si="2"/>
        <v>350.4788</v>
      </c>
      <c r="F24" s="59">
        <f t="shared" si="3"/>
        <v>14449.5212</v>
      </c>
    </row>
    <row r="25" ht="12.75" customHeight="1">
      <c r="A25" s="46">
        <v>1.0</v>
      </c>
      <c r="B25" s="59">
        <f t="shared" si="1"/>
        <v>5462</v>
      </c>
      <c r="C25" s="59">
        <v>1038.0</v>
      </c>
      <c r="D25" s="59">
        <v>6500.0</v>
      </c>
      <c r="E25" s="59">
        <f t="shared" si="2"/>
        <v>153.9265</v>
      </c>
      <c r="F25" s="59">
        <f t="shared" si="3"/>
        <v>6346.0735</v>
      </c>
    </row>
    <row r="26" ht="12.75" customHeight="1">
      <c r="A26" s="46">
        <v>3.0</v>
      </c>
      <c r="B26" s="59">
        <f t="shared" si="1"/>
        <v>11899</v>
      </c>
      <c r="C26" s="59">
        <f>217+1006+1038</f>
        <v>2261</v>
      </c>
      <c r="D26" s="59">
        <f>1360+6300+6500</f>
        <v>14160</v>
      </c>
      <c r="E26" s="59">
        <f t="shared" si="2"/>
        <v>335.32296</v>
      </c>
      <c r="F26" s="59">
        <f t="shared" si="3"/>
        <v>13824.67704</v>
      </c>
      <c r="G26" s="37" t="s">
        <v>3231</v>
      </c>
    </row>
    <row r="27" ht="12.75" customHeight="1">
      <c r="A27" s="46">
        <v>0.0</v>
      </c>
      <c r="B27" s="59">
        <f t="shared" si="1"/>
        <v>0</v>
      </c>
      <c r="C27" s="59">
        <v>0.0</v>
      </c>
      <c r="D27" s="59">
        <v>0.0</v>
      </c>
      <c r="E27" s="59">
        <f t="shared" si="2"/>
        <v>0</v>
      </c>
      <c r="F27" s="59">
        <f t="shared" si="3"/>
        <v>0</v>
      </c>
    </row>
    <row r="28" ht="12.75" customHeight="1">
      <c r="A28" s="46">
        <v>0.0</v>
      </c>
      <c r="B28" s="59">
        <f t="shared" si="1"/>
        <v>0</v>
      </c>
      <c r="C28" s="59">
        <v>0.0</v>
      </c>
      <c r="D28" s="59">
        <v>0.0</v>
      </c>
      <c r="E28" s="59">
        <f t="shared" si="2"/>
        <v>0</v>
      </c>
      <c r="F28" s="59">
        <f t="shared" si="3"/>
        <v>0</v>
      </c>
    </row>
    <row r="29" ht="12.75" customHeight="1">
      <c r="A29" s="46">
        <v>2.0</v>
      </c>
      <c r="B29" s="59">
        <f t="shared" si="1"/>
        <v>3782</v>
      </c>
      <c r="C29" s="59">
        <f>479+239</f>
        <v>718</v>
      </c>
      <c r="D29" s="59">
        <f>3000+1500</f>
        <v>4500</v>
      </c>
      <c r="E29" s="59">
        <f t="shared" si="2"/>
        <v>106.5645</v>
      </c>
      <c r="F29" s="59">
        <f t="shared" si="3"/>
        <v>4393.4355</v>
      </c>
    </row>
    <row r="30" ht="12.75" customHeight="1">
      <c r="A30" s="46">
        <v>2.0</v>
      </c>
      <c r="B30" s="59">
        <f t="shared" si="1"/>
        <v>20589</v>
      </c>
      <c r="C30" s="59">
        <f>319+3592</f>
        <v>3911</v>
      </c>
      <c r="D30" s="59">
        <f>2000+22500</f>
        <v>24500</v>
      </c>
      <c r="E30" s="59">
        <f t="shared" si="2"/>
        <v>580.1845</v>
      </c>
      <c r="F30" s="59">
        <f t="shared" si="3"/>
        <v>23919.8155</v>
      </c>
      <c r="G30" s="37" t="s">
        <v>3233</v>
      </c>
      <c r="I30" s="81" t="s">
        <v>1</v>
      </c>
      <c r="J30" s="81" t="s">
        <v>2</v>
      </c>
    </row>
    <row r="31" ht="12.75" customHeight="1">
      <c r="A31" s="46">
        <v>0.0</v>
      </c>
      <c r="B31" s="59">
        <f t="shared" si="1"/>
        <v>0</v>
      </c>
      <c r="C31" s="59">
        <v>0.0</v>
      </c>
      <c r="D31" s="59">
        <v>0.0</v>
      </c>
      <c r="E31" s="59">
        <f t="shared" si="2"/>
        <v>0</v>
      </c>
      <c r="F31" s="59">
        <f t="shared" si="3"/>
        <v>0</v>
      </c>
      <c r="I31" s="59">
        <v>826164.0</v>
      </c>
      <c r="J31" s="59">
        <v>84766.0</v>
      </c>
      <c r="K31" s="37" t="s">
        <v>2</v>
      </c>
    </row>
    <row r="32" ht="12.75" customHeight="1">
      <c r="A32" s="84">
        <f t="shared" ref="A32:F32" si="4">SUM(A1:A31)</f>
        <v>54</v>
      </c>
      <c r="B32" s="66">
        <f t="shared" si="4"/>
        <v>446145</v>
      </c>
      <c r="C32" s="66">
        <f t="shared" si="4"/>
        <v>84765</v>
      </c>
      <c r="D32" s="66">
        <f t="shared" si="4"/>
        <v>530910</v>
      </c>
      <c r="E32" s="67">
        <f t="shared" si="4"/>
        <v>12572.47971</v>
      </c>
      <c r="F32" s="67">
        <f t="shared" si="4"/>
        <v>518337.5203</v>
      </c>
      <c r="H32" s="81" t="s">
        <v>3381</v>
      </c>
      <c r="I32" s="59">
        <v>156971.0</v>
      </c>
      <c r="J32" s="59">
        <v>156971.0</v>
      </c>
      <c r="K32" s="37" t="s">
        <v>1</v>
      </c>
    </row>
    <row r="33" ht="12.75" customHeight="1">
      <c r="A33" s="46"/>
      <c r="B33" s="59"/>
      <c r="C33" s="59"/>
      <c r="D33" s="59"/>
      <c r="E33" s="59"/>
      <c r="F33" s="59"/>
      <c r="I33" s="59">
        <f>SUM(I31:I32)</f>
        <v>983135</v>
      </c>
      <c r="J33" s="66">
        <f>J31-J32</f>
        <v>-72205</v>
      </c>
    </row>
    <row r="34" ht="12.75" customHeight="1">
      <c r="A34" s="46"/>
      <c r="B34" s="59"/>
      <c r="C34" s="59"/>
      <c r="D34" s="59"/>
      <c r="E34" s="59"/>
      <c r="F34" s="59"/>
    </row>
    <row r="35" ht="12.75" customHeight="1">
      <c r="A35" s="46"/>
      <c r="B35" s="59"/>
      <c r="C35" s="78" t="s">
        <v>3218</v>
      </c>
      <c r="D35" s="78">
        <f>D32*2.3681%</f>
        <v>12572.47971</v>
      </c>
      <c r="E35" s="59"/>
      <c r="F35" s="59"/>
    </row>
    <row r="36" ht="12.75" customHeight="1">
      <c r="A36" s="46"/>
      <c r="B36" s="59"/>
      <c r="C36" s="59"/>
      <c r="D36" s="59">
        <f>C36+B36</f>
        <v>0</v>
      </c>
      <c r="E36" s="59"/>
      <c r="F36" s="59"/>
      <c r="G36" s="85" t="s">
        <v>3386</v>
      </c>
      <c r="H36" s="37" t="s">
        <v>3387</v>
      </c>
      <c r="I36" s="59">
        <v>26712.0</v>
      </c>
      <c r="J36" s="59"/>
      <c r="K36" s="59"/>
    </row>
    <row r="37" ht="12.75" customHeight="1">
      <c r="A37" s="46"/>
      <c r="B37" s="59">
        <f t="shared" ref="B37:D37" si="5">B36-B32</f>
        <v>-446145</v>
      </c>
      <c r="C37" s="59">
        <f t="shared" si="5"/>
        <v>-84765</v>
      </c>
      <c r="D37" s="59">
        <f t="shared" si="5"/>
        <v>-530910</v>
      </c>
      <c r="E37" s="59"/>
      <c r="F37" s="59"/>
      <c r="H37" s="37" t="s">
        <v>3381</v>
      </c>
      <c r="I37" s="59">
        <v>5075.0</v>
      </c>
      <c r="J37" s="59">
        <v>-72205.0</v>
      </c>
      <c r="K37" s="66">
        <f>J37+I37</f>
        <v>-67130</v>
      </c>
    </row>
    <row r="38" ht="12.75" customHeight="1">
      <c r="A38" s="46"/>
      <c r="B38" s="59">
        <v>446144.0</v>
      </c>
      <c r="C38" s="59">
        <v>84766.0</v>
      </c>
      <c r="D38" s="59">
        <v>530910.0</v>
      </c>
      <c r="E38" s="59"/>
      <c r="F38" s="59"/>
      <c r="H38" s="37" t="s">
        <v>3388</v>
      </c>
      <c r="I38" s="59">
        <f>SUM(I36:I37)</f>
        <v>31787</v>
      </c>
      <c r="J38" s="59"/>
      <c r="K38" s="59"/>
    </row>
    <row r="39" ht="12.75" customHeight="1">
      <c r="A39" s="46"/>
      <c r="B39" s="59">
        <f t="shared" ref="B39:D39" si="6">B32-B38</f>
        <v>1</v>
      </c>
      <c r="C39" s="59">
        <f t="shared" si="6"/>
        <v>-1</v>
      </c>
      <c r="D39" s="59">
        <f t="shared" si="6"/>
        <v>0</v>
      </c>
      <c r="E39" s="59"/>
      <c r="F39" s="59"/>
    </row>
    <row r="40" ht="12.75" customHeight="1">
      <c r="A40" s="46"/>
      <c r="B40" s="59"/>
      <c r="C40" s="59"/>
      <c r="D40" s="59"/>
      <c r="E40" s="59"/>
      <c r="F40" s="59"/>
    </row>
    <row r="41" ht="12.75" customHeight="1">
      <c r="A41" s="46"/>
      <c r="B41" s="59"/>
      <c r="C41" s="59"/>
      <c r="D41" s="59"/>
      <c r="E41" s="59"/>
      <c r="F41" s="59"/>
    </row>
    <row r="42" ht="12.75" customHeight="1">
      <c r="A42" s="46"/>
      <c r="B42" s="59"/>
      <c r="C42" s="59"/>
      <c r="D42" s="59"/>
      <c r="E42" s="59"/>
      <c r="F42" s="59"/>
    </row>
    <row r="43" ht="12.75" customHeight="1">
      <c r="A43" s="46"/>
      <c r="B43" s="59"/>
      <c r="C43" s="59"/>
      <c r="D43" s="59"/>
      <c r="E43" s="59"/>
      <c r="F43" s="59"/>
    </row>
    <row r="44" ht="12.75" customHeight="1">
      <c r="A44" s="46"/>
      <c r="B44" s="59"/>
      <c r="C44" s="59"/>
      <c r="D44" s="59"/>
      <c r="E44" s="59"/>
      <c r="F44" s="59"/>
    </row>
    <row r="45" ht="12.75" customHeight="1">
      <c r="A45" s="46"/>
      <c r="B45" s="59"/>
      <c r="C45" s="59"/>
      <c r="D45" s="59"/>
      <c r="E45" s="59"/>
      <c r="F45" s="59"/>
    </row>
    <row r="46" ht="12.75" customHeight="1">
      <c r="A46" s="46"/>
      <c r="B46" s="59"/>
      <c r="C46" s="59"/>
      <c r="D46" s="59"/>
      <c r="E46" s="59"/>
      <c r="F46" s="59"/>
    </row>
    <row r="47" ht="12.75" customHeight="1">
      <c r="A47" s="46"/>
      <c r="B47" s="59"/>
      <c r="C47" s="59"/>
      <c r="D47" s="59"/>
      <c r="E47" s="59"/>
      <c r="F47" s="59"/>
    </row>
    <row r="48" ht="12.75" customHeight="1">
      <c r="A48" s="46"/>
      <c r="B48" s="59"/>
      <c r="C48" s="59"/>
      <c r="D48" s="59"/>
      <c r="E48" s="59"/>
      <c r="F48" s="59"/>
    </row>
    <row r="49" ht="12.75" customHeight="1">
      <c r="A49" s="46"/>
      <c r="B49" s="59"/>
      <c r="C49" s="59"/>
      <c r="D49" s="59"/>
      <c r="E49" s="59"/>
      <c r="F49" s="59"/>
    </row>
    <row r="50" ht="12.75" customHeight="1">
      <c r="A50" s="46"/>
      <c r="B50" s="59"/>
      <c r="C50" s="59"/>
      <c r="D50" s="59"/>
      <c r="E50" s="59"/>
      <c r="F50" s="59"/>
    </row>
    <row r="51" ht="12.75" customHeight="1">
      <c r="A51" s="46"/>
      <c r="B51" s="59"/>
      <c r="C51" s="59"/>
      <c r="D51" s="59"/>
      <c r="E51" s="59"/>
      <c r="F51" s="59"/>
    </row>
    <row r="52" ht="12.75" customHeight="1">
      <c r="A52" s="46"/>
      <c r="B52" s="59"/>
      <c r="C52" s="59"/>
      <c r="D52" s="59"/>
      <c r="E52" s="59"/>
      <c r="F52" s="59"/>
    </row>
    <row r="53" ht="12.75" customHeight="1">
      <c r="A53" s="46"/>
      <c r="B53" s="59"/>
      <c r="C53" s="59"/>
      <c r="D53" s="59"/>
      <c r="E53" s="59"/>
      <c r="F53" s="59"/>
    </row>
    <row r="54" ht="12.75" customHeight="1">
      <c r="A54" s="46"/>
      <c r="B54" s="59"/>
      <c r="C54" s="59"/>
      <c r="D54" s="59"/>
      <c r="E54" s="59"/>
      <c r="F54" s="59"/>
    </row>
    <row r="55" ht="12.75" customHeight="1">
      <c r="A55" s="46"/>
      <c r="B55" s="59"/>
      <c r="C55" s="59"/>
      <c r="D55" s="59"/>
      <c r="E55" s="59"/>
      <c r="F55" s="59"/>
    </row>
    <row r="56" ht="12.75" customHeight="1">
      <c r="A56" s="46"/>
      <c r="B56" s="59"/>
      <c r="C56" s="59"/>
      <c r="D56" s="59"/>
      <c r="E56" s="59"/>
      <c r="F56" s="59"/>
    </row>
    <row r="57" ht="12.75" customHeight="1">
      <c r="A57" s="46"/>
      <c r="B57" s="59"/>
      <c r="C57" s="59"/>
      <c r="D57" s="59"/>
      <c r="E57" s="59"/>
      <c r="F57" s="59"/>
    </row>
    <row r="58" ht="12.75" customHeight="1">
      <c r="A58" s="46"/>
      <c r="B58" s="59"/>
      <c r="C58" s="59"/>
      <c r="D58" s="59"/>
      <c r="E58" s="59"/>
      <c r="F58" s="59"/>
    </row>
    <row r="59" ht="12.75" customHeight="1">
      <c r="A59" s="46"/>
      <c r="B59" s="59"/>
      <c r="C59" s="59"/>
      <c r="D59" s="59"/>
      <c r="E59" s="59"/>
      <c r="F59" s="59"/>
    </row>
    <row r="60" ht="12.75" customHeight="1">
      <c r="A60" s="46"/>
      <c r="B60" s="59"/>
      <c r="C60" s="59"/>
      <c r="D60" s="59"/>
      <c r="E60" s="59"/>
      <c r="F60" s="59"/>
    </row>
    <row r="61" ht="12.75" customHeight="1">
      <c r="A61" s="46"/>
      <c r="B61" s="59"/>
      <c r="C61" s="59"/>
      <c r="D61" s="59"/>
      <c r="E61" s="59"/>
      <c r="F61" s="59"/>
    </row>
    <row r="62" ht="12.75" customHeight="1">
      <c r="A62" s="46"/>
      <c r="B62" s="59"/>
      <c r="C62" s="59"/>
      <c r="D62" s="59"/>
      <c r="E62" s="59"/>
      <c r="F62" s="59"/>
    </row>
    <row r="63" ht="12.75" customHeight="1">
      <c r="A63" s="46"/>
      <c r="B63" s="59"/>
      <c r="C63" s="59"/>
      <c r="D63" s="59"/>
      <c r="E63" s="59"/>
      <c r="F63" s="59"/>
    </row>
    <row r="64" ht="12.75" customHeight="1">
      <c r="A64" s="46"/>
      <c r="B64" s="59"/>
      <c r="C64" s="59"/>
      <c r="D64" s="59"/>
      <c r="E64" s="59"/>
      <c r="F64" s="59"/>
    </row>
    <row r="65" ht="12.75" customHeight="1">
      <c r="A65" s="46"/>
      <c r="B65" s="59"/>
      <c r="C65" s="59"/>
      <c r="D65" s="59"/>
      <c r="E65" s="59"/>
      <c r="F65" s="59"/>
    </row>
    <row r="66" ht="12.75" customHeight="1">
      <c r="A66" s="46"/>
      <c r="B66" s="59"/>
      <c r="C66" s="59"/>
      <c r="D66" s="59"/>
      <c r="E66" s="59"/>
      <c r="F66" s="59"/>
    </row>
    <row r="67" ht="12.75" customHeight="1">
      <c r="A67" s="46"/>
      <c r="B67" s="59"/>
      <c r="C67" s="59"/>
      <c r="D67" s="59"/>
      <c r="E67" s="59"/>
      <c r="F67" s="59"/>
    </row>
    <row r="68" ht="12.75" customHeight="1">
      <c r="A68" s="46"/>
      <c r="B68" s="59"/>
      <c r="C68" s="59"/>
      <c r="D68" s="59"/>
      <c r="E68" s="59"/>
      <c r="F68" s="59"/>
    </row>
    <row r="69" ht="12.75" customHeight="1">
      <c r="A69" s="46"/>
      <c r="B69" s="59"/>
      <c r="C69" s="59"/>
      <c r="D69" s="59"/>
      <c r="E69" s="59"/>
      <c r="F69" s="59"/>
    </row>
    <row r="70" ht="12.75" customHeight="1">
      <c r="A70" s="46"/>
      <c r="B70" s="59"/>
      <c r="C70" s="59"/>
      <c r="D70" s="59"/>
      <c r="E70" s="59"/>
      <c r="F70" s="59"/>
    </row>
    <row r="71" ht="12.75" customHeight="1">
      <c r="A71" s="46"/>
      <c r="B71" s="59"/>
      <c r="C71" s="59"/>
      <c r="D71" s="59"/>
      <c r="E71" s="59"/>
      <c r="F71" s="59"/>
    </row>
    <row r="72" ht="12.75" customHeight="1">
      <c r="A72" s="46"/>
      <c r="B72" s="59"/>
      <c r="C72" s="59"/>
      <c r="D72" s="59"/>
      <c r="E72" s="59"/>
      <c r="F72" s="59"/>
    </row>
    <row r="73" ht="12.75" customHeight="1">
      <c r="A73" s="46"/>
      <c r="B73" s="59"/>
      <c r="C73" s="59"/>
      <c r="D73" s="59"/>
      <c r="E73" s="59"/>
      <c r="F73" s="59"/>
    </row>
    <row r="74" ht="12.75" customHeight="1">
      <c r="A74" s="46"/>
      <c r="B74" s="59"/>
      <c r="C74" s="59"/>
      <c r="D74" s="59"/>
      <c r="E74" s="59"/>
      <c r="F74" s="59"/>
    </row>
    <row r="75" ht="12.75" customHeight="1">
      <c r="A75" s="46"/>
      <c r="B75" s="59"/>
      <c r="C75" s="59"/>
      <c r="D75" s="59"/>
      <c r="E75" s="59"/>
      <c r="F75" s="59"/>
    </row>
    <row r="76" ht="12.75" customHeight="1">
      <c r="A76" s="46"/>
      <c r="B76" s="59"/>
      <c r="C76" s="59"/>
      <c r="D76" s="59"/>
      <c r="E76" s="59"/>
      <c r="F76" s="59"/>
    </row>
    <row r="77" ht="12.75" customHeight="1">
      <c r="A77" s="46"/>
      <c r="B77" s="59"/>
      <c r="C77" s="59"/>
      <c r="D77" s="59"/>
      <c r="E77" s="59"/>
      <c r="F77" s="59"/>
    </row>
    <row r="78" ht="12.75" customHeight="1">
      <c r="A78" s="46"/>
      <c r="B78" s="59"/>
      <c r="C78" s="59"/>
      <c r="D78" s="59"/>
      <c r="E78" s="59"/>
      <c r="F78" s="59"/>
    </row>
    <row r="79" ht="12.75" customHeight="1">
      <c r="A79" s="46"/>
      <c r="B79" s="59"/>
      <c r="C79" s="59"/>
      <c r="D79" s="59"/>
      <c r="E79" s="59"/>
      <c r="F79" s="59"/>
    </row>
    <row r="80" ht="12.75" customHeight="1">
      <c r="A80" s="46"/>
      <c r="B80" s="59"/>
      <c r="C80" s="59"/>
      <c r="D80" s="59"/>
      <c r="E80" s="59"/>
      <c r="F80" s="59"/>
    </row>
    <row r="81" ht="12.75" customHeight="1">
      <c r="A81" s="46"/>
      <c r="B81" s="59"/>
      <c r="C81" s="59"/>
      <c r="D81" s="59"/>
      <c r="E81" s="59"/>
      <c r="F81" s="59"/>
    </row>
    <row r="82" ht="12.75" customHeight="1">
      <c r="A82" s="46"/>
      <c r="B82" s="59"/>
      <c r="C82" s="59"/>
      <c r="D82" s="59"/>
      <c r="E82" s="59"/>
      <c r="F82" s="59"/>
    </row>
    <row r="83" ht="12.75" customHeight="1">
      <c r="A83" s="46"/>
      <c r="B83" s="59"/>
      <c r="C83" s="59"/>
      <c r="D83" s="59"/>
      <c r="E83" s="59"/>
      <c r="F83" s="59"/>
    </row>
    <row r="84" ht="12.75" customHeight="1">
      <c r="A84" s="46"/>
      <c r="B84" s="59"/>
      <c r="C84" s="59"/>
      <c r="D84" s="59"/>
      <c r="E84" s="59"/>
      <c r="F84" s="59"/>
    </row>
    <row r="85" ht="12.75" customHeight="1">
      <c r="A85" s="46"/>
      <c r="B85" s="59"/>
      <c r="C85" s="59"/>
      <c r="D85" s="59"/>
      <c r="E85" s="59"/>
      <c r="F85" s="59"/>
    </row>
    <row r="86" ht="12.75" customHeight="1">
      <c r="A86" s="46"/>
      <c r="B86" s="59"/>
      <c r="C86" s="59"/>
      <c r="D86" s="59"/>
      <c r="E86" s="59"/>
      <c r="F86" s="59"/>
    </row>
    <row r="87" ht="12.75" customHeight="1">
      <c r="A87" s="46"/>
      <c r="B87" s="59"/>
      <c r="C87" s="59"/>
      <c r="D87" s="59"/>
      <c r="E87" s="59"/>
      <c r="F87" s="59"/>
    </row>
    <row r="88" ht="12.75" customHeight="1">
      <c r="A88" s="46"/>
      <c r="B88" s="59"/>
      <c r="C88" s="59"/>
      <c r="D88" s="59"/>
      <c r="E88" s="59"/>
      <c r="F88" s="59"/>
    </row>
    <row r="89" ht="12.75" customHeight="1">
      <c r="A89" s="46"/>
      <c r="B89" s="59"/>
      <c r="C89" s="59"/>
      <c r="D89" s="59"/>
      <c r="E89" s="59"/>
      <c r="F89" s="59"/>
    </row>
    <row r="90" ht="12.75" customHeight="1">
      <c r="A90" s="46"/>
      <c r="B90" s="59"/>
      <c r="C90" s="59"/>
      <c r="D90" s="59"/>
      <c r="E90" s="59"/>
      <c r="F90" s="59"/>
    </row>
    <row r="91" ht="12.75" customHeight="1">
      <c r="A91" s="46"/>
      <c r="B91" s="59"/>
      <c r="C91" s="59"/>
      <c r="D91" s="59"/>
      <c r="E91" s="59"/>
      <c r="F91" s="59"/>
    </row>
    <row r="92" ht="12.75" customHeight="1">
      <c r="A92" s="46"/>
      <c r="B92" s="59"/>
      <c r="C92" s="59"/>
      <c r="D92" s="59"/>
      <c r="E92" s="59"/>
      <c r="F92" s="59"/>
    </row>
    <row r="93" ht="12.75" customHeight="1">
      <c r="A93" s="46"/>
      <c r="B93" s="59"/>
      <c r="C93" s="59"/>
      <c r="D93" s="59"/>
      <c r="E93" s="59"/>
      <c r="F93" s="59"/>
    </row>
    <row r="94" ht="12.75" customHeight="1">
      <c r="A94" s="46"/>
      <c r="B94" s="59"/>
      <c r="C94" s="59"/>
      <c r="D94" s="59"/>
      <c r="E94" s="59"/>
      <c r="F94" s="59"/>
    </row>
    <row r="95" ht="12.75" customHeight="1">
      <c r="A95" s="46"/>
      <c r="B95" s="59"/>
      <c r="C95" s="59"/>
      <c r="D95" s="59"/>
      <c r="E95" s="59"/>
      <c r="F95" s="59"/>
    </row>
    <row r="96" ht="12.75" customHeight="1">
      <c r="A96" s="46"/>
      <c r="B96" s="59"/>
      <c r="C96" s="59"/>
      <c r="D96" s="59"/>
      <c r="E96" s="59"/>
      <c r="F96" s="59"/>
    </row>
    <row r="97" ht="12.75" customHeight="1">
      <c r="A97" s="46"/>
      <c r="B97" s="59"/>
      <c r="C97" s="59"/>
      <c r="D97" s="59"/>
      <c r="E97" s="59"/>
      <c r="F97" s="59"/>
    </row>
    <row r="98" ht="12.75" customHeight="1">
      <c r="A98" s="46"/>
      <c r="B98" s="59"/>
      <c r="C98" s="59"/>
      <c r="D98" s="59"/>
      <c r="E98" s="59"/>
      <c r="F98" s="59"/>
    </row>
    <row r="99" ht="12.75" customHeight="1">
      <c r="A99" s="46"/>
      <c r="B99" s="59"/>
      <c r="C99" s="59"/>
      <c r="D99" s="59"/>
      <c r="E99" s="59"/>
      <c r="F99" s="59"/>
    </row>
    <row r="100" ht="12.75" customHeight="1">
      <c r="A100" s="46"/>
      <c r="B100" s="59"/>
      <c r="C100" s="59"/>
      <c r="D100" s="59"/>
      <c r="E100" s="59"/>
      <c r="F100" s="59"/>
    </row>
    <row r="101" ht="12.75" customHeight="1">
      <c r="A101" s="46"/>
      <c r="B101" s="59"/>
      <c r="C101" s="59"/>
      <c r="D101" s="59"/>
      <c r="E101" s="59"/>
      <c r="F101" s="59"/>
    </row>
    <row r="102" ht="12.75" customHeight="1">
      <c r="A102" s="46"/>
      <c r="B102" s="59"/>
      <c r="C102" s="59"/>
      <c r="D102" s="59"/>
      <c r="E102" s="59"/>
      <c r="F102" s="59"/>
    </row>
    <row r="103" ht="12.75" customHeight="1">
      <c r="A103" s="46"/>
      <c r="B103" s="59"/>
      <c r="C103" s="59"/>
      <c r="D103" s="59"/>
      <c r="E103" s="59"/>
      <c r="F103" s="59"/>
    </row>
    <row r="104" ht="12.75" customHeight="1">
      <c r="A104" s="46"/>
      <c r="B104" s="59"/>
      <c r="C104" s="59"/>
      <c r="D104" s="59"/>
      <c r="E104" s="59"/>
      <c r="F104" s="59"/>
    </row>
    <row r="105" ht="12.75" customHeight="1">
      <c r="A105" s="46"/>
      <c r="B105" s="59"/>
      <c r="C105" s="59"/>
      <c r="D105" s="59"/>
      <c r="E105" s="59"/>
      <c r="F105" s="59"/>
    </row>
    <row r="106" ht="12.75" customHeight="1">
      <c r="A106" s="46"/>
      <c r="B106" s="59"/>
      <c r="C106" s="59"/>
      <c r="D106" s="59"/>
      <c r="E106" s="59"/>
      <c r="F106" s="59"/>
    </row>
    <row r="107" ht="12.75" customHeight="1">
      <c r="A107" s="46"/>
      <c r="B107" s="59"/>
      <c r="C107" s="59"/>
      <c r="D107" s="59"/>
      <c r="E107" s="59"/>
      <c r="F107" s="59"/>
    </row>
    <row r="108" ht="12.75" customHeight="1">
      <c r="A108" s="46"/>
      <c r="B108" s="59"/>
      <c r="C108" s="59"/>
      <c r="D108" s="59"/>
      <c r="E108" s="59"/>
      <c r="F108" s="59"/>
    </row>
    <row r="109" ht="12.75" customHeight="1">
      <c r="A109" s="46"/>
      <c r="B109" s="59"/>
      <c r="C109" s="59"/>
      <c r="D109" s="59"/>
      <c r="E109" s="59"/>
      <c r="F109" s="59"/>
    </row>
    <row r="110" ht="12.75" customHeight="1">
      <c r="A110" s="46"/>
      <c r="B110" s="59"/>
      <c r="C110" s="59"/>
      <c r="D110" s="59"/>
      <c r="E110" s="59"/>
      <c r="F110" s="59"/>
    </row>
    <row r="111" ht="12.75" customHeight="1">
      <c r="A111" s="46"/>
      <c r="B111" s="59"/>
      <c r="C111" s="59"/>
      <c r="D111" s="59"/>
      <c r="E111" s="59"/>
      <c r="F111" s="59"/>
    </row>
    <row r="112" ht="12.75" customHeight="1">
      <c r="A112" s="46"/>
      <c r="B112" s="59"/>
      <c r="C112" s="59"/>
      <c r="D112" s="59"/>
      <c r="E112" s="59"/>
      <c r="F112" s="59"/>
    </row>
    <row r="113" ht="12.75" customHeight="1">
      <c r="A113" s="46"/>
      <c r="B113" s="59"/>
      <c r="C113" s="59"/>
      <c r="D113" s="59"/>
      <c r="E113" s="59"/>
      <c r="F113" s="59"/>
    </row>
    <row r="114" ht="12.75" customHeight="1">
      <c r="A114" s="46"/>
      <c r="B114" s="59"/>
      <c r="C114" s="59"/>
      <c r="D114" s="59"/>
      <c r="E114" s="59"/>
      <c r="F114" s="59"/>
    </row>
    <row r="115" ht="12.75" customHeight="1">
      <c r="A115" s="46"/>
      <c r="B115" s="59"/>
      <c r="C115" s="59"/>
      <c r="D115" s="59"/>
      <c r="E115" s="59"/>
      <c r="F115" s="59"/>
    </row>
    <row r="116" ht="12.75" customHeight="1">
      <c r="A116" s="46"/>
      <c r="B116" s="59"/>
      <c r="C116" s="59"/>
      <c r="D116" s="59"/>
      <c r="E116" s="59"/>
      <c r="F116" s="59"/>
    </row>
    <row r="117" ht="12.75" customHeight="1">
      <c r="A117" s="46"/>
      <c r="B117" s="59"/>
      <c r="C117" s="59"/>
      <c r="D117" s="59"/>
      <c r="E117" s="59"/>
      <c r="F117" s="59"/>
    </row>
    <row r="118" ht="12.75" customHeight="1">
      <c r="A118" s="46"/>
      <c r="B118" s="59"/>
      <c r="C118" s="59"/>
      <c r="D118" s="59"/>
      <c r="E118" s="59"/>
      <c r="F118" s="59"/>
    </row>
    <row r="119" ht="12.75" customHeight="1">
      <c r="A119" s="46"/>
      <c r="B119" s="59"/>
      <c r="C119" s="59"/>
      <c r="D119" s="59"/>
      <c r="E119" s="59"/>
      <c r="F119" s="59"/>
    </row>
    <row r="120" ht="12.75" customHeight="1">
      <c r="A120" s="46"/>
      <c r="B120" s="59"/>
      <c r="C120" s="59"/>
      <c r="D120" s="59"/>
      <c r="E120" s="59"/>
      <c r="F120" s="59"/>
    </row>
    <row r="121" ht="12.75" customHeight="1">
      <c r="A121" s="46"/>
      <c r="B121" s="59"/>
      <c r="C121" s="59"/>
      <c r="D121" s="59"/>
      <c r="E121" s="59"/>
      <c r="F121" s="59"/>
    </row>
    <row r="122" ht="12.75" customHeight="1">
      <c r="A122" s="46"/>
      <c r="B122" s="59"/>
      <c r="C122" s="59"/>
      <c r="D122" s="59"/>
      <c r="E122" s="59"/>
      <c r="F122" s="59"/>
    </row>
    <row r="123" ht="12.75" customHeight="1">
      <c r="A123" s="46"/>
      <c r="B123" s="59"/>
      <c r="C123" s="59"/>
      <c r="D123" s="59"/>
      <c r="E123" s="59"/>
      <c r="F123" s="59"/>
    </row>
    <row r="124" ht="12.75" customHeight="1">
      <c r="A124" s="46"/>
      <c r="B124" s="59"/>
      <c r="C124" s="59"/>
      <c r="D124" s="59"/>
      <c r="E124" s="59"/>
      <c r="F124" s="59"/>
    </row>
    <row r="125" ht="12.75" customHeight="1">
      <c r="A125" s="46"/>
      <c r="B125" s="59"/>
      <c r="C125" s="59"/>
      <c r="D125" s="59"/>
      <c r="E125" s="59"/>
      <c r="F125" s="59"/>
    </row>
    <row r="126" ht="12.75" customHeight="1">
      <c r="A126" s="46"/>
      <c r="B126" s="59"/>
      <c r="C126" s="59"/>
      <c r="D126" s="59"/>
      <c r="E126" s="59"/>
      <c r="F126" s="59"/>
    </row>
    <row r="127" ht="12.75" customHeight="1">
      <c r="A127" s="46"/>
      <c r="B127" s="59"/>
      <c r="C127" s="59"/>
      <c r="D127" s="59"/>
      <c r="E127" s="59"/>
      <c r="F127" s="59"/>
    </row>
    <row r="128" ht="12.75" customHeight="1">
      <c r="A128" s="46"/>
      <c r="B128" s="59"/>
      <c r="C128" s="59"/>
      <c r="D128" s="59"/>
      <c r="E128" s="59"/>
      <c r="F128" s="59"/>
    </row>
    <row r="129" ht="12.75" customHeight="1">
      <c r="A129" s="46"/>
      <c r="B129" s="59"/>
      <c r="C129" s="59"/>
      <c r="D129" s="59"/>
      <c r="E129" s="59"/>
      <c r="F129" s="59"/>
    </row>
    <row r="130" ht="12.75" customHeight="1">
      <c r="A130" s="46"/>
      <c r="B130" s="59"/>
      <c r="C130" s="59"/>
      <c r="D130" s="59"/>
      <c r="E130" s="59"/>
      <c r="F130" s="59"/>
    </row>
    <row r="131" ht="12.75" customHeight="1">
      <c r="A131" s="46"/>
      <c r="B131" s="59"/>
      <c r="C131" s="59"/>
      <c r="D131" s="59"/>
      <c r="E131" s="59"/>
      <c r="F131" s="59"/>
    </row>
    <row r="132" ht="12.75" customHeight="1">
      <c r="A132" s="46"/>
      <c r="B132" s="59"/>
      <c r="C132" s="59"/>
      <c r="D132" s="59"/>
      <c r="E132" s="59"/>
      <c r="F132" s="59"/>
    </row>
    <row r="133" ht="12.75" customHeight="1">
      <c r="A133" s="46"/>
      <c r="B133" s="59"/>
      <c r="C133" s="59"/>
      <c r="D133" s="59"/>
      <c r="E133" s="59"/>
      <c r="F133" s="59"/>
    </row>
    <row r="134" ht="12.75" customHeight="1">
      <c r="A134" s="46"/>
      <c r="B134" s="59"/>
      <c r="C134" s="59"/>
      <c r="D134" s="59"/>
      <c r="E134" s="59"/>
      <c r="F134" s="59"/>
    </row>
    <row r="135" ht="12.75" customHeight="1">
      <c r="A135" s="46"/>
      <c r="B135" s="59"/>
      <c r="C135" s="59"/>
      <c r="D135" s="59"/>
      <c r="E135" s="59"/>
      <c r="F135" s="59"/>
    </row>
    <row r="136" ht="12.75" customHeight="1">
      <c r="A136" s="46"/>
      <c r="B136" s="59"/>
      <c r="C136" s="59"/>
      <c r="D136" s="59"/>
      <c r="E136" s="59"/>
      <c r="F136" s="59"/>
    </row>
    <row r="137" ht="12.75" customHeight="1">
      <c r="A137" s="46"/>
      <c r="B137" s="59"/>
      <c r="C137" s="59"/>
      <c r="D137" s="59"/>
      <c r="E137" s="59"/>
      <c r="F137" s="59"/>
    </row>
    <row r="138" ht="12.75" customHeight="1">
      <c r="A138" s="46"/>
      <c r="B138" s="59"/>
      <c r="C138" s="59"/>
      <c r="D138" s="59"/>
      <c r="E138" s="59"/>
      <c r="F138" s="59"/>
    </row>
    <row r="139" ht="12.75" customHeight="1">
      <c r="A139" s="46"/>
      <c r="B139" s="59"/>
      <c r="C139" s="59"/>
      <c r="D139" s="59"/>
      <c r="E139" s="59"/>
      <c r="F139" s="59"/>
    </row>
    <row r="140" ht="12.75" customHeight="1">
      <c r="A140" s="46"/>
      <c r="B140" s="59"/>
      <c r="C140" s="59"/>
      <c r="D140" s="59"/>
      <c r="E140" s="59"/>
      <c r="F140" s="59"/>
    </row>
    <row r="141" ht="12.75" customHeight="1">
      <c r="A141" s="46"/>
      <c r="B141" s="59"/>
      <c r="C141" s="59"/>
      <c r="D141" s="59"/>
      <c r="E141" s="59"/>
      <c r="F141" s="59"/>
    </row>
    <row r="142" ht="12.75" customHeight="1">
      <c r="A142" s="46"/>
      <c r="B142" s="59"/>
      <c r="C142" s="59"/>
      <c r="D142" s="59"/>
      <c r="E142" s="59"/>
      <c r="F142" s="59"/>
    </row>
    <row r="143" ht="12.75" customHeight="1">
      <c r="A143" s="46"/>
      <c r="B143" s="59"/>
      <c r="C143" s="59"/>
      <c r="D143" s="59"/>
      <c r="E143" s="59"/>
      <c r="F143" s="59"/>
    </row>
    <row r="144" ht="12.75" customHeight="1">
      <c r="A144" s="46"/>
      <c r="B144" s="59"/>
      <c r="C144" s="59"/>
      <c r="D144" s="59"/>
      <c r="E144" s="59"/>
      <c r="F144" s="59"/>
    </row>
    <row r="145" ht="12.75" customHeight="1">
      <c r="A145" s="46"/>
      <c r="B145" s="59"/>
      <c r="C145" s="59"/>
      <c r="D145" s="59"/>
      <c r="E145" s="59"/>
      <c r="F145" s="59"/>
    </row>
    <row r="146" ht="12.75" customHeight="1">
      <c r="A146" s="46"/>
      <c r="B146" s="59"/>
      <c r="C146" s="59"/>
      <c r="D146" s="59"/>
      <c r="E146" s="59"/>
      <c r="F146" s="59"/>
    </row>
    <row r="147" ht="12.75" customHeight="1">
      <c r="A147" s="46"/>
      <c r="B147" s="59"/>
      <c r="C147" s="59"/>
      <c r="D147" s="59"/>
      <c r="E147" s="59"/>
      <c r="F147" s="59"/>
    </row>
    <row r="148" ht="12.75" customHeight="1">
      <c r="A148" s="46"/>
      <c r="B148" s="59"/>
      <c r="C148" s="59"/>
      <c r="D148" s="59"/>
      <c r="E148" s="59"/>
      <c r="F148" s="59"/>
    </row>
    <row r="149" ht="12.75" customHeight="1">
      <c r="A149" s="46"/>
      <c r="B149" s="59"/>
      <c r="C149" s="59"/>
      <c r="D149" s="59"/>
      <c r="E149" s="59"/>
      <c r="F149" s="59"/>
    </row>
    <row r="150" ht="12.75" customHeight="1">
      <c r="A150" s="46"/>
      <c r="B150" s="59"/>
      <c r="C150" s="59"/>
      <c r="D150" s="59"/>
      <c r="E150" s="59"/>
      <c r="F150" s="59"/>
    </row>
    <row r="151" ht="12.75" customHeight="1">
      <c r="A151" s="46"/>
      <c r="B151" s="59"/>
      <c r="C151" s="59"/>
      <c r="D151" s="59"/>
      <c r="E151" s="59"/>
      <c r="F151" s="59"/>
    </row>
    <row r="152" ht="12.75" customHeight="1">
      <c r="A152" s="46"/>
      <c r="B152" s="59"/>
      <c r="C152" s="59"/>
      <c r="D152" s="59"/>
      <c r="E152" s="59"/>
      <c r="F152" s="59"/>
    </row>
    <row r="153" ht="12.75" customHeight="1">
      <c r="A153" s="46"/>
      <c r="B153" s="59"/>
      <c r="C153" s="59"/>
      <c r="D153" s="59"/>
      <c r="E153" s="59"/>
      <c r="F153" s="59"/>
    </row>
    <row r="154" ht="12.75" customHeight="1">
      <c r="A154" s="46"/>
      <c r="B154" s="59"/>
      <c r="C154" s="59"/>
      <c r="D154" s="59"/>
      <c r="E154" s="59"/>
      <c r="F154" s="59"/>
    </row>
    <row r="155" ht="12.75" customHeight="1">
      <c r="A155" s="46"/>
      <c r="B155" s="59"/>
      <c r="C155" s="59"/>
      <c r="D155" s="59"/>
      <c r="E155" s="59"/>
      <c r="F155" s="59"/>
    </row>
    <row r="156" ht="12.75" customHeight="1">
      <c r="A156" s="46"/>
      <c r="B156" s="59"/>
      <c r="C156" s="59"/>
      <c r="D156" s="59"/>
      <c r="E156" s="59"/>
      <c r="F156" s="59"/>
    </row>
    <row r="157" ht="12.75" customHeight="1">
      <c r="A157" s="46"/>
      <c r="B157" s="59"/>
      <c r="C157" s="59"/>
      <c r="D157" s="59"/>
      <c r="E157" s="59"/>
      <c r="F157" s="59"/>
    </row>
    <row r="158" ht="12.75" customHeight="1">
      <c r="A158" s="46"/>
      <c r="B158" s="59"/>
      <c r="C158" s="59"/>
      <c r="D158" s="59"/>
      <c r="E158" s="59"/>
      <c r="F158" s="59"/>
    </row>
    <row r="159" ht="12.75" customHeight="1">
      <c r="A159" s="46"/>
      <c r="B159" s="59"/>
      <c r="C159" s="59"/>
      <c r="D159" s="59"/>
      <c r="E159" s="59"/>
      <c r="F159" s="59"/>
    </row>
    <row r="160" ht="12.75" customHeight="1">
      <c r="A160" s="46"/>
      <c r="B160" s="59"/>
      <c r="C160" s="59"/>
      <c r="D160" s="59"/>
      <c r="E160" s="59"/>
      <c r="F160" s="59"/>
    </row>
    <row r="161" ht="12.75" customHeight="1">
      <c r="A161" s="46"/>
      <c r="B161" s="59"/>
      <c r="C161" s="59"/>
      <c r="D161" s="59"/>
      <c r="E161" s="59"/>
      <c r="F161" s="59"/>
    </row>
    <row r="162" ht="12.75" customHeight="1">
      <c r="A162" s="46"/>
      <c r="B162" s="59"/>
      <c r="C162" s="59"/>
      <c r="D162" s="59"/>
      <c r="E162" s="59"/>
      <c r="F162" s="59"/>
    </row>
    <row r="163" ht="12.75" customHeight="1">
      <c r="A163" s="46"/>
      <c r="B163" s="59"/>
      <c r="C163" s="59"/>
      <c r="D163" s="59"/>
      <c r="E163" s="59"/>
      <c r="F163" s="59"/>
    </row>
    <row r="164" ht="12.75" customHeight="1">
      <c r="A164" s="46"/>
      <c r="B164" s="59"/>
      <c r="C164" s="59"/>
      <c r="D164" s="59"/>
      <c r="E164" s="59"/>
      <c r="F164" s="59"/>
    </row>
    <row r="165" ht="12.75" customHeight="1">
      <c r="A165" s="46"/>
      <c r="B165" s="59"/>
      <c r="C165" s="59"/>
      <c r="D165" s="59"/>
      <c r="E165" s="59"/>
      <c r="F165" s="59"/>
    </row>
    <row r="166" ht="12.75" customHeight="1">
      <c r="A166" s="46"/>
      <c r="B166" s="59"/>
      <c r="C166" s="59"/>
      <c r="D166" s="59"/>
      <c r="E166" s="59"/>
      <c r="F166" s="59"/>
    </row>
    <row r="167" ht="12.75" customHeight="1">
      <c r="A167" s="46"/>
      <c r="B167" s="59"/>
      <c r="C167" s="59"/>
      <c r="D167" s="59"/>
      <c r="E167" s="59"/>
      <c r="F167" s="59"/>
    </row>
    <row r="168" ht="12.75" customHeight="1">
      <c r="A168" s="46"/>
      <c r="B168" s="59"/>
      <c r="C168" s="59"/>
      <c r="D168" s="59"/>
      <c r="E168" s="59"/>
      <c r="F168" s="59"/>
    </row>
    <row r="169" ht="12.75" customHeight="1">
      <c r="A169" s="46"/>
      <c r="B169" s="59"/>
      <c r="C169" s="59"/>
      <c r="D169" s="59"/>
      <c r="E169" s="59"/>
      <c r="F169" s="59"/>
    </row>
    <row r="170" ht="12.75" customHeight="1">
      <c r="A170" s="46"/>
      <c r="B170" s="59"/>
      <c r="C170" s="59"/>
      <c r="D170" s="59"/>
      <c r="E170" s="59"/>
      <c r="F170" s="59"/>
    </row>
    <row r="171" ht="12.75" customHeight="1">
      <c r="A171" s="46"/>
      <c r="B171" s="59"/>
      <c r="C171" s="59"/>
      <c r="D171" s="59"/>
      <c r="E171" s="59"/>
      <c r="F171" s="59"/>
    </row>
    <row r="172" ht="12.75" customHeight="1">
      <c r="A172" s="46"/>
      <c r="B172" s="59"/>
      <c r="C172" s="59"/>
      <c r="D172" s="59"/>
      <c r="E172" s="59"/>
      <c r="F172" s="59"/>
    </row>
    <row r="173" ht="12.75" customHeight="1">
      <c r="A173" s="46"/>
      <c r="B173" s="59"/>
      <c r="C173" s="59"/>
      <c r="D173" s="59"/>
      <c r="E173" s="59"/>
      <c r="F173" s="59"/>
    </row>
    <row r="174" ht="12.75" customHeight="1">
      <c r="A174" s="46"/>
      <c r="B174" s="59"/>
      <c r="C174" s="59"/>
      <c r="D174" s="59"/>
      <c r="E174" s="59"/>
      <c r="F174" s="59"/>
    </row>
    <row r="175" ht="12.75" customHeight="1">
      <c r="A175" s="46"/>
      <c r="B175" s="59"/>
      <c r="C175" s="59"/>
      <c r="D175" s="59"/>
      <c r="E175" s="59"/>
      <c r="F175" s="59"/>
    </row>
    <row r="176" ht="12.75" customHeight="1">
      <c r="A176" s="46"/>
      <c r="B176" s="59"/>
      <c r="C176" s="59"/>
      <c r="D176" s="59"/>
      <c r="E176" s="59"/>
      <c r="F176" s="59"/>
    </row>
    <row r="177" ht="12.75" customHeight="1">
      <c r="A177" s="46"/>
      <c r="B177" s="59"/>
      <c r="C177" s="59"/>
      <c r="D177" s="59"/>
      <c r="E177" s="59"/>
      <c r="F177" s="59"/>
    </row>
    <row r="178" ht="12.75" customHeight="1">
      <c r="A178" s="46"/>
      <c r="B178" s="59"/>
      <c r="C178" s="59"/>
      <c r="D178" s="59"/>
      <c r="E178" s="59"/>
      <c r="F178" s="59"/>
    </row>
    <row r="179" ht="12.75" customHeight="1">
      <c r="A179" s="46"/>
      <c r="B179" s="59"/>
      <c r="C179" s="59"/>
      <c r="D179" s="59"/>
      <c r="E179" s="59"/>
      <c r="F179" s="59"/>
    </row>
    <row r="180" ht="12.75" customHeight="1">
      <c r="A180" s="46"/>
      <c r="B180" s="59"/>
      <c r="C180" s="59"/>
      <c r="D180" s="59"/>
      <c r="E180" s="59"/>
      <c r="F180" s="59"/>
    </row>
    <row r="181" ht="12.75" customHeight="1">
      <c r="A181" s="46"/>
      <c r="B181" s="59"/>
      <c r="C181" s="59"/>
      <c r="D181" s="59"/>
      <c r="E181" s="59"/>
      <c r="F181" s="59"/>
    </row>
    <row r="182" ht="12.75" customHeight="1">
      <c r="A182" s="46"/>
      <c r="B182" s="59"/>
      <c r="C182" s="59"/>
      <c r="D182" s="59"/>
      <c r="E182" s="59"/>
      <c r="F182" s="59"/>
    </row>
    <row r="183" ht="12.75" customHeight="1">
      <c r="A183" s="46"/>
      <c r="B183" s="59"/>
      <c r="C183" s="59"/>
      <c r="D183" s="59"/>
      <c r="E183" s="59"/>
      <c r="F183" s="59"/>
    </row>
    <row r="184" ht="12.75" customHeight="1">
      <c r="A184" s="46"/>
      <c r="B184" s="59"/>
      <c r="C184" s="59"/>
      <c r="D184" s="59"/>
      <c r="E184" s="59"/>
      <c r="F184" s="59"/>
    </row>
    <row r="185" ht="12.75" customHeight="1">
      <c r="A185" s="46"/>
      <c r="B185" s="59"/>
      <c r="C185" s="59"/>
      <c r="D185" s="59"/>
      <c r="E185" s="59"/>
      <c r="F185" s="59"/>
    </row>
    <row r="186" ht="12.75" customHeight="1">
      <c r="A186" s="46"/>
      <c r="B186" s="59"/>
      <c r="C186" s="59"/>
      <c r="D186" s="59"/>
      <c r="E186" s="59"/>
      <c r="F186" s="59"/>
    </row>
    <row r="187" ht="12.75" customHeight="1">
      <c r="A187" s="46"/>
      <c r="B187" s="59"/>
      <c r="C187" s="59"/>
      <c r="D187" s="59"/>
      <c r="E187" s="59"/>
      <c r="F187" s="59"/>
    </row>
    <row r="188" ht="12.75" customHeight="1">
      <c r="A188" s="46"/>
      <c r="B188" s="59"/>
      <c r="C188" s="59"/>
      <c r="D188" s="59"/>
      <c r="E188" s="59"/>
      <c r="F188" s="59"/>
    </row>
    <row r="189" ht="12.75" customHeight="1">
      <c r="A189" s="46"/>
      <c r="B189" s="59"/>
      <c r="C189" s="59"/>
      <c r="D189" s="59"/>
      <c r="E189" s="59"/>
      <c r="F189" s="59"/>
    </row>
    <row r="190" ht="12.75" customHeight="1">
      <c r="A190" s="46"/>
      <c r="B190" s="59"/>
      <c r="C190" s="59"/>
      <c r="D190" s="59"/>
      <c r="E190" s="59"/>
      <c r="F190" s="59"/>
    </row>
    <row r="191" ht="12.75" customHeight="1">
      <c r="A191" s="46"/>
      <c r="B191" s="59"/>
      <c r="C191" s="59"/>
      <c r="D191" s="59"/>
      <c r="E191" s="59"/>
      <c r="F191" s="59"/>
    </row>
    <row r="192" ht="12.75" customHeight="1">
      <c r="A192" s="46"/>
      <c r="B192" s="59"/>
      <c r="C192" s="59"/>
      <c r="D192" s="59"/>
      <c r="E192" s="59"/>
      <c r="F192" s="59"/>
    </row>
    <row r="193" ht="12.75" customHeight="1">
      <c r="A193" s="46"/>
      <c r="B193" s="59"/>
      <c r="C193" s="59"/>
      <c r="D193" s="59"/>
      <c r="E193" s="59"/>
      <c r="F193" s="59"/>
    </row>
    <row r="194" ht="12.75" customHeight="1">
      <c r="A194" s="46"/>
      <c r="B194" s="59"/>
      <c r="C194" s="59"/>
      <c r="D194" s="59"/>
      <c r="E194" s="59"/>
      <c r="F194" s="59"/>
    </row>
    <row r="195" ht="12.75" customHeight="1">
      <c r="A195" s="46"/>
      <c r="B195" s="59"/>
      <c r="C195" s="59"/>
      <c r="D195" s="59"/>
      <c r="E195" s="59"/>
      <c r="F195" s="59"/>
    </row>
    <row r="196" ht="12.75" customHeight="1">
      <c r="A196" s="46"/>
      <c r="B196" s="59"/>
      <c r="C196" s="59"/>
      <c r="D196" s="59"/>
      <c r="E196" s="59"/>
      <c r="F196" s="59"/>
    </row>
    <row r="197" ht="12.75" customHeight="1">
      <c r="A197" s="46"/>
      <c r="B197" s="59"/>
      <c r="C197" s="59"/>
      <c r="D197" s="59"/>
      <c r="E197" s="59"/>
      <c r="F197" s="59"/>
    </row>
    <row r="198" ht="12.75" customHeight="1">
      <c r="A198" s="46"/>
      <c r="B198" s="59"/>
      <c r="C198" s="59"/>
      <c r="D198" s="59"/>
      <c r="E198" s="59"/>
      <c r="F198" s="59"/>
    </row>
    <row r="199" ht="12.75" customHeight="1">
      <c r="A199" s="46"/>
      <c r="B199" s="59"/>
      <c r="C199" s="59"/>
      <c r="D199" s="59"/>
      <c r="E199" s="59"/>
      <c r="F199" s="59"/>
    </row>
    <row r="200" ht="12.75" customHeight="1">
      <c r="A200" s="46"/>
      <c r="B200" s="59"/>
      <c r="C200" s="59"/>
      <c r="D200" s="59"/>
      <c r="E200" s="59"/>
      <c r="F200" s="59"/>
    </row>
    <row r="201" ht="12.75" customHeight="1">
      <c r="A201" s="46"/>
      <c r="B201" s="59"/>
      <c r="C201" s="59"/>
      <c r="D201" s="59"/>
      <c r="E201" s="59"/>
      <c r="F201" s="59"/>
    </row>
    <row r="202" ht="12.75" customHeight="1">
      <c r="A202" s="46"/>
      <c r="B202" s="59"/>
      <c r="C202" s="59"/>
      <c r="D202" s="59"/>
      <c r="E202" s="59"/>
      <c r="F202" s="59"/>
    </row>
    <row r="203" ht="12.75" customHeight="1">
      <c r="A203" s="46"/>
      <c r="B203" s="59"/>
      <c r="C203" s="59"/>
      <c r="D203" s="59"/>
      <c r="E203" s="59"/>
      <c r="F203" s="59"/>
    </row>
    <row r="204" ht="12.75" customHeight="1">
      <c r="A204" s="46"/>
      <c r="B204" s="59"/>
      <c r="C204" s="59"/>
      <c r="D204" s="59"/>
      <c r="E204" s="59"/>
      <c r="F204" s="59"/>
    </row>
    <row r="205" ht="12.75" customHeight="1">
      <c r="A205" s="46"/>
      <c r="B205" s="59"/>
      <c r="C205" s="59"/>
      <c r="D205" s="59"/>
      <c r="E205" s="59"/>
      <c r="F205" s="59"/>
    </row>
    <row r="206" ht="12.75" customHeight="1">
      <c r="A206" s="46"/>
      <c r="B206" s="59"/>
      <c r="C206" s="59"/>
      <c r="D206" s="59"/>
      <c r="E206" s="59"/>
      <c r="F206" s="59"/>
    </row>
    <row r="207" ht="12.75" customHeight="1">
      <c r="A207" s="46"/>
      <c r="B207" s="59"/>
      <c r="C207" s="59"/>
      <c r="D207" s="59"/>
      <c r="E207" s="59"/>
      <c r="F207" s="59"/>
    </row>
    <row r="208" ht="12.75" customHeight="1">
      <c r="A208" s="46"/>
      <c r="B208" s="59"/>
      <c r="C208" s="59"/>
      <c r="D208" s="59"/>
      <c r="E208" s="59"/>
      <c r="F208" s="59"/>
    </row>
    <row r="209" ht="12.75" customHeight="1">
      <c r="A209" s="46"/>
      <c r="B209" s="59"/>
      <c r="C209" s="59"/>
      <c r="D209" s="59"/>
      <c r="E209" s="59"/>
      <c r="F209" s="59"/>
    </row>
    <row r="210" ht="12.75" customHeight="1">
      <c r="A210" s="46"/>
      <c r="B210" s="59"/>
      <c r="C210" s="59"/>
      <c r="D210" s="59"/>
      <c r="E210" s="59"/>
      <c r="F210" s="59"/>
    </row>
    <row r="211" ht="12.75" customHeight="1">
      <c r="A211" s="46"/>
      <c r="B211" s="59"/>
      <c r="C211" s="59"/>
      <c r="D211" s="59"/>
      <c r="E211" s="59"/>
      <c r="F211" s="59"/>
    </row>
    <row r="212" ht="12.75" customHeight="1">
      <c r="A212" s="46"/>
      <c r="B212" s="59"/>
      <c r="C212" s="59"/>
      <c r="D212" s="59"/>
      <c r="E212" s="59"/>
      <c r="F212" s="59"/>
    </row>
    <row r="213" ht="12.75" customHeight="1">
      <c r="A213" s="46"/>
      <c r="B213" s="59"/>
      <c r="C213" s="59"/>
      <c r="D213" s="59"/>
      <c r="E213" s="59"/>
      <c r="F213" s="59"/>
    </row>
    <row r="214" ht="12.75" customHeight="1">
      <c r="A214" s="46"/>
      <c r="B214" s="59"/>
      <c r="C214" s="59"/>
      <c r="D214" s="59"/>
      <c r="E214" s="59"/>
      <c r="F214" s="59"/>
    </row>
    <row r="215" ht="12.75" customHeight="1">
      <c r="A215" s="46"/>
      <c r="B215" s="59"/>
      <c r="C215" s="59"/>
      <c r="D215" s="59"/>
      <c r="E215" s="59"/>
      <c r="F215" s="59"/>
    </row>
    <row r="216" ht="12.75" customHeight="1">
      <c r="A216" s="46"/>
      <c r="B216" s="59"/>
      <c r="C216" s="59"/>
      <c r="D216" s="59"/>
      <c r="E216" s="59"/>
      <c r="F216" s="59"/>
    </row>
    <row r="217" ht="12.75" customHeight="1">
      <c r="A217" s="46"/>
      <c r="B217" s="59"/>
      <c r="C217" s="59"/>
      <c r="D217" s="59"/>
      <c r="E217" s="59"/>
      <c r="F217" s="59"/>
    </row>
    <row r="218" ht="12.75" customHeight="1">
      <c r="A218" s="46"/>
      <c r="B218" s="59"/>
      <c r="C218" s="59"/>
      <c r="D218" s="59"/>
      <c r="E218" s="59"/>
      <c r="F218" s="59"/>
    </row>
    <row r="219" ht="12.75" customHeight="1">
      <c r="A219" s="46"/>
      <c r="B219" s="59"/>
      <c r="C219" s="59"/>
      <c r="D219" s="59"/>
      <c r="E219" s="59"/>
      <c r="F219" s="59"/>
    </row>
    <row r="220" ht="12.75" customHeight="1">
      <c r="A220" s="46"/>
      <c r="B220" s="59"/>
      <c r="C220" s="59"/>
      <c r="D220" s="59"/>
      <c r="E220" s="59"/>
      <c r="F220" s="59"/>
    </row>
    <row r="221" ht="12.75" customHeight="1">
      <c r="A221" s="46"/>
      <c r="B221" s="59"/>
      <c r="C221" s="59"/>
      <c r="D221" s="59"/>
      <c r="E221" s="59"/>
      <c r="F221" s="59"/>
    </row>
    <row r="222" ht="12.75" customHeight="1">
      <c r="A222" s="46"/>
      <c r="B222" s="59"/>
      <c r="C222" s="59"/>
      <c r="D222" s="59"/>
      <c r="E222" s="59"/>
      <c r="F222" s="59"/>
    </row>
    <row r="223" ht="12.75" customHeight="1">
      <c r="A223" s="46"/>
      <c r="B223" s="59"/>
      <c r="C223" s="59"/>
      <c r="D223" s="59"/>
      <c r="E223" s="59"/>
      <c r="F223" s="59"/>
    </row>
    <row r="224" ht="12.75" customHeight="1">
      <c r="A224" s="46"/>
      <c r="B224" s="59"/>
      <c r="C224" s="59"/>
      <c r="D224" s="59"/>
      <c r="E224" s="59"/>
      <c r="F224" s="59"/>
    </row>
    <row r="225" ht="12.75" customHeight="1">
      <c r="A225" s="46"/>
      <c r="B225" s="59"/>
      <c r="C225" s="59"/>
      <c r="D225" s="59"/>
      <c r="E225" s="59"/>
      <c r="F225" s="59"/>
    </row>
    <row r="226" ht="12.75" customHeight="1">
      <c r="A226" s="46"/>
      <c r="B226" s="59"/>
      <c r="C226" s="59"/>
      <c r="D226" s="59"/>
      <c r="E226" s="59"/>
      <c r="F226" s="59"/>
    </row>
    <row r="227" ht="12.75" customHeight="1">
      <c r="A227" s="46"/>
      <c r="B227" s="59"/>
      <c r="C227" s="59"/>
      <c r="D227" s="59"/>
      <c r="E227" s="59"/>
      <c r="F227" s="59"/>
    </row>
    <row r="228" ht="12.75" customHeight="1">
      <c r="A228" s="46"/>
      <c r="B228" s="59"/>
      <c r="C228" s="59"/>
      <c r="D228" s="59"/>
      <c r="E228" s="59"/>
      <c r="F228" s="59"/>
    </row>
    <row r="229" ht="12.75" customHeight="1">
      <c r="A229" s="46"/>
      <c r="B229" s="59"/>
      <c r="C229" s="59"/>
      <c r="D229" s="59"/>
      <c r="E229" s="59"/>
      <c r="F229" s="59"/>
    </row>
    <row r="230" ht="12.75" customHeight="1">
      <c r="A230" s="46"/>
      <c r="B230" s="59"/>
      <c r="C230" s="59"/>
      <c r="D230" s="59"/>
      <c r="E230" s="59"/>
      <c r="F230" s="59"/>
    </row>
    <row r="231" ht="12.75" customHeight="1">
      <c r="A231" s="46"/>
      <c r="B231" s="59"/>
      <c r="C231" s="59"/>
      <c r="D231" s="59"/>
      <c r="E231" s="59"/>
      <c r="F231" s="59"/>
    </row>
    <row r="232" ht="12.75" customHeight="1">
      <c r="A232" s="46"/>
      <c r="B232" s="59"/>
      <c r="C232" s="59"/>
      <c r="D232" s="59"/>
      <c r="E232" s="59"/>
      <c r="F232" s="59"/>
    </row>
    <row r="233" ht="12.75" customHeight="1">
      <c r="A233" s="46"/>
      <c r="B233" s="59"/>
      <c r="C233" s="59"/>
      <c r="D233" s="59"/>
      <c r="E233" s="59"/>
      <c r="F233" s="59"/>
    </row>
    <row r="234" ht="12.75" customHeight="1">
      <c r="A234" s="46"/>
      <c r="B234" s="59"/>
      <c r="C234" s="59"/>
      <c r="D234" s="59"/>
      <c r="E234" s="59"/>
      <c r="F234" s="59"/>
    </row>
    <row r="235" ht="12.75" customHeight="1">
      <c r="A235" s="46"/>
      <c r="B235" s="59"/>
      <c r="C235" s="59"/>
      <c r="D235" s="59"/>
      <c r="E235" s="59"/>
      <c r="F235" s="59"/>
    </row>
    <row r="236" ht="12.75" customHeight="1">
      <c r="A236" s="46"/>
      <c r="B236" s="59"/>
      <c r="C236" s="59"/>
      <c r="D236" s="59"/>
      <c r="E236" s="59"/>
      <c r="F236" s="59"/>
    </row>
    <row r="237" ht="12.75" customHeight="1">
      <c r="A237" s="46"/>
      <c r="B237" s="59"/>
      <c r="C237" s="59"/>
      <c r="D237" s="59"/>
      <c r="E237" s="59"/>
      <c r="F237" s="59"/>
    </row>
    <row r="238" ht="12.75" customHeight="1">
      <c r="A238" s="46"/>
      <c r="B238" s="59"/>
      <c r="C238" s="59"/>
      <c r="D238" s="59"/>
      <c r="E238" s="59"/>
      <c r="F238" s="59"/>
    </row>
    <row r="239" ht="12.75" customHeight="1">
      <c r="A239" s="46"/>
      <c r="B239" s="59"/>
      <c r="C239" s="59"/>
      <c r="D239" s="59"/>
      <c r="E239" s="59"/>
      <c r="F239" s="59"/>
    </row>
    <row r="240" ht="12.75" customHeight="1">
      <c r="A240" s="46"/>
      <c r="B240" s="59"/>
      <c r="C240" s="59"/>
      <c r="D240" s="59"/>
      <c r="E240" s="59"/>
      <c r="F240" s="59"/>
    </row>
    <row r="241" ht="12.75" customHeight="1">
      <c r="A241" s="46"/>
      <c r="B241" s="59"/>
      <c r="C241" s="59"/>
      <c r="D241" s="59"/>
      <c r="E241" s="59"/>
      <c r="F241" s="59"/>
    </row>
    <row r="242" ht="12.75" customHeight="1">
      <c r="A242" s="46"/>
      <c r="B242" s="59"/>
      <c r="C242" s="59"/>
      <c r="D242" s="59"/>
      <c r="E242" s="59"/>
      <c r="F242" s="59"/>
    </row>
    <row r="243" ht="12.75" customHeight="1">
      <c r="A243" s="46"/>
      <c r="B243" s="59"/>
      <c r="C243" s="59"/>
      <c r="D243" s="59"/>
      <c r="E243" s="59"/>
      <c r="F243" s="59"/>
    </row>
    <row r="244" ht="12.75" customHeight="1">
      <c r="A244" s="46"/>
      <c r="B244" s="59"/>
      <c r="C244" s="59"/>
      <c r="D244" s="59"/>
      <c r="E244" s="59"/>
      <c r="F244" s="59"/>
    </row>
    <row r="245" ht="12.75" customHeight="1">
      <c r="A245" s="46"/>
      <c r="B245" s="59"/>
      <c r="C245" s="59"/>
      <c r="D245" s="59"/>
      <c r="E245" s="59"/>
      <c r="F245" s="59"/>
    </row>
    <row r="246" ht="12.75" customHeight="1">
      <c r="A246" s="46"/>
      <c r="B246" s="59"/>
      <c r="C246" s="59"/>
      <c r="D246" s="59"/>
      <c r="E246" s="59"/>
      <c r="F246" s="59"/>
    </row>
    <row r="247" ht="12.75" customHeight="1">
      <c r="A247" s="46"/>
      <c r="B247" s="59"/>
      <c r="C247" s="59"/>
      <c r="D247" s="59"/>
      <c r="E247" s="59"/>
      <c r="F247" s="59"/>
    </row>
    <row r="248" ht="12.75" customHeight="1">
      <c r="A248" s="46"/>
      <c r="B248" s="59"/>
      <c r="C248" s="59"/>
      <c r="D248" s="59"/>
      <c r="E248" s="59"/>
      <c r="F248" s="59"/>
    </row>
    <row r="249" ht="12.75" customHeight="1">
      <c r="A249" s="46"/>
      <c r="B249" s="59"/>
      <c r="C249" s="59"/>
      <c r="D249" s="59"/>
      <c r="E249" s="59"/>
      <c r="F249" s="59"/>
    </row>
    <row r="250" ht="12.75" customHeight="1">
      <c r="A250" s="46"/>
      <c r="B250" s="59"/>
      <c r="C250" s="59"/>
      <c r="D250" s="59"/>
      <c r="E250" s="59"/>
      <c r="F250" s="59"/>
    </row>
    <row r="251" ht="12.75" customHeight="1">
      <c r="A251" s="46"/>
      <c r="B251" s="59"/>
      <c r="C251" s="59"/>
      <c r="D251" s="59"/>
      <c r="E251" s="59"/>
      <c r="F251" s="59"/>
    </row>
    <row r="252" ht="12.75" customHeight="1">
      <c r="A252" s="46"/>
      <c r="B252" s="59"/>
      <c r="C252" s="59"/>
      <c r="D252" s="59"/>
      <c r="E252" s="59"/>
      <c r="F252" s="59"/>
    </row>
    <row r="253" ht="12.75" customHeight="1">
      <c r="A253" s="46"/>
      <c r="B253" s="59"/>
      <c r="C253" s="59"/>
      <c r="D253" s="59"/>
      <c r="E253" s="59"/>
      <c r="F253" s="59"/>
    </row>
    <row r="254" ht="12.75" customHeight="1">
      <c r="A254" s="46"/>
      <c r="B254" s="59"/>
      <c r="C254" s="59"/>
      <c r="D254" s="59"/>
      <c r="E254" s="59"/>
      <c r="F254" s="59"/>
    </row>
    <row r="255" ht="12.75" customHeight="1">
      <c r="A255" s="46"/>
      <c r="B255" s="59"/>
      <c r="C255" s="59"/>
      <c r="D255" s="59"/>
      <c r="E255" s="59"/>
      <c r="F255" s="59"/>
    </row>
    <row r="256" ht="12.75" customHeight="1">
      <c r="A256" s="46"/>
      <c r="B256" s="59"/>
      <c r="C256" s="59"/>
      <c r="D256" s="59"/>
      <c r="E256" s="59"/>
      <c r="F256" s="59"/>
    </row>
    <row r="257" ht="12.75" customHeight="1">
      <c r="A257" s="46"/>
      <c r="B257" s="59"/>
      <c r="C257" s="59"/>
      <c r="D257" s="59"/>
      <c r="E257" s="59"/>
      <c r="F257" s="59"/>
    </row>
    <row r="258" ht="12.75" customHeight="1">
      <c r="A258" s="46"/>
      <c r="B258" s="59"/>
      <c r="C258" s="59"/>
      <c r="D258" s="59"/>
      <c r="E258" s="59"/>
      <c r="F258" s="59"/>
    </row>
    <row r="259" ht="12.75" customHeight="1">
      <c r="A259" s="46"/>
      <c r="B259" s="59"/>
      <c r="C259" s="59"/>
      <c r="D259" s="59"/>
      <c r="E259" s="59"/>
      <c r="F259" s="59"/>
    </row>
    <row r="260" ht="12.75" customHeight="1">
      <c r="A260" s="46"/>
      <c r="B260" s="59"/>
      <c r="C260" s="59"/>
      <c r="D260" s="59"/>
      <c r="E260" s="59"/>
      <c r="F260" s="59"/>
    </row>
    <row r="261" ht="12.75" customHeight="1">
      <c r="A261" s="46"/>
      <c r="B261" s="59"/>
      <c r="C261" s="59"/>
      <c r="D261" s="59"/>
      <c r="E261" s="59"/>
      <c r="F261" s="59"/>
    </row>
    <row r="262" ht="12.75" customHeight="1">
      <c r="A262" s="46"/>
      <c r="B262" s="59"/>
      <c r="C262" s="59"/>
      <c r="D262" s="59"/>
      <c r="E262" s="59"/>
      <c r="F262" s="59"/>
    </row>
    <row r="263" ht="12.75" customHeight="1">
      <c r="A263" s="46"/>
      <c r="B263" s="59"/>
      <c r="C263" s="59"/>
      <c r="D263" s="59"/>
      <c r="E263" s="59"/>
      <c r="F263" s="59"/>
    </row>
    <row r="264" ht="12.75" customHeight="1">
      <c r="A264" s="46"/>
      <c r="B264" s="59"/>
      <c r="C264" s="59"/>
      <c r="D264" s="59"/>
      <c r="E264" s="59"/>
      <c r="F264" s="59"/>
    </row>
    <row r="265" ht="12.75" customHeight="1">
      <c r="A265" s="46"/>
      <c r="B265" s="59"/>
      <c r="C265" s="59"/>
      <c r="D265" s="59"/>
      <c r="E265" s="59"/>
      <c r="F265" s="59"/>
    </row>
    <row r="266" ht="12.75" customHeight="1">
      <c r="A266" s="46"/>
      <c r="B266" s="59"/>
      <c r="C266" s="59"/>
      <c r="D266" s="59"/>
      <c r="E266" s="59"/>
      <c r="F266" s="59"/>
    </row>
    <row r="267" ht="12.75" customHeight="1">
      <c r="A267" s="46"/>
      <c r="B267" s="59"/>
      <c r="C267" s="59"/>
      <c r="D267" s="59"/>
      <c r="E267" s="59"/>
      <c r="F267" s="59"/>
    </row>
    <row r="268" ht="12.75" customHeight="1">
      <c r="A268" s="46"/>
      <c r="B268" s="59"/>
      <c r="C268" s="59"/>
      <c r="D268" s="59"/>
      <c r="E268" s="59"/>
      <c r="F268" s="59"/>
    </row>
    <row r="269" ht="12.75" customHeight="1">
      <c r="A269" s="46"/>
      <c r="B269" s="59"/>
      <c r="C269" s="59"/>
      <c r="D269" s="59"/>
      <c r="E269" s="59"/>
      <c r="F269" s="59"/>
    </row>
    <row r="270" ht="12.75" customHeight="1">
      <c r="A270" s="46"/>
      <c r="B270" s="59"/>
      <c r="C270" s="59"/>
      <c r="D270" s="59"/>
      <c r="E270" s="59"/>
      <c r="F270" s="59"/>
    </row>
    <row r="271" ht="12.75" customHeight="1">
      <c r="A271" s="46"/>
      <c r="B271" s="59"/>
      <c r="C271" s="59"/>
      <c r="D271" s="59"/>
      <c r="E271" s="59"/>
      <c r="F271" s="59"/>
    </row>
    <row r="272" ht="12.75" customHeight="1">
      <c r="A272" s="46"/>
      <c r="B272" s="59"/>
      <c r="C272" s="59"/>
      <c r="D272" s="59"/>
      <c r="E272" s="59"/>
      <c r="F272" s="59"/>
    </row>
    <row r="273" ht="12.75" customHeight="1">
      <c r="A273" s="46"/>
      <c r="B273" s="59"/>
      <c r="C273" s="59"/>
      <c r="D273" s="59"/>
      <c r="E273" s="59"/>
      <c r="F273" s="59"/>
    </row>
    <row r="274" ht="12.75" customHeight="1">
      <c r="A274" s="46"/>
      <c r="B274" s="59"/>
      <c r="C274" s="59"/>
      <c r="D274" s="59"/>
      <c r="E274" s="59"/>
      <c r="F274" s="59"/>
    </row>
    <row r="275" ht="12.75" customHeight="1">
      <c r="A275" s="46"/>
      <c r="B275" s="59"/>
      <c r="C275" s="59"/>
      <c r="D275" s="59"/>
      <c r="E275" s="59"/>
      <c r="F275" s="59"/>
    </row>
    <row r="276" ht="12.75" customHeight="1">
      <c r="A276" s="46"/>
      <c r="B276" s="59"/>
      <c r="C276" s="59"/>
      <c r="D276" s="59"/>
      <c r="E276" s="59"/>
      <c r="F276" s="59"/>
    </row>
    <row r="277" ht="12.75" customHeight="1">
      <c r="A277" s="46"/>
      <c r="B277" s="59"/>
      <c r="C277" s="59"/>
      <c r="D277" s="59"/>
      <c r="E277" s="59"/>
      <c r="F277" s="59"/>
    </row>
    <row r="278" ht="12.75" customHeight="1">
      <c r="A278" s="46"/>
      <c r="B278" s="59"/>
      <c r="C278" s="59"/>
      <c r="D278" s="59"/>
      <c r="E278" s="59"/>
      <c r="F278" s="59"/>
    </row>
    <row r="279" ht="12.75" customHeight="1">
      <c r="A279" s="46"/>
      <c r="B279" s="59"/>
      <c r="C279" s="59"/>
      <c r="D279" s="59"/>
      <c r="E279" s="59"/>
      <c r="F279" s="59"/>
    </row>
    <row r="280" ht="12.75" customHeight="1">
      <c r="A280" s="46"/>
      <c r="B280" s="59"/>
      <c r="C280" s="59"/>
      <c r="D280" s="59"/>
      <c r="E280" s="59"/>
      <c r="F280" s="59"/>
    </row>
    <row r="281" ht="12.75" customHeight="1">
      <c r="A281" s="46"/>
      <c r="B281" s="59"/>
      <c r="C281" s="59"/>
      <c r="D281" s="59"/>
      <c r="E281" s="59"/>
      <c r="F281" s="59"/>
    </row>
    <row r="282" ht="12.75" customHeight="1">
      <c r="A282" s="46"/>
      <c r="B282" s="59"/>
      <c r="C282" s="59"/>
      <c r="D282" s="59"/>
      <c r="E282" s="59"/>
      <c r="F282" s="59"/>
    </row>
    <row r="283" ht="12.75" customHeight="1">
      <c r="A283" s="46"/>
      <c r="B283" s="59"/>
      <c r="C283" s="59"/>
      <c r="D283" s="59"/>
      <c r="E283" s="59"/>
      <c r="F283" s="59"/>
    </row>
    <row r="284" ht="12.75" customHeight="1">
      <c r="A284" s="46"/>
      <c r="B284" s="59"/>
      <c r="C284" s="59"/>
      <c r="D284" s="59"/>
      <c r="E284" s="59"/>
      <c r="F284" s="59"/>
    </row>
    <row r="285" ht="12.75" customHeight="1">
      <c r="A285" s="46"/>
      <c r="B285" s="59"/>
      <c r="C285" s="59"/>
      <c r="D285" s="59"/>
      <c r="E285" s="59"/>
      <c r="F285" s="59"/>
    </row>
    <row r="286" ht="12.75" customHeight="1">
      <c r="A286" s="46"/>
      <c r="B286" s="59"/>
      <c r="C286" s="59"/>
      <c r="D286" s="59"/>
      <c r="E286" s="59"/>
      <c r="F286" s="59"/>
    </row>
    <row r="287" ht="12.75" customHeight="1">
      <c r="A287" s="46"/>
      <c r="B287" s="59"/>
      <c r="C287" s="59"/>
      <c r="D287" s="59"/>
      <c r="E287" s="59"/>
      <c r="F287" s="59"/>
    </row>
    <row r="288" ht="12.75" customHeight="1">
      <c r="A288" s="46"/>
      <c r="B288" s="59"/>
      <c r="C288" s="59"/>
      <c r="D288" s="59"/>
      <c r="E288" s="59"/>
      <c r="F288" s="59"/>
    </row>
    <row r="289" ht="12.75" customHeight="1">
      <c r="A289" s="46"/>
      <c r="B289" s="59"/>
      <c r="C289" s="59"/>
      <c r="D289" s="59"/>
      <c r="E289" s="59"/>
      <c r="F289" s="59"/>
    </row>
    <row r="290" ht="12.75" customHeight="1">
      <c r="A290" s="46"/>
      <c r="B290" s="59"/>
      <c r="C290" s="59"/>
      <c r="D290" s="59"/>
      <c r="E290" s="59"/>
      <c r="F290" s="59"/>
    </row>
    <row r="291" ht="12.75" customHeight="1">
      <c r="A291" s="46"/>
      <c r="B291" s="59"/>
      <c r="C291" s="59"/>
      <c r="D291" s="59"/>
      <c r="E291" s="59"/>
      <c r="F291" s="59"/>
    </row>
    <row r="292" ht="12.75" customHeight="1">
      <c r="A292" s="46"/>
      <c r="B292" s="59"/>
      <c r="C292" s="59"/>
      <c r="D292" s="59"/>
      <c r="E292" s="59"/>
      <c r="F292" s="59"/>
    </row>
    <row r="293" ht="12.75" customHeight="1">
      <c r="A293" s="46"/>
      <c r="B293" s="59"/>
      <c r="C293" s="59"/>
      <c r="D293" s="59"/>
      <c r="E293" s="59"/>
      <c r="F293" s="59"/>
    </row>
    <row r="294" ht="12.75" customHeight="1">
      <c r="A294" s="46"/>
      <c r="B294" s="59"/>
      <c r="C294" s="59"/>
      <c r="D294" s="59"/>
      <c r="E294" s="59"/>
      <c r="F294" s="59"/>
    </row>
    <row r="295" ht="12.75" customHeight="1">
      <c r="A295" s="46"/>
      <c r="B295" s="59"/>
      <c r="C295" s="59"/>
      <c r="D295" s="59"/>
      <c r="E295" s="59"/>
      <c r="F295" s="59"/>
    </row>
    <row r="296" ht="12.75" customHeight="1">
      <c r="A296" s="46"/>
      <c r="B296" s="59"/>
      <c r="C296" s="59"/>
      <c r="D296" s="59"/>
      <c r="E296" s="59"/>
      <c r="F296" s="59"/>
    </row>
    <row r="297" ht="12.75" customHeight="1">
      <c r="A297" s="46"/>
      <c r="B297" s="59"/>
      <c r="C297" s="59"/>
      <c r="D297" s="59"/>
      <c r="E297" s="59"/>
      <c r="F297" s="59"/>
    </row>
    <row r="298" ht="12.75" customHeight="1">
      <c r="A298" s="46"/>
      <c r="B298" s="59"/>
      <c r="C298" s="59"/>
      <c r="D298" s="59"/>
      <c r="E298" s="59"/>
      <c r="F298" s="59"/>
    </row>
    <row r="299" ht="12.75" customHeight="1">
      <c r="A299" s="46"/>
      <c r="B299" s="59"/>
      <c r="C299" s="59"/>
      <c r="D299" s="59"/>
      <c r="E299" s="59"/>
      <c r="F299" s="59"/>
    </row>
    <row r="300" ht="12.75" customHeight="1">
      <c r="A300" s="46"/>
      <c r="B300" s="59"/>
      <c r="C300" s="59"/>
      <c r="D300" s="59"/>
      <c r="E300" s="59"/>
      <c r="F300" s="59"/>
    </row>
    <row r="301" ht="12.75" customHeight="1">
      <c r="A301" s="46"/>
      <c r="B301" s="59"/>
      <c r="C301" s="59"/>
      <c r="D301" s="59"/>
      <c r="E301" s="59"/>
      <c r="F301" s="59"/>
    </row>
    <row r="302" ht="12.75" customHeight="1">
      <c r="A302" s="46"/>
      <c r="B302" s="59"/>
      <c r="C302" s="59"/>
      <c r="D302" s="59"/>
      <c r="E302" s="59"/>
      <c r="F302" s="59"/>
    </row>
    <row r="303" ht="12.75" customHeight="1">
      <c r="A303" s="46"/>
      <c r="B303" s="59"/>
      <c r="C303" s="59"/>
      <c r="D303" s="59"/>
      <c r="E303" s="59"/>
      <c r="F303" s="59"/>
    </row>
    <row r="304" ht="12.75" customHeight="1">
      <c r="A304" s="46"/>
      <c r="B304" s="59"/>
      <c r="C304" s="59"/>
      <c r="D304" s="59"/>
      <c r="E304" s="59"/>
      <c r="F304" s="59"/>
    </row>
    <row r="305" ht="12.75" customHeight="1">
      <c r="A305" s="46"/>
      <c r="B305" s="59"/>
      <c r="C305" s="59"/>
      <c r="D305" s="59"/>
      <c r="E305" s="59"/>
      <c r="F305" s="59"/>
    </row>
    <row r="306" ht="12.75" customHeight="1">
      <c r="A306" s="46"/>
      <c r="B306" s="59"/>
      <c r="C306" s="59"/>
      <c r="D306" s="59"/>
      <c r="E306" s="59"/>
      <c r="F306" s="59"/>
    </row>
    <row r="307" ht="12.75" customHeight="1">
      <c r="A307" s="46"/>
      <c r="B307" s="59"/>
      <c r="C307" s="59"/>
      <c r="D307" s="59"/>
      <c r="E307" s="59"/>
      <c r="F307" s="59"/>
    </row>
    <row r="308" ht="12.75" customHeight="1">
      <c r="A308" s="46"/>
      <c r="B308" s="59"/>
      <c r="C308" s="59"/>
      <c r="D308" s="59"/>
      <c r="E308" s="59"/>
      <c r="F308" s="59"/>
    </row>
    <row r="309" ht="12.75" customHeight="1">
      <c r="A309" s="46"/>
      <c r="B309" s="59"/>
      <c r="C309" s="59"/>
      <c r="D309" s="59"/>
      <c r="E309" s="59"/>
      <c r="F309" s="59"/>
    </row>
    <row r="310" ht="12.75" customHeight="1">
      <c r="A310" s="46"/>
      <c r="B310" s="59"/>
      <c r="C310" s="59"/>
      <c r="D310" s="59"/>
      <c r="E310" s="59"/>
      <c r="F310" s="59"/>
    </row>
    <row r="311" ht="12.75" customHeight="1">
      <c r="A311" s="46"/>
      <c r="B311" s="59"/>
      <c r="C311" s="59"/>
      <c r="D311" s="59"/>
      <c r="E311" s="59"/>
      <c r="F311" s="59"/>
    </row>
    <row r="312" ht="12.75" customHeight="1">
      <c r="A312" s="46"/>
      <c r="B312" s="59"/>
      <c r="C312" s="59"/>
      <c r="D312" s="59"/>
      <c r="E312" s="59"/>
      <c r="F312" s="59"/>
    </row>
    <row r="313" ht="12.75" customHeight="1">
      <c r="A313" s="46"/>
      <c r="B313" s="59"/>
      <c r="C313" s="59"/>
      <c r="D313" s="59"/>
      <c r="E313" s="59"/>
      <c r="F313" s="59"/>
    </row>
    <row r="314" ht="12.75" customHeight="1">
      <c r="A314" s="46"/>
      <c r="B314" s="59"/>
      <c r="C314" s="59"/>
      <c r="D314" s="59"/>
      <c r="E314" s="59"/>
      <c r="F314" s="59"/>
    </row>
    <row r="315" ht="12.75" customHeight="1">
      <c r="A315" s="46"/>
      <c r="B315" s="59"/>
      <c r="C315" s="59"/>
      <c r="D315" s="59"/>
      <c r="E315" s="59"/>
      <c r="F315" s="59"/>
    </row>
    <row r="316" ht="12.75" customHeight="1">
      <c r="A316" s="46"/>
      <c r="B316" s="59"/>
      <c r="C316" s="59"/>
      <c r="D316" s="59"/>
      <c r="E316" s="59"/>
      <c r="F316" s="59"/>
    </row>
    <row r="317" ht="12.75" customHeight="1">
      <c r="A317" s="46"/>
      <c r="B317" s="59"/>
      <c r="C317" s="59"/>
      <c r="D317" s="59"/>
      <c r="E317" s="59"/>
      <c r="F317" s="59"/>
    </row>
    <row r="318" ht="12.75" customHeight="1">
      <c r="A318" s="46"/>
      <c r="B318" s="59"/>
      <c r="C318" s="59"/>
      <c r="D318" s="59"/>
      <c r="E318" s="59"/>
      <c r="F318" s="59"/>
    </row>
    <row r="319" ht="12.75" customHeight="1">
      <c r="A319" s="46"/>
      <c r="B319" s="59"/>
      <c r="C319" s="59"/>
      <c r="D319" s="59"/>
      <c r="E319" s="59"/>
      <c r="F319" s="59"/>
    </row>
    <row r="320" ht="12.75" customHeight="1">
      <c r="A320" s="46"/>
      <c r="B320" s="59"/>
      <c r="C320" s="59"/>
      <c r="D320" s="59"/>
      <c r="E320" s="59"/>
      <c r="F320" s="59"/>
    </row>
    <row r="321" ht="12.75" customHeight="1">
      <c r="A321" s="46"/>
      <c r="B321" s="59"/>
      <c r="C321" s="59"/>
      <c r="D321" s="59"/>
      <c r="E321" s="59"/>
      <c r="F321" s="59"/>
    </row>
    <row r="322" ht="12.75" customHeight="1">
      <c r="A322" s="46"/>
      <c r="B322" s="59"/>
      <c r="C322" s="59"/>
      <c r="D322" s="59"/>
      <c r="E322" s="59"/>
      <c r="F322" s="59"/>
    </row>
    <row r="323" ht="12.75" customHeight="1">
      <c r="A323" s="46"/>
      <c r="B323" s="59"/>
      <c r="C323" s="59"/>
      <c r="D323" s="59"/>
      <c r="E323" s="59"/>
      <c r="F323" s="59"/>
    </row>
    <row r="324" ht="12.75" customHeight="1">
      <c r="A324" s="46"/>
      <c r="B324" s="59"/>
      <c r="C324" s="59"/>
      <c r="D324" s="59"/>
      <c r="E324" s="59"/>
      <c r="F324" s="59"/>
    </row>
    <row r="325" ht="12.75" customHeight="1">
      <c r="A325" s="46"/>
      <c r="B325" s="59"/>
      <c r="C325" s="59"/>
      <c r="D325" s="59"/>
      <c r="E325" s="59"/>
      <c r="F325" s="59"/>
    </row>
    <row r="326" ht="12.75" customHeight="1">
      <c r="A326" s="46"/>
      <c r="B326" s="59"/>
      <c r="C326" s="59"/>
      <c r="D326" s="59"/>
      <c r="E326" s="59"/>
      <c r="F326" s="59"/>
    </row>
    <row r="327" ht="12.75" customHeight="1">
      <c r="A327" s="46"/>
      <c r="B327" s="59"/>
      <c r="C327" s="59"/>
      <c r="D327" s="59"/>
      <c r="E327" s="59"/>
      <c r="F327" s="59"/>
    </row>
    <row r="328" ht="12.75" customHeight="1">
      <c r="A328" s="46"/>
      <c r="B328" s="59"/>
      <c r="C328" s="59"/>
      <c r="D328" s="59"/>
      <c r="E328" s="59"/>
      <c r="F328" s="59"/>
    </row>
    <row r="329" ht="12.75" customHeight="1">
      <c r="A329" s="46"/>
      <c r="B329" s="59"/>
      <c r="C329" s="59"/>
      <c r="D329" s="59"/>
      <c r="E329" s="59"/>
      <c r="F329" s="59"/>
    </row>
    <row r="330" ht="12.75" customHeight="1">
      <c r="A330" s="46"/>
      <c r="B330" s="59"/>
      <c r="C330" s="59"/>
      <c r="D330" s="59"/>
      <c r="E330" s="59"/>
      <c r="F330" s="59"/>
    </row>
    <row r="331" ht="12.75" customHeight="1">
      <c r="A331" s="46"/>
      <c r="B331" s="59"/>
      <c r="C331" s="59"/>
      <c r="D331" s="59"/>
      <c r="E331" s="59"/>
      <c r="F331" s="59"/>
    </row>
    <row r="332" ht="12.75" customHeight="1">
      <c r="A332" s="46"/>
      <c r="B332" s="59"/>
      <c r="C332" s="59"/>
      <c r="D332" s="59"/>
      <c r="E332" s="59"/>
      <c r="F332" s="59"/>
    </row>
    <row r="333" ht="12.75" customHeight="1">
      <c r="A333" s="46"/>
      <c r="B333" s="59"/>
      <c r="C333" s="59"/>
      <c r="D333" s="59"/>
      <c r="E333" s="59"/>
      <c r="F333" s="59"/>
    </row>
    <row r="334" ht="12.75" customHeight="1">
      <c r="A334" s="46"/>
      <c r="B334" s="59"/>
      <c r="C334" s="59"/>
      <c r="D334" s="59"/>
      <c r="E334" s="59"/>
      <c r="F334" s="59"/>
    </row>
    <row r="335" ht="12.75" customHeight="1">
      <c r="A335" s="46"/>
      <c r="B335" s="59"/>
      <c r="C335" s="59"/>
      <c r="D335" s="59"/>
      <c r="E335" s="59"/>
      <c r="F335" s="59"/>
    </row>
    <row r="336" ht="12.75" customHeight="1">
      <c r="A336" s="46"/>
      <c r="B336" s="59"/>
      <c r="C336" s="59"/>
      <c r="D336" s="59"/>
      <c r="E336" s="59"/>
      <c r="F336" s="59"/>
    </row>
    <row r="337" ht="12.75" customHeight="1">
      <c r="A337" s="46"/>
      <c r="B337" s="59"/>
      <c r="C337" s="59"/>
      <c r="D337" s="59"/>
      <c r="E337" s="59"/>
      <c r="F337" s="59"/>
    </row>
    <row r="338" ht="12.75" customHeight="1">
      <c r="A338" s="46"/>
      <c r="B338" s="59"/>
      <c r="C338" s="59"/>
      <c r="D338" s="59"/>
      <c r="E338" s="59"/>
      <c r="F338" s="59"/>
    </row>
    <row r="339" ht="12.75" customHeight="1">
      <c r="A339" s="46"/>
      <c r="B339" s="59"/>
      <c r="C339" s="59"/>
      <c r="D339" s="59"/>
      <c r="E339" s="59"/>
      <c r="F339" s="59"/>
    </row>
    <row r="340" ht="12.75" customHeight="1">
      <c r="A340" s="46"/>
      <c r="B340" s="59"/>
      <c r="C340" s="59"/>
      <c r="D340" s="59"/>
      <c r="E340" s="59"/>
      <c r="F340" s="59"/>
    </row>
    <row r="341" ht="12.75" customHeight="1">
      <c r="A341" s="46"/>
      <c r="B341" s="59"/>
      <c r="C341" s="59"/>
      <c r="D341" s="59"/>
      <c r="E341" s="59"/>
      <c r="F341" s="59"/>
    </row>
    <row r="342" ht="12.75" customHeight="1">
      <c r="A342" s="46"/>
      <c r="B342" s="59"/>
      <c r="C342" s="59"/>
      <c r="D342" s="59"/>
      <c r="E342" s="59"/>
      <c r="F342" s="59"/>
    </row>
    <row r="343" ht="12.75" customHeight="1">
      <c r="A343" s="46"/>
      <c r="B343" s="59"/>
      <c r="C343" s="59"/>
      <c r="D343" s="59"/>
      <c r="E343" s="59"/>
      <c r="F343" s="59"/>
    </row>
    <row r="344" ht="12.75" customHeight="1">
      <c r="A344" s="46"/>
      <c r="B344" s="59"/>
      <c r="C344" s="59"/>
      <c r="D344" s="59"/>
      <c r="E344" s="59"/>
      <c r="F344" s="59"/>
    </row>
    <row r="345" ht="12.75" customHeight="1">
      <c r="A345" s="46"/>
      <c r="B345" s="59"/>
      <c r="C345" s="59"/>
      <c r="D345" s="59"/>
      <c r="E345" s="59"/>
      <c r="F345" s="59"/>
    </row>
    <row r="346" ht="12.75" customHeight="1">
      <c r="A346" s="46"/>
      <c r="B346" s="59"/>
      <c r="C346" s="59"/>
      <c r="D346" s="59"/>
      <c r="E346" s="59"/>
      <c r="F346" s="59"/>
    </row>
    <row r="347" ht="12.75" customHeight="1">
      <c r="A347" s="46"/>
      <c r="B347" s="59"/>
      <c r="C347" s="59"/>
      <c r="D347" s="59"/>
      <c r="E347" s="59"/>
      <c r="F347" s="59"/>
    </row>
    <row r="348" ht="12.75" customHeight="1">
      <c r="A348" s="46"/>
      <c r="B348" s="59"/>
      <c r="C348" s="59"/>
      <c r="D348" s="59"/>
      <c r="E348" s="59"/>
      <c r="F348" s="59"/>
    </row>
    <row r="349" ht="12.75" customHeight="1">
      <c r="A349" s="46"/>
      <c r="B349" s="59"/>
      <c r="C349" s="59"/>
      <c r="D349" s="59"/>
      <c r="E349" s="59"/>
      <c r="F349" s="59"/>
    </row>
    <row r="350" ht="12.75" customHeight="1">
      <c r="A350" s="46"/>
      <c r="B350" s="59"/>
      <c r="C350" s="59"/>
      <c r="D350" s="59"/>
      <c r="E350" s="59"/>
      <c r="F350" s="59"/>
    </row>
    <row r="351" ht="12.75" customHeight="1">
      <c r="A351" s="46"/>
      <c r="B351" s="59"/>
      <c r="C351" s="59"/>
      <c r="D351" s="59"/>
      <c r="E351" s="59"/>
      <c r="F351" s="59"/>
    </row>
    <row r="352" ht="12.75" customHeight="1">
      <c r="A352" s="46"/>
      <c r="B352" s="59"/>
      <c r="C352" s="59"/>
      <c r="D352" s="59"/>
      <c r="E352" s="59"/>
      <c r="F352" s="59"/>
    </row>
    <row r="353" ht="12.75" customHeight="1">
      <c r="A353" s="46"/>
      <c r="B353" s="59"/>
      <c r="C353" s="59"/>
      <c r="D353" s="59"/>
      <c r="E353" s="59"/>
      <c r="F353" s="59"/>
    </row>
    <row r="354" ht="12.75" customHeight="1">
      <c r="A354" s="46"/>
      <c r="B354" s="59"/>
      <c r="C354" s="59"/>
      <c r="D354" s="59"/>
      <c r="E354" s="59"/>
      <c r="F354" s="59"/>
    </row>
    <row r="355" ht="12.75" customHeight="1">
      <c r="A355" s="46"/>
      <c r="B355" s="59"/>
      <c r="C355" s="59"/>
      <c r="D355" s="59"/>
      <c r="E355" s="59"/>
      <c r="F355" s="59"/>
    </row>
    <row r="356" ht="12.75" customHeight="1">
      <c r="A356" s="46"/>
      <c r="B356" s="59"/>
      <c r="C356" s="59"/>
      <c r="D356" s="59"/>
      <c r="E356" s="59"/>
      <c r="F356" s="59"/>
    </row>
    <row r="357" ht="12.75" customHeight="1">
      <c r="A357" s="46"/>
      <c r="B357" s="59"/>
      <c r="C357" s="59"/>
      <c r="D357" s="59"/>
      <c r="E357" s="59"/>
      <c r="F357" s="59"/>
    </row>
    <row r="358" ht="12.75" customHeight="1">
      <c r="A358" s="46"/>
      <c r="B358" s="59"/>
      <c r="C358" s="59"/>
      <c r="D358" s="59"/>
      <c r="E358" s="59"/>
      <c r="F358" s="59"/>
    </row>
    <row r="359" ht="12.75" customHeight="1">
      <c r="A359" s="46"/>
      <c r="B359" s="59"/>
      <c r="C359" s="59"/>
      <c r="D359" s="59"/>
      <c r="E359" s="59"/>
      <c r="F359" s="59"/>
    </row>
    <row r="360" ht="12.75" customHeight="1">
      <c r="A360" s="46"/>
      <c r="B360" s="59"/>
      <c r="C360" s="59"/>
      <c r="D360" s="59"/>
      <c r="E360" s="59"/>
      <c r="F360" s="59"/>
    </row>
    <row r="361" ht="12.75" customHeight="1">
      <c r="A361" s="46"/>
      <c r="B361" s="59"/>
      <c r="C361" s="59"/>
      <c r="D361" s="59"/>
      <c r="E361" s="59"/>
      <c r="F361" s="59"/>
    </row>
    <row r="362" ht="12.75" customHeight="1">
      <c r="A362" s="46"/>
      <c r="B362" s="59"/>
      <c r="C362" s="59"/>
      <c r="D362" s="59"/>
      <c r="E362" s="59"/>
      <c r="F362" s="59"/>
    </row>
    <row r="363" ht="12.75" customHeight="1">
      <c r="A363" s="46"/>
      <c r="B363" s="59"/>
      <c r="C363" s="59"/>
      <c r="D363" s="59"/>
      <c r="E363" s="59"/>
      <c r="F363" s="59"/>
    </row>
    <row r="364" ht="12.75" customHeight="1">
      <c r="A364" s="46"/>
      <c r="B364" s="59"/>
      <c r="C364" s="59"/>
      <c r="D364" s="59"/>
      <c r="E364" s="59"/>
      <c r="F364" s="59"/>
    </row>
    <row r="365" ht="12.75" customHeight="1">
      <c r="A365" s="46"/>
      <c r="B365" s="59"/>
      <c r="C365" s="59"/>
      <c r="D365" s="59"/>
      <c r="E365" s="59"/>
      <c r="F365" s="59"/>
    </row>
    <row r="366" ht="12.75" customHeight="1">
      <c r="A366" s="46"/>
      <c r="B366" s="59"/>
      <c r="C366" s="59"/>
      <c r="D366" s="59"/>
      <c r="E366" s="59"/>
      <c r="F366" s="59"/>
    </row>
    <row r="367" ht="12.75" customHeight="1">
      <c r="A367" s="46"/>
      <c r="B367" s="59"/>
      <c r="C367" s="59"/>
      <c r="D367" s="59"/>
      <c r="E367" s="59"/>
      <c r="F367" s="59"/>
    </row>
    <row r="368" ht="12.75" customHeight="1">
      <c r="A368" s="46"/>
      <c r="B368" s="59"/>
      <c r="C368" s="59"/>
      <c r="D368" s="59"/>
      <c r="E368" s="59"/>
      <c r="F368" s="59"/>
    </row>
    <row r="369" ht="12.75" customHeight="1">
      <c r="A369" s="46"/>
      <c r="B369" s="59"/>
      <c r="C369" s="59"/>
      <c r="D369" s="59"/>
      <c r="E369" s="59"/>
      <c r="F369" s="59"/>
    </row>
    <row r="370" ht="12.75" customHeight="1">
      <c r="A370" s="46"/>
      <c r="B370" s="59"/>
      <c r="C370" s="59"/>
      <c r="D370" s="59"/>
      <c r="E370" s="59"/>
      <c r="F370" s="59"/>
    </row>
    <row r="371" ht="12.75" customHeight="1">
      <c r="A371" s="46"/>
      <c r="B371" s="59"/>
      <c r="C371" s="59"/>
      <c r="D371" s="59"/>
      <c r="E371" s="59"/>
      <c r="F371" s="59"/>
    </row>
    <row r="372" ht="12.75" customHeight="1">
      <c r="A372" s="46"/>
      <c r="B372" s="59"/>
      <c r="C372" s="59"/>
      <c r="D372" s="59"/>
      <c r="E372" s="59"/>
      <c r="F372" s="59"/>
    </row>
    <row r="373" ht="12.75" customHeight="1">
      <c r="A373" s="46"/>
      <c r="B373" s="59"/>
      <c r="C373" s="59"/>
      <c r="D373" s="59"/>
      <c r="E373" s="59"/>
      <c r="F373" s="59"/>
    </row>
    <row r="374" ht="12.75" customHeight="1">
      <c r="A374" s="46"/>
      <c r="B374" s="59"/>
      <c r="C374" s="59"/>
      <c r="D374" s="59"/>
      <c r="E374" s="59"/>
      <c r="F374" s="59"/>
    </row>
    <row r="375" ht="12.75" customHeight="1">
      <c r="A375" s="46"/>
      <c r="B375" s="59"/>
      <c r="C375" s="59"/>
      <c r="D375" s="59"/>
      <c r="E375" s="59"/>
      <c r="F375" s="59"/>
    </row>
    <row r="376" ht="12.75" customHeight="1">
      <c r="A376" s="46"/>
      <c r="B376" s="59"/>
      <c r="C376" s="59"/>
      <c r="D376" s="59"/>
      <c r="E376" s="59"/>
      <c r="F376" s="59"/>
    </row>
    <row r="377" ht="12.75" customHeight="1">
      <c r="A377" s="46"/>
      <c r="B377" s="59"/>
      <c r="C377" s="59"/>
      <c r="D377" s="59"/>
      <c r="E377" s="59"/>
      <c r="F377" s="59"/>
    </row>
    <row r="378" ht="12.75" customHeight="1">
      <c r="A378" s="46"/>
      <c r="B378" s="59"/>
      <c r="C378" s="59"/>
      <c r="D378" s="59"/>
      <c r="E378" s="59"/>
      <c r="F378" s="59"/>
    </row>
    <row r="379" ht="12.75" customHeight="1">
      <c r="A379" s="46"/>
      <c r="B379" s="59"/>
      <c r="C379" s="59"/>
      <c r="D379" s="59"/>
      <c r="E379" s="59"/>
      <c r="F379" s="59"/>
    </row>
    <row r="380" ht="12.75" customHeight="1">
      <c r="A380" s="46"/>
      <c r="B380" s="59"/>
      <c r="C380" s="59"/>
      <c r="D380" s="59"/>
      <c r="E380" s="59"/>
      <c r="F380" s="59"/>
    </row>
    <row r="381" ht="12.75" customHeight="1">
      <c r="A381" s="46"/>
      <c r="B381" s="59"/>
      <c r="C381" s="59"/>
      <c r="D381" s="59"/>
      <c r="E381" s="59"/>
      <c r="F381" s="59"/>
    </row>
    <row r="382" ht="12.75" customHeight="1">
      <c r="A382" s="46"/>
      <c r="B382" s="59"/>
      <c r="C382" s="59"/>
      <c r="D382" s="59"/>
      <c r="E382" s="59"/>
      <c r="F382" s="59"/>
    </row>
    <row r="383" ht="12.75" customHeight="1">
      <c r="A383" s="46"/>
      <c r="B383" s="59"/>
      <c r="C383" s="59"/>
      <c r="D383" s="59"/>
      <c r="E383" s="59"/>
      <c r="F383" s="59"/>
    </row>
    <row r="384" ht="12.75" customHeight="1">
      <c r="A384" s="46"/>
      <c r="B384" s="59"/>
      <c r="C384" s="59"/>
      <c r="D384" s="59"/>
      <c r="E384" s="59"/>
      <c r="F384" s="59"/>
    </row>
    <row r="385" ht="12.75" customHeight="1">
      <c r="A385" s="46"/>
      <c r="B385" s="59"/>
      <c r="C385" s="59"/>
      <c r="D385" s="59"/>
      <c r="E385" s="59"/>
      <c r="F385" s="59"/>
    </row>
    <row r="386" ht="12.75" customHeight="1">
      <c r="A386" s="46"/>
      <c r="B386" s="59"/>
      <c r="C386" s="59"/>
      <c r="D386" s="59"/>
      <c r="E386" s="59"/>
      <c r="F386" s="59"/>
    </row>
    <row r="387" ht="12.75" customHeight="1">
      <c r="A387" s="46"/>
      <c r="B387" s="59"/>
      <c r="C387" s="59"/>
      <c r="D387" s="59"/>
      <c r="E387" s="59"/>
      <c r="F387" s="59"/>
    </row>
    <row r="388" ht="12.75" customHeight="1">
      <c r="A388" s="46"/>
      <c r="B388" s="59"/>
      <c r="C388" s="59"/>
      <c r="D388" s="59"/>
      <c r="E388" s="59"/>
      <c r="F388" s="59"/>
    </row>
    <row r="389" ht="12.75" customHeight="1">
      <c r="A389" s="46"/>
      <c r="B389" s="59"/>
      <c r="C389" s="59"/>
      <c r="D389" s="59"/>
      <c r="E389" s="59"/>
      <c r="F389" s="59"/>
    </row>
    <row r="390" ht="12.75" customHeight="1">
      <c r="A390" s="46"/>
      <c r="B390" s="59"/>
      <c r="C390" s="59"/>
      <c r="D390" s="59"/>
      <c r="E390" s="59"/>
      <c r="F390" s="59"/>
    </row>
    <row r="391" ht="12.75" customHeight="1">
      <c r="A391" s="46"/>
      <c r="B391" s="59"/>
      <c r="C391" s="59"/>
      <c r="D391" s="59"/>
      <c r="E391" s="59"/>
      <c r="F391" s="59"/>
    </row>
    <row r="392" ht="12.75" customHeight="1">
      <c r="A392" s="46"/>
      <c r="B392" s="59"/>
      <c r="C392" s="59"/>
      <c r="D392" s="59"/>
      <c r="E392" s="59"/>
      <c r="F392" s="59"/>
    </row>
    <row r="393" ht="12.75" customHeight="1">
      <c r="A393" s="46"/>
      <c r="B393" s="59"/>
      <c r="C393" s="59"/>
      <c r="D393" s="59"/>
      <c r="E393" s="59"/>
      <c r="F393" s="59"/>
    </row>
    <row r="394" ht="12.75" customHeight="1">
      <c r="A394" s="46"/>
      <c r="B394" s="59"/>
      <c r="C394" s="59"/>
      <c r="D394" s="59"/>
      <c r="E394" s="59"/>
      <c r="F394" s="59"/>
    </row>
    <row r="395" ht="12.75" customHeight="1">
      <c r="A395" s="46"/>
      <c r="B395" s="59"/>
      <c r="C395" s="59"/>
      <c r="D395" s="59"/>
      <c r="E395" s="59"/>
      <c r="F395" s="59"/>
    </row>
    <row r="396" ht="12.75" customHeight="1">
      <c r="A396" s="46"/>
      <c r="B396" s="59"/>
      <c r="C396" s="59"/>
      <c r="D396" s="59"/>
      <c r="E396" s="59"/>
      <c r="F396" s="59"/>
    </row>
    <row r="397" ht="12.75" customHeight="1">
      <c r="A397" s="46"/>
      <c r="B397" s="59"/>
      <c r="C397" s="59"/>
      <c r="D397" s="59"/>
      <c r="E397" s="59"/>
      <c r="F397" s="59"/>
    </row>
    <row r="398" ht="12.75" customHeight="1">
      <c r="A398" s="46"/>
      <c r="B398" s="59"/>
      <c r="C398" s="59"/>
      <c r="D398" s="59"/>
      <c r="E398" s="59"/>
      <c r="F398" s="59"/>
    </row>
    <row r="399" ht="12.75" customHeight="1">
      <c r="A399" s="46"/>
      <c r="B399" s="59"/>
      <c r="C399" s="59"/>
      <c r="D399" s="59"/>
      <c r="E399" s="59"/>
      <c r="F399" s="59"/>
    </row>
    <row r="400" ht="12.75" customHeight="1">
      <c r="A400" s="46"/>
      <c r="B400" s="59"/>
      <c r="C400" s="59"/>
      <c r="D400" s="59"/>
      <c r="E400" s="59"/>
      <c r="F400" s="59"/>
    </row>
    <row r="401" ht="12.75" customHeight="1">
      <c r="A401" s="46"/>
      <c r="B401" s="59"/>
      <c r="C401" s="59"/>
      <c r="D401" s="59"/>
      <c r="E401" s="59"/>
      <c r="F401" s="59"/>
    </row>
    <row r="402" ht="12.75" customHeight="1">
      <c r="A402" s="46"/>
      <c r="B402" s="59"/>
      <c r="C402" s="59"/>
      <c r="D402" s="59"/>
      <c r="E402" s="59"/>
      <c r="F402" s="59"/>
    </row>
    <row r="403" ht="12.75" customHeight="1">
      <c r="A403" s="46"/>
      <c r="B403" s="59"/>
      <c r="C403" s="59"/>
      <c r="D403" s="59"/>
      <c r="E403" s="59"/>
      <c r="F403" s="59"/>
    </row>
    <row r="404" ht="12.75" customHeight="1">
      <c r="A404" s="46"/>
      <c r="B404" s="59"/>
      <c r="C404" s="59"/>
      <c r="D404" s="59"/>
      <c r="E404" s="59"/>
      <c r="F404" s="59"/>
    </row>
    <row r="405" ht="12.75" customHeight="1">
      <c r="A405" s="46"/>
      <c r="B405" s="59"/>
      <c r="C405" s="59"/>
      <c r="D405" s="59"/>
      <c r="E405" s="59"/>
      <c r="F405" s="59"/>
    </row>
    <row r="406" ht="12.75" customHeight="1">
      <c r="A406" s="46"/>
      <c r="B406" s="59"/>
      <c r="C406" s="59"/>
      <c r="D406" s="59"/>
      <c r="E406" s="59"/>
      <c r="F406" s="59"/>
    </row>
    <row r="407" ht="12.75" customHeight="1">
      <c r="A407" s="46"/>
      <c r="B407" s="59"/>
      <c r="C407" s="59"/>
      <c r="D407" s="59"/>
      <c r="E407" s="59"/>
      <c r="F407" s="59"/>
    </row>
    <row r="408" ht="12.75" customHeight="1">
      <c r="A408" s="46"/>
      <c r="B408" s="59"/>
      <c r="C408" s="59"/>
      <c r="D408" s="59"/>
      <c r="E408" s="59"/>
      <c r="F408" s="59"/>
    </row>
    <row r="409" ht="12.75" customHeight="1">
      <c r="A409" s="46"/>
      <c r="B409" s="59"/>
      <c r="C409" s="59"/>
      <c r="D409" s="59"/>
      <c r="E409" s="59"/>
      <c r="F409" s="59"/>
    </row>
    <row r="410" ht="12.75" customHeight="1">
      <c r="A410" s="46"/>
      <c r="B410" s="59"/>
      <c r="C410" s="59"/>
      <c r="D410" s="59"/>
      <c r="E410" s="59"/>
      <c r="F410" s="59"/>
    </row>
    <row r="411" ht="12.75" customHeight="1">
      <c r="A411" s="46"/>
      <c r="B411" s="59"/>
      <c r="C411" s="59"/>
      <c r="D411" s="59"/>
      <c r="E411" s="59"/>
      <c r="F411" s="59"/>
    </row>
    <row r="412" ht="12.75" customHeight="1">
      <c r="A412" s="46"/>
      <c r="B412" s="59"/>
      <c r="C412" s="59"/>
      <c r="D412" s="59"/>
      <c r="E412" s="59"/>
      <c r="F412" s="59"/>
    </row>
    <row r="413" ht="12.75" customHeight="1">
      <c r="A413" s="46"/>
      <c r="B413" s="59"/>
      <c r="C413" s="59"/>
      <c r="D413" s="59"/>
      <c r="E413" s="59"/>
      <c r="F413" s="59"/>
    </row>
    <row r="414" ht="12.75" customHeight="1">
      <c r="A414" s="46"/>
      <c r="B414" s="59"/>
      <c r="C414" s="59"/>
      <c r="D414" s="59"/>
      <c r="E414" s="59"/>
      <c r="F414" s="59"/>
    </row>
    <row r="415" ht="12.75" customHeight="1">
      <c r="A415" s="46"/>
      <c r="B415" s="59"/>
      <c r="C415" s="59"/>
      <c r="D415" s="59"/>
      <c r="E415" s="59"/>
      <c r="F415" s="59"/>
    </row>
    <row r="416" ht="12.75" customHeight="1">
      <c r="A416" s="46"/>
      <c r="B416" s="59"/>
      <c r="C416" s="59"/>
      <c r="D416" s="59"/>
      <c r="E416" s="59"/>
      <c r="F416" s="59"/>
    </row>
    <row r="417" ht="12.75" customHeight="1">
      <c r="A417" s="46"/>
      <c r="B417" s="59"/>
      <c r="C417" s="59"/>
      <c r="D417" s="59"/>
      <c r="E417" s="59"/>
      <c r="F417" s="59"/>
    </row>
    <row r="418" ht="12.75" customHeight="1">
      <c r="A418" s="46"/>
      <c r="B418" s="59"/>
      <c r="C418" s="59"/>
      <c r="D418" s="59"/>
      <c r="E418" s="59"/>
      <c r="F418" s="59"/>
    </row>
    <row r="419" ht="12.75" customHeight="1">
      <c r="A419" s="46"/>
      <c r="B419" s="59"/>
      <c r="C419" s="59"/>
      <c r="D419" s="59"/>
      <c r="E419" s="59"/>
      <c r="F419" s="59"/>
    </row>
    <row r="420" ht="12.75" customHeight="1">
      <c r="A420" s="46"/>
      <c r="B420" s="59"/>
      <c r="C420" s="59"/>
      <c r="D420" s="59"/>
      <c r="E420" s="59"/>
      <c r="F420" s="59"/>
    </row>
    <row r="421" ht="12.75" customHeight="1">
      <c r="A421" s="46"/>
      <c r="B421" s="59"/>
      <c r="C421" s="59"/>
      <c r="D421" s="59"/>
      <c r="E421" s="59"/>
      <c r="F421" s="59"/>
    </row>
    <row r="422" ht="12.75" customHeight="1">
      <c r="A422" s="46"/>
      <c r="B422" s="59"/>
      <c r="C422" s="59"/>
      <c r="D422" s="59"/>
      <c r="E422" s="59"/>
      <c r="F422" s="59"/>
    </row>
    <row r="423" ht="12.75" customHeight="1">
      <c r="A423" s="46"/>
      <c r="B423" s="59"/>
      <c r="C423" s="59"/>
      <c r="D423" s="59"/>
      <c r="E423" s="59"/>
      <c r="F423" s="59"/>
    </row>
    <row r="424" ht="12.75" customHeight="1">
      <c r="A424" s="46"/>
      <c r="B424" s="59"/>
      <c r="C424" s="59"/>
      <c r="D424" s="59"/>
      <c r="E424" s="59"/>
      <c r="F424" s="59"/>
    </row>
    <row r="425" ht="12.75" customHeight="1">
      <c r="A425" s="46"/>
      <c r="B425" s="59"/>
      <c r="C425" s="59"/>
      <c r="D425" s="59"/>
      <c r="E425" s="59"/>
      <c r="F425" s="59"/>
    </row>
    <row r="426" ht="12.75" customHeight="1">
      <c r="A426" s="46"/>
      <c r="B426" s="59"/>
      <c r="C426" s="59"/>
      <c r="D426" s="59"/>
      <c r="E426" s="59"/>
      <c r="F426" s="59"/>
    </row>
    <row r="427" ht="12.75" customHeight="1">
      <c r="A427" s="46"/>
      <c r="B427" s="59"/>
      <c r="C427" s="59"/>
      <c r="D427" s="59"/>
      <c r="E427" s="59"/>
      <c r="F427" s="59"/>
    </row>
    <row r="428" ht="12.75" customHeight="1">
      <c r="A428" s="46"/>
      <c r="B428" s="59"/>
      <c r="C428" s="59"/>
      <c r="D428" s="59"/>
      <c r="E428" s="59"/>
      <c r="F428" s="59"/>
    </row>
    <row r="429" ht="12.75" customHeight="1">
      <c r="A429" s="46"/>
      <c r="B429" s="59"/>
      <c r="C429" s="59"/>
      <c r="D429" s="59"/>
      <c r="E429" s="59"/>
      <c r="F429" s="59"/>
    </row>
    <row r="430" ht="12.75" customHeight="1">
      <c r="A430" s="46"/>
      <c r="B430" s="59"/>
      <c r="C430" s="59"/>
      <c r="D430" s="59"/>
      <c r="E430" s="59"/>
      <c r="F430" s="59"/>
    </row>
    <row r="431" ht="12.75" customHeight="1">
      <c r="A431" s="46"/>
      <c r="B431" s="59"/>
      <c r="C431" s="59"/>
      <c r="D431" s="59"/>
      <c r="E431" s="59"/>
      <c r="F431" s="59"/>
    </row>
    <row r="432" ht="12.75" customHeight="1">
      <c r="A432" s="46"/>
      <c r="B432" s="59"/>
      <c r="C432" s="59"/>
      <c r="D432" s="59"/>
      <c r="E432" s="59"/>
      <c r="F432" s="59"/>
    </row>
    <row r="433" ht="12.75" customHeight="1">
      <c r="A433" s="46"/>
      <c r="B433" s="59"/>
      <c r="C433" s="59"/>
      <c r="D433" s="59"/>
      <c r="E433" s="59"/>
      <c r="F433" s="59"/>
    </row>
    <row r="434" ht="12.75" customHeight="1">
      <c r="A434" s="46"/>
      <c r="B434" s="59"/>
      <c r="C434" s="59"/>
      <c r="D434" s="59"/>
      <c r="E434" s="59"/>
      <c r="F434" s="59"/>
    </row>
    <row r="435" ht="12.75" customHeight="1">
      <c r="A435" s="46"/>
      <c r="B435" s="59"/>
      <c r="C435" s="59"/>
      <c r="D435" s="59"/>
      <c r="E435" s="59"/>
      <c r="F435" s="59"/>
    </row>
    <row r="436" ht="12.75" customHeight="1">
      <c r="A436" s="46"/>
      <c r="B436" s="59"/>
      <c r="C436" s="59"/>
      <c r="D436" s="59"/>
      <c r="E436" s="59"/>
      <c r="F436" s="59"/>
    </row>
    <row r="437" ht="12.75" customHeight="1">
      <c r="A437" s="46"/>
      <c r="B437" s="59"/>
      <c r="C437" s="59"/>
      <c r="D437" s="59"/>
      <c r="E437" s="59"/>
      <c r="F437" s="59"/>
    </row>
    <row r="438" ht="12.75" customHeight="1">
      <c r="A438" s="46"/>
      <c r="B438" s="59"/>
      <c r="C438" s="59"/>
      <c r="D438" s="59"/>
      <c r="E438" s="59"/>
      <c r="F438" s="59"/>
    </row>
    <row r="439" ht="12.75" customHeight="1">
      <c r="A439" s="46"/>
      <c r="B439" s="59"/>
      <c r="C439" s="59"/>
      <c r="D439" s="59"/>
      <c r="E439" s="59"/>
      <c r="F439" s="59"/>
    </row>
    <row r="440" ht="12.75" customHeight="1">
      <c r="A440" s="46"/>
      <c r="B440" s="59"/>
      <c r="C440" s="59"/>
      <c r="D440" s="59"/>
      <c r="E440" s="59"/>
      <c r="F440" s="59"/>
    </row>
    <row r="441" ht="12.75" customHeight="1">
      <c r="A441" s="46"/>
      <c r="B441" s="59"/>
      <c r="C441" s="59"/>
      <c r="D441" s="59"/>
      <c r="E441" s="59"/>
      <c r="F441" s="59"/>
    </row>
    <row r="442" ht="12.75" customHeight="1">
      <c r="A442" s="46"/>
      <c r="B442" s="59"/>
      <c r="C442" s="59"/>
      <c r="D442" s="59"/>
      <c r="E442" s="59"/>
      <c r="F442" s="59"/>
    </row>
    <row r="443" ht="12.75" customHeight="1">
      <c r="A443" s="46"/>
      <c r="B443" s="59"/>
      <c r="C443" s="59"/>
      <c r="D443" s="59"/>
      <c r="E443" s="59"/>
      <c r="F443" s="59"/>
    </row>
    <row r="444" ht="12.75" customHeight="1">
      <c r="A444" s="46"/>
      <c r="B444" s="59"/>
      <c r="C444" s="59"/>
      <c r="D444" s="59"/>
      <c r="E444" s="59"/>
      <c r="F444" s="59"/>
    </row>
    <row r="445" ht="12.75" customHeight="1">
      <c r="A445" s="46"/>
      <c r="B445" s="59"/>
      <c r="C445" s="59"/>
      <c r="D445" s="59"/>
      <c r="E445" s="59"/>
      <c r="F445" s="59"/>
    </row>
    <row r="446" ht="12.75" customHeight="1">
      <c r="A446" s="46"/>
      <c r="B446" s="59"/>
      <c r="C446" s="59"/>
      <c r="D446" s="59"/>
      <c r="E446" s="59"/>
      <c r="F446" s="59"/>
    </row>
    <row r="447" ht="12.75" customHeight="1">
      <c r="A447" s="46"/>
      <c r="B447" s="59"/>
      <c r="C447" s="59"/>
      <c r="D447" s="59"/>
      <c r="E447" s="59"/>
      <c r="F447" s="59"/>
    </row>
    <row r="448" ht="12.75" customHeight="1">
      <c r="A448" s="46"/>
      <c r="B448" s="59"/>
      <c r="C448" s="59"/>
      <c r="D448" s="59"/>
      <c r="E448" s="59"/>
      <c r="F448" s="59"/>
    </row>
    <row r="449" ht="12.75" customHeight="1">
      <c r="A449" s="46"/>
      <c r="B449" s="59"/>
      <c r="C449" s="59"/>
      <c r="D449" s="59"/>
      <c r="E449" s="59"/>
      <c r="F449" s="59"/>
    </row>
    <row r="450" ht="12.75" customHeight="1">
      <c r="A450" s="46"/>
      <c r="B450" s="59"/>
      <c r="C450" s="59"/>
      <c r="D450" s="59"/>
      <c r="E450" s="59"/>
      <c r="F450" s="59"/>
    </row>
    <row r="451" ht="12.75" customHeight="1">
      <c r="A451" s="46"/>
      <c r="B451" s="59"/>
      <c r="C451" s="59"/>
      <c r="D451" s="59"/>
      <c r="E451" s="59"/>
      <c r="F451" s="59"/>
    </row>
    <row r="452" ht="12.75" customHeight="1">
      <c r="A452" s="46"/>
      <c r="B452" s="59"/>
      <c r="C452" s="59"/>
      <c r="D452" s="59"/>
      <c r="E452" s="59"/>
      <c r="F452" s="59"/>
    </row>
    <row r="453" ht="12.75" customHeight="1">
      <c r="A453" s="46"/>
      <c r="B453" s="59"/>
      <c r="C453" s="59"/>
      <c r="D453" s="59"/>
      <c r="E453" s="59"/>
      <c r="F453" s="59"/>
    </row>
    <row r="454" ht="12.75" customHeight="1">
      <c r="A454" s="46"/>
      <c r="B454" s="59"/>
      <c r="C454" s="59"/>
      <c r="D454" s="59"/>
      <c r="E454" s="59"/>
      <c r="F454" s="59"/>
    </row>
    <row r="455" ht="12.75" customHeight="1">
      <c r="A455" s="46"/>
      <c r="B455" s="59"/>
      <c r="C455" s="59"/>
      <c r="D455" s="59"/>
      <c r="E455" s="59"/>
      <c r="F455" s="59"/>
    </row>
    <row r="456" ht="12.75" customHeight="1">
      <c r="A456" s="46"/>
      <c r="B456" s="59"/>
      <c r="C456" s="59"/>
      <c r="D456" s="59"/>
      <c r="E456" s="59"/>
      <c r="F456" s="59"/>
    </row>
    <row r="457" ht="12.75" customHeight="1">
      <c r="A457" s="46"/>
      <c r="B457" s="59"/>
      <c r="C457" s="59"/>
      <c r="D457" s="59"/>
      <c r="E457" s="59"/>
      <c r="F457" s="59"/>
    </row>
    <row r="458" ht="12.75" customHeight="1">
      <c r="A458" s="46"/>
      <c r="B458" s="59"/>
      <c r="C458" s="59"/>
      <c r="D458" s="59"/>
      <c r="E458" s="59"/>
      <c r="F458" s="59"/>
    </row>
    <row r="459" ht="12.75" customHeight="1">
      <c r="A459" s="46"/>
      <c r="B459" s="59"/>
      <c r="C459" s="59"/>
      <c r="D459" s="59"/>
      <c r="E459" s="59"/>
      <c r="F459" s="59"/>
    </row>
    <row r="460" ht="12.75" customHeight="1">
      <c r="A460" s="46"/>
      <c r="B460" s="59"/>
      <c r="C460" s="59"/>
      <c r="D460" s="59"/>
      <c r="E460" s="59"/>
      <c r="F460" s="59"/>
    </row>
    <row r="461" ht="12.75" customHeight="1">
      <c r="A461" s="46"/>
      <c r="B461" s="59"/>
      <c r="C461" s="59"/>
      <c r="D461" s="59"/>
      <c r="E461" s="59"/>
      <c r="F461" s="59"/>
    </row>
    <row r="462" ht="12.75" customHeight="1">
      <c r="A462" s="46"/>
      <c r="B462" s="59"/>
      <c r="C462" s="59"/>
      <c r="D462" s="59"/>
      <c r="E462" s="59"/>
      <c r="F462" s="59"/>
    </row>
    <row r="463" ht="12.75" customHeight="1">
      <c r="A463" s="46"/>
      <c r="B463" s="59"/>
      <c r="C463" s="59"/>
      <c r="D463" s="59"/>
      <c r="E463" s="59"/>
      <c r="F463" s="59"/>
    </row>
    <row r="464" ht="12.75" customHeight="1">
      <c r="A464" s="46"/>
      <c r="B464" s="59"/>
      <c r="C464" s="59"/>
      <c r="D464" s="59"/>
      <c r="E464" s="59"/>
      <c r="F464" s="59"/>
    </row>
    <row r="465" ht="12.75" customHeight="1">
      <c r="A465" s="46"/>
      <c r="B465" s="59"/>
      <c r="C465" s="59"/>
      <c r="D465" s="59"/>
      <c r="E465" s="59"/>
      <c r="F465" s="59"/>
    </row>
    <row r="466" ht="12.75" customHeight="1">
      <c r="A466" s="46"/>
      <c r="B466" s="59"/>
      <c r="C466" s="59"/>
      <c r="D466" s="59"/>
      <c r="E466" s="59"/>
      <c r="F466" s="59"/>
    </row>
    <row r="467" ht="12.75" customHeight="1">
      <c r="A467" s="46"/>
      <c r="B467" s="59"/>
      <c r="C467" s="59"/>
      <c r="D467" s="59"/>
      <c r="E467" s="59"/>
      <c r="F467" s="59"/>
    </row>
    <row r="468" ht="12.75" customHeight="1">
      <c r="A468" s="46"/>
      <c r="B468" s="59"/>
      <c r="C468" s="59"/>
      <c r="D468" s="59"/>
      <c r="E468" s="59"/>
      <c r="F468" s="59"/>
    </row>
    <row r="469" ht="12.75" customHeight="1">
      <c r="A469" s="46"/>
      <c r="B469" s="59"/>
      <c r="C469" s="59"/>
      <c r="D469" s="59"/>
      <c r="E469" s="59"/>
      <c r="F469" s="59"/>
    </row>
    <row r="470" ht="12.75" customHeight="1">
      <c r="A470" s="46"/>
      <c r="B470" s="59"/>
      <c r="C470" s="59"/>
      <c r="D470" s="59"/>
      <c r="E470" s="59"/>
      <c r="F470" s="59"/>
    </row>
    <row r="471" ht="12.75" customHeight="1">
      <c r="A471" s="46"/>
      <c r="B471" s="59"/>
      <c r="C471" s="59"/>
      <c r="D471" s="59"/>
      <c r="E471" s="59"/>
      <c r="F471" s="59"/>
    </row>
    <row r="472" ht="12.75" customHeight="1">
      <c r="A472" s="46"/>
      <c r="B472" s="59"/>
      <c r="C472" s="59"/>
      <c r="D472" s="59"/>
      <c r="E472" s="59"/>
      <c r="F472" s="59"/>
    </row>
    <row r="473" ht="12.75" customHeight="1">
      <c r="A473" s="46"/>
      <c r="B473" s="59"/>
      <c r="C473" s="59"/>
      <c r="D473" s="59"/>
      <c r="E473" s="59"/>
      <c r="F473" s="59"/>
    </row>
    <row r="474" ht="12.75" customHeight="1">
      <c r="A474" s="46"/>
      <c r="B474" s="59"/>
      <c r="C474" s="59"/>
      <c r="D474" s="59"/>
      <c r="E474" s="59"/>
      <c r="F474" s="59"/>
    </row>
    <row r="475" ht="12.75" customHeight="1">
      <c r="A475" s="46"/>
      <c r="B475" s="59"/>
      <c r="C475" s="59"/>
      <c r="D475" s="59"/>
      <c r="E475" s="59"/>
      <c r="F475" s="59"/>
    </row>
    <row r="476" ht="12.75" customHeight="1">
      <c r="A476" s="46"/>
      <c r="B476" s="59"/>
      <c r="C476" s="59"/>
      <c r="D476" s="59"/>
      <c r="E476" s="59"/>
      <c r="F476" s="59"/>
    </row>
    <row r="477" ht="12.75" customHeight="1">
      <c r="A477" s="46"/>
      <c r="B477" s="59"/>
      <c r="C477" s="59"/>
      <c r="D477" s="59"/>
      <c r="E477" s="59"/>
      <c r="F477" s="59"/>
    </row>
    <row r="478" ht="12.75" customHeight="1">
      <c r="A478" s="46"/>
      <c r="B478" s="59"/>
      <c r="C478" s="59"/>
      <c r="D478" s="59"/>
      <c r="E478" s="59"/>
      <c r="F478" s="59"/>
    </row>
    <row r="479" ht="12.75" customHeight="1">
      <c r="A479" s="46"/>
      <c r="B479" s="59"/>
      <c r="C479" s="59"/>
      <c r="D479" s="59"/>
      <c r="E479" s="59"/>
      <c r="F479" s="59"/>
    </row>
    <row r="480" ht="12.75" customHeight="1">
      <c r="A480" s="46"/>
      <c r="B480" s="59"/>
      <c r="C480" s="59"/>
      <c r="D480" s="59"/>
      <c r="E480" s="59"/>
      <c r="F480" s="59"/>
    </row>
    <row r="481" ht="12.75" customHeight="1">
      <c r="A481" s="46"/>
      <c r="B481" s="59"/>
      <c r="C481" s="59"/>
      <c r="D481" s="59"/>
      <c r="E481" s="59"/>
      <c r="F481" s="59"/>
    </row>
    <row r="482" ht="12.75" customHeight="1">
      <c r="A482" s="46"/>
      <c r="B482" s="59"/>
      <c r="C482" s="59"/>
      <c r="D482" s="59"/>
      <c r="E482" s="59"/>
      <c r="F482" s="59"/>
    </row>
    <row r="483" ht="12.75" customHeight="1">
      <c r="A483" s="46"/>
      <c r="B483" s="59"/>
      <c r="C483" s="59"/>
      <c r="D483" s="59"/>
      <c r="E483" s="59"/>
      <c r="F483" s="59"/>
    </row>
    <row r="484" ht="12.75" customHeight="1">
      <c r="A484" s="46"/>
      <c r="B484" s="59"/>
      <c r="C484" s="59"/>
      <c r="D484" s="59"/>
      <c r="E484" s="59"/>
      <c r="F484" s="59"/>
    </row>
    <row r="485" ht="12.75" customHeight="1">
      <c r="A485" s="46"/>
      <c r="B485" s="59"/>
      <c r="C485" s="59"/>
      <c r="D485" s="59"/>
      <c r="E485" s="59"/>
      <c r="F485" s="59"/>
    </row>
    <row r="486" ht="12.75" customHeight="1">
      <c r="A486" s="46"/>
      <c r="B486" s="59"/>
      <c r="C486" s="59"/>
      <c r="D486" s="59"/>
      <c r="E486" s="59"/>
      <c r="F486" s="59"/>
    </row>
    <row r="487" ht="12.75" customHeight="1">
      <c r="A487" s="46"/>
      <c r="B487" s="59"/>
      <c r="C487" s="59"/>
      <c r="D487" s="59"/>
      <c r="E487" s="59"/>
      <c r="F487" s="59"/>
    </row>
    <row r="488" ht="12.75" customHeight="1">
      <c r="A488" s="46"/>
      <c r="B488" s="59"/>
      <c r="C488" s="59"/>
      <c r="D488" s="59"/>
      <c r="E488" s="59"/>
      <c r="F488" s="59"/>
    </row>
    <row r="489" ht="12.75" customHeight="1">
      <c r="A489" s="46"/>
      <c r="B489" s="59"/>
      <c r="C489" s="59"/>
      <c r="D489" s="59"/>
      <c r="E489" s="59"/>
      <c r="F489" s="59"/>
    </row>
    <row r="490" ht="12.75" customHeight="1">
      <c r="A490" s="46"/>
      <c r="B490" s="59"/>
      <c r="C490" s="59"/>
      <c r="D490" s="59"/>
      <c r="E490" s="59"/>
      <c r="F490" s="59"/>
    </row>
    <row r="491" ht="12.75" customHeight="1">
      <c r="A491" s="46"/>
      <c r="B491" s="59"/>
      <c r="C491" s="59"/>
      <c r="D491" s="59"/>
      <c r="E491" s="59"/>
      <c r="F491" s="59"/>
    </row>
    <row r="492" ht="12.75" customHeight="1">
      <c r="A492" s="46"/>
      <c r="B492" s="59"/>
      <c r="C492" s="59"/>
      <c r="D492" s="59"/>
      <c r="E492" s="59"/>
      <c r="F492" s="59"/>
    </row>
    <row r="493" ht="12.75" customHeight="1">
      <c r="A493" s="46"/>
      <c r="B493" s="59"/>
      <c r="C493" s="59"/>
      <c r="D493" s="59"/>
      <c r="E493" s="59"/>
      <c r="F493" s="59"/>
    </row>
    <row r="494" ht="12.75" customHeight="1">
      <c r="A494" s="46"/>
      <c r="B494" s="59"/>
      <c r="C494" s="59"/>
      <c r="D494" s="59"/>
      <c r="E494" s="59"/>
      <c r="F494" s="59"/>
    </row>
    <row r="495" ht="12.75" customHeight="1">
      <c r="A495" s="46"/>
      <c r="B495" s="59"/>
      <c r="C495" s="59"/>
      <c r="D495" s="59"/>
      <c r="E495" s="59"/>
      <c r="F495" s="59"/>
    </row>
    <row r="496" ht="12.75" customHeight="1">
      <c r="A496" s="46"/>
      <c r="B496" s="59"/>
      <c r="C496" s="59"/>
      <c r="D496" s="59"/>
      <c r="E496" s="59"/>
      <c r="F496" s="59"/>
    </row>
    <row r="497" ht="12.75" customHeight="1">
      <c r="A497" s="46"/>
      <c r="B497" s="59"/>
      <c r="C497" s="59"/>
      <c r="D497" s="59"/>
      <c r="E497" s="59"/>
      <c r="F497" s="59"/>
    </row>
    <row r="498" ht="12.75" customHeight="1">
      <c r="A498" s="46"/>
      <c r="B498" s="59"/>
      <c r="C498" s="59"/>
      <c r="D498" s="59"/>
      <c r="E498" s="59"/>
      <c r="F498" s="59"/>
    </row>
    <row r="499" ht="12.75" customHeight="1">
      <c r="A499" s="46"/>
      <c r="B499" s="59"/>
      <c r="C499" s="59"/>
      <c r="D499" s="59"/>
      <c r="E499" s="59"/>
      <c r="F499" s="59"/>
    </row>
    <row r="500" ht="12.75" customHeight="1">
      <c r="A500" s="46"/>
      <c r="B500" s="59"/>
      <c r="C500" s="59"/>
      <c r="D500" s="59"/>
      <c r="E500" s="59"/>
      <c r="F500" s="59"/>
    </row>
    <row r="501" ht="12.75" customHeight="1">
      <c r="A501" s="46"/>
      <c r="B501" s="59"/>
      <c r="C501" s="59"/>
      <c r="D501" s="59"/>
      <c r="E501" s="59"/>
      <c r="F501" s="59"/>
    </row>
    <row r="502" ht="12.75" customHeight="1">
      <c r="A502" s="46"/>
      <c r="B502" s="59"/>
      <c r="C502" s="59"/>
      <c r="D502" s="59"/>
      <c r="E502" s="59"/>
      <c r="F502" s="59"/>
    </row>
    <row r="503" ht="12.75" customHeight="1">
      <c r="A503" s="46"/>
      <c r="B503" s="59"/>
      <c r="C503" s="59"/>
      <c r="D503" s="59"/>
      <c r="E503" s="59"/>
      <c r="F503" s="59"/>
    </row>
    <row r="504" ht="12.75" customHeight="1">
      <c r="A504" s="46"/>
      <c r="B504" s="59"/>
      <c r="C504" s="59"/>
      <c r="D504" s="59"/>
      <c r="E504" s="59"/>
      <c r="F504" s="59"/>
    </row>
    <row r="505" ht="12.75" customHeight="1">
      <c r="A505" s="46"/>
      <c r="B505" s="59"/>
      <c r="C505" s="59"/>
      <c r="D505" s="59"/>
      <c r="E505" s="59"/>
      <c r="F505" s="59"/>
    </row>
    <row r="506" ht="12.75" customHeight="1">
      <c r="A506" s="46"/>
      <c r="B506" s="59"/>
      <c r="C506" s="59"/>
      <c r="D506" s="59"/>
      <c r="E506" s="59"/>
      <c r="F506" s="59"/>
    </row>
    <row r="507" ht="12.75" customHeight="1">
      <c r="A507" s="46"/>
      <c r="B507" s="59"/>
      <c r="C507" s="59"/>
      <c r="D507" s="59"/>
      <c r="E507" s="59"/>
      <c r="F507" s="59"/>
    </row>
    <row r="508" ht="12.75" customHeight="1">
      <c r="A508" s="46"/>
      <c r="B508" s="59"/>
      <c r="C508" s="59"/>
      <c r="D508" s="59"/>
      <c r="E508" s="59"/>
      <c r="F508" s="59"/>
    </row>
    <row r="509" ht="12.75" customHeight="1">
      <c r="A509" s="46"/>
      <c r="B509" s="59"/>
      <c r="C509" s="59"/>
      <c r="D509" s="59"/>
      <c r="E509" s="59"/>
      <c r="F509" s="59"/>
    </row>
    <row r="510" ht="12.75" customHeight="1">
      <c r="A510" s="46"/>
      <c r="B510" s="59"/>
      <c r="C510" s="59"/>
      <c r="D510" s="59"/>
      <c r="E510" s="59"/>
      <c r="F510" s="59"/>
    </row>
    <row r="511" ht="12.75" customHeight="1">
      <c r="A511" s="46"/>
      <c r="B511" s="59"/>
      <c r="C511" s="59"/>
      <c r="D511" s="59"/>
      <c r="E511" s="59"/>
      <c r="F511" s="59"/>
    </row>
    <row r="512" ht="12.75" customHeight="1">
      <c r="A512" s="46"/>
      <c r="B512" s="59"/>
      <c r="C512" s="59"/>
      <c r="D512" s="59"/>
      <c r="E512" s="59"/>
      <c r="F512" s="59"/>
    </row>
    <row r="513" ht="12.75" customHeight="1">
      <c r="A513" s="46"/>
      <c r="B513" s="59"/>
      <c r="C513" s="59"/>
      <c r="D513" s="59"/>
      <c r="E513" s="59"/>
      <c r="F513" s="59"/>
    </row>
    <row r="514" ht="12.75" customHeight="1">
      <c r="A514" s="46"/>
      <c r="B514" s="59"/>
      <c r="C514" s="59"/>
      <c r="D514" s="59"/>
      <c r="E514" s="59"/>
      <c r="F514" s="59"/>
    </row>
    <row r="515" ht="12.75" customHeight="1">
      <c r="A515" s="46"/>
      <c r="B515" s="59"/>
      <c r="C515" s="59"/>
      <c r="D515" s="59"/>
      <c r="E515" s="59"/>
      <c r="F515" s="59"/>
    </row>
    <row r="516" ht="12.75" customHeight="1">
      <c r="A516" s="46"/>
      <c r="B516" s="59"/>
      <c r="C516" s="59"/>
      <c r="D516" s="59"/>
      <c r="E516" s="59"/>
      <c r="F516" s="59"/>
    </row>
    <row r="517" ht="12.75" customHeight="1">
      <c r="A517" s="46"/>
      <c r="B517" s="59"/>
      <c r="C517" s="59"/>
      <c r="D517" s="59"/>
      <c r="E517" s="59"/>
      <c r="F517" s="59"/>
    </row>
    <row r="518" ht="12.75" customHeight="1">
      <c r="A518" s="46"/>
      <c r="B518" s="59"/>
      <c r="C518" s="59"/>
      <c r="D518" s="59"/>
      <c r="E518" s="59"/>
      <c r="F518" s="59"/>
    </row>
    <row r="519" ht="12.75" customHeight="1">
      <c r="A519" s="46"/>
      <c r="B519" s="59"/>
      <c r="C519" s="59"/>
      <c r="D519" s="59"/>
      <c r="E519" s="59"/>
      <c r="F519" s="59"/>
    </row>
    <row r="520" ht="12.75" customHeight="1">
      <c r="A520" s="46"/>
      <c r="B520" s="59"/>
      <c r="C520" s="59"/>
      <c r="D520" s="59"/>
      <c r="E520" s="59"/>
      <c r="F520" s="59"/>
    </row>
    <row r="521" ht="12.75" customHeight="1">
      <c r="A521" s="46"/>
      <c r="B521" s="59"/>
      <c r="C521" s="59"/>
      <c r="D521" s="59"/>
      <c r="E521" s="59"/>
      <c r="F521" s="59"/>
    </row>
    <row r="522" ht="12.75" customHeight="1">
      <c r="A522" s="46"/>
      <c r="B522" s="59"/>
      <c r="C522" s="59"/>
      <c r="D522" s="59"/>
      <c r="E522" s="59"/>
      <c r="F522" s="59"/>
    </row>
    <row r="523" ht="12.75" customHeight="1">
      <c r="A523" s="46"/>
      <c r="B523" s="59"/>
      <c r="C523" s="59"/>
      <c r="D523" s="59"/>
      <c r="E523" s="59"/>
      <c r="F523" s="59"/>
    </row>
    <row r="524" ht="12.75" customHeight="1">
      <c r="A524" s="46"/>
      <c r="B524" s="59"/>
      <c r="C524" s="59"/>
      <c r="D524" s="59"/>
      <c r="E524" s="59"/>
      <c r="F524" s="59"/>
    </row>
    <row r="525" ht="12.75" customHeight="1">
      <c r="A525" s="46"/>
      <c r="B525" s="59"/>
      <c r="C525" s="59"/>
      <c r="D525" s="59"/>
      <c r="E525" s="59"/>
      <c r="F525" s="59"/>
    </row>
    <row r="526" ht="12.75" customHeight="1">
      <c r="A526" s="46"/>
      <c r="B526" s="59"/>
      <c r="C526" s="59"/>
      <c r="D526" s="59"/>
      <c r="E526" s="59"/>
      <c r="F526" s="59"/>
    </row>
    <row r="527" ht="12.75" customHeight="1">
      <c r="A527" s="46"/>
      <c r="B527" s="59"/>
      <c r="C527" s="59"/>
      <c r="D527" s="59"/>
      <c r="E527" s="59"/>
      <c r="F527" s="59"/>
    </row>
    <row r="528" ht="12.75" customHeight="1">
      <c r="A528" s="46"/>
      <c r="B528" s="59"/>
      <c r="C528" s="59"/>
      <c r="D528" s="59"/>
      <c r="E528" s="59"/>
      <c r="F528" s="59"/>
    </row>
    <row r="529" ht="12.75" customHeight="1">
      <c r="A529" s="46"/>
      <c r="B529" s="59"/>
      <c r="C529" s="59"/>
      <c r="D529" s="59"/>
      <c r="E529" s="59"/>
      <c r="F529" s="59"/>
    </row>
    <row r="530" ht="12.75" customHeight="1">
      <c r="A530" s="46"/>
      <c r="B530" s="59"/>
      <c r="C530" s="59"/>
      <c r="D530" s="59"/>
      <c r="E530" s="59"/>
      <c r="F530" s="59"/>
    </row>
    <row r="531" ht="12.75" customHeight="1">
      <c r="A531" s="46"/>
      <c r="B531" s="59"/>
      <c r="C531" s="59"/>
      <c r="D531" s="59"/>
      <c r="E531" s="59"/>
      <c r="F531" s="59"/>
    </row>
    <row r="532" ht="12.75" customHeight="1">
      <c r="A532" s="46"/>
      <c r="B532" s="59"/>
      <c r="C532" s="59"/>
      <c r="D532" s="59"/>
      <c r="E532" s="59"/>
      <c r="F532" s="59"/>
    </row>
    <row r="533" ht="12.75" customHeight="1">
      <c r="A533" s="46"/>
      <c r="B533" s="59"/>
      <c r="C533" s="59"/>
      <c r="D533" s="59"/>
      <c r="E533" s="59"/>
      <c r="F533" s="59"/>
    </row>
    <row r="534" ht="12.75" customHeight="1">
      <c r="A534" s="46"/>
      <c r="B534" s="59"/>
      <c r="C534" s="59"/>
      <c r="D534" s="59"/>
      <c r="E534" s="59"/>
      <c r="F534" s="59"/>
    </row>
    <row r="535" ht="12.75" customHeight="1">
      <c r="A535" s="46"/>
      <c r="B535" s="59"/>
      <c r="C535" s="59"/>
      <c r="D535" s="59"/>
      <c r="E535" s="59"/>
      <c r="F535" s="59"/>
    </row>
    <row r="536" ht="12.75" customHeight="1">
      <c r="A536" s="46"/>
      <c r="B536" s="59"/>
      <c r="C536" s="59"/>
      <c r="D536" s="59"/>
      <c r="E536" s="59"/>
      <c r="F536" s="59"/>
    </row>
    <row r="537" ht="12.75" customHeight="1">
      <c r="A537" s="46"/>
      <c r="B537" s="59"/>
      <c r="C537" s="59"/>
      <c r="D537" s="59"/>
      <c r="E537" s="59"/>
      <c r="F537" s="59"/>
    </row>
    <row r="538" ht="12.75" customHeight="1">
      <c r="A538" s="46"/>
      <c r="B538" s="59"/>
      <c r="C538" s="59"/>
      <c r="D538" s="59"/>
      <c r="E538" s="59"/>
      <c r="F538" s="59"/>
    </row>
    <row r="539" ht="12.75" customHeight="1">
      <c r="A539" s="46"/>
      <c r="B539" s="59"/>
      <c r="C539" s="59"/>
      <c r="D539" s="59"/>
      <c r="E539" s="59"/>
      <c r="F539" s="59"/>
    </row>
    <row r="540" ht="12.75" customHeight="1">
      <c r="A540" s="46"/>
      <c r="B540" s="59"/>
      <c r="C540" s="59"/>
      <c r="D540" s="59"/>
      <c r="E540" s="59"/>
      <c r="F540" s="59"/>
    </row>
    <row r="541" ht="12.75" customHeight="1">
      <c r="A541" s="46"/>
      <c r="B541" s="59"/>
      <c r="C541" s="59"/>
      <c r="D541" s="59"/>
      <c r="E541" s="59"/>
      <c r="F541" s="59"/>
    </row>
    <row r="542" ht="12.75" customHeight="1">
      <c r="A542" s="46"/>
      <c r="B542" s="59"/>
      <c r="C542" s="59"/>
      <c r="D542" s="59"/>
      <c r="E542" s="59"/>
      <c r="F542" s="59"/>
    </row>
    <row r="543" ht="12.75" customHeight="1">
      <c r="A543" s="46"/>
      <c r="B543" s="59"/>
      <c r="C543" s="59"/>
      <c r="D543" s="59"/>
      <c r="E543" s="59"/>
      <c r="F543" s="59"/>
    </row>
    <row r="544" ht="12.75" customHeight="1">
      <c r="A544" s="46"/>
      <c r="B544" s="59"/>
      <c r="C544" s="59"/>
      <c r="D544" s="59"/>
      <c r="E544" s="59"/>
      <c r="F544" s="59"/>
    </row>
    <row r="545" ht="12.75" customHeight="1">
      <c r="A545" s="46"/>
      <c r="B545" s="59"/>
      <c r="C545" s="59"/>
      <c r="D545" s="59"/>
      <c r="E545" s="59"/>
      <c r="F545" s="59"/>
    </row>
    <row r="546" ht="12.75" customHeight="1">
      <c r="A546" s="46"/>
      <c r="B546" s="59"/>
      <c r="C546" s="59"/>
      <c r="D546" s="59"/>
      <c r="E546" s="59"/>
      <c r="F546" s="59"/>
    </row>
    <row r="547" ht="12.75" customHeight="1">
      <c r="A547" s="46"/>
      <c r="B547" s="59"/>
      <c r="C547" s="59"/>
      <c r="D547" s="59"/>
      <c r="E547" s="59"/>
      <c r="F547" s="59"/>
    </row>
    <row r="548" ht="12.75" customHeight="1">
      <c r="A548" s="46"/>
      <c r="B548" s="59"/>
      <c r="C548" s="59"/>
      <c r="D548" s="59"/>
      <c r="E548" s="59"/>
      <c r="F548" s="59"/>
    </row>
    <row r="549" ht="12.75" customHeight="1">
      <c r="A549" s="46"/>
      <c r="B549" s="59"/>
      <c r="C549" s="59"/>
      <c r="D549" s="59"/>
      <c r="E549" s="59"/>
      <c r="F549" s="59"/>
    </row>
    <row r="550" ht="12.75" customHeight="1">
      <c r="A550" s="46"/>
      <c r="B550" s="59"/>
      <c r="C550" s="59"/>
      <c r="D550" s="59"/>
      <c r="E550" s="59"/>
      <c r="F550" s="59"/>
    </row>
    <row r="551" ht="12.75" customHeight="1">
      <c r="A551" s="46"/>
      <c r="B551" s="59"/>
      <c r="C551" s="59"/>
      <c r="D551" s="59"/>
      <c r="E551" s="59"/>
      <c r="F551" s="59"/>
    </row>
    <row r="552" ht="12.75" customHeight="1">
      <c r="A552" s="46"/>
      <c r="B552" s="59"/>
      <c r="C552" s="59"/>
      <c r="D552" s="59"/>
      <c r="E552" s="59"/>
      <c r="F552" s="59"/>
    </row>
    <row r="553" ht="12.75" customHeight="1">
      <c r="A553" s="46"/>
      <c r="B553" s="59"/>
      <c r="C553" s="59"/>
      <c r="D553" s="59"/>
      <c r="E553" s="59"/>
      <c r="F553" s="59"/>
    </row>
    <row r="554" ht="12.75" customHeight="1">
      <c r="A554" s="46"/>
      <c r="B554" s="59"/>
      <c r="C554" s="59"/>
      <c r="D554" s="59"/>
      <c r="E554" s="59"/>
      <c r="F554" s="59"/>
    </row>
    <row r="555" ht="12.75" customHeight="1">
      <c r="A555" s="46"/>
      <c r="B555" s="59"/>
      <c r="C555" s="59"/>
      <c r="D555" s="59"/>
      <c r="E555" s="59"/>
      <c r="F555" s="59"/>
    </row>
    <row r="556" ht="12.75" customHeight="1">
      <c r="A556" s="46"/>
      <c r="B556" s="59"/>
      <c r="C556" s="59"/>
      <c r="D556" s="59"/>
      <c r="E556" s="59"/>
      <c r="F556" s="59"/>
    </row>
    <row r="557" ht="12.75" customHeight="1">
      <c r="A557" s="46"/>
      <c r="B557" s="59"/>
      <c r="C557" s="59"/>
      <c r="D557" s="59"/>
      <c r="E557" s="59"/>
      <c r="F557" s="59"/>
    </row>
    <row r="558" ht="12.75" customHeight="1">
      <c r="A558" s="46"/>
      <c r="B558" s="59"/>
      <c r="C558" s="59"/>
      <c r="D558" s="59"/>
      <c r="E558" s="59"/>
      <c r="F558" s="59"/>
    </row>
    <row r="559" ht="12.75" customHeight="1">
      <c r="A559" s="46"/>
      <c r="B559" s="59"/>
      <c r="C559" s="59"/>
      <c r="D559" s="59"/>
      <c r="E559" s="59"/>
      <c r="F559" s="59"/>
    </row>
    <row r="560" ht="12.75" customHeight="1">
      <c r="A560" s="46"/>
      <c r="B560" s="59"/>
      <c r="C560" s="59"/>
      <c r="D560" s="59"/>
      <c r="E560" s="59"/>
      <c r="F560" s="59"/>
    </row>
    <row r="561" ht="12.75" customHeight="1">
      <c r="A561" s="46"/>
      <c r="B561" s="59"/>
      <c r="C561" s="59"/>
      <c r="D561" s="59"/>
      <c r="E561" s="59"/>
      <c r="F561" s="59"/>
    </row>
    <row r="562" ht="12.75" customHeight="1">
      <c r="A562" s="46"/>
      <c r="B562" s="59"/>
      <c r="C562" s="59"/>
      <c r="D562" s="59"/>
      <c r="E562" s="59"/>
      <c r="F562" s="59"/>
    </row>
    <row r="563" ht="12.75" customHeight="1">
      <c r="A563" s="46"/>
      <c r="B563" s="59"/>
      <c r="C563" s="59"/>
      <c r="D563" s="59"/>
      <c r="E563" s="59"/>
      <c r="F563" s="59"/>
    </row>
    <row r="564" ht="12.75" customHeight="1">
      <c r="A564" s="46"/>
      <c r="B564" s="59"/>
      <c r="C564" s="59"/>
      <c r="D564" s="59"/>
      <c r="E564" s="59"/>
      <c r="F564" s="59"/>
    </row>
    <row r="565" ht="12.75" customHeight="1">
      <c r="A565" s="46"/>
      <c r="B565" s="59"/>
      <c r="C565" s="59"/>
      <c r="D565" s="59"/>
      <c r="E565" s="59"/>
      <c r="F565" s="59"/>
    </row>
    <row r="566" ht="12.75" customHeight="1">
      <c r="A566" s="46"/>
      <c r="B566" s="59"/>
      <c r="C566" s="59"/>
      <c r="D566" s="59"/>
      <c r="E566" s="59"/>
      <c r="F566" s="59"/>
    </row>
    <row r="567" ht="12.75" customHeight="1">
      <c r="A567" s="46"/>
      <c r="B567" s="59"/>
      <c r="C567" s="59"/>
      <c r="D567" s="59"/>
      <c r="E567" s="59"/>
      <c r="F567" s="59"/>
    </row>
    <row r="568" ht="12.75" customHeight="1">
      <c r="A568" s="46"/>
      <c r="B568" s="59"/>
      <c r="C568" s="59"/>
      <c r="D568" s="59"/>
      <c r="E568" s="59"/>
      <c r="F568" s="59"/>
    </row>
    <row r="569" ht="12.75" customHeight="1">
      <c r="A569" s="46"/>
      <c r="B569" s="59"/>
      <c r="C569" s="59"/>
      <c r="D569" s="59"/>
      <c r="E569" s="59"/>
      <c r="F569" s="59"/>
    </row>
    <row r="570" ht="12.75" customHeight="1">
      <c r="A570" s="46"/>
      <c r="B570" s="59"/>
      <c r="C570" s="59"/>
      <c r="D570" s="59"/>
      <c r="E570" s="59"/>
      <c r="F570" s="59"/>
    </row>
    <row r="571" ht="12.75" customHeight="1">
      <c r="A571" s="46"/>
      <c r="B571" s="59"/>
      <c r="C571" s="59"/>
      <c r="D571" s="59"/>
      <c r="E571" s="59"/>
      <c r="F571" s="59"/>
    </row>
    <row r="572" ht="12.75" customHeight="1">
      <c r="A572" s="46"/>
      <c r="B572" s="59"/>
      <c r="C572" s="59"/>
      <c r="D572" s="59"/>
      <c r="E572" s="59"/>
      <c r="F572" s="59"/>
    </row>
    <row r="573" ht="12.75" customHeight="1">
      <c r="A573" s="46"/>
      <c r="B573" s="59"/>
      <c r="C573" s="59"/>
      <c r="D573" s="59"/>
      <c r="E573" s="59"/>
      <c r="F573" s="59"/>
    </row>
    <row r="574" ht="12.75" customHeight="1">
      <c r="A574" s="46"/>
      <c r="B574" s="59"/>
      <c r="C574" s="59"/>
      <c r="D574" s="59"/>
      <c r="E574" s="59"/>
      <c r="F574" s="59"/>
    </row>
    <row r="575" ht="12.75" customHeight="1">
      <c r="A575" s="46"/>
      <c r="B575" s="59"/>
      <c r="C575" s="59"/>
      <c r="D575" s="59"/>
      <c r="E575" s="59"/>
      <c r="F575" s="59"/>
    </row>
    <row r="576" ht="12.75" customHeight="1">
      <c r="A576" s="46"/>
      <c r="B576" s="59"/>
      <c r="C576" s="59"/>
      <c r="D576" s="59"/>
      <c r="E576" s="59"/>
      <c r="F576" s="59"/>
    </row>
    <row r="577" ht="12.75" customHeight="1">
      <c r="A577" s="46"/>
      <c r="B577" s="59"/>
      <c r="C577" s="59"/>
      <c r="D577" s="59"/>
      <c r="E577" s="59"/>
      <c r="F577" s="59"/>
    </row>
    <row r="578" ht="12.75" customHeight="1">
      <c r="A578" s="46"/>
      <c r="B578" s="59"/>
      <c r="C578" s="59"/>
      <c r="D578" s="59"/>
      <c r="E578" s="59"/>
      <c r="F578" s="59"/>
    </row>
    <row r="579" ht="12.75" customHeight="1">
      <c r="A579" s="46"/>
      <c r="B579" s="59"/>
      <c r="C579" s="59"/>
      <c r="D579" s="59"/>
      <c r="E579" s="59"/>
      <c r="F579" s="59"/>
    </row>
    <row r="580" ht="12.75" customHeight="1">
      <c r="A580" s="46"/>
      <c r="B580" s="59"/>
      <c r="C580" s="59"/>
      <c r="D580" s="59"/>
      <c r="E580" s="59"/>
      <c r="F580" s="59"/>
    </row>
    <row r="581" ht="12.75" customHeight="1">
      <c r="A581" s="46"/>
      <c r="B581" s="59"/>
      <c r="C581" s="59"/>
      <c r="D581" s="59"/>
      <c r="E581" s="59"/>
      <c r="F581" s="59"/>
    </row>
    <row r="582" ht="12.75" customHeight="1">
      <c r="A582" s="46"/>
      <c r="B582" s="59"/>
      <c r="C582" s="59"/>
      <c r="D582" s="59"/>
      <c r="E582" s="59"/>
      <c r="F582" s="59"/>
    </row>
    <row r="583" ht="12.75" customHeight="1">
      <c r="A583" s="46"/>
      <c r="B583" s="59"/>
      <c r="C583" s="59"/>
      <c r="D583" s="59"/>
      <c r="E583" s="59"/>
      <c r="F583" s="59"/>
    </row>
    <row r="584" ht="12.75" customHeight="1">
      <c r="A584" s="46"/>
      <c r="B584" s="59"/>
      <c r="C584" s="59"/>
      <c r="D584" s="59"/>
      <c r="E584" s="59"/>
      <c r="F584" s="59"/>
    </row>
    <row r="585" ht="12.75" customHeight="1">
      <c r="A585" s="46"/>
      <c r="B585" s="59"/>
      <c r="C585" s="59"/>
      <c r="D585" s="59"/>
      <c r="E585" s="59"/>
      <c r="F585" s="59"/>
    </row>
    <row r="586" ht="12.75" customHeight="1">
      <c r="A586" s="46"/>
      <c r="B586" s="59"/>
      <c r="C586" s="59"/>
      <c r="D586" s="59"/>
      <c r="E586" s="59"/>
      <c r="F586" s="59"/>
    </row>
    <row r="587" ht="12.75" customHeight="1">
      <c r="A587" s="46"/>
      <c r="B587" s="59"/>
      <c r="C587" s="59"/>
      <c r="D587" s="59"/>
      <c r="E587" s="59"/>
      <c r="F587" s="59"/>
    </row>
    <row r="588" ht="12.75" customHeight="1">
      <c r="A588" s="46"/>
      <c r="B588" s="59"/>
      <c r="C588" s="59"/>
      <c r="D588" s="59"/>
      <c r="E588" s="59"/>
      <c r="F588" s="59"/>
    </row>
    <row r="589" ht="12.75" customHeight="1">
      <c r="A589" s="46"/>
      <c r="B589" s="59"/>
      <c r="C589" s="59"/>
      <c r="D589" s="59"/>
      <c r="E589" s="59"/>
      <c r="F589" s="59"/>
    </row>
    <row r="590" ht="12.75" customHeight="1">
      <c r="A590" s="46"/>
      <c r="B590" s="59"/>
      <c r="C590" s="59"/>
      <c r="D590" s="59"/>
      <c r="E590" s="59"/>
      <c r="F590" s="59"/>
    </row>
    <row r="591" ht="12.75" customHeight="1">
      <c r="A591" s="46"/>
      <c r="B591" s="59"/>
      <c r="C591" s="59"/>
      <c r="D591" s="59"/>
      <c r="E591" s="59"/>
      <c r="F591" s="59"/>
    </row>
    <row r="592" ht="12.75" customHeight="1">
      <c r="A592" s="46"/>
      <c r="B592" s="59"/>
      <c r="C592" s="59"/>
      <c r="D592" s="59"/>
      <c r="E592" s="59"/>
      <c r="F592" s="59"/>
    </row>
    <row r="593" ht="12.75" customHeight="1">
      <c r="A593" s="46"/>
      <c r="B593" s="59"/>
      <c r="C593" s="59"/>
      <c r="D593" s="59"/>
      <c r="E593" s="59"/>
      <c r="F593" s="59"/>
    </row>
    <row r="594" ht="12.75" customHeight="1">
      <c r="A594" s="46"/>
      <c r="B594" s="59"/>
      <c r="C594" s="59"/>
      <c r="D594" s="59"/>
      <c r="E594" s="59"/>
      <c r="F594" s="59"/>
    </row>
    <row r="595" ht="12.75" customHeight="1">
      <c r="A595" s="46"/>
      <c r="B595" s="59"/>
      <c r="C595" s="59"/>
      <c r="D595" s="59"/>
      <c r="E595" s="59"/>
      <c r="F595" s="59"/>
    </row>
    <row r="596" ht="12.75" customHeight="1">
      <c r="A596" s="46"/>
      <c r="B596" s="59"/>
      <c r="C596" s="59"/>
      <c r="D596" s="59"/>
      <c r="E596" s="59"/>
      <c r="F596" s="59"/>
    </row>
    <row r="597" ht="12.75" customHeight="1">
      <c r="A597" s="46"/>
      <c r="B597" s="59"/>
      <c r="C597" s="59"/>
      <c r="D597" s="59"/>
      <c r="E597" s="59"/>
      <c r="F597" s="59"/>
    </row>
    <row r="598" ht="12.75" customHeight="1">
      <c r="A598" s="46"/>
      <c r="B598" s="59"/>
      <c r="C598" s="59"/>
      <c r="D598" s="59"/>
      <c r="E598" s="59"/>
      <c r="F598" s="59"/>
    </row>
    <row r="599" ht="12.75" customHeight="1">
      <c r="A599" s="46"/>
      <c r="B599" s="59"/>
      <c r="C599" s="59"/>
      <c r="D599" s="59"/>
      <c r="E599" s="59"/>
      <c r="F599" s="59"/>
    </row>
    <row r="600" ht="12.75" customHeight="1">
      <c r="A600" s="46"/>
      <c r="B600" s="59"/>
      <c r="C600" s="59"/>
      <c r="D600" s="59"/>
      <c r="E600" s="59"/>
      <c r="F600" s="59"/>
    </row>
    <row r="601" ht="12.75" customHeight="1">
      <c r="A601" s="46"/>
      <c r="B601" s="59"/>
      <c r="C601" s="59"/>
      <c r="D601" s="59"/>
      <c r="E601" s="59"/>
      <c r="F601" s="59"/>
    </row>
    <row r="602" ht="12.75" customHeight="1">
      <c r="A602" s="46"/>
      <c r="B602" s="59"/>
      <c r="C602" s="59"/>
      <c r="D602" s="59"/>
      <c r="E602" s="59"/>
      <c r="F602" s="59"/>
    </row>
    <row r="603" ht="12.75" customHeight="1">
      <c r="A603" s="46"/>
      <c r="B603" s="59"/>
      <c r="C603" s="59"/>
      <c r="D603" s="59"/>
      <c r="E603" s="59"/>
      <c r="F603" s="59"/>
    </row>
    <row r="604" ht="12.75" customHeight="1">
      <c r="A604" s="46"/>
      <c r="B604" s="59"/>
      <c r="C604" s="59"/>
      <c r="D604" s="59"/>
      <c r="E604" s="59"/>
      <c r="F604" s="59"/>
    </row>
    <row r="605" ht="12.75" customHeight="1">
      <c r="A605" s="46"/>
      <c r="B605" s="59"/>
      <c r="C605" s="59"/>
      <c r="D605" s="59"/>
      <c r="E605" s="59"/>
      <c r="F605" s="59"/>
    </row>
    <row r="606" ht="12.75" customHeight="1">
      <c r="A606" s="46"/>
      <c r="B606" s="59"/>
      <c r="C606" s="59"/>
      <c r="D606" s="59"/>
      <c r="E606" s="59"/>
      <c r="F606" s="59"/>
    </row>
    <row r="607" ht="12.75" customHeight="1">
      <c r="A607" s="46"/>
      <c r="B607" s="59"/>
      <c r="C607" s="59"/>
      <c r="D607" s="59"/>
      <c r="E607" s="59"/>
      <c r="F607" s="59"/>
    </row>
    <row r="608" ht="12.75" customHeight="1">
      <c r="A608" s="46"/>
      <c r="B608" s="59"/>
      <c r="C608" s="59"/>
      <c r="D608" s="59"/>
      <c r="E608" s="59"/>
      <c r="F608" s="59"/>
    </row>
    <row r="609" ht="12.75" customHeight="1">
      <c r="A609" s="46"/>
      <c r="B609" s="59"/>
      <c r="C609" s="59"/>
      <c r="D609" s="59"/>
      <c r="E609" s="59"/>
      <c r="F609" s="59"/>
    </row>
    <row r="610" ht="12.75" customHeight="1">
      <c r="A610" s="46"/>
      <c r="B610" s="59"/>
      <c r="C610" s="59"/>
      <c r="D610" s="59"/>
      <c r="E610" s="59"/>
      <c r="F610" s="59"/>
    </row>
    <row r="611" ht="12.75" customHeight="1">
      <c r="A611" s="46"/>
      <c r="B611" s="59"/>
      <c r="C611" s="59"/>
      <c r="D611" s="59"/>
      <c r="E611" s="59"/>
      <c r="F611" s="59"/>
    </row>
    <row r="612" ht="12.75" customHeight="1">
      <c r="A612" s="46"/>
      <c r="B612" s="59"/>
      <c r="C612" s="59"/>
      <c r="D612" s="59"/>
      <c r="E612" s="59"/>
      <c r="F612" s="59"/>
    </row>
    <row r="613" ht="12.75" customHeight="1">
      <c r="A613" s="46"/>
      <c r="B613" s="59"/>
      <c r="C613" s="59"/>
      <c r="D613" s="59"/>
      <c r="E613" s="59"/>
      <c r="F613" s="59"/>
    </row>
    <row r="614" ht="12.75" customHeight="1">
      <c r="A614" s="46"/>
      <c r="B614" s="59"/>
      <c r="C614" s="59"/>
      <c r="D614" s="59"/>
      <c r="E614" s="59"/>
      <c r="F614" s="59"/>
    </row>
    <row r="615" ht="12.75" customHeight="1">
      <c r="A615" s="46"/>
      <c r="B615" s="59"/>
      <c r="C615" s="59"/>
      <c r="D615" s="59"/>
      <c r="E615" s="59"/>
      <c r="F615" s="59"/>
    </row>
    <row r="616" ht="12.75" customHeight="1">
      <c r="A616" s="46"/>
      <c r="B616" s="59"/>
      <c r="C616" s="59"/>
      <c r="D616" s="59"/>
      <c r="E616" s="59"/>
      <c r="F616" s="59"/>
    </row>
    <row r="617" ht="12.75" customHeight="1">
      <c r="A617" s="46"/>
      <c r="B617" s="59"/>
      <c r="C617" s="59"/>
      <c r="D617" s="59"/>
      <c r="E617" s="59"/>
      <c r="F617" s="59"/>
    </row>
    <row r="618" ht="12.75" customHeight="1">
      <c r="A618" s="46"/>
      <c r="B618" s="59"/>
      <c r="C618" s="59"/>
      <c r="D618" s="59"/>
      <c r="E618" s="59"/>
      <c r="F618" s="59"/>
    </row>
    <row r="619" ht="12.75" customHeight="1">
      <c r="A619" s="46"/>
      <c r="B619" s="59"/>
      <c r="C619" s="59"/>
      <c r="D619" s="59"/>
      <c r="E619" s="59"/>
      <c r="F619" s="59"/>
    </row>
    <row r="620" ht="12.75" customHeight="1">
      <c r="A620" s="46"/>
      <c r="B620" s="59"/>
      <c r="C620" s="59"/>
      <c r="D620" s="59"/>
      <c r="E620" s="59"/>
      <c r="F620" s="59"/>
    </row>
    <row r="621" ht="12.75" customHeight="1">
      <c r="A621" s="46"/>
      <c r="B621" s="59"/>
      <c r="C621" s="59"/>
      <c r="D621" s="59"/>
      <c r="E621" s="59"/>
      <c r="F621" s="59"/>
    </row>
    <row r="622" ht="12.75" customHeight="1">
      <c r="A622" s="46"/>
      <c r="B622" s="59"/>
      <c r="C622" s="59"/>
      <c r="D622" s="59"/>
      <c r="E622" s="59"/>
      <c r="F622" s="59"/>
    </row>
    <row r="623" ht="12.75" customHeight="1">
      <c r="A623" s="46"/>
      <c r="B623" s="59"/>
      <c r="C623" s="59"/>
      <c r="D623" s="59"/>
      <c r="E623" s="59"/>
      <c r="F623" s="59"/>
    </row>
    <row r="624" ht="12.75" customHeight="1">
      <c r="A624" s="46"/>
      <c r="B624" s="59"/>
      <c r="C624" s="59"/>
      <c r="D624" s="59"/>
      <c r="E624" s="59"/>
      <c r="F624" s="59"/>
    </row>
    <row r="625" ht="12.75" customHeight="1">
      <c r="A625" s="46"/>
      <c r="B625" s="59"/>
      <c r="C625" s="59"/>
      <c r="D625" s="59"/>
      <c r="E625" s="59"/>
      <c r="F625" s="59"/>
    </row>
    <row r="626" ht="12.75" customHeight="1">
      <c r="A626" s="46"/>
      <c r="B626" s="59"/>
      <c r="C626" s="59"/>
      <c r="D626" s="59"/>
      <c r="E626" s="59"/>
      <c r="F626" s="59"/>
    </row>
    <row r="627" ht="12.75" customHeight="1">
      <c r="A627" s="46"/>
      <c r="B627" s="59"/>
      <c r="C627" s="59"/>
      <c r="D627" s="59"/>
      <c r="E627" s="59"/>
      <c r="F627" s="59"/>
    </row>
    <row r="628" ht="12.75" customHeight="1">
      <c r="A628" s="46"/>
      <c r="B628" s="59"/>
      <c r="C628" s="59"/>
      <c r="D628" s="59"/>
      <c r="E628" s="59"/>
      <c r="F628" s="59"/>
    </row>
    <row r="629" ht="12.75" customHeight="1">
      <c r="A629" s="46"/>
      <c r="B629" s="59"/>
      <c r="C629" s="59"/>
      <c r="D629" s="59"/>
      <c r="E629" s="59"/>
      <c r="F629" s="59"/>
    </row>
    <row r="630" ht="12.75" customHeight="1">
      <c r="A630" s="46"/>
      <c r="B630" s="59"/>
      <c r="C630" s="59"/>
      <c r="D630" s="59"/>
      <c r="E630" s="59"/>
      <c r="F630" s="59"/>
    </row>
    <row r="631" ht="12.75" customHeight="1">
      <c r="A631" s="46"/>
      <c r="B631" s="59"/>
      <c r="C631" s="59"/>
      <c r="D631" s="59"/>
      <c r="E631" s="59"/>
      <c r="F631" s="59"/>
    </row>
    <row r="632" ht="12.75" customHeight="1">
      <c r="A632" s="46"/>
      <c r="B632" s="59"/>
      <c r="C632" s="59"/>
      <c r="D632" s="59"/>
      <c r="E632" s="59"/>
      <c r="F632" s="59"/>
    </row>
    <row r="633" ht="12.75" customHeight="1">
      <c r="A633" s="46"/>
      <c r="B633" s="59"/>
      <c r="C633" s="59"/>
      <c r="D633" s="59"/>
      <c r="E633" s="59"/>
      <c r="F633" s="59"/>
    </row>
    <row r="634" ht="12.75" customHeight="1">
      <c r="A634" s="46"/>
      <c r="B634" s="59"/>
      <c r="C634" s="59"/>
      <c r="D634" s="59"/>
      <c r="E634" s="59"/>
      <c r="F634" s="59"/>
    </row>
    <row r="635" ht="12.75" customHeight="1">
      <c r="A635" s="46"/>
      <c r="B635" s="59"/>
      <c r="C635" s="59"/>
      <c r="D635" s="59"/>
      <c r="E635" s="59"/>
      <c r="F635" s="59"/>
    </row>
    <row r="636" ht="12.75" customHeight="1">
      <c r="A636" s="46"/>
      <c r="B636" s="59"/>
      <c r="C636" s="59"/>
      <c r="D636" s="59"/>
      <c r="E636" s="59"/>
      <c r="F636" s="59"/>
    </row>
    <row r="637" ht="12.75" customHeight="1">
      <c r="A637" s="46"/>
      <c r="B637" s="59"/>
      <c r="C637" s="59"/>
      <c r="D637" s="59"/>
      <c r="E637" s="59"/>
      <c r="F637" s="59"/>
    </row>
    <row r="638" ht="12.75" customHeight="1">
      <c r="A638" s="46"/>
      <c r="B638" s="59"/>
      <c r="C638" s="59"/>
      <c r="D638" s="59"/>
      <c r="E638" s="59"/>
      <c r="F638" s="59"/>
    </row>
    <row r="639" ht="12.75" customHeight="1">
      <c r="A639" s="46"/>
      <c r="B639" s="59"/>
      <c r="C639" s="59"/>
      <c r="D639" s="59"/>
      <c r="E639" s="59"/>
      <c r="F639" s="59"/>
    </row>
    <row r="640" ht="12.75" customHeight="1">
      <c r="A640" s="46"/>
      <c r="B640" s="59"/>
      <c r="C640" s="59"/>
      <c r="D640" s="59"/>
      <c r="E640" s="59"/>
      <c r="F640" s="59"/>
    </row>
    <row r="641" ht="12.75" customHeight="1">
      <c r="A641" s="46"/>
      <c r="B641" s="59"/>
      <c r="C641" s="59"/>
      <c r="D641" s="59"/>
      <c r="E641" s="59"/>
      <c r="F641" s="59"/>
    </row>
    <row r="642" ht="12.75" customHeight="1">
      <c r="A642" s="46"/>
      <c r="B642" s="59"/>
      <c r="C642" s="59"/>
      <c r="D642" s="59"/>
      <c r="E642" s="59"/>
      <c r="F642" s="59"/>
    </row>
    <row r="643" ht="12.75" customHeight="1">
      <c r="A643" s="46"/>
      <c r="B643" s="59"/>
      <c r="C643" s="59"/>
      <c r="D643" s="59"/>
      <c r="E643" s="59"/>
      <c r="F643" s="59"/>
    </row>
    <row r="644" ht="12.75" customHeight="1">
      <c r="A644" s="46"/>
      <c r="B644" s="59"/>
      <c r="C644" s="59"/>
      <c r="D644" s="59"/>
      <c r="E644" s="59"/>
      <c r="F644" s="59"/>
    </row>
    <row r="645" ht="12.75" customHeight="1">
      <c r="A645" s="46"/>
      <c r="B645" s="59"/>
      <c r="C645" s="59"/>
      <c r="D645" s="59"/>
      <c r="E645" s="59"/>
      <c r="F645" s="59"/>
    </row>
    <row r="646" ht="12.75" customHeight="1">
      <c r="A646" s="46"/>
      <c r="B646" s="59"/>
      <c r="C646" s="59"/>
      <c r="D646" s="59"/>
      <c r="E646" s="59"/>
      <c r="F646" s="59"/>
    </row>
    <row r="647" ht="12.75" customHeight="1">
      <c r="A647" s="46"/>
      <c r="B647" s="59"/>
      <c r="C647" s="59"/>
      <c r="D647" s="59"/>
      <c r="E647" s="59"/>
      <c r="F647" s="59"/>
    </row>
    <row r="648" ht="12.75" customHeight="1">
      <c r="A648" s="46"/>
      <c r="B648" s="59"/>
      <c r="C648" s="59"/>
      <c r="D648" s="59"/>
      <c r="E648" s="59"/>
      <c r="F648" s="59"/>
    </row>
    <row r="649" ht="12.75" customHeight="1">
      <c r="A649" s="46"/>
      <c r="B649" s="59"/>
      <c r="C649" s="59"/>
      <c r="D649" s="59"/>
      <c r="E649" s="59"/>
      <c r="F649" s="59"/>
    </row>
    <row r="650" ht="12.75" customHeight="1">
      <c r="A650" s="46"/>
      <c r="B650" s="59"/>
      <c r="C650" s="59"/>
      <c r="D650" s="59"/>
      <c r="E650" s="59"/>
      <c r="F650" s="59"/>
    </row>
    <row r="651" ht="12.75" customHeight="1">
      <c r="A651" s="46"/>
      <c r="B651" s="59"/>
      <c r="C651" s="59"/>
      <c r="D651" s="59"/>
      <c r="E651" s="59"/>
      <c r="F651" s="59"/>
    </row>
    <row r="652" ht="12.75" customHeight="1">
      <c r="A652" s="46"/>
      <c r="B652" s="59"/>
      <c r="C652" s="59"/>
      <c r="D652" s="59"/>
      <c r="E652" s="59"/>
      <c r="F652" s="59"/>
    </row>
    <row r="653" ht="12.75" customHeight="1">
      <c r="A653" s="46"/>
      <c r="B653" s="59"/>
      <c r="C653" s="59"/>
      <c r="D653" s="59"/>
      <c r="E653" s="59"/>
      <c r="F653" s="59"/>
    </row>
    <row r="654" ht="12.75" customHeight="1">
      <c r="A654" s="46"/>
      <c r="B654" s="59"/>
      <c r="C654" s="59"/>
      <c r="D654" s="59"/>
      <c r="E654" s="59"/>
      <c r="F654" s="59"/>
    </row>
    <row r="655" ht="12.75" customHeight="1">
      <c r="A655" s="46"/>
      <c r="B655" s="59"/>
      <c r="C655" s="59"/>
      <c r="D655" s="59"/>
      <c r="E655" s="59"/>
      <c r="F655" s="59"/>
    </row>
    <row r="656" ht="12.75" customHeight="1">
      <c r="A656" s="46"/>
      <c r="B656" s="59"/>
      <c r="C656" s="59"/>
      <c r="D656" s="59"/>
      <c r="E656" s="59"/>
      <c r="F656" s="59"/>
    </row>
    <row r="657" ht="12.75" customHeight="1">
      <c r="A657" s="46"/>
      <c r="B657" s="59"/>
      <c r="C657" s="59"/>
      <c r="D657" s="59"/>
      <c r="E657" s="59"/>
      <c r="F657" s="59"/>
    </row>
    <row r="658" ht="12.75" customHeight="1">
      <c r="A658" s="46"/>
      <c r="B658" s="59"/>
      <c r="C658" s="59"/>
      <c r="D658" s="59"/>
      <c r="E658" s="59"/>
      <c r="F658" s="59"/>
    </row>
    <row r="659" ht="12.75" customHeight="1">
      <c r="A659" s="46"/>
      <c r="B659" s="59"/>
      <c r="C659" s="59"/>
      <c r="D659" s="59"/>
      <c r="E659" s="59"/>
      <c r="F659" s="59"/>
    </row>
    <row r="660" ht="12.75" customHeight="1">
      <c r="A660" s="46"/>
      <c r="B660" s="59"/>
      <c r="C660" s="59"/>
      <c r="D660" s="59"/>
      <c r="E660" s="59"/>
      <c r="F660" s="59"/>
    </row>
    <row r="661" ht="12.75" customHeight="1">
      <c r="A661" s="46"/>
      <c r="B661" s="59"/>
      <c r="C661" s="59"/>
      <c r="D661" s="59"/>
      <c r="E661" s="59"/>
      <c r="F661" s="59"/>
    </row>
    <row r="662" ht="12.75" customHeight="1">
      <c r="A662" s="46"/>
      <c r="B662" s="59"/>
      <c r="C662" s="59"/>
      <c r="D662" s="59"/>
      <c r="E662" s="59"/>
      <c r="F662" s="59"/>
    </row>
    <row r="663" ht="12.75" customHeight="1">
      <c r="A663" s="46"/>
      <c r="B663" s="59"/>
      <c r="C663" s="59"/>
      <c r="D663" s="59"/>
      <c r="E663" s="59"/>
      <c r="F663" s="59"/>
    </row>
    <row r="664" ht="12.75" customHeight="1">
      <c r="A664" s="46"/>
      <c r="B664" s="59"/>
      <c r="C664" s="59"/>
      <c r="D664" s="59"/>
      <c r="E664" s="59"/>
      <c r="F664" s="59"/>
    </row>
    <row r="665" ht="12.75" customHeight="1">
      <c r="A665" s="46"/>
      <c r="B665" s="59"/>
      <c r="C665" s="59"/>
      <c r="D665" s="59"/>
      <c r="E665" s="59"/>
      <c r="F665" s="59"/>
    </row>
    <row r="666" ht="12.75" customHeight="1">
      <c r="A666" s="46"/>
      <c r="B666" s="59"/>
      <c r="C666" s="59"/>
      <c r="D666" s="59"/>
      <c r="E666" s="59"/>
      <c r="F666" s="59"/>
    </row>
    <row r="667" ht="12.75" customHeight="1">
      <c r="A667" s="46"/>
      <c r="B667" s="59"/>
      <c r="C667" s="59"/>
      <c r="D667" s="59"/>
      <c r="E667" s="59"/>
      <c r="F667" s="59"/>
    </row>
    <row r="668" ht="12.75" customHeight="1">
      <c r="A668" s="46"/>
      <c r="B668" s="59"/>
      <c r="C668" s="59"/>
      <c r="D668" s="59"/>
      <c r="E668" s="59"/>
      <c r="F668" s="59"/>
    </row>
    <row r="669" ht="12.75" customHeight="1">
      <c r="A669" s="46"/>
      <c r="B669" s="59"/>
      <c r="C669" s="59"/>
      <c r="D669" s="59"/>
      <c r="E669" s="59"/>
      <c r="F669" s="59"/>
    </row>
    <row r="670" ht="12.75" customHeight="1">
      <c r="A670" s="46"/>
      <c r="B670" s="59"/>
      <c r="C670" s="59"/>
      <c r="D670" s="59"/>
      <c r="E670" s="59"/>
      <c r="F670" s="59"/>
    </row>
    <row r="671" ht="12.75" customHeight="1">
      <c r="A671" s="46"/>
      <c r="B671" s="59"/>
      <c r="C671" s="59"/>
      <c r="D671" s="59"/>
      <c r="E671" s="59"/>
      <c r="F671" s="59"/>
    </row>
    <row r="672" ht="12.75" customHeight="1">
      <c r="A672" s="46"/>
      <c r="B672" s="59"/>
      <c r="C672" s="59"/>
      <c r="D672" s="59"/>
      <c r="E672" s="59"/>
      <c r="F672" s="59"/>
    </row>
    <row r="673" ht="12.75" customHeight="1">
      <c r="A673" s="46"/>
      <c r="B673" s="59"/>
      <c r="C673" s="59"/>
      <c r="D673" s="59"/>
      <c r="E673" s="59"/>
      <c r="F673" s="59"/>
    </row>
    <row r="674" ht="12.75" customHeight="1">
      <c r="A674" s="46"/>
      <c r="B674" s="59"/>
      <c r="C674" s="59"/>
      <c r="D674" s="59"/>
      <c r="E674" s="59"/>
      <c r="F674" s="59"/>
    </row>
    <row r="675" ht="12.75" customHeight="1">
      <c r="A675" s="46"/>
      <c r="B675" s="59"/>
      <c r="C675" s="59"/>
      <c r="D675" s="59"/>
      <c r="E675" s="59"/>
      <c r="F675" s="59"/>
    </row>
    <row r="676" ht="12.75" customHeight="1">
      <c r="A676" s="46"/>
      <c r="B676" s="59"/>
      <c r="C676" s="59"/>
      <c r="D676" s="59"/>
      <c r="E676" s="59"/>
      <c r="F676" s="59"/>
    </row>
    <row r="677" ht="12.75" customHeight="1">
      <c r="A677" s="46"/>
      <c r="B677" s="59"/>
      <c r="C677" s="59"/>
      <c r="D677" s="59"/>
      <c r="E677" s="59"/>
      <c r="F677" s="59"/>
    </row>
    <row r="678" ht="12.75" customHeight="1">
      <c r="A678" s="46"/>
      <c r="B678" s="59"/>
      <c r="C678" s="59"/>
      <c r="D678" s="59"/>
      <c r="E678" s="59"/>
      <c r="F678" s="59"/>
    </row>
    <row r="679" ht="12.75" customHeight="1">
      <c r="A679" s="46"/>
      <c r="B679" s="59"/>
      <c r="C679" s="59"/>
      <c r="D679" s="59"/>
      <c r="E679" s="59"/>
      <c r="F679" s="59"/>
    </row>
    <row r="680" ht="12.75" customHeight="1">
      <c r="A680" s="46"/>
      <c r="B680" s="59"/>
      <c r="C680" s="59"/>
      <c r="D680" s="59"/>
      <c r="E680" s="59"/>
      <c r="F680" s="59"/>
    </row>
    <row r="681" ht="12.75" customHeight="1">
      <c r="A681" s="46"/>
      <c r="B681" s="59"/>
      <c r="C681" s="59"/>
      <c r="D681" s="59"/>
      <c r="E681" s="59"/>
      <c r="F681" s="59"/>
    </row>
    <row r="682" ht="12.75" customHeight="1">
      <c r="A682" s="46"/>
      <c r="B682" s="59"/>
      <c r="C682" s="59"/>
      <c r="D682" s="59"/>
      <c r="E682" s="59"/>
      <c r="F682" s="59"/>
    </row>
    <row r="683" ht="12.75" customHeight="1">
      <c r="A683" s="46"/>
      <c r="B683" s="59"/>
      <c r="C683" s="59"/>
      <c r="D683" s="59"/>
      <c r="E683" s="59"/>
      <c r="F683" s="59"/>
    </row>
    <row r="684" ht="12.75" customHeight="1">
      <c r="A684" s="46"/>
      <c r="B684" s="59"/>
      <c r="C684" s="59"/>
      <c r="D684" s="59"/>
      <c r="E684" s="59"/>
      <c r="F684" s="59"/>
    </row>
    <row r="685" ht="12.75" customHeight="1">
      <c r="A685" s="46"/>
      <c r="B685" s="59"/>
      <c r="C685" s="59"/>
      <c r="D685" s="59"/>
      <c r="E685" s="59"/>
      <c r="F685" s="59"/>
    </row>
    <row r="686" ht="12.75" customHeight="1">
      <c r="A686" s="46"/>
      <c r="B686" s="59"/>
      <c r="C686" s="59"/>
      <c r="D686" s="59"/>
      <c r="E686" s="59"/>
      <c r="F686" s="59"/>
    </row>
    <row r="687" ht="12.75" customHeight="1">
      <c r="A687" s="46"/>
      <c r="B687" s="59"/>
      <c r="C687" s="59"/>
      <c r="D687" s="59"/>
      <c r="E687" s="59"/>
      <c r="F687" s="59"/>
    </row>
    <row r="688" ht="12.75" customHeight="1">
      <c r="A688" s="46"/>
      <c r="B688" s="59"/>
      <c r="C688" s="59"/>
      <c r="D688" s="59"/>
      <c r="E688" s="59"/>
      <c r="F688" s="59"/>
    </row>
    <row r="689" ht="12.75" customHeight="1">
      <c r="A689" s="46"/>
      <c r="B689" s="59"/>
      <c r="C689" s="59"/>
      <c r="D689" s="59"/>
      <c r="E689" s="59"/>
      <c r="F689" s="59"/>
    </row>
    <row r="690" ht="12.75" customHeight="1">
      <c r="A690" s="46"/>
      <c r="B690" s="59"/>
      <c r="C690" s="59"/>
      <c r="D690" s="59"/>
      <c r="E690" s="59"/>
      <c r="F690" s="59"/>
    </row>
    <row r="691" ht="12.75" customHeight="1">
      <c r="A691" s="46"/>
      <c r="B691" s="59"/>
      <c r="C691" s="59"/>
      <c r="D691" s="59"/>
      <c r="E691" s="59"/>
      <c r="F691" s="59"/>
    </row>
    <row r="692" ht="12.75" customHeight="1">
      <c r="A692" s="46"/>
      <c r="B692" s="59"/>
      <c r="C692" s="59"/>
      <c r="D692" s="59"/>
      <c r="E692" s="59"/>
      <c r="F692" s="59"/>
    </row>
    <row r="693" ht="12.75" customHeight="1">
      <c r="A693" s="46"/>
      <c r="B693" s="59"/>
      <c r="C693" s="59"/>
      <c r="D693" s="59"/>
      <c r="E693" s="59"/>
      <c r="F693" s="59"/>
    </row>
    <row r="694" ht="12.75" customHeight="1">
      <c r="A694" s="46"/>
      <c r="B694" s="59"/>
      <c r="C694" s="59"/>
      <c r="D694" s="59"/>
      <c r="E694" s="59"/>
      <c r="F694" s="59"/>
    </row>
    <row r="695" ht="12.75" customHeight="1">
      <c r="A695" s="46"/>
      <c r="B695" s="59"/>
      <c r="C695" s="59"/>
      <c r="D695" s="59"/>
      <c r="E695" s="59"/>
      <c r="F695" s="59"/>
    </row>
    <row r="696" ht="12.75" customHeight="1">
      <c r="A696" s="46"/>
      <c r="B696" s="59"/>
      <c r="C696" s="59"/>
      <c r="D696" s="59"/>
      <c r="E696" s="59"/>
      <c r="F696" s="59"/>
    </row>
    <row r="697" ht="12.75" customHeight="1">
      <c r="A697" s="46"/>
      <c r="B697" s="59"/>
      <c r="C697" s="59"/>
      <c r="D697" s="59"/>
      <c r="E697" s="59"/>
      <c r="F697" s="59"/>
    </row>
    <row r="698" ht="12.75" customHeight="1">
      <c r="A698" s="46"/>
      <c r="B698" s="59"/>
      <c r="C698" s="59"/>
      <c r="D698" s="59"/>
      <c r="E698" s="59"/>
      <c r="F698" s="59"/>
    </row>
    <row r="699" ht="12.75" customHeight="1">
      <c r="A699" s="46"/>
      <c r="B699" s="59"/>
      <c r="C699" s="59"/>
      <c r="D699" s="59"/>
      <c r="E699" s="59"/>
      <c r="F699" s="59"/>
    </row>
    <row r="700" ht="12.75" customHeight="1">
      <c r="A700" s="46"/>
      <c r="B700" s="59"/>
      <c r="C700" s="59"/>
      <c r="D700" s="59"/>
      <c r="E700" s="59"/>
      <c r="F700" s="59"/>
    </row>
    <row r="701" ht="12.75" customHeight="1">
      <c r="A701" s="46"/>
      <c r="B701" s="59"/>
      <c r="C701" s="59"/>
      <c r="D701" s="59"/>
      <c r="E701" s="59"/>
      <c r="F701" s="59"/>
    </row>
    <row r="702" ht="12.75" customHeight="1">
      <c r="A702" s="46"/>
      <c r="B702" s="59"/>
      <c r="C702" s="59"/>
      <c r="D702" s="59"/>
      <c r="E702" s="59"/>
      <c r="F702" s="59"/>
    </row>
    <row r="703" ht="12.75" customHeight="1">
      <c r="A703" s="46"/>
      <c r="B703" s="59"/>
      <c r="C703" s="59"/>
      <c r="D703" s="59"/>
      <c r="E703" s="59"/>
      <c r="F703" s="59"/>
    </row>
    <row r="704" ht="12.75" customHeight="1">
      <c r="A704" s="46"/>
      <c r="B704" s="59"/>
      <c r="C704" s="59"/>
      <c r="D704" s="59"/>
      <c r="E704" s="59"/>
      <c r="F704" s="59"/>
    </row>
    <row r="705" ht="12.75" customHeight="1">
      <c r="A705" s="46"/>
      <c r="B705" s="59"/>
      <c r="C705" s="59"/>
      <c r="D705" s="59"/>
      <c r="E705" s="59"/>
      <c r="F705" s="59"/>
    </row>
    <row r="706" ht="12.75" customHeight="1">
      <c r="A706" s="46"/>
      <c r="B706" s="59"/>
      <c r="C706" s="59"/>
      <c r="D706" s="59"/>
      <c r="E706" s="59"/>
      <c r="F706" s="59"/>
    </row>
    <row r="707" ht="12.75" customHeight="1">
      <c r="A707" s="46"/>
      <c r="B707" s="59"/>
      <c r="C707" s="59"/>
      <c r="D707" s="59"/>
      <c r="E707" s="59"/>
      <c r="F707" s="59"/>
    </row>
    <row r="708" ht="12.75" customHeight="1">
      <c r="A708" s="46"/>
      <c r="B708" s="59"/>
      <c r="C708" s="59"/>
      <c r="D708" s="59"/>
      <c r="E708" s="59"/>
      <c r="F708" s="59"/>
    </row>
    <row r="709" ht="12.75" customHeight="1">
      <c r="A709" s="46"/>
      <c r="B709" s="59"/>
      <c r="C709" s="59"/>
      <c r="D709" s="59"/>
      <c r="E709" s="59"/>
      <c r="F709" s="59"/>
    </row>
    <row r="710" ht="12.75" customHeight="1">
      <c r="A710" s="46"/>
      <c r="B710" s="59"/>
      <c r="C710" s="59"/>
      <c r="D710" s="59"/>
      <c r="E710" s="59"/>
      <c r="F710" s="59"/>
    </row>
    <row r="711" ht="12.75" customHeight="1">
      <c r="A711" s="46"/>
      <c r="B711" s="59"/>
      <c r="C711" s="59"/>
      <c r="D711" s="59"/>
      <c r="E711" s="59"/>
      <c r="F711" s="59"/>
    </row>
    <row r="712" ht="12.75" customHeight="1">
      <c r="A712" s="46"/>
      <c r="B712" s="59"/>
      <c r="C712" s="59"/>
      <c r="D712" s="59"/>
      <c r="E712" s="59"/>
      <c r="F712" s="59"/>
    </row>
    <row r="713" ht="12.75" customHeight="1">
      <c r="A713" s="46"/>
      <c r="B713" s="59"/>
      <c r="C713" s="59"/>
      <c r="D713" s="59"/>
      <c r="E713" s="59"/>
      <c r="F713" s="59"/>
    </row>
    <row r="714" ht="12.75" customHeight="1">
      <c r="A714" s="46"/>
      <c r="B714" s="59"/>
      <c r="C714" s="59"/>
      <c r="D714" s="59"/>
      <c r="E714" s="59"/>
      <c r="F714" s="59"/>
    </row>
    <row r="715" ht="12.75" customHeight="1">
      <c r="A715" s="46"/>
      <c r="B715" s="59"/>
      <c r="C715" s="59"/>
      <c r="D715" s="59"/>
      <c r="E715" s="59"/>
      <c r="F715" s="59"/>
    </row>
    <row r="716" ht="12.75" customHeight="1">
      <c r="A716" s="46"/>
      <c r="B716" s="59"/>
      <c r="C716" s="59"/>
      <c r="D716" s="59"/>
      <c r="E716" s="59"/>
      <c r="F716" s="59"/>
    </row>
    <row r="717" ht="12.75" customHeight="1">
      <c r="A717" s="46"/>
      <c r="B717" s="59"/>
      <c r="C717" s="59"/>
      <c r="D717" s="59"/>
      <c r="E717" s="59"/>
      <c r="F717" s="59"/>
    </row>
    <row r="718" ht="12.75" customHeight="1">
      <c r="A718" s="46"/>
      <c r="B718" s="59"/>
      <c r="C718" s="59"/>
      <c r="D718" s="59"/>
      <c r="E718" s="59"/>
      <c r="F718" s="59"/>
    </row>
    <row r="719" ht="12.75" customHeight="1">
      <c r="A719" s="46"/>
      <c r="B719" s="59"/>
      <c r="C719" s="59"/>
      <c r="D719" s="59"/>
      <c r="E719" s="59"/>
      <c r="F719" s="59"/>
    </row>
    <row r="720" ht="12.75" customHeight="1">
      <c r="A720" s="46"/>
      <c r="B720" s="59"/>
      <c r="C720" s="59"/>
      <c r="D720" s="59"/>
      <c r="E720" s="59"/>
      <c r="F720" s="59"/>
    </row>
    <row r="721" ht="12.75" customHeight="1">
      <c r="A721" s="46"/>
      <c r="B721" s="59"/>
      <c r="C721" s="59"/>
      <c r="D721" s="59"/>
      <c r="E721" s="59"/>
      <c r="F721" s="59"/>
    </row>
    <row r="722" ht="12.75" customHeight="1">
      <c r="A722" s="46"/>
      <c r="B722" s="59"/>
      <c r="C722" s="59"/>
      <c r="D722" s="59"/>
      <c r="E722" s="59"/>
      <c r="F722" s="59"/>
    </row>
    <row r="723" ht="12.75" customHeight="1">
      <c r="A723" s="46"/>
      <c r="B723" s="59"/>
      <c r="C723" s="59"/>
      <c r="D723" s="59"/>
      <c r="E723" s="59"/>
      <c r="F723" s="59"/>
    </row>
    <row r="724" ht="12.75" customHeight="1">
      <c r="A724" s="46"/>
      <c r="B724" s="59"/>
      <c r="C724" s="59"/>
      <c r="D724" s="59"/>
      <c r="E724" s="59"/>
      <c r="F724" s="59"/>
    </row>
    <row r="725" ht="12.75" customHeight="1">
      <c r="A725" s="46"/>
      <c r="B725" s="59"/>
      <c r="C725" s="59"/>
      <c r="D725" s="59"/>
      <c r="E725" s="59"/>
      <c r="F725" s="59"/>
    </row>
    <row r="726" ht="12.75" customHeight="1">
      <c r="A726" s="46"/>
      <c r="B726" s="59"/>
      <c r="C726" s="59"/>
      <c r="D726" s="59"/>
      <c r="E726" s="59"/>
      <c r="F726" s="59"/>
    </row>
    <row r="727" ht="12.75" customHeight="1">
      <c r="A727" s="46"/>
      <c r="B727" s="59"/>
      <c r="C727" s="59"/>
      <c r="D727" s="59"/>
      <c r="E727" s="59"/>
      <c r="F727" s="59"/>
    </row>
    <row r="728" ht="12.75" customHeight="1">
      <c r="A728" s="46"/>
      <c r="B728" s="59"/>
      <c r="C728" s="59"/>
      <c r="D728" s="59"/>
      <c r="E728" s="59"/>
      <c r="F728" s="59"/>
    </row>
    <row r="729" ht="12.75" customHeight="1">
      <c r="A729" s="46"/>
      <c r="B729" s="59"/>
      <c r="C729" s="59"/>
      <c r="D729" s="59"/>
      <c r="E729" s="59"/>
      <c r="F729" s="59"/>
    </row>
    <row r="730" ht="12.75" customHeight="1">
      <c r="A730" s="46"/>
      <c r="B730" s="59"/>
      <c r="C730" s="59"/>
      <c r="D730" s="59"/>
      <c r="E730" s="59"/>
      <c r="F730" s="59"/>
    </row>
    <row r="731" ht="12.75" customHeight="1">
      <c r="A731" s="46"/>
      <c r="B731" s="59"/>
      <c r="C731" s="59"/>
      <c r="D731" s="59"/>
      <c r="E731" s="59"/>
      <c r="F731" s="59"/>
    </row>
    <row r="732" ht="12.75" customHeight="1">
      <c r="A732" s="46"/>
      <c r="B732" s="59"/>
      <c r="C732" s="59"/>
      <c r="D732" s="59"/>
      <c r="E732" s="59"/>
      <c r="F732" s="59"/>
    </row>
    <row r="733" ht="12.75" customHeight="1">
      <c r="A733" s="46"/>
      <c r="B733" s="59"/>
      <c r="C733" s="59"/>
      <c r="D733" s="59"/>
      <c r="E733" s="59"/>
      <c r="F733" s="59"/>
    </row>
    <row r="734" ht="12.75" customHeight="1">
      <c r="A734" s="46"/>
      <c r="B734" s="59"/>
      <c r="C734" s="59"/>
      <c r="D734" s="59"/>
      <c r="E734" s="59"/>
      <c r="F734" s="59"/>
    </row>
    <row r="735" ht="12.75" customHeight="1">
      <c r="A735" s="46"/>
      <c r="B735" s="59"/>
      <c r="C735" s="59"/>
      <c r="D735" s="59"/>
      <c r="E735" s="59"/>
      <c r="F735" s="59"/>
    </row>
    <row r="736" ht="12.75" customHeight="1">
      <c r="A736" s="46"/>
      <c r="B736" s="59"/>
      <c r="C736" s="59"/>
      <c r="D736" s="59"/>
      <c r="E736" s="59"/>
      <c r="F736" s="59"/>
    </row>
    <row r="737" ht="12.75" customHeight="1">
      <c r="A737" s="46"/>
      <c r="B737" s="59"/>
      <c r="C737" s="59"/>
      <c r="D737" s="59"/>
      <c r="E737" s="59"/>
      <c r="F737" s="59"/>
    </row>
    <row r="738" ht="12.75" customHeight="1">
      <c r="A738" s="46"/>
      <c r="B738" s="59"/>
      <c r="C738" s="59"/>
      <c r="D738" s="59"/>
      <c r="E738" s="59"/>
      <c r="F738" s="59"/>
    </row>
    <row r="739" ht="12.75" customHeight="1">
      <c r="A739" s="46"/>
      <c r="B739" s="59"/>
      <c r="C739" s="59"/>
      <c r="D739" s="59"/>
      <c r="E739" s="59"/>
      <c r="F739" s="59"/>
    </row>
    <row r="740" ht="12.75" customHeight="1">
      <c r="A740" s="46"/>
      <c r="B740" s="59"/>
      <c r="C740" s="59"/>
      <c r="D740" s="59"/>
      <c r="E740" s="59"/>
      <c r="F740" s="59"/>
    </row>
    <row r="741" ht="12.75" customHeight="1">
      <c r="A741" s="46"/>
      <c r="B741" s="59"/>
      <c r="C741" s="59"/>
      <c r="D741" s="59"/>
      <c r="E741" s="59"/>
      <c r="F741" s="59"/>
    </row>
    <row r="742" ht="12.75" customHeight="1">
      <c r="A742" s="46"/>
      <c r="B742" s="59"/>
      <c r="C742" s="59"/>
      <c r="D742" s="59"/>
      <c r="E742" s="59"/>
      <c r="F742" s="59"/>
    </row>
    <row r="743" ht="12.75" customHeight="1">
      <c r="A743" s="46"/>
      <c r="B743" s="59"/>
      <c r="C743" s="59"/>
      <c r="D743" s="59"/>
      <c r="E743" s="59"/>
      <c r="F743" s="59"/>
    </row>
    <row r="744" ht="12.75" customHeight="1">
      <c r="A744" s="46"/>
      <c r="B744" s="59"/>
      <c r="C744" s="59"/>
      <c r="D744" s="59"/>
      <c r="E744" s="59"/>
      <c r="F744" s="59"/>
    </row>
    <row r="745" ht="12.75" customHeight="1">
      <c r="A745" s="46"/>
      <c r="B745" s="59"/>
      <c r="C745" s="59"/>
      <c r="D745" s="59"/>
      <c r="E745" s="59"/>
      <c r="F745" s="59"/>
    </row>
    <row r="746" ht="12.75" customHeight="1">
      <c r="A746" s="46"/>
      <c r="B746" s="59"/>
      <c r="C746" s="59"/>
      <c r="D746" s="59"/>
      <c r="E746" s="59"/>
      <c r="F746" s="59"/>
    </row>
    <row r="747" ht="12.75" customHeight="1">
      <c r="A747" s="46"/>
      <c r="B747" s="59"/>
      <c r="C747" s="59"/>
      <c r="D747" s="59"/>
      <c r="E747" s="59"/>
      <c r="F747" s="59"/>
    </row>
    <row r="748" ht="12.75" customHeight="1">
      <c r="A748" s="46"/>
      <c r="B748" s="59"/>
      <c r="C748" s="59"/>
      <c r="D748" s="59"/>
      <c r="E748" s="59"/>
      <c r="F748" s="59"/>
    </row>
    <row r="749" ht="12.75" customHeight="1">
      <c r="A749" s="46"/>
      <c r="B749" s="59"/>
      <c r="C749" s="59"/>
      <c r="D749" s="59"/>
      <c r="E749" s="59"/>
      <c r="F749" s="59"/>
    </row>
    <row r="750" ht="12.75" customHeight="1">
      <c r="A750" s="46"/>
      <c r="B750" s="59"/>
      <c r="C750" s="59"/>
      <c r="D750" s="59"/>
      <c r="E750" s="59"/>
      <c r="F750" s="59"/>
    </row>
    <row r="751" ht="12.75" customHeight="1">
      <c r="A751" s="46"/>
      <c r="B751" s="59"/>
      <c r="C751" s="59"/>
      <c r="D751" s="59"/>
      <c r="E751" s="59"/>
      <c r="F751" s="59"/>
    </row>
    <row r="752" ht="12.75" customHeight="1">
      <c r="A752" s="46"/>
      <c r="B752" s="59"/>
      <c r="C752" s="59"/>
      <c r="D752" s="59"/>
      <c r="E752" s="59"/>
      <c r="F752" s="59"/>
    </row>
    <row r="753" ht="12.75" customHeight="1">
      <c r="A753" s="46"/>
      <c r="B753" s="59"/>
      <c r="C753" s="59"/>
      <c r="D753" s="59"/>
      <c r="E753" s="59"/>
      <c r="F753" s="59"/>
    </row>
    <row r="754" ht="12.75" customHeight="1">
      <c r="A754" s="46"/>
      <c r="B754" s="59"/>
      <c r="C754" s="59"/>
      <c r="D754" s="59"/>
      <c r="E754" s="59"/>
      <c r="F754" s="59"/>
    </row>
    <row r="755" ht="12.75" customHeight="1">
      <c r="A755" s="46"/>
      <c r="B755" s="59"/>
      <c r="C755" s="59"/>
      <c r="D755" s="59"/>
      <c r="E755" s="59"/>
      <c r="F755" s="59"/>
    </row>
    <row r="756" ht="12.75" customHeight="1">
      <c r="A756" s="46"/>
      <c r="B756" s="59"/>
      <c r="C756" s="59"/>
      <c r="D756" s="59"/>
      <c r="E756" s="59"/>
      <c r="F756" s="59"/>
    </row>
    <row r="757" ht="12.75" customHeight="1">
      <c r="A757" s="46"/>
      <c r="B757" s="59"/>
      <c r="C757" s="59"/>
      <c r="D757" s="59"/>
      <c r="E757" s="59"/>
      <c r="F757" s="59"/>
    </row>
    <row r="758" ht="12.75" customHeight="1">
      <c r="A758" s="46"/>
      <c r="B758" s="59"/>
      <c r="C758" s="59"/>
      <c r="D758" s="59"/>
      <c r="E758" s="59"/>
      <c r="F758" s="59"/>
    </row>
    <row r="759" ht="12.75" customHeight="1">
      <c r="A759" s="46"/>
      <c r="B759" s="59"/>
      <c r="C759" s="59"/>
      <c r="D759" s="59"/>
      <c r="E759" s="59"/>
      <c r="F759" s="59"/>
    </row>
    <row r="760" ht="12.75" customHeight="1">
      <c r="A760" s="46"/>
      <c r="B760" s="59"/>
      <c r="C760" s="59"/>
      <c r="D760" s="59"/>
      <c r="E760" s="59"/>
      <c r="F760" s="59"/>
    </row>
    <row r="761" ht="12.75" customHeight="1">
      <c r="A761" s="46"/>
      <c r="B761" s="59"/>
      <c r="C761" s="59"/>
      <c r="D761" s="59"/>
      <c r="E761" s="59"/>
      <c r="F761" s="59"/>
    </row>
    <row r="762" ht="12.75" customHeight="1">
      <c r="A762" s="46"/>
      <c r="B762" s="59"/>
      <c r="C762" s="59"/>
      <c r="D762" s="59"/>
      <c r="E762" s="59"/>
      <c r="F762" s="59"/>
    </row>
    <row r="763" ht="12.75" customHeight="1">
      <c r="A763" s="46"/>
      <c r="B763" s="59"/>
      <c r="C763" s="59"/>
      <c r="D763" s="59"/>
      <c r="E763" s="59"/>
      <c r="F763" s="59"/>
    </row>
    <row r="764" ht="12.75" customHeight="1">
      <c r="A764" s="46"/>
      <c r="B764" s="59"/>
      <c r="C764" s="59"/>
      <c r="D764" s="59"/>
      <c r="E764" s="59"/>
      <c r="F764" s="59"/>
    </row>
    <row r="765" ht="12.75" customHeight="1">
      <c r="A765" s="46"/>
      <c r="B765" s="59"/>
      <c r="C765" s="59"/>
      <c r="D765" s="59"/>
      <c r="E765" s="59"/>
      <c r="F765" s="59"/>
    </row>
    <row r="766" ht="12.75" customHeight="1">
      <c r="A766" s="46"/>
      <c r="B766" s="59"/>
      <c r="C766" s="59"/>
      <c r="D766" s="59"/>
      <c r="E766" s="59"/>
      <c r="F766" s="59"/>
    </row>
    <row r="767" ht="12.75" customHeight="1">
      <c r="A767" s="46"/>
      <c r="B767" s="59"/>
      <c r="C767" s="59"/>
      <c r="D767" s="59"/>
      <c r="E767" s="59"/>
      <c r="F767" s="59"/>
    </row>
    <row r="768" ht="12.75" customHeight="1">
      <c r="A768" s="46"/>
      <c r="B768" s="59"/>
      <c r="C768" s="59"/>
      <c r="D768" s="59"/>
      <c r="E768" s="59"/>
      <c r="F768" s="59"/>
    </row>
    <row r="769" ht="12.75" customHeight="1">
      <c r="A769" s="46"/>
      <c r="B769" s="59"/>
      <c r="C769" s="59"/>
      <c r="D769" s="59"/>
      <c r="E769" s="59"/>
      <c r="F769" s="59"/>
    </row>
    <row r="770" ht="12.75" customHeight="1">
      <c r="A770" s="46"/>
      <c r="B770" s="59"/>
      <c r="C770" s="59"/>
      <c r="D770" s="59"/>
      <c r="E770" s="59"/>
      <c r="F770" s="59"/>
    </row>
    <row r="771" ht="12.75" customHeight="1">
      <c r="A771" s="46"/>
      <c r="B771" s="59"/>
      <c r="C771" s="59"/>
      <c r="D771" s="59"/>
      <c r="E771" s="59"/>
      <c r="F771" s="59"/>
    </row>
    <row r="772" ht="12.75" customHeight="1">
      <c r="A772" s="46"/>
      <c r="B772" s="59"/>
      <c r="C772" s="59"/>
      <c r="D772" s="59"/>
      <c r="E772" s="59"/>
      <c r="F772" s="59"/>
    </row>
    <row r="773" ht="12.75" customHeight="1">
      <c r="A773" s="46"/>
      <c r="B773" s="59"/>
      <c r="C773" s="59"/>
      <c r="D773" s="59"/>
      <c r="E773" s="59"/>
      <c r="F773" s="59"/>
    </row>
    <row r="774" ht="12.75" customHeight="1">
      <c r="A774" s="46"/>
      <c r="B774" s="59"/>
      <c r="C774" s="59"/>
      <c r="D774" s="59"/>
      <c r="E774" s="59"/>
      <c r="F774" s="59"/>
    </row>
    <row r="775" ht="12.75" customHeight="1">
      <c r="A775" s="46"/>
      <c r="B775" s="59"/>
      <c r="C775" s="59"/>
      <c r="D775" s="59"/>
      <c r="E775" s="59"/>
      <c r="F775" s="59"/>
    </row>
    <row r="776" ht="12.75" customHeight="1">
      <c r="A776" s="46"/>
      <c r="B776" s="59"/>
      <c r="C776" s="59"/>
      <c r="D776" s="59"/>
      <c r="E776" s="59"/>
      <c r="F776" s="59"/>
    </row>
    <row r="777" ht="12.75" customHeight="1">
      <c r="A777" s="46"/>
      <c r="B777" s="59"/>
      <c r="C777" s="59"/>
      <c r="D777" s="59"/>
      <c r="E777" s="59"/>
      <c r="F777" s="59"/>
    </row>
    <row r="778" ht="12.75" customHeight="1">
      <c r="A778" s="46"/>
      <c r="B778" s="59"/>
      <c r="C778" s="59"/>
      <c r="D778" s="59"/>
      <c r="E778" s="59"/>
      <c r="F778" s="59"/>
    </row>
    <row r="779" ht="12.75" customHeight="1">
      <c r="A779" s="46"/>
      <c r="B779" s="59"/>
      <c r="C779" s="59"/>
      <c r="D779" s="59"/>
      <c r="E779" s="59"/>
      <c r="F779" s="59"/>
    </row>
    <row r="780" ht="12.75" customHeight="1">
      <c r="A780" s="46"/>
      <c r="B780" s="59"/>
      <c r="C780" s="59"/>
      <c r="D780" s="59"/>
      <c r="E780" s="59"/>
      <c r="F780" s="59"/>
    </row>
    <row r="781" ht="12.75" customHeight="1">
      <c r="A781" s="46"/>
      <c r="B781" s="59"/>
      <c r="C781" s="59"/>
      <c r="D781" s="59"/>
      <c r="E781" s="59"/>
      <c r="F781" s="59"/>
    </row>
    <row r="782" ht="12.75" customHeight="1">
      <c r="A782" s="46"/>
      <c r="B782" s="59"/>
      <c r="C782" s="59"/>
      <c r="D782" s="59"/>
      <c r="E782" s="59"/>
      <c r="F782" s="59"/>
    </row>
    <row r="783" ht="12.75" customHeight="1">
      <c r="A783" s="46"/>
      <c r="B783" s="59"/>
      <c r="C783" s="59"/>
      <c r="D783" s="59"/>
      <c r="E783" s="59"/>
      <c r="F783" s="59"/>
    </row>
    <row r="784" ht="12.75" customHeight="1">
      <c r="A784" s="46"/>
      <c r="B784" s="59"/>
      <c r="C784" s="59"/>
      <c r="D784" s="59"/>
      <c r="E784" s="59"/>
      <c r="F784" s="59"/>
    </row>
    <row r="785" ht="12.75" customHeight="1">
      <c r="A785" s="46"/>
      <c r="B785" s="59"/>
      <c r="C785" s="59"/>
      <c r="D785" s="59"/>
      <c r="E785" s="59"/>
      <c r="F785" s="59"/>
    </row>
    <row r="786" ht="12.75" customHeight="1">
      <c r="A786" s="46"/>
      <c r="B786" s="59"/>
      <c r="C786" s="59"/>
      <c r="D786" s="59"/>
      <c r="E786" s="59"/>
      <c r="F786" s="59"/>
    </row>
    <row r="787" ht="12.75" customHeight="1">
      <c r="A787" s="46"/>
      <c r="B787" s="59"/>
      <c r="C787" s="59"/>
      <c r="D787" s="59"/>
      <c r="E787" s="59"/>
      <c r="F787" s="59"/>
    </row>
    <row r="788" ht="12.75" customHeight="1">
      <c r="A788" s="46"/>
      <c r="B788" s="59"/>
      <c r="C788" s="59"/>
      <c r="D788" s="59"/>
      <c r="E788" s="59"/>
      <c r="F788" s="59"/>
    </row>
    <row r="789" ht="12.75" customHeight="1">
      <c r="A789" s="46"/>
      <c r="B789" s="59"/>
      <c r="C789" s="59"/>
      <c r="D789" s="59"/>
      <c r="E789" s="59"/>
      <c r="F789" s="59"/>
    </row>
    <row r="790" ht="12.75" customHeight="1">
      <c r="A790" s="46"/>
      <c r="B790" s="59"/>
      <c r="C790" s="59"/>
      <c r="D790" s="59"/>
      <c r="E790" s="59"/>
      <c r="F790" s="59"/>
    </row>
    <row r="791" ht="12.75" customHeight="1">
      <c r="A791" s="46"/>
      <c r="B791" s="59"/>
      <c r="C791" s="59"/>
      <c r="D791" s="59"/>
      <c r="E791" s="59"/>
      <c r="F791" s="59"/>
    </row>
    <row r="792" ht="12.75" customHeight="1">
      <c r="A792" s="46"/>
      <c r="B792" s="59"/>
      <c r="C792" s="59"/>
      <c r="D792" s="59"/>
      <c r="E792" s="59"/>
      <c r="F792" s="59"/>
    </row>
    <row r="793" ht="12.75" customHeight="1">
      <c r="A793" s="46"/>
      <c r="B793" s="59"/>
      <c r="C793" s="59"/>
      <c r="D793" s="59"/>
      <c r="E793" s="59"/>
      <c r="F793" s="59"/>
    </row>
    <row r="794" ht="12.75" customHeight="1">
      <c r="A794" s="46"/>
      <c r="B794" s="59"/>
      <c r="C794" s="59"/>
      <c r="D794" s="59"/>
      <c r="E794" s="59"/>
      <c r="F794" s="59"/>
    </row>
    <row r="795" ht="12.75" customHeight="1">
      <c r="A795" s="46"/>
      <c r="B795" s="59"/>
      <c r="C795" s="59"/>
      <c r="D795" s="59"/>
      <c r="E795" s="59"/>
      <c r="F795" s="59"/>
    </row>
    <row r="796" ht="12.75" customHeight="1">
      <c r="A796" s="46"/>
      <c r="B796" s="59"/>
      <c r="C796" s="59"/>
      <c r="D796" s="59"/>
      <c r="E796" s="59"/>
      <c r="F796" s="59"/>
    </row>
    <row r="797" ht="12.75" customHeight="1">
      <c r="A797" s="46"/>
      <c r="B797" s="59"/>
      <c r="C797" s="59"/>
      <c r="D797" s="59"/>
      <c r="E797" s="59"/>
      <c r="F797" s="59"/>
    </row>
    <row r="798" ht="12.75" customHeight="1">
      <c r="A798" s="46"/>
      <c r="B798" s="59"/>
      <c r="C798" s="59"/>
      <c r="D798" s="59"/>
      <c r="E798" s="59"/>
      <c r="F798" s="59"/>
    </row>
    <row r="799" ht="12.75" customHeight="1">
      <c r="A799" s="46"/>
      <c r="B799" s="59"/>
      <c r="C799" s="59"/>
      <c r="D799" s="59"/>
      <c r="E799" s="59"/>
      <c r="F799" s="59"/>
    </row>
    <row r="800" ht="12.75" customHeight="1">
      <c r="A800" s="46"/>
      <c r="B800" s="59"/>
      <c r="C800" s="59"/>
      <c r="D800" s="59"/>
      <c r="E800" s="59"/>
      <c r="F800" s="59"/>
    </row>
    <row r="801" ht="12.75" customHeight="1">
      <c r="A801" s="46"/>
      <c r="B801" s="59"/>
      <c r="C801" s="59"/>
      <c r="D801" s="59"/>
      <c r="E801" s="59"/>
      <c r="F801" s="59"/>
    </row>
    <row r="802" ht="12.75" customHeight="1">
      <c r="A802" s="46"/>
      <c r="B802" s="59"/>
      <c r="C802" s="59"/>
      <c r="D802" s="59"/>
      <c r="E802" s="59"/>
      <c r="F802" s="59"/>
    </row>
    <row r="803" ht="12.75" customHeight="1">
      <c r="A803" s="46"/>
      <c r="B803" s="59"/>
      <c r="C803" s="59"/>
      <c r="D803" s="59"/>
      <c r="E803" s="59"/>
      <c r="F803" s="59"/>
    </row>
    <row r="804" ht="12.75" customHeight="1">
      <c r="A804" s="46"/>
      <c r="B804" s="59"/>
      <c r="C804" s="59"/>
      <c r="D804" s="59"/>
      <c r="E804" s="59"/>
      <c r="F804" s="59"/>
    </row>
    <row r="805" ht="12.75" customHeight="1">
      <c r="A805" s="46"/>
      <c r="B805" s="59"/>
      <c r="C805" s="59"/>
      <c r="D805" s="59"/>
      <c r="E805" s="59"/>
      <c r="F805" s="59"/>
    </row>
    <row r="806" ht="12.75" customHeight="1">
      <c r="A806" s="46"/>
      <c r="B806" s="59"/>
      <c r="C806" s="59"/>
      <c r="D806" s="59"/>
      <c r="E806" s="59"/>
      <c r="F806" s="59"/>
    </row>
    <row r="807" ht="12.75" customHeight="1">
      <c r="A807" s="46"/>
      <c r="B807" s="59"/>
      <c r="C807" s="59"/>
      <c r="D807" s="59"/>
      <c r="E807" s="59"/>
      <c r="F807" s="59"/>
    </row>
    <row r="808" ht="12.75" customHeight="1">
      <c r="A808" s="46"/>
      <c r="B808" s="59"/>
      <c r="C808" s="59"/>
      <c r="D808" s="59"/>
      <c r="E808" s="59"/>
      <c r="F808" s="59"/>
    </row>
    <row r="809" ht="12.75" customHeight="1">
      <c r="A809" s="46"/>
      <c r="B809" s="59"/>
      <c r="C809" s="59"/>
      <c r="D809" s="59"/>
      <c r="E809" s="59"/>
      <c r="F809" s="59"/>
    </row>
    <row r="810" ht="12.75" customHeight="1">
      <c r="A810" s="46"/>
      <c r="B810" s="59"/>
      <c r="C810" s="59"/>
      <c r="D810" s="59"/>
      <c r="E810" s="59"/>
      <c r="F810" s="59"/>
    </row>
    <row r="811" ht="12.75" customHeight="1">
      <c r="A811" s="46"/>
      <c r="B811" s="59"/>
      <c r="C811" s="59"/>
      <c r="D811" s="59"/>
      <c r="E811" s="59"/>
      <c r="F811" s="59"/>
    </row>
    <row r="812" ht="12.75" customHeight="1">
      <c r="A812" s="46"/>
      <c r="B812" s="59"/>
      <c r="C812" s="59"/>
      <c r="D812" s="59"/>
      <c r="E812" s="59"/>
      <c r="F812" s="59"/>
    </row>
    <row r="813" ht="12.75" customHeight="1">
      <c r="A813" s="46"/>
      <c r="B813" s="59"/>
      <c r="C813" s="59"/>
      <c r="D813" s="59"/>
      <c r="E813" s="59"/>
      <c r="F813" s="59"/>
    </row>
    <row r="814" ht="12.75" customHeight="1">
      <c r="A814" s="46"/>
      <c r="B814" s="59"/>
      <c r="C814" s="59"/>
      <c r="D814" s="59"/>
      <c r="E814" s="59"/>
      <c r="F814" s="59"/>
    </row>
    <row r="815" ht="12.75" customHeight="1">
      <c r="A815" s="46"/>
      <c r="B815" s="59"/>
      <c r="C815" s="59"/>
      <c r="D815" s="59"/>
      <c r="E815" s="59"/>
      <c r="F815" s="59"/>
    </row>
    <row r="816" ht="12.75" customHeight="1">
      <c r="A816" s="46"/>
      <c r="B816" s="59"/>
      <c r="C816" s="59"/>
      <c r="D816" s="59"/>
      <c r="E816" s="59"/>
      <c r="F816" s="59"/>
    </row>
    <row r="817" ht="12.75" customHeight="1">
      <c r="A817" s="46"/>
      <c r="B817" s="59"/>
      <c r="C817" s="59"/>
      <c r="D817" s="59"/>
      <c r="E817" s="59"/>
      <c r="F817" s="59"/>
    </row>
    <row r="818" ht="12.75" customHeight="1">
      <c r="A818" s="46"/>
      <c r="B818" s="59"/>
      <c r="C818" s="59"/>
      <c r="D818" s="59"/>
      <c r="E818" s="59"/>
      <c r="F818" s="59"/>
    </row>
    <row r="819" ht="12.75" customHeight="1">
      <c r="A819" s="46"/>
      <c r="B819" s="59"/>
      <c r="C819" s="59"/>
      <c r="D819" s="59"/>
      <c r="E819" s="59"/>
      <c r="F819" s="59"/>
    </row>
    <row r="820" ht="12.75" customHeight="1">
      <c r="A820" s="46"/>
      <c r="B820" s="59"/>
      <c r="C820" s="59"/>
      <c r="D820" s="59"/>
      <c r="E820" s="59"/>
      <c r="F820" s="59"/>
    </row>
    <row r="821" ht="12.75" customHeight="1">
      <c r="A821" s="46"/>
      <c r="B821" s="59"/>
      <c r="C821" s="59"/>
      <c r="D821" s="59"/>
      <c r="E821" s="59"/>
      <c r="F821" s="59"/>
    </row>
    <row r="822" ht="12.75" customHeight="1">
      <c r="A822" s="46"/>
      <c r="B822" s="59"/>
      <c r="C822" s="59"/>
      <c r="D822" s="59"/>
      <c r="E822" s="59"/>
      <c r="F822" s="59"/>
    </row>
    <row r="823" ht="12.75" customHeight="1">
      <c r="A823" s="46"/>
      <c r="B823" s="59"/>
      <c r="C823" s="59"/>
      <c r="D823" s="59"/>
      <c r="E823" s="59"/>
      <c r="F823" s="59"/>
    </row>
    <row r="824" ht="12.75" customHeight="1">
      <c r="A824" s="46"/>
      <c r="B824" s="59"/>
      <c r="C824" s="59"/>
      <c r="D824" s="59"/>
      <c r="E824" s="59"/>
      <c r="F824" s="59"/>
    </row>
    <row r="825" ht="12.75" customHeight="1">
      <c r="A825" s="46"/>
      <c r="B825" s="59"/>
      <c r="C825" s="59"/>
      <c r="D825" s="59"/>
      <c r="E825" s="59"/>
      <c r="F825" s="59"/>
    </row>
    <row r="826" ht="12.75" customHeight="1">
      <c r="A826" s="46"/>
      <c r="B826" s="59"/>
      <c r="C826" s="59"/>
      <c r="D826" s="59"/>
      <c r="E826" s="59"/>
      <c r="F826" s="59"/>
    </row>
    <row r="827" ht="12.75" customHeight="1">
      <c r="A827" s="46"/>
      <c r="B827" s="59"/>
      <c r="C827" s="59"/>
      <c r="D827" s="59"/>
      <c r="E827" s="59"/>
      <c r="F827" s="59"/>
    </row>
    <row r="828" ht="12.75" customHeight="1">
      <c r="A828" s="46"/>
      <c r="B828" s="59"/>
      <c r="C828" s="59"/>
      <c r="D828" s="59"/>
      <c r="E828" s="59"/>
      <c r="F828" s="59"/>
    </row>
    <row r="829" ht="12.75" customHeight="1">
      <c r="A829" s="46"/>
      <c r="B829" s="59"/>
      <c r="C829" s="59"/>
      <c r="D829" s="59"/>
      <c r="E829" s="59"/>
      <c r="F829" s="59"/>
    </row>
    <row r="830" ht="12.75" customHeight="1">
      <c r="A830" s="46"/>
      <c r="B830" s="59"/>
      <c r="C830" s="59"/>
      <c r="D830" s="59"/>
      <c r="E830" s="59"/>
      <c r="F830" s="59"/>
    </row>
    <row r="831" ht="12.75" customHeight="1">
      <c r="A831" s="46"/>
      <c r="B831" s="59"/>
      <c r="C831" s="59"/>
      <c r="D831" s="59"/>
      <c r="E831" s="59"/>
      <c r="F831" s="59"/>
    </row>
    <row r="832" ht="12.75" customHeight="1">
      <c r="A832" s="46"/>
      <c r="B832" s="59"/>
      <c r="C832" s="59"/>
      <c r="D832" s="59"/>
      <c r="E832" s="59"/>
      <c r="F832" s="59"/>
    </row>
    <row r="833" ht="12.75" customHeight="1">
      <c r="A833" s="46"/>
      <c r="B833" s="59"/>
      <c r="C833" s="59"/>
      <c r="D833" s="59"/>
      <c r="E833" s="59"/>
      <c r="F833" s="59"/>
    </row>
    <row r="834" ht="12.75" customHeight="1">
      <c r="A834" s="46"/>
      <c r="B834" s="59"/>
      <c r="C834" s="59"/>
      <c r="D834" s="59"/>
      <c r="E834" s="59"/>
      <c r="F834" s="59"/>
    </row>
    <row r="835" ht="12.75" customHeight="1">
      <c r="A835" s="46"/>
      <c r="B835" s="59"/>
      <c r="C835" s="59"/>
      <c r="D835" s="59"/>
      <c r="E835" s="59"/>
      <c r="F835" s="59"/>
    </row>
    <row r="836" ht="12.75" customHeight="1">
      <c r="A836" s="46"/>
      <c r="B836" s="59"/>
      <c r="C836" s="59"/>
      <c r="D836" s="59"/>
      <c r="E836" s="59"/>
      <c r="F836" s="59"/>
    </row>
    <row r="837" ht="12.75" customHeight="1">
      <c r="A837" s="46"/>
      <c r="B837" s="59"/>
      <c r="C837" s="59"/>
      <c r="D837" s="59"/>
      <c r="E837" s="59"/>
      <c r="F837" s="59"/>
    </row>
    <row r="838" ht="12.75" customHeight="1">
      <c r="A838" s="46"/>
      <c r="B838" s="59"/>
      <c r="C838" s="59"/>
      <c r="D838" s="59"/>
      <c r="E838" s="59"/>
      <c r="F838" s="59"/>
    </row>
    <row r="839" ht="12.75" customHeight="1">
      <c r="A839" s="46"/>
      <c r="B839" s="59"/>
      <c r="C839" s="59"/>
      <c r="D839" s="59"/>
      <c r="E839" s="59"/>
      <c r="F839" s="59"/>
    </row>
    <row r="840" ht="12.75" customHeight="1">
      <c r="A840" s="46"/>
      <c r="B840" s="59"/>
      <c r="C840" s="59"/>
      <c r="D840" s="59"/>
      <c r="E840" s="59"/>
      <c r="F840" s="59"/>
    </row>
    <row r="841" ht="12.75" customHeight="1">
      <c r="A841" s="46"/>
      <c r="B841" s="59"/>
      <c r="C841" s="59"/>
      <c r="D841" s="59"/>
      <c r="E841" s="59"/>
      <c r="F841" s="59"/>
    </row>
    <row r="842" ht="12.75" customHeight="1">
      <c r="A842" s="46"/>
      <c r="B842" s="59"/>
      <c r="C842" s="59"/>
      <c r="D842" s="59"/>
      <c r="E842" s="59"/>
      <c r="F842" s="59"/>
    </row>
    <row r="843" ht="12.75" customHeight="1">
      <c r="A843" s="46"/>
      <c r="B843" s="59"/>
      <c r="C843" s="59"/>
      <c r="D843" s="59"/>
      <c r="E843" s="59"/>
      <c r="F843" s="59"/>
    </row>
    <row r="844" ht="12.75" customHeight="1">
      <c r="A844" s="46"/>
      <c r="B844" s="59"/>
      <c r="C844" s="59"/>
      <c r="D844" s="59"/>
      <c r="E844" s="59"/>
      <c r="F844" s="59"/>
    </row>
    <row r="845" ht="12.75" customHeight="1">
      <c r="A845" s="46"/>
      <c r="B845" s="59"/>
      <c r="C845" s="59"/>
      <c r="D845" s="59"/>
      <c r="E845" s="59"/>
      <c r="F845" s="59"/>
    </row>
    <row r="846" ht="12.75" customHeight="1">
      <c r="A846" s="46"/>
      <c r="B846" s="59"/>
      <c r="C846" s="59"/>
      <c r="D846" s="59"/>
      <c r="E846" s="59"/>
      <c r="F846" s="59"/>
    </row>
    <row r="847" ht="12.75" customHeight="1">
      <c r="A847" s="46"/>
      <c r="B847" s="59"/>
      <c r="C847" s="59"/>
      <c r="D847" s="59"/>
      <c r="E847" s="59"/>
      <c r="F847" s="59"/>
    </row>
    <row r="848" ht="12.75" customHeight="1">
      <c r="A848" s="46"/>
      <c r="B848" s="59"/>
      <c r="C848" s="59"/>
      <c r="D848" s="59"/>
      <c r="E848" s="59"/>
      <c r="F848" s="59"/>
    </row>
    <row r="849" ht="12.75" customHeight="1">
      <c r="A849" s="46"/>
      <c r="B849" s="59"/>
      <c r="C849" s="59"/>
      <c r="D849" s="59"/>
      <c r="E849" s="59"/>
      <c r="F849" s="59"/>
    </row>
    <row r="850" ht="12.75" customHeight="1">
      <c r="A850" s="46"/>
      <c r="B850" s="59"/>
      <c r="C850" s="59"/>
      <c r="D850" s="59"/>
      <c r="E850" s="59"/>
      <c r="F850" s="59"/>
    </row>
    <row r="851" ht="12.75" customHeight="1">
      <c r="A851" s="46"/>
      <c r="B851" s="59"/>
      <c r="C851" s="59"/>
      <c r="D851" s="59"/>
      <c r="E851" s="59"/>
      <c r="F851" s="59"/>
    </row>
    <row r="852" ht="12.75" customHeight="1">
      <c r="A852" s="46"/>
      <c r="B852" s="59"/>
      <c r="C852" s="59"/>
      <c r="D852" s="59"/>
      <c r="E852" s="59"/>
      <c r="F852" s="59"/>
    </row>
    <row r="853" ht="12.75" customHeight="1">
      <c r="A853" s="46"/>
      <c r="B853" s="59"/>
      <c r="C853" s="59"/>
      <c r="D853" s="59"/>
      <c r="E853" s="59"/>
      <c r="F853" s="59"/>
    </row>
    <row r="854" ht="12.75" customHeight="1">
      <c r="A854" s="46"/>
      <c r="B854" s="59"/>
      <c r="C854" s="59"/>
      <c r="D854" s="59"/>
      <c r="E854" s="59"/>
      <c r="F854" s="59"/>
    </row>
    <row r="855" ht="12.75" customHeight="1">
      <c r="A855" s="46"/>
      <c r="B855" s="59"/>
      <c r="C855" s="59"/>
      <c r="D855" s="59"/>
      <c r="E855" s="59"/>
      <c r="F855" s="59"/>
    </row>
    <row r="856" ht="12.75" customHeight="1">
      <c r="A856" s="46"/>
      <c r="B856" s="59"/>
      <c r="C856" s="59"/>
      <c r="D856" s="59"/>
      <c r="E856" s="59"/>
      <c r="F856" s="59"/>
    </row>
    <row r="857" ht="12.75" customHeight="1">
      <c r="A857" s="46"/>
      <c r="B857" s="59"/>
      <c r="C857" s="59"/>
      <c r="D857" s="59"/>
      <c r="E857" s="59"/>
      <c r="F857" s="59"/>
    </row>
    <row r="858" ht="12.75" customHeight="1">
      <c r="A858" s="46"/>
      <c r="B858" s="59"/>
      <c r="C858" s="59"/>
      <c r="D858" s="59"/>
      <c r="E858" s="59"/>
      <c r="F858" s="59"/>
    </row>
    <row r="859" ht="12.75" customHeight="1">
      <c r="A859" s="46"/>
      <c r="B859" s="59"/>
      <c r="C859" s="59"/>
      <c r="D859" s="59"/>
      <c r="E859" s="59"/>
      <c r="F859" s="59"/>
    </row>
    <row r="860" ht="12.75" customHeight="1">
      <c r="A860" s="46"/>
      <c r="B860" s="59"/>
      <c r="C860" s="59"/>
      <c r="D860" s="59"/>
      <c r="E860" s="59"/>
      <c r="F860" s="59"/>
    </row>
    <row r="861" ht="12.75" customHeight="1">
      <c r="A861" s="46"/>
      <c r="B861" s="59"/>
      <c r="C861" s="59"/>
      <c r="D861" s="59"/>
      <c r="E861" s="59"/>
      <c r="F861" s="59"/>
    </row>
    <row r="862" ht="12.75" customHeight="1">
      <c r="A862" s="46"/>
      <c r="B862" s="59"/>
      <c r="C862" s="59"/>
      <c r="D862" s="59"/>
      <c r="E862" s="59"/>
      <c r="F862" s="59"/>
    </row>
    <row r="863" ht="12.75" customHeight="1">
      <c r="A863" s="46"/>
      <c r="B863" s="59"/>
      <c r="C863" s="59"/>
      <c r="D863" s="59"/>
      <c r="E863" s="59"/>
      <c r="F863" s="59"/>
    </row>
    <row r="864" ht="12.75" customHeight="1">
      <c r="A864" s="46"/>
      <c r="B864" s="59"/>
      <c r="C864" s="59"/>
      <c r="D864" s="59"/>
      <c r="E864" s="59"/>
      <c r="F864" s="59"/>
    </row>
    <row r="865" ht="12.75" customHeight="1">
      <c r="A865" s="46"/>
      <c r="B865" s="59"/>
      <c r="C865" s="59"/>
      <c r="D865" s="59"/>
      <c r="E865" s="59"/>
      <c r="F865" s="59"/>
    </row>
    <row r="866" ht="12.75" customHeight="1">
      <c r="A866" s="46"/>
      <c r="B866" s="59"/>
      <c r="C866" s="59"/>
      <c r="D866" s="59"/>
      <c r="E866" s="59"/>
      <c r="F866" s="59"/>
    </row>
    <row r="867" ht="12.75" customHeight="1">
      <c r="A867" s="46"/>
      <c r="B867" s="59"/>
      <c r="C867" s="59"/>
      <c r="D867" s="59"/>
      <c r="E867" s="59"/>
      <c r="F867" s="59"/>
    </row>
    <row r="868" ht="12.75" customHeight="1">
      <c r="A868" s="46"/>
      <c r="B868" s="59"/>
      <c r="C868" s="59"/>
      <c r="D868" s="59"/>
      <c r="E868" s="59"/>
      <c r="F868" s="59"/>
    </row>
    <row r="869" ht="12.75" customHeight="1">
      <c r="A869" s="46"/>
      <c r="B869" s="59"/>
      <c r="C869" s="59"/>
      <c r="D869" s="59"/>
      <c r="E869" s="59"/>
      <c r="F869" s="59"/>
    </row>
    <row r="870" ht="12.75" customHeight="1">
      <c r="A870" s="46"/>
      <c r="B870" s="59"/>
      <c r="C870" s="59"/>
      <c r="D870" s="59"/>
      <c r="E870" s="59"/>
      <c r="F870" s="59"/>
    </row>
    <row r="871" ht="12.75" customHeight="1">
      <c r="A871" s="46"/>
      <c r="B871" s="59"/>
      <c r="C871" s="59"/>
      <c r="D871" s="59"/>
      <c r="E871" s="59"/>
      <c r="F871" s="59"/>
    </row>
    <row r="872" ht="12.75" customHeight="1">
      <c r="A872" s="46"/>
      <c r="B872" s="59"/>
      <c r="C872" s="59"/>
      <c r="D872" s="59"/>
      <c r="E872" s="59"/>
      <c r="F872" s="59"/>
    </row>
    <row r="873" ht="12.75" customHeight="1">
      <c r="A873" s="46"/>
      <c r="B873" s="59"/>
      <c r="C873" s="59"/>
      <c r="D873" s="59"/>
      <c r="E873" s="59"/>
      <c r="F873" s="59"/>
    </row>
    <row r="874" ht="12.75" customHeight="1">
      <c r="A874" s="46"/>
      <c r="B874" s="59"/>
      <c r="C874" s="59"/>
      <c r="D874" s="59"/>
      <c r="E874" s="59"/>
      <c r="F874" s="59"/>
    </row>
    <row r="875" ht="12.75" customHeight="1">
      <c r="A875" s="46"/>
      <c r="B875" s="59"/>
      <c r="C875" s="59"/>
      <c r="D875" s="59"/>
      <c r="E875" s="59"/>
      <c r="F875" s="59"/>
    </row>
    <row r="876" ht="12.75" customHeight="1">
      <c r="A876" s="46"/>
      <c r="B876" s="59"/>
      <c r="C876" s="59"/>
      <c r="D876" s="59"/>
      <c r="E876" s="59"/>
      <c r="F876" s="59"/>
    </row>
    <row r="877" ht="12.75" customHeight="1">
      <c r="A877" s="46"/>
      <c r="B877" s="59"/>
      <c r="C877" s="59"/>
      <c r="D877" s="59"/>
      <c r="E877" s="59"/>
      <c r="F877" s="59"/>
    </row>
    <row r="878" ht="12.75" customHeight="1">
      <c r="A878" s="46"/>
      <c r="B878" s="59"/>
      <c r="C878" s="59"/>
      <c r="D878" s="59"/>
      <c r="E878" s="59"/>
      <c r="F878" s="59"/>
    </row>
    <row r="879" ht="12.75" customHeight="1">
      <c r="A879" s="46"/>
      <c r="B879" s="59"/>
      <c r="C879" s="59"/>
      <c r="D879" s="59"/>
      <c r="E879" s="59"/>
      <c r="F879" s="59"/>
    </row>
    <row r="880" ht="12.75" customHeight="1">
      <c r="A880" s="46"/>
      <c r="B880" s="59"/>
      <c r="C880" s="59"/>
      <c r="D880" s="59"/>
      <c r="E880" s="59"/>
      <c r="F880" s="59"/>
    </row>
    <row r="881" ht="12.75" customHeight="1">
      <c r="A881" s="46"/>
      <c r="B881" s="59"/>
      <c r="C881" s="59"/>
      <c r="D881" s="59"/>
      <c r="E881" s="59"/>
      <c r="F881" s="59"/>
    </row>
    <row r="882" ht="12.75" customHeight="1">
      <c r="A882" s="46"/>
      <c r="B882" s="59"/>
      <c r="C882" s="59"/>
      <c r="D882" s="59"/>
      <c r="E882" s="59"/>
      <c r="F882" s="59"/>
    </row>
    <row r="883" ht="12.75" customHeight="1">
      <c r="A883" s="46"/>
      <c r="B883" s="59"/>
      <c r="C883" s="59"/>
      <c r="D883" s="59"/>
      <c r="E883" s="59"/>
      <c r="F883" s="59"/>
    </row>
    <row r="884" ht="12.75" customHeight="1">
      <c r="A884" s="46"/>
      <c r="B884" s="59"/>
      <c r="C884" s="59"/>
      <c r="D884" s="59"/>
      <c r="E884" s="59"/>
      <c r="F884" s="59"/>
    </row>
    <row r="885" ht="12.75" customHeight="1">
      <c r="A885" s="46"/>
      <c r="B885" s="59"/>
      <c r="C885" s="59"/>
      <c r="D885" s="59"/>
      <c r="E885" s="59"/>
      <c r="F885" s="59"/>
    </row>
    <row r="886" ht="12.75" customHeight="1">
      <c r="A886" s="46"/>
      <c r="B886" s="59"/>
      <c r="C886" s="59"/>
      <c r="D886" s="59"/>
      <c r="E886" s="59"/>
      <c r="F886" s="59"/>
    </row>
    <row r="887" ht="12.75" customHeight="1">
      <c r="A887" s="46"/>
      <c r="B887" s="59"/>
      <c r="C887" s="59"/>
      <c r="D887" s="59"/>
      <c r="E887" s="59"/>
      <c r="F887" s="59"/>
    </row>
    <row r="888" ht="12.75" customHeight="1">
      <c r="A888" s="46"/>
      <c r="B888" s="59"/>
      <c r="C888" s="59"/>
      <c r="D888" s="59"/>
      <c r="E888" s="59"/>
      <c r="F888" s="59"/>
    </row>
    <row r="889" ht="12.75" customHeight="1">
      <c r="A889" s="46"/>
      <c r="B889" s="59"/>
      <c r="C889" s="59"/>
      <c r="D889" s="59"/>
      <c r="E889" s="59"/>
      <c r="F889" s="59"/>
    </row>
    <row r="890" ht="12.75" customHeight="1">
      <c r="A890" s="46"/>
      <c r="B890" s="59"/>
      <c r="C890" s="59"/>
      <c r="D890" s="59"/>
      <c r="E890" s="59"/>
      <c r="F890" s="59"/>
    </row>
    <row r="891" ht="12.75" customHeight="1">
      <c r="A891" s="46"/>
      <c r="B891" s="59"/>
      <c r="C891" s="59"/>
      <c r="D891" s="59"/>
      <c r="E891" s="59"/>
      <c r="F891" s="59"/>
    </row>
    <row r="892" ht="12.75" customHeight="1">
      <c r="A892" s="46"/>
      <c r="B892" s="59"/>
      <c r="C892" s="59"/>
      <c r="D892" s="59"/>
      <c r="E892" s="59"/>
      <c r="F892" s="59"/>
    </row>
    <row r="893" ht="12.75" customHeight="1">
      <c r="A893" s="46"/>
      <c r="B893" s="59"/>
      <c r="C893" s="59"/>
      <c r="D893" s="59"/>
      <c r="E893" s="59"/>
      <c r="F893" s="59"/>
    </row>
    <row r="894" ht="12.75" customHeight="1">
      <c r="A894" s="46"/>
      <c r="B894" s="59"/>
      <c r="C894" s="59"/>
      <c r="D894" s="59"/>
      <c r="E894" s="59"/>
      <c r="F894" s="59"/>
    </row>
    <row r="895" ht="12.75" customHeight="1">
      <c r="A895" s="46"/>
      <c r="B895" s="59"/>
      <c r="C895" s="59"/>
      <c r="D895" s="59"/>
      <c r="E895" s="59"/>
      <c r="F895" s="59"/>
    </row>
    <row r="896" ht="12.75" customHeight="1">
      <c r="A896" s="46"/>
      <c r="B896" s="59"/>
      <c r="C896" s="59"/>
      <c r="D896" s="59"/>
      <c r="E896" s="59"/>
      <c r="F896" s="59"/>
    </row>
    <row r="897" ht="12.75" customHeight="1">
      <c r="A897" s="46"/>
      <c r="B897" s="59"/>
      <c r="C897" s="59"/>
      <c r="D897" s="59"/>
      <c r="E897" s="59"/>
      <c r="F897" s="59"/>
    </row>
    <row r="898" ht="12.75" customHeight="1">
      <c r="A898" s="46"/>
      <c r="B898" s="59"/>
      <c r="C898" s="59"/>
      <c r="D898" s="59"/>
      <c r="E898" s="59"/>
      <c r="F898" s="59"/>
    </row>
    <row r="899" ht="12.75" customHeight="1">
      <c r="A899" s="46"/>
      <c r="B899" s="59"/>
      <c r="C899" s="59"/>
      <c r="D899" s="59"/>
      <c r="E899" s="59"/>
      <c r="F899" s="59"/>
    </row>
    <row r="900" ht="12.75" customHeight="1">
      <c r="A900" s="46"/>
      <c r="B900" s="59"/>
      <c r="C900" s="59"/>
      <c r="D900" s="59"/>
      <c r="E900" s="59"/>
      <c r="F900" s="59"/>
    </row>
    <row r="901" ht="12.75" customHeight="1">
      <c r="A901" s="46"/>
      <c r="B901" s="59"/>
      <c r="C901" s="59"/>
      <c r="D901" s="59"/>
      <c r="E901" s="59"/>
      <c r="F901" s="59"/>
    </row>
    <row r="902" ht="12.75" customHeight="1">
      <c r="A902" s="46"/>
      <c r="B902" s="59"/>
      <c r="C902" s="59"/>
      <c r="D902" s="59"/>
      <c r="E902" s="59"/>
      <c r="F902" s="59"/>
    </row>
    <row r="903" ht="12.75" customHeight="1">
      <c r="A903" s="46"/>
      <c r="B903" s="59"/>
      <c r="C903" s="59"/>
      <c r="D903" s="59"/>
      <c r="E903" s="59"/>
      <c r="F903" s="59"/>
    </row>
    <row r="904" ht="12.75" customHeight="1">
      <c r="A904" s="46"/>
      <c r="B904" s="59"/>
      <c r="C904" s="59"/>
      <c r="D904" s="59"/>
      <c r="E904" s="59"/>
      <c r="F904" s="59"/>
    </row>
    <row r="905" ht="12.75" customHeight="1">
      <c r="A905" s="46"/>
      <c r="B905" s="59"/>
      <c r="C905" s="59"/>
      <c r="D905" s="59"/>
      <c r="E905" s="59"/>
      <c r="F905" s="59"/>
    </row>
    <row r="906" ht="12.75" customHeight="1">
      <c r="A906" s="46"/>
      <c r="B906" s="59"/>
      <c r="C906" s="59"/>
      <c r="D906" s="59"/>
      <c r="E906" s="59"/>
      <c r="F906" s="59"/>
    </row>
    <row r="907" ht="12.75" customHeight="1">
      <c r="A907" s="46"/>
      <c r="B907" s="59"/>
      <c r="C907" s="59"/>
      <c r="D907" s="59"/>
      <c r="E907" s="59"/>
      <c r="F907" s="59"/>
    </row>
    <row r="908" ht="12.75" customHeight="1">
      <c r="A908" s="46"/>
      <c r="B908" s="59"/>
      <c r="C908" s="59"/>
      <c r="D908" s="59"/>
      <c r="E908" s="59"/>
      <c r="F908" s="59"/>
    </row>
    <row r="909" ht="12.75" customHeight="1">
      <c r="A909" s="46"/>
      <c r="B909" s="59"/>
      <c r="C909" s="59"/>
      <c r="D909" s="59"/>
      <c r="E909" s="59"/>
      <c r="F909" s="59"/>
    </row>
    <row r="910" ht="12.75" customHeight="1">
      <c r="A910" s="46"/>
      <c r="B910" s="59"/>
      <c r="C910" s="59"/>
      <c r="D910" s="59"/>
      <c r="E910" s="59"/>
      <c r="F910" s="59"/>
    </row>
    <row r="911" ht="12.75" customHeight="1">
      <c r="A911" s="46"/>
      <c r="B911" s="59"/>
      <c r="C911" s="59"/>
      <c r="D911" s="59"/>
      <c r="E911" s="59"/>
      <c r="F911" s="59"/>
    </row>
    <row r="912" ht="12.75" customHeight="1">
      <c r="A912" s="46"/>
      <c r="B912" s="59"/>
      <c r="C912" s="59"/>
      <c r="D912" s="59"/>
      <c r="E912" s="59"/>
      <c r="F912" s="59"/>
    </row>
    <row r="913" ht="12.75" customHeight="1">
      <c r="A913" s="46"/>
      <c r="B913" s="59"/>
      <c r="C913" s="59"/>
      <c r="D913" s="59"/>
      <c r="E913" s="59"/>
      <c r="F913" s="59"/>
    </row>
    <row r="914" ht="12.75" customHeight="1">
      <c r="A914" s="46"/>
      <c r="B914" s="59"/>
      <c r="C914" s="59"/>
      <c r="D914" s="59"/>
      <c r="E914" s="59"/>
      <c r="F914" s="59"/>
    </row>
    <row r="915" ht="12.75" customHeight="1">
      <c r="A915" s="46"/>
      <c r="B915" s="59"/>
      <c r="C915" s="59"/>
      <c r="D915" s="59"/>
      <c r="E915" s="59"/>
      <c r="F915" s="59"/>
    </row>
    <row r="916" ht="12.75" customHeight="1">
      <c r="A916" s="46"/>
      <c r="B916" s="59"/>
      <c r="C916" s="59"/>
      <c r="D916" s="59"/>
      <c r="E916" s="59"/>
      <c r="F916" s="59"/>
    </row>
    <row r="917" ht="12.75" customHeight="1">
      <c r="A917" s="46"/>
      <c r="B917" s="59"/>
      <c r="C917" s="59"/>
      <c r="D917" s="59"/>
      <c r="E917" s="59"/>
      <c r="F917" s="59"/>
    </row>
    <row r="918" ht="12.75" customHeight="1">
      <c r="A918" s="46"/>
      <c r="B918" s="59"/>
      <c r="C918" s="59"/>
      <c r="D918" s="59"/>
      <c r="E918" s="59"/>
      <c r="F918" s="59"/>
    </row>
    <row r="919" ht="12.75" customHeight="1">
      <c r="A919" s="46"/>
      <c r="B919" s="59"/>
      <c r="C919" s="59"/>
      <c r="D919" s="59"/>
      <c r="E919" s="59"/>
      <c r="F919" s="59"/>
    </row>
    <row r="920" ht="12.75" customHeight="1">
      <c r="A920" s="46"/>
      <c r="B920" s="59"/>
      <c r="C920" s="59"/>
      <c r="D920" s="59"/>
      <c r="E920" s="59"/>
      <c r="F920" s="59"/>
    </row>
    <row r="921" ht="12.75" customHeight="1">
      <c r="A921" s="46"/>
      <c r="B921" s="59"/>
      <c r="C921" s="59"/>
      <c r="D921" s="59"/>
      <c r="E921" s="59"/>
      <c r="F921" s="59"/>
    </row>
    <row r="922" ht="12.75" customHeight="1">
      <c r="A922" s="46"/>
      <c r="B922" s="59"/>
      <c r="C922" s="59"/>
      <c r="D922" s="59"/>
      <c r="E922" s="59"/>
      <c r="F922" s="59"/>
    </row>
    <row r="923" ht="12.75" customHeight="1">
      <c r="A923" s="46"/>
      <c r="B923" s="59"/>
      <c r="C923" s="59"/>
      <c r="D923" s="59"/>
      <c r="E923" s="59"/>
      <c r="F923" s="59"/>
    </row>
    <row r="924" ht="12.75" customHeight="1">
      <c r="A924" s="46"/>
      <c r="B924" s="59"/>
      <c r="C924" s="59"/>
      <c r="D924" s="59"/>
      <c r="E924" s="59"/>
      <c r="F924" s="59"/>
    </row>
    <row r="925" ht="12.75" customHeight="1">
      <c r="A925" s="46"/>
      <c r="B925" s="59"/>
      <c r="C925" s="59"/>
      <c r="D925" s="59"/>
      <c r="E925" s="59"/>
      <c r="F925" s="59"/>
    </row>
    <row r="926" ht="12.75" customHeight="1">
      <c r="A926" s="46"/>
      <c r="B926" s="59"/>
      <c r="C926" s="59"/>
      <c r="D926" s="59"/>
      <c r="E926" s="59"/>
      <c r="F926" s="59"/>
    </row>
    <row r="927" ht="12.75" customHeight="1">
      <c r="A927" s="46"/>
      <c r="B927" s="59"/>
      <c r="C927" s="59"/>
      <c r="D927" s="59"/>
      <c r="E927" s="59"/>
      <c r="F927" s="59"/>
    </row>
    <row r="928" ht="12.75" customHeight="1">
      <c r="A928" s="46"/>
      <c r="B928" s="59"/>
      <c r="C928" s="59"/>
      <c r="D928" s="59"/>
      <c r="E928" s="59"/>
      <c r="F928" s="59"/>
    </row>
    <row r="929" ht="12.75" customHeight="1">
      <c r="A929" s="46"/>
      <c r="B929" s="59"/>
      <c r="C929" s="59"/>
      <c r="D929" s="59"/>
      <c r="E929" s="59"/>
      <c r="F929" s="59"/>
    </row>
    <row r="930" ht="12.75" customHeight="1">
      <c r="A930" s="46"/>
      <c r="B930" s="59"/>
      <c r="C930" s="59"/>
      <c r="D930" s="59"/>
      <c r="E930" s="59"/>
      <c r="F930" s="59"/>
    </row>
    <row r="931" ht="12.75" customHeight="1">
      <c r="A931" s="46"/>
      <c r="B931" s="59"/>
      <c r="C931" s="59"/>
      <c r="D931" s="59"/>
      <c r="E931" s="59"/>
      <c r="F931" s="59"/>
    </row>
    <row r="932" ht="12.75" customHeight="1">
      <c r="A932" s="46"/>
      <c r="B932" s="59"/>
      <c r="C932" s="59"/>
      <c r="D932" s="59"/>
      <c r="E932" s="59"/>
      <c r="F932" s="59"/>
    </row>
    <row r="933" ht="12.75" customHeight="1">
      <c r="A933" s="46"/>
      <c r="B933" s="59"/>
      <c r="C933" s="59"/>
      <c r="D933" s="59"/>
      <c r="E933" s="59"/>
      <c r="F933" s="59"/>
    </row>
    <row r="934" ht="12.75" customHeight="1">
      <c r="A934" s="46"/>
      <c r="B934" s="59"/>
      <c r="C934" s="59"/>
      <c r="D934" s="59"/>
      <c r="E934" s="59"/>
      <c r="F934" s="59"/>
    </row>
    <row r="935" ht="12.75" customHeight="1">
      <c r="A935" s="46"/>
      <c r="B935" s="59"/>
      <c r="C935" s="59"/>
      <c r="D935" s="59"/>
      <c r="E935" s="59"/>
      <c r="F935" s="59"/>
    </row>
    <row r="936" ht="12.75" customHeight="1">
      <c r="A936" s="46"/>
      <c r="B936" s="59"/>
      <c r="C936" s="59"/>
      <c r="D936" s="59"/>
      <c r="E936" s="59"/>
      <c r="F936" s="59"/>
    </row>
    <row r="937" ht="12.75" customHeight="1">
      <c r="A937" s="46"/>
      <c r="B937" s="59"/>
      <c r="C937" s="59"/>
      <c r="D937" s="59"/>
      <c r="E937" s="59"/>
      <c r="F937" s="59"/>
    </row>
    <row r="938" ht="12.75" customHeight="1">
      <c r="A938" s="46"/>
      <c r="B938" s="59"/>
      <c r="C938" s="59"/>
      <c r="D938" s="59"/>
      <c r="E938" s="59"/>
      <c r="F938" s="59"/>
    </row>
    <row r="939" ht="12.75" customHeight="1">
      <c r="A939" s="46"/>
      <c r="B939" s="59"/>
      <c r="C939" s="59"/>
      <c r="D939" s="59"/>
      <c r="E939" s="59"/>
      <c r="F939" s="59"/>
    </row>
    <row r="940" ht="12.75" customHeight="1">
      <c r="A940" s="46"/>
      <c r="B940" s="59"/>
      <c r="C940" s="59"/>
      <c r="D940" s="59"/>
      <c r="E940" s="59"/>
      <c r="F940" s="59"/>
    </row>
    <row r="941" ht="12.75" customHeight="1">
      <c r="A941" s="46"/>
      <c r="B941" s="59"/>
      <c r="C941" s="59"/>
      <c r="D941" s="59"/>
      <c r="E941" s="59"/>
      <c r="F941" s="59"/>
    </row>
    <row r="942" ht="12.75" customHeight="1">
      <c r="A942" s="46"/>
      <c r="B942" s="59"/>
      <c r="C942" s="59"/>
      <c r="D942" s="59"/>
      <c r="E942" s="59"/>
      <c r="F942" s="59"/>
    </row>
    <row r="943" ht="12.75" customHeight="1">
      <c r="A943" s="46"/>
      <c r="B943" s="59"/>
      <c r="C943" s="59"/>
      <c r="D943" s="59"/>
      <c r="E943" s="59"/>
      <c r="F943" s="59"/>
    </row>
    <row r="944" ht="12.75" customHeight="1">
      <c r="A944" s="46"/>
      <c r="B944" s="59"/>
      <c r="C944" s="59"/>
      <c r="D944" s="59"/>
      <c r="E944" s="59"/>
      <c r="F944" s="59"/>
    </row>
    <row r="945" ht="12.75" customHeight="1">
      <c r="A945" s="46"/>
      <c r="B945" s="59"/>
      <c r="C945" s="59"/>
      <c r="D945" s="59"/>
      <c r="E945" s="59"/>
      <c r="F945" s="59"/>
    </row>
    <row r="946" ht="12.75" customHeight="1">
      <c r="A946" s="46"/>
      <c r="B946" s="59"/>
      <c r="C946" s="59"/>
      <c r="D946" s="59"/>
      <c r="E946" s="59"/>
      <c r="F946" s="59"/>
    </row>
    <row r="947" ht="12.75" customHeight="1">
      <c r="A947" s="46"/>
      <c r="B947" s="59"/>
      <c r="C947" s="59"/>
      <c r="D947" s="59"/>
      <c r="E947" s="59"/>
      <c r="F947" s="59"/>
    </row>
    <row r="948" ht="12.75" customHeight="1">
      <c r="A948" s="46"/>
      <c r="B948" s="59"/>
      <c r="C948" s="59"/>
      <c r="D948" s="59"/>
      <c r="E948" s="59"/>
      <c r="F948" s="59"/>
    </row>
    <row r="949" ht="12.75" customHeight="1">
      <c r="A949" s="46"/>
      <c r="B949" s="59"/>
      <c r="C949" s="59"/>
      <c r="D949" s="59"/>
      <c r="E949" s="59"/>
      <c r="F949" s="59"/>
    </row>
    <row r="950" ht="12.75" customHeight="1">
      <c r="A950" s="46"/>
      <c r="B950" s="59"/>
      <c r="C950" s="59"/>
      <c r="D950" s="59"/>
      <c r="E950" s="59"/>
      <c r="F950" s="59"/>
    </row>
    <row r="951" ht="12.75" customHeight="1">
      <c r="A951" s="46"/>
      <c r="B951" s="59"/>
      <c r="C951" s="59"/>
      <c r="D951" s="59"/>
      <c r="E951" s="59"/>
      <c r="F951" s="59"/>
    </row>
    <row r="952" ht="12.75" customHeight="1">
      <c r="A952" s="46"/>
      <c r="B952" s="59"/>
      <c r="C952" s="59"/>
      <c r="D952" s="59"/>
      <c r="E952" s="59"/>
      <c r="F952" s="59"/>
    </row>
    <row r="953" ht="12.75" customHeight="1">
      <c r="A953" s="46"/>
      <c r="B953" s="59"/>
      <c r="C953" s="59"/>
      <c r="D953" s="59"/>
      <c r="E953" s="59"/>
      <c r="F953" s="59"/>
    </row>
    <row r="954" ht="12.75" customHeight="1">
      <c r="A954" s="46"/>
      <c r="B954" s="59"/>
      <c r="C954" s="59"/>
      <c r="D954" s="59"/>
      <c r="E954" s="59"/>
      <c r="F954" s="59"/>
    </row>
    <row r="955" ht="12.75" customHeight="1">
      <c r="A955" s="46"/>
      <c r="B955" s="59"/>
      <c r="C955" s="59"/>
      <c r="D955" s="59"/>
      <c r="E955" s="59"/>
      <c r="F955" s="59"/>
    </row>
    <row r="956" ht="12.75" customHeight="1">
      <c r="A956" s="46"/>
      <c r="B956" s="59"/>
      <c r="C956" s="59"/>
      <c r="D956" s="59"/>
      <c r="E956" s="59"/>
      <c r="F956" s="59"/>
    </row>
    <row r="957" ht="12.75" customHeight="1">
      <c r="A957" s="46"/>
      <c r="B957" s="59"/>
      <c r="C957" s="59"/>
      <c r="D957" s="59"/>
      <c r="E957" s="59"/>
      <c r="F957" s="59"/>
    </row>
    <row r="958" ht="12.75" customHeight="1">
      <c r="A958" s="46"/>
      <c r="B958" s="59"/>
      <c r="C958" s="59"/>
      <c r="D958" s="59"/>
      <c r="E958" s="59"/>
      <c r="F958" s="59"/>
    </row>
    <row r="959" ht="12.75" customHeight="1">
      <c r="A959" s="46"/>
      <c r="B959" s="59"/>
      <c r="C959" s="59"/>
      <c r="D959" s="59"/>
      <c r="E959" s="59"/>
      <c r="F959" s="59"/>
    </row>
    <row r="960" ht="12.75" customHeight="1">
      <c r="A960" s="46"/>
      <c r="B960" s="59"/>
      <c r="C960" s="59"/>
      <c r="D960" s="59"/>
      <c r="E960" s="59"/>
      <c r="F960" s="59"/>
    </row>
    <row r="961" ht="12.75" customHeight="1">
      <c r="A961" s="46"/>
      <c r="B961" s="59"/>
      <c r="C961" s="59"/>
      <c r="D961" s="59"/>
      <c r="E961" s="59"/>
      <c r="F961" s="59"/>
    </row>
    <row r="962" ht="12.75" customHeight="1">
      <c r="A962" s="46"/>
      <c r="B962" s="59"/>
      <c r="C962" s="59"/>
      <c r="D962" s="59"/>
      <c r="E962" s="59"/>
      <c r="F962" s="59"/>
    </row>
    <row r="963" ht="12.75" customHeight="1">
      <c r="A963" s="46"/>
      <c r="B963" s="59"/>
      <c r="C963" s="59"/>
      <c r="D963" s="59"/>
      <c r="E963" s="59"/>
      <c r="F963" s="59"/>
    </row>
    <row r="964" ht="12.75" customHeight="1">
      <c r="A964" s="46"/>
      <c r="B964" s="59"/>
      <c r="C964" s="59"/>
      <c r="D964" s="59"/>
      <c r="E964" s="59"/>
      <c r="F964" s="59"/>
    </row>
    <row r="965" ht="12.75" customHeight="1">
      <c r="A965" s="46"/>
      <c r="B965" s="59"/>
      <c r="C965" s="59"/>
      <c r="D965" s="59"/>
      <c r="E965" s="59"/>
      <c r="F965" s="59"/>
    </row>
    <row r="966" ht="12.75" customHeight="1">
      <c r="A966" s="46"/>
      <c r="B966" s="59"/>
      <c r="C966" s="59"/>
      <c r="D966" s="59"/>
      <c r="E966" s="59"/>
      <c r="F966" s="59"/>
    </row>
    <row r="967" ht="12.75" customHeight="1">
      <c r="A967" s="46"/>
      <c r="B967" s="59"/>
      <c r="C967" s="59"/>
      <c r="D967" s="59"/>
      <c r="E967" s="59"/>
      <c r="F967" s="59"/>
    </row>
    <row r="968" ht="12.75" customHeight="1">
      <c r="A968" s="46"/>
      <c r="B968" s="59"/>
      <c r="C968" s="59"/>
      <c r="D968" s="59"/>
      <c r="E968" s="59"/>
      <c r="F968" s="59"/>
    </row>
    <row r="969" ht="12.75" customHeight="1">
      <c r="A969" s="46"/>
      <c r="B969" s="59"/>
      <c r="C969" s="59"/>
      <c r="D969" s="59"/>
      <c r="E969" s="59"/>
      <c r="F969" s="59"/>
    </row>
    <row r="970" ht="12.75" customHeight="1">
      <c r="A970" s="46"/>
      <c r="B970" s="59"/>
      <c r="C970" s="59"/>
      <c r="D970" s="59"/>
      <c r="E970" s="59"/>
      <c r="F970" s="59"/>
    </row>
    <row r="971" ht="12.75" customHeight="1">
      <c r="A971" s="46"/>
      <c r="B971" s="59"/>
      <c r="C971" s="59"/>
      <c r="D971" s="59"/>
      <c r="E971" s="59"/>
      <c r="F971" s="59"/>
    </row>
    <row r="972" ht="12.75" customHeight="1">
      <c r="A972" s="46"/>
      <c r="B972" s="59"/>
      <c r="C972" s="59"/>
      <c r="D972" s="59"/>
      <c r="E972" s="59"/>
      <c r="F972" s="59"/>
    </row>
    <row r="973" ht="12.75" customHeight="1">
      <c r="A973" s="46"/>
      <c r="B973" s="59"/>
      <c r="C973" s="59"/>
      <c r="D973" s="59"/>
      <c r="E973" s="59"/>
      <c r="F973" s="59"/>
    </row>
    <row r="974" ht="12.75" customHeight="1">
      <c r="A974" s="46"/>
      <c r="B974" s="59"/>
      <c r="C974" s="59"/>
      <c r="D974" s="59"/>
      <c r="E974" s="59"/>
      <c r="F974" s="59"/>
    </row>
    <row r="975" ht="12.75" customHeight="1">
      <c r="A975" s="46"/>
      <c r="B975" s="59"/>
      <c r="C975" s="59"/>
      <c r="D975" s="59"/>
      <c r="E975" s="59"/>
      <c r="F975" s="59"/>
    </row>
    <row r="976" ht="12.75" customHeight="1">
      <c r="A976" s="46"/>
      <c r="B976" s="59"/>
      <c r="C976" s="59"/>
      <c r="D976" s="59"/>
      <c r="E976" s="59"/>
      <c r="F976" s="59"/>
    </row>
    <row r="977" ht="12.75" customHeight="1">
      <c r="A977" s="46"/>
      <c r="B977" s="59"/>
      <c r="C977" s="59"/>
      <c r="D977" s="59"/>
      <c r="E977" s="59"/>
      <c r="F977" s="59"/>
    </row>
    <row r="978" ht="12.75" customHeight="1">
      <c r="A978" s="46"/>
      <c r="B978" s="59"/>
      <c r="C978" s="59"/>
      <c r="D978" s="59"/>
      <c r="E978" s="59"/>
      <c r="F978" s="59"/>
    </row>
    <row r="979" ht="12.75" customHeight="1">
      <c r="A979" s="46"/>
      <c r="B979" s="59"/>
      <c r="C979" s="59"/>
      <c r="D979" s="59"/>
      <c r="E979" s="59"/>
      <c r="F979" s="59"/>
    </row>
    <row r="980" ht="12.75" customHeight="1">
      <c r="A980" s="46"/>
      <c r="B980" s="59"/>
      <c r="C980" s="59"/>
      <c r="D980" s="59"/>
      <c r="E980" s="59"/>
      <c r="F980" s="59"/>
    </row>
    <row r="981" ht="12.75" customHeight="1">
      <c r="A981" s="46"/>
      <c r="B981" s="59"/>
      <c r="C981" s="59"/>
      <c r="D981" s="59"/>
      <c r="E981" s="59"/>
      <c r="F981" s="59"/>
    </row>
    <row r="982" ht="12.75" customHeight="1">
      <c r="A982" s="46"/>
      <c r="B982" s="59"/>
      <c r="C982" s="59"/>
      <c r="D982" s="59"/>
      <c r="E982" s="59"/>
      <c r="F982" s="59"/>
    </row>
    <row r="983" ht="12.75" customHeight="1">
      <c r="A983" s="46"/>
      <c r="B983" s="59"/>
      <c r="C983" s="59"/>
      <c r="D983" s="59"/>
      <c r="E983" s="59"/>
      <c r="F983" s="59"/>
    </row>
    <row r="984" ht="12.75" customHeight="1">
      <c r="A984" s="46"/>
      <c r="B984" s="59"/>
      <c r="C984" s="59"/>
      <c r="D984" s="59"/>
      <c r="E984" s="59"/>
      <c r="F984" s="59"/>
    </row>
    <row r="985" ht="12.75" customHeight="1">
      <c r="A985" s="46"/>
      <c r="B985" s="59"/>
      <c r="C985" s="59"/>
      <c r="D985" s="59"/>
      <c r="E985" s="59"/>
      <c r="F985" s="59"/>
    </row>
    <row r="986" ht="12.75" customHeight="1">
      <c r="A986" s="46"/>
      <c r="B986" s="59"/>
      <c r="C986" s="59"/>
      <c r="D986" s="59"/>
      <c r="E986" s="59"/>
      <c r="F986" s="59"/>
    </row>
    <row r="987" ht="12.75" customHeight="1">
      <c r="A987" s="46"/>
      <c r="B987" s="59"/>
      <c r="C987" s="59"/>
      <c r="D987" s="59"/>
      <c r="E987" s="59"/>
      <c r="F987" s="59"/>
    </row>
    <row r="988" ht="12.75" customHeight="1">
      <c r="A988" s="46"/>
      <c r="B988" s="59"/>
      <c r="C988" s="59"/>
      <c r="D988" s="59"/>
      <c r="E988" s="59"/>
      <c r="F988" s="59"/>
    </row>
    <row r="989" ht="12.75" customHeight="1">
      <c r="A989" s="46"/>
      <c r="B989" s="59"/>
      <c r="C989" s="59"/>
      <c r="D989" s="59"/>
      <c r="E989" s="59"/>
      <c r="F989" s="59"/>
    </row>
    <row r="990" ht="12.75" customHeight="1">
      <c r="A990" s="46"/>
      <c r="B990" s="59"/>
      <c r="C990" s="59"/>
      <c r="D990" s="59"/>
      <c r="E990" s="59"/>
      <c r="F990" s="59"/>
    </row>
    <row r="991" ht="12.75" customHeight="1">
      <c r="A991" s="46"/>
      <c r="B991" s="59"/>
      <c r="C991" s="59"/>
      <c r="D991" s="59"/>
      <c r="E991" s="59"/>
      <c r="F991" s="59"/>
    </row>
    <row r="992" ht="12.75" customHeight="1">
      <c r="A992" s="46"/>
      <c r="B992" s="59"/>
      <c r="C992" s="59"/>
      <c r="D992" s="59"/>
      <c r="E992" s="59"/>
      <c r="F992" s="59"/>
    </row>
    <row r="993" ht="12.75" customHeight="1">
      <c r="A993" s="46"/>
      <c r="B993" s="59"/>
      <c r="C993" s="59"/>
      <c r="D993" s="59"/>
      <c r="E993" s="59"/>
      <c r="F993" s="59"/>
    </row>
    <row r="994" ht="12.75" customHeight="1">
      <c r="A994" s="46"/>
      <c r="B994" s="59"/>
      <c r="C994" s="59"/>
      <c r="D994" s="59"/>
      <c r="E994" s="59"/>
      <c r="F994" s="59"/>
    </row>
    <row r="995" ht="12.75" customHeight="1">
      <c r="A995" s="46"/>
      <c r="B995" s="59"/>
      <c r="C995" s="59"/>
      <c r="D995" s="59"/>
      <c r="E995" s="59"/>
      <c r="F995" s="59"/>
    </row>
    <row r="996" ht="12.75" customHeight="1">
      <c r="A996" s="46"/>
      <c r="B996" s="59"/>
      <c r="C996" s="59"/>
      <c r="D996" s="59"/>
      <c r="E996" s="59"/>
      <c r="F996" s="59"/>
    </row>
    <row r="997" ht="12.75" customHeight="1">
      <c r="A997" s="46"/>
      <c r="B997" s="59"/>
      <c r="C997" s="59"/>
      <c r="D997" s="59"/>
      <c r="E997" s="59"/>
      <c r="F997" s="59"/>
    </row>
    <row r="998" ht="12.75" customHeight="1">
      <c r="A998" s="46"/>
      <c r="B998" s="59"/>
      <c r="C998" s="59"/>
      <c r="D998" s="59"/>
      <c r="E998" s="59"/>
      <c r="F998" s="59"/>
    </row>
    <row r="999" ht="12.75" customHeight="1">
      <c r="A999" s="46"/>
      <c r="B999" s="59"/>
      <c r="C999" s="59"/>
      <c r="D999" s="59"/>
      <c r="E999" s="59"/>
      <c r="F999" s="59"/>
    </row>
    <row r="1000" ht="12.75" customHeight="1">
      <c r="A1000" s="46"/>
      <c r="B1000" s="59"/>
      <c r="C1000" s="59"/>
      <c r="D1000" s="59"/>
      <c r="E1000" s="59"/>
      <c r="F1000" s="59"/>
    </row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38"/>
    <col customWidth="1" min="3" max="3" width="13.75"/>
    <col customWidth="1" min="4" max="4" width="11.38"/>
    <col customWidth="1" min="5" max="6" width="10.63"/>
    <col customWidth="1" min="7" max="7" width="12.25"/>
    <col customWidth="1" min="8" max="8" width="10.63"/>
    <col customWidth="1" min="9" max="11" width="11.38"/>
    <col customWidth="1" min="12" max="26" width="10.63"/>
  </cols>
  <sheetData>
    <row r="1" ht="12.75" customHeight="1">
      <c r="A1" s="46">
        <v>4.0</v>
      </c>
      <c r="B1" s="59">
        <f t="shared" ref="B1:B31" si="1">D1-C1</f>
        <v>34330</v>
      </c>
      <c r="C1" s="59">
        <f>989+4231+478+822</f>
        <v>6520</v>
      </c>
      <c r="D1" s="59">
        <f>6200+26500+3000+5150</f>
        <v>40850</v>
      </c>
      <c r="E1" s="59">
        <f t="shared" ref="E1:E31" si="2">D1*2.3681%</f>
        <v>967.36885</v>
      </c>
      <c r="F1" s="59">
        <f t="shared" ref="F1:F31" si="3">D1-E1</f>
        <v>39882.63115</v>
      </c>
      <c r="I1" s="59"/>
      <c r="J1" s="59"/>
      <c r="K1" s="59"/>
    </row>
    <row r="2" ht="12.75" customHeight="1">
      <c r="A2" s="46">
        <v>4.0</v>
      </c>
      <c r="B2" s="59">
        <f t="shared" si="1"/>
        <v>22405</v>
      </c>
      <c r="C2" s="59">
        <f>1031+391+1317+1516</f>
        <v>4255</v>
      </c>
      <c r="D2" s="59">
        <f>6460+2450+8250+9500</f>
        <v>26660</v>
      </c>
      <c r="E2" s="59">
        <f t="shared" si="2"/>
        <v>631.33546</v>
      </c>
      <c r="F2" s="59">
        <f t="shared" si="3"/>
        <v>26028.66454</v>
      </c>
      <c r="I2" s="59"/>
      <c r="J2" s="59"/>
      <c r="K2" s="59"/>
    </row>
    <row r="3" ht="12.75" customHeight="1">
      <c r="A3" s="46">
        <v>1.0</v>
      </c>
      <c r="B3" s="59">
        <f t="shared" si="1"/>
        <v>4328</v>
      </c>
      <c r="C3" s="59">
        <v>822.0</v>
      </c>
      <c r="D3" s="59">
        <v>5150.0</v>
      </c>
      <c r="E3" s="59">
        <f t="shared" si="2"/>
        <v>121.95715</v>
      </c>
      <c r="F3" s="59">
        <f t="shared" si="3"/>
        <v>5028.04285</v>
      </c>
      <c r="I3" s="59"/>
      <c r="J3" s="59"/>
      <c r="K3" s="59"/>
    </row>
    <row r="4" ht="12.75" customHeight="1">
      <c r="A4" s="46">
        <v>4.0</v>
      </c>
      <c r="B4" s="59">
        <f t="shared" si="1"/>
        <v>14918</v>
      </c>
      <c r="C4" s="59">
        <f>582+774+119+1357</f>
        <v>2832</v>
      </c>
      <c r="D4" s="59">
        <f>3650+4850+750+8500</f>
        <v>17750</v>
      </c>
      <c r="E4" s="59">
        <f t="shared" si="2"/>
        <v>420.33775</v>
      </c>
      <c r="F4" s="59">
        <f t="shared" si="3"/>
        <v>17329.66225</v>
      </c>
      <c r="I4" s="59"/>
      <c r="J4" s="59"/>
      <c r="K4" s="59"/>
    </row>
    <row r="5" ht="12.75" customHeight="1">
      <c r="A5" s="46">
        <v>4.0</v>
      </c>
      <c r="B5" s="59">
        <f t="shared" si="1"/>
        <v>17313</v>
      </c>
      <c r="C5" s="59">
        <f>1309+1229+510+239</f>
        <v>3287</v>
      </c>
      <c r="D5" s="59">
        <f>8200+7700+3200+1500</f>
        <v>20600</v>
      </c>
      <c r="E5" s="59">
        <f t="shared" si="2"/>
        <v>487.8286</v>
      </c>
      <c r="F5" s="59">
        <f t="shared" si="3"/>
        <v>20112.1714</v>
      </c>
      <c r="I5" s="59"/>
      <c r="J5" s="59"/>
      <c r="K5" s="59"/>
    </row>
    <row r="6" ht="12.75" customHeight="1">
      <c r="A6" s="46">
        <v>3.0</v>
      </c>
      <c r="B6" s="59">
        <f t="shared" si="1"/>
        <v>17059</v>
      </c>
      <c r="C6" s="59">
        <f>1517+479+1245</f>
        <v>3241</v>
      </c>
      <c r="D6" s="59">
        <f>9500+3000+7800</f>
        <v>20300</v>
      </c>
      <c r="E6" s="59">
        <f t="shared" si="2"/>
        <v>480.7243</v>
      </c>
      <c r="F6" s="59">
        <f t="shared" si="3"/>
        <v>19819.2757</v>
      </c>
      <c r="I6" s="59"/>
      <c r="J6" s="59"/>
      <c r="K6" s="59"/>
    </row>
    <row r="7" ht="12.75" customHeight="1">
      <c r="A7" s="46">
        <v>4.0</v>
      </c>
      <c r="B7" s="59">
        <f t="shared" si="1"/>
        <v>54664</v>
      </c>
      <c r="C7" s="59">
        <f>2547+2395+4710+734</f>
        <v>10386</v>
      </c>
      <c r="D7" s="59">
        <f>15950+15000+29500+4600</f>
        <v>65050</v>
      </c>
      <c r="E7" s="59">
        <f t="shared" si="2"/>
        <v>1540.44905</v>
      </c>
      <c r="F7" s="59">
        <f t="shared" si="3"/>
        <v>63509.55095</v>
      </c>
      <c r="I7" s="59"/>
      <c r="J7" s="59"/>
      <c r="K7" s="59"/>
    </row>
    <row r="8" ht="12.75" customHeight="1">
      <c r="A8" s="46">
        <v>3.0</v>
      </c>
      <c r="B8" s="59">
        <f t="shared" si="1"/>
        <v>35588</v>
      </c>
      <c r="C8" s="59">
        <f>3353+990+2419</f>
        <v>6762</v>
      </c>
      <c r="D8" s="59">
        <f>21000+6200+15150</f>
        <v>42350</v>
      </c>
      <c r="E8" s="59">
        <f t="shared" si="2"/>
        <v>1002.89035</v>
      </c>
      <c r="F8" s="59">
        <f t="shared" si="3"/>
        <v>41347.10965</v>
      </c>
      <c r="I8" s="59"/>
      <c r="J8" s="59"/>
      <c r="K8" s="59"/>
    </row>
    <row r="9" ht="12.75" customHeight="1">
      <c r="A9" s="46">
        <v>5.0</v>
      </c>
      <c r="B9" s="59">
        <f t="shared" si="1"/>
        <v>67017</v>
      </c>
      <c r="C9" s="59">
        <f>519+2874+1597+2634+5109</f>
        <v>12733</v>
      </c>
      <c r="D9" s="59">
        <f>3250+18000+10000+16500+32000</f>
        <v>79750</v>
      </c>
      <c r="E9" s="59">
        <f t="shared" si="2"/>
        <v>1888.55975</v>
      </c>
      <c r="F9" s="59">
        <f t="shared" si="3"/>
        <v>77861.44025</v>
      </c>
      <c r="I9" s="59"/>
      <c r="J9" s="59"/>
      <c r="K9" s="59"/>
    </row>
    <row r="10" ht="12.75" customHeight="1">
      <c r="A10" s="46">
        <v>2.0</v>
      </c>
      <c r="B10" s="59">
        <f t="shared" si="1"/>
        <v>3362</v>
      </c>
      <c r="C10" s="59">
        <f>319+319</f>
        <v>638</v>
      </c>
      <c r="D10" s="59">
        <f>2000+2000</f>
        <v>4000</v>
      </c>
      <c r="E10" s="59">
        <f t="shared" si="2"/>
        <v>94.724</v>
      </c>
      <c r="F10" s="59">
        <f t="shared" si="3"/>
        <v>3905.276</v>
      </c>
      <c r="I10" s="59"/>
      <c r="J10" s="59"/>
      <c r="K10" s="59"/>
    </row>
    <row r="11" ht="12.75" customHeight="1">
      <c r="A11" s="46">
        <v>6.0</v>
      </c>
      <c r="B11" s="59">
        <f t="shared" si="1"/>
        <v>50420</v>
      </c>
      <c r="C11" s="59">
        <f>1756+208+479+862+208+6067</f>
        <v>9580</v>
      </c>
      <c r="D11" s="59">
        <f>11000+1300+3000+5400+1300+38000</f>
        <v>60000</v>
      </c>
      <c r="E11" s="59">
        <f t="shared" si="2"/>
        <v>1420.86</v>
      </c>
      <c r="F11" s="59">
        <f t="shared" si="3"/>
        <v>58579.14</v>
      </c>
      <c r="I11" s="59"/>
      <c r="J11" s="59"/>
      <c r="K11" s="59"/>
    </row>
    <row r="12" ht="12.75" customHeight="1">
      <c r="A12" s="46">
        <v>8.0</v>
      </c>
      <c r="B12" s="59">
        <f t="shared" si="1"/>
        <v>43640</v>
      </c>
      <c r="C12" s="59">
        <f>1357+1437+790+2451+683+327+287+958</f>
        <v>8290</v>
      </c>
      <c r="D12" s="59">
        <f>8500+9000+4950+15350+4280+2050+1800+6000</f>
        <v>51930</v>
      </c>
      <c r="E12" s="59">
        <f t="shared" si="2"/>
        <v>1229.75433</v>
      </c>
      <c r="F12" s="59">
        <f t="shared" si="3"/>
        <v>50700.24567</v>
      </c>
      <c r="I12" s="59"/>
      <c r="J12" s="59"/>
      <c r="K12" s="59"/>
    </row>
    <row r="13" ht="12.75" customHeight="1">
      <c r="A13" s="46">
        <v>1.0</v>
      </c>
      <c r="B13" s="59">
        <f t="shared" si="1"/>
        <v>1513</v>
      </c>
      <c r="C13" s="59">
        <v>287.0</v>
      </c>
      <c r="D13" s="59">
        <v>1800.0</v>
      </c>
      <c r="E13" s="59">
        <f t="shared" si="2"/>
        <v>42.6258</v>
      </c>
      <c r="F13" s="59">
        <f t="shared" si="3"/>
        <v>1757.3742</v>
      </c>
      <c r="I13" s="59"/>
      <c r="J13" s="59"/>
      <c r="K13" s="59"/>
    </row>
    <row r="14" ht="12.75" customHeight="1">
      <c r="A14" s="46">
        <v>0.0</v>
      </c>
      <c r="B14" s="59">
        <f t="shared" si="1"/>
        <v>0</v>
      </c>
      <c r="C14" s="59">
        <v>0.0</v>
      </c>
      <c r="D14" s="59">
        <v>0.0</v>
      </c>
      <c r="E14" s="59">
        <f t="shared" si="2"/>
        <v>0</v>
      </c>
      <c r="F14" s="59">
        <f t="shared" si="3"/>
        <v>0</v>
      </c>
      <c r="I14" s="59"/>
      <c r="J14" s="59"/>
      <c r="K14" s="59"/>
    </row>
    <row r="15" ht="12.75" customHeight="1">
      <c r="A15" s="46">
        <v>4.0</v>
      </c>
      <c r="B15" s="59">
        <f t="shared" si="1"/>
        <v>25043</v>
      </c>
      <c r="C15" s="59">
        <f>367+878+1357+2155</f>
        <v>4757</v>
      </c>
      <c r="D15" s="59">
        <f>2300+5500+8500+13500</f>
        <v>29800</v>
      </c>
      <c r="E15" s="59">
        <f t="shared" si="2"/>
        <v>705.6938</v>
      </c>
      <c r="F15" s="59">
        <f t="shared" si="3"/>
        <v>29094.3062</v>
      </c>
      <c r="I15" s="59"/>
      <c r="J15" s="59"/>
      <c r="K15" s="59"/>
    </row>
    <row r="16" ht="12.75" customHeight="1">
      <c r="A16" s="46">
        <v>5.0</v>
      </c>
      <c r="B16" s="59">
        <f t="shared" si="1"/>
        <v>42857</v>
      </c>
      <c r="C16" s="59">
        <f>958+958+1118+3193+1916</f>
        <v>8143</v>
      </c>
      <c r="D16" s="59">
        <f>6000+6000+7000+20000+12000</f>
        <v>51000</v>
      </c>
      <c r="E16" s="59">
        <f t="shared" si="2"/>
        <v>1207.731</v>
      </c>
      <c r="F16" s="59">
        <f t="shared" si="3"/>
        <v>49792.269</v>
      </c>
      <c r="I16" s="59"/>
      <c r="J16" s="59"/>
      <c r="K16" s="59"/>
    </row>
    <row r="17" ht="12.75" customHeight="1">
      <c r="A17" s="46">
        <v>4.0</v>
      </c>
      <c r="B17" s="59">
        <f t="shared" si="1"/>
        <v>28572</v>
      </c>
      <c r="C17" s="59">
        <f>2618+239+1437+1134</f>
        <v>5428</v>
      </c>
      <c r="D17" s="59">
        <f>16400+1500+9000+7100</f>
        <v>34000</v>
      </c>
      <c r="E17" s="59">
        <f t="shared" si="2"/>
        <v>805.154</v>
      </c>
      <c r="F17" s="59">
        <f t="shared" si="3"/>
        <v>33194.846</v>
      </c>
      <c r="I17" s="59"/>
      <c r="J17" s="59"/>
      <c r="K17" s="59"/>
    </row>
    <row r="18" ht="12.75" customHeight="1">
      <c r="A18" s="46">
        <v>2.0</v>
      </c>
      <c r="B18" s="59">
        <f t="shared" si="1"/>
        <v>16008</v>
      </c>
      <c r="C18" s="59">
        <f>2874+168</f>
        <v>3042</v>
      </c>
      <c r="D18" s="59">
        <f>18000+1050</f>
        <v>19050</v>
      </c>
      <c r="E18" s="59">
        <f t="shared" si="2"/>
        <v>451.12305</v>
      </c>
      <c r="F18" s="59">
        <f t="shared" si="3"/>
        <v>18598.87695</v>
      </c>
      <c r="I18" s="59"/>
      <c r="J18" s="59"/>
      <c r="K18" s="59"/>
    </row>
    <row r="19" ht="12.75" customHeight="1">
      <c r="A19" s="46">
        <v>5.0</v>
      </c>
      <c r="B19" s="59">
        <f t="shared" si="1"/>
        <v>47143</v>
      </c>
      <c r="C19" s="59">
        <f>1357+1597+3768+1916+319</f>
        <v>8957</v>
      </c>
      <c r="D19" s="59">
        <f>8500+10000+23600+12000+2000</f>
        <v>56100</v>
      </c>
      <c r="E19" s="59">
        <f t="shared" si="2"/>
        <v>1328.5041</v>
      </c>
      <c r="F19" s="59">
        <f t="shared" si="3"/>
        <v>54771.4959</v>
      </c>
      <c r="I19" s="59"/>
      <c r="J19" s="59"/>
      <c r="K19" s="59"/>
    </row>
    <row r="20" ht="12.75" customHeight="1">
      <c r="A20" s="46">
        <v>5.0</v>
      </c>
      <c r="B20" s="59">
        <f t="shared" si="1"/>
        <v>48529</v>
      </c>
      <c r="C20" s="59">
        <f>2395+1637+3193+639+1357</f>
        <v>9221</v>
      </c>
      <c r="D20" s="59">
        <f>15000+10250+20000+4000+8500</f>
        <v>57750</v>
      </c>
      <c r="E20" s="59">
        <f t="shared" si="2"/>
        <v>1367.57775</v>
      </c>
      <c r="F20" s="59">
        <f t="shared" si="3"/>
        <v>56382.42225</v>
      </c>
      <c r="I20" s="59"/>
      <c r="J20" s="59"/>
      <c r="K20" s="59"/>
    </row>
    <row r="21" ht="12.75" customHeight="1">
      <c r="A21" s="46">
        <v>1.0</v>
      </c>
      <c r="B21" s="59">
        <f t="shared" si="1"/>
        <v>5210</v>
      </c>
      <c r="C21" s="59">
        <v>990.0</v>
      </c>
      <c r="D21" s="59">
        <v>6200.0</v>
      </c>
      <c r="E21" s="59">
        <f t="shared" si="2"/>
        <v>146.8222</v>
      </c>
      <c r="F21" s="59">
        <f t="shared" si="3"/>
        <v>6053.1778</v>
      </c>
      <c r="I21" s="59"/>
      <c r="J21" s="59"/>
      <c r="K21" s="59"/>
    </row>
    <row r="22" ht="12.75" customHeight="1">
      <c r="A22" s="46">
        <v>6.0</v>
      </c>
      <c r="B22" s="59">
        <f t="shared" si="1"/>
        <v>37142</v>
      </c>
      <c r="C22" s="59">
        <f>1597+479+479+2132+295+2076</f>
        <v>7058</v>
      </c>
      <c r="D22" s="59">
        <f>10000+3000+3000+13350+1850+13000</f>
        <v>44200</v>
      </c>
      <c r="E22" s="59">
        <f t="shared" si="2"/>
        <v>1046.7002</v>
      </c>
      <c r="F22" s="59">
        <f t="shared" si="3"/>
        <v>43153.2998</v>
      </c>
      <c r="I22" s="59"/>
      <c r="J22" s="59"/>
      <c r="K22" s="59"/>
    </row>
    <row r="23" ht="12.75" customHeight="1">
      <c r="A23" s="46">
        <v>5.0</v>
      </c>
      <c r="B23" s="59">
        <f t="shared" si="1"/>
        <v>34075</v>
      </c>
      <c r="C23" s="59">
        <f>623+958+1437+503+2954</f>
        <v>6475</v>
      </c>
      <c r="D23" s="59">
        <f>3900+6000+9000+3150+18500</f>
        <v>40550</v>
      </c>
      <c r="E23" s="59">
        <f t="shared" si="2"/>
        <v>960.26455</v>
      </c>
      <c r="F23" s="59">
        <f t="shared" si="3"/>
        <v>39589.73545</v>
      </c>
      <c r="I23" s="59"/>
      <c r="J23" s="59"/>
      <c r="K23" s="59"/>
    </row>
    <row r="24" ht="12.75" customHeight="1">
      <c r="A24" s="46">
        <v>23.0</v>
      </c>
      <c r="B24" s="59">
        <f t="shared" si="1"/>
        <v>277690</v>
      </c>
      <c r="C24" s="59">
        <f>479+1229+1573+3353+3928+1437+2155+798+12613+1517+2155+3656+798+2163+3113+1389+192+192+168+2555+591+1916+4790</f>
        <v>52760</v>
      </c>
      <c r="D24" s="59">
        <f>3000+7700+9850+21000+24600+9000+13500+5000+79000+9500+13500+22900+5000+13550+19500+8700+1200+1200+1050+16000+3700+12000+30000</f>
        <v>330450</v>
      </c>
      <c r="E24" s="59">
        <f t="shared" si="2"/>
        <v>7825.38645</v>
      </c>
      <c r="F24" s="59">
        <f t="shared" si="3"/>
        <v>322624.6136</v>
      </c>
      <c r="I24" s="59"/>
      <c r="J24" s="59"/>
      <c r="K24" s="59"/>
    </row>
    <row r="25" ht="12.75" customHeight="1">
      <c r="A25" s="46">
        <v>2.0</v>
      </c>
      <c r="B25" s="59">
        <f t="shared" si="1"/>
        <v>10588</v>
      </c>
      <c r="C25" s="59">
        <f>958+1054</f>
        <v>2012</v>
      </c>
      <c r="D25" s="59">
        <f>6000+6600</f>
        <v>12600</v>
      </c>
      <c r="E25" s="59">
        <f t="shared" si="2"/>
        <v>298.3806</v>
      </c>
      <c r="F25" s="59">
        <f t="shared" si="3"/>
        <v>12301.6194</v>
      </c>
      <c r="I25" s="59"/>
      <c r="J25" s="59"/>
      <c r="K25" s="59"/>
    </row>
    <row r="26" ht="12.75" customHeight="1">
      <c r="A26" s="46">
        <v>0.0</v>
      </c>
      <c r="B26" s="59">
        <f t="shared" si="1"/>
        <v>0</v>
      </c>
      <c r="C26" s="59">
        <v>0.0</v>
      </c>
      <c r="D26" s="59">
        <v>0.0</v>
      </c>
      <c r="E26" s="59">
        <f t="shared" si="2"/>
        <v>0</v>
      </c>
      <c r="F26" s="59">
        <f t="shared" si="3"/>
        <v>0</v>
      </c>
      <c r="I26" s="59"/>
      <c r="J26" s="59"/>
      <c r="K26" s="59"/>
    </row>
    <row r="27" ht="12.75" customHeight="1">
      <c r="A27" s="46">
        <v>0.0</v>
      </c>
      <c r="B27" s="59">
        <f t="shared" si="1"/>
        <v>0</v>
      </c>
      <c r="C27" s="59">
        <v>0.0</v>
      </c>
      <c r="D27" s="59">
        <v>0.0</v>
      </c>
      <c r="E27" s="59">
        <f t="shared" si="2"/>
        <v>0</v>
      </c>
      <c r="F27" s="59">
        <f t="shared" si="3"/>
        <v>0</v>
      </c>
      <c r="I27" s="59"/>
      <c r="J27" s="59"/>
      <c r="K27" s="59"/>
    </row>
    <row r="28" ht="12.75" customHeight="1">
      <c r="A28" s="46">
        <v>1.0</v>
      </c>
      <c r="B28" s="59">
        <f t="shared" si="1"/>
        <v>11639</v>
      </c>
      <c r="C28" s="59">
        <v>2211.0</v>
      </c>
      <c r="D28" s="59">
        <v>13850.0</v>
      </c>
      <c r="E28" s="59">
        <f t="shared" si="2"/>
        <v>327.98185</v>
      </c>
      <c r="F28" s="59">
        <f t="shared" si="3"/>
        <v>13522.01815</v>
      </c>
      <c r="I28" s="59"/>
      <c r="J28" s="59"/>
      <c r="K28" s="59"/>
    </row>
    <row r="29" ht="12.75" customHeight="1">
      <c r="A29" s="46">
        <v>2.0</v>
      </c>
      <c r="B29" s="59">
        <f t="shared" si="1"/>
        <v>14453</v>
      </c>
      <c r="C29" s="59">
        <f>192+2555</f>
        <v>2747</v>
      </c>
      <c r="D29" s="59">
        <f>1200+16000</f>
        <v>17200</v>
      </c>
      <c r="E29" s="59">
        <f t="shared" si="2"/>
        <v>407.3132</v>
      </c>
      <c r="F29" s="59">
        <f t="shared" si="3"/>
        <v>16792.6868</v>
      </c>
      <c r="I29" s="59"/>
      <c r="J29" s="59"/>
      <c r="K29" s="59"/>
    </row>
    <row r="30" ht="12.75" customHeight="1">
      <c r="A30" s="46">
        <v>3.0</v>
      </c>
      <c r="B30" s="59">
        <f t="shared" si="1"/>
        <v>49882</v>
      </c>
      <c r="C30" s="59">
        <f>5109+1118+3251</f>
        <v>9478</v>
      </c>
      <c r="D30" s="59">
        <f>32000+7000+20360</f>
        <v>59360</v>
      </c>
      <c r="E30" s="59">
        <f t="shared" si="2"/>
        <v>1405.70416</v>
      </c>
      <c r="F30" s="59">
        <f t="shared" si="3"/>
        <v>57954.29584</v>
      </c>
      <c r="I30" s="81" t="s">
        <v>1</v>
      </c>
      <c r="J30" s="67"/>
      <c r="K30" s="81" t="s">
        <v>3381</v>
      </c>
    </row>
    <row r="31" ht="12.75" customHeight="1">
      <c r="A31" s="46">
        <v>4.0</v>
      </c>
      <c r="B31" s="59">
        <f t="shared" si="1"/>
        <v>33655</v>
      </c>
      <c r="C31" s="59">
        <f>160+4638+1118+479</f>
        <v>6395</v>
      </c>
      <c r="D31" s="59">
        <f>1000+29050+7000+3000</f>
        <v>40050</v>
      </c>
      <c r="E31" s="59">
        <f t="shared" si="2"/>
        <v>948.42405</v>
      </c>
      <c r="F31" s="59">
        <f t="shared" si="3"/>
        <v>39101.57595</v>
      </c>
      <c r="H31" s="37" t="s">
        <v>3387</v>
      </c>
      <c r="I31" s="59">
        <v>114399.0</v>
      </c>
      <c r="J31" s="59"/>
      <c r="K31" s="59">
        <v>199317.0</v>
      </c>
      <c r="L31" s="37" t="s">
        <v>2</v>
      </c>
    </row>
    <row r="32" ht="12.75" customHeight="1">
      <c r="A32" s="86">
        <f t="shared" ref="A32:F32" si="4">SUM(A1:A31)</f>
        <v>121</v>
      </c>
      <c r="B32" s="66">
        <f t="shared" si="4"/>
        <v>1049043</v>
      </c>
      <c r="C32" s="66">
        <f t="shared" si="4"/>
        <v>199307</v>
      </c>
      <c r="D32" s="66">
        <f t="shared" si="4"/>
        <v>1248350</v>
      </c>
      <c r="E32" s="67">
        <f t="shared" si="4"/>
        <v>29562.17635</v>
      </c>
      <c r="F32" s="67">
        <f t="shared" si="4"/>
        <v>1218787.824</v>
      </c>
      <c r="H32" s="37" t="s">
        <v>3381</v>
      </c>
      <c r="I32" s="59">
        <v>21736.0</v>
      </c>
      <c r="J32" s="59"/>
      <c r="K32" s="59">
        <v>21736.0</v>
      </c>
      <c r="L32" s="37" t="s">
        <v>1</v>
      </c>
    </row>
    <row r="33" ht="12.75" customHeight="1">
      <c r="A33" s="46"/>
      <c r="B33" s="59"/>
      <c r="C33" s="59"/>
      <c r="D33" s="59"/>
      <c r="H33" s="37" t="s">
        <v>3388</v>
      </c>
      <c r="I33" s="59">
        <v>136135.0</v>
      </c>
      <c r="J33" s="59"/>
      <c r="K33" s="66">
        <f>K31-K32</f>
        <v>177581</v>
      </c>
    </row>
    <row r="34" ht="12.75" customHeight="1">
      <c r="A34" s="46"/>
      <c r="B34" s="59"/>
      <c r="C34" s="59"/>
      <c r="D34" s="59"/>
      <c r="I34" s="59"/>
      <c r="J34" s="59"/>
      <c r="K34" s="59"/>
    </row>
    <row r="35" ht="12.75" customHeight="1">
      <c r="A35" s="46"/>
      <c r="B35" s="59"/>
      <c r="C35" s="78" t="s">
        <v>3218</v>
      </c>
      <c r="D35" s="78">
        <f>D32*2.3681%</f>
        <v>29562.17635</v>
      </c>
      <c r="G35" s="85" t="s">
        <v>3386</v>
      </c>
      <c r="H35" s="37" t="s">
        <v>3387</v>
      </c>
      <c r="I35" s="59">
        <v>8671.0</v>
      </c>
      <c r="J35" s="59"/>
      <c r="K35" s="59"/>
    </row>
    <row r="36" ht="12.75" customHeight="1">
      <c r="A36" s="46"/>
      <c r="B36" s="59">
        <v>1049033.0</v>
      </c>
      <c r="C36" s="59">
        <v>199317.0</v>
      </c>
      <c r="D36" s="59">
        <f>C36+B36</f>
        <v>1248350</v>
      </c>
      <c r="H36" s="37" t="s">
        <v>3381</v>
      </c>
      <c r="I36" s="59">
        <v>1647.0</v>
      </c>
      <c r="J36" s="59"/>
      <c r="K36" s="59"/>
    </row>
    <row r="37" ht="12.75" customHeight="1">
      <c r="A37" s="46"/>
      <c r="B37" s="59">
        <f t="shared" ref="B37:D37" si="5">B36-B32</f>
        <v>-10</v>
      </c>
      <c r="C37" s="59">
        <f t="shared" si="5"/>
        <v>10</v>
      </c>
      <c r="D37" s="59">
        <f t="shared" si="5"/>
        <v>0</v>
      </c>
      <c r="H37" s="37" t="s">
        <v>3388</v>
      </c>
      <c r="I37" s="59">
        <v>10318.0</v>
      </c>
      <c r="J37" s="59"/>
      <c r="K37" s="59"/>
    </row>
    <row r="38" ht="12.75" customHeight="1">
      <c r="A38" s="46"/>
      <c r="B38" s="59"/>
      <c r="C38" s="59"/>
      <c r="D38" s="59"/>
      <c r="I38" s="59"/>
      <c r="J38" s="59"/>
      <c r="K38" s="59"/>
    </row>
    <row r="39" ht="12.75" customHeight="1">
      <c r="A39" s="46"/>
      <c r="B39" s="59"/>
      <c r="C39" s="59"/>
      <c r="D39" s="59"/>
      <c r="I39" s="59"/>
      <c r="J39" s="59"/>
      <c r="K39" s="59"/>
    </row>
    <row r="40" ht="12.75" customHeight="1">
      <c r="A40" s="46"/>
      <c r="B40" s="59"/>
      <c r="C40" s="59"/>
      <c r="D40" s="59"/>
      <c r="I40" s="59"/>
      <c r="J40" s="59"/>
      <c r="K40" s="59"/>
    </row>
    <row r="41" ht="12.75" customHeight="1">
      <c r="A41" s="46"/>
      <c r="B41" s="59"/>
      <c r="C41" s="59"/>
      <c r="D41" s="59"/>
      <c r="I41" s="59"/>
      <c r="J41" s="59"/>
      <c r="K41" s="59"/>
    </row>
    <row r="42" ht="12.75" customHeight="1">
      <c r="A42" s="46"/>
      <c r="B42" s="59"/>
      <c r="C42" s="59"/>
      <c r="D42" s="59"/>
      <c r="I42" s="59"/>
      <c r="J42" s="59"/>
      <c r="K42" s="59"/>
    </row>
    <row r="43" ht="12.75" customHeight="1">
      <c r="A43" s="46"/>
      <c r="B43" s="59"/>
      <c r="C43" s="59"/>
      <c r="D43" s="59"/>
      <c r="I43" s="59"/>
      <c r="J43" s="59"/>
      <c r="K43" s="59"/>
    </row>
    <row r="44" ht="12.75" customHeight="1">
      <c r="A44" s="46"/>
      <c r="B44" s="59"/>
      <c r="C44" s="59"/>
      <c r="D44" s="59"/>
      <c r="I44" s="59"/>
      <c r="J44" s="59"/>
      <c r="K44" s="59"/>
    </row>
    <row r="45" ht="12.75" customHeight="1">
      <c r="A45" s="46"/>
      <c r="B45" s="59"/>
      <c r="C45" s="59"/>
      <c r="D45" s="59"/>
      <c r="I45" s="59"/>
      <c r="J45" s="59"/>
      <c r="K45" s="59"/>
    </row>
    <row r="46" ht="12.75" customHeight="1">
      <c r="A46" s="46"/>
      <c r="B46" s="59"/>
      <c r="C46" s="59"/>
      <c r="D46" s="59"/>
      <c r="I46" s="59"/>
      <c r="J46" s="59"/>
      <c r="K46" s="59"/>
    </row>
    <row r="47" ht="12.75" customHeight="1">
      <c r="A47" s="46"/>
      <c r="B47" s="59"/>
      <c r="C47" s="59"/>
      <c r="D47" s="59"/>
      <c r="I47" s="59"/>
      <c r="J47" s="59"/>
      <c r="K47" s="59"/>
    </row>
    <row r="48" ht="12.75" customHeight="1">
      <c r="A48" s="46"/>
      <c r="B48" s="59"/>
      <c r="C48" s="59"/>
      <c r="D48" s="59"/>
      <c r="I48" s="59"/>
      <c r="J48" s="59"/>
      <c r="K48" s="59"/>
    </row>
    <row r="49" ht="12.75" customHeight="1">
      <c r="A49" s="46"/>
      <c r="B49" s="59"/>
      <c r="C49" s="59"/>
      <c r="D49" s="59"/>
      <c r="I49" s="59"/>
      <c r="J49" s="59"/>
      <c r="K49" s="59"/>
    </row>
    <row r="50" ht="12.75" customHeight="1">
      <c r="A50" s="46"/>
      <c r="B50" s="59"/>
      <c r="C50" s="59"/>
      <c r="D50" s="59"/>
      <c r="I50" s="59"/>
      <c r="J50" s="59"/>
      <c r="K50" s="59"/>
    </row>
    <row r="51" ht="12.75" customHeight="1">
      <c r="A51" s="46"/>
      <c r="B51" s="59"/>
      <c r="C51" s="59"/>
      <c r="D51" s="59"/>
      <c r="I51" s="59"/>
      <c r="J51" s="59"/>
      <c r="K51" s="59"/>
    </row>
    <row r="52" ht="12.75" customHeight="1">
      <c r="A52" s="46"/>
      <c r="B52" s="59"/>
      <c r="C52" s="59"/>
      <c r="D52" s="59"/>
      <c r="I52" s="59"/>
      <c r="J52" s="59"/>
      <c r="K52" s="59"/>
    </row>
    <row r="53" ht="12.75" customHeight="1">
      <c r="A53" s="46"/>
      <c r="B53" s="59"/>
      <c r="C53" s="59"/>
      <c r="D53" s="59"/>
      <c r="I53" s="59"/>
      <c r="J53" s="59"/>
      <c r="K53" s="59"/>
    </row>
    <row r="54" ht="12.75" customHeight="1">
      <c r="A54" s="46"/>
      <c r="B54" s="59"/>
      <c r="C54" s="59"/>
      <c r="D54" s="59"/>
      <c r="I54" s="59"/>
      <c r="J54" s="59"/>
      <c r="K54" s="59"/>
    </row>
    <row r="55" ht="12.75" customHeight="1">
      <c r="A55" s="46"/>
      <c r="B55" s="59"/>
      <c r="C55" s="59"/>
      <c r="D55" s="59"/>
      <c r="I55" s="59"/>
      <c r="J55" s="59"/>
      <c r="K55" s="59"/>
    </row>
    <row r="56" ht="12.75" customHeight="1">
      <c r="A56" s="46"/>
      <c r="B56" s="59"/>
      <c r="C56" s="59"/>
      <c r="D56" s="59"/>
      <c r="I56" s="59"/>
      <c r="J56" s="59"/>
      <c r="K56" s="59"/>
    </row>
    <row r="57" ht="12.75" customHeight="1">
      <c r="A57" s="46"/>
      <c r="B57" s="59"/>
      <c r="C57" s="59"/>
      <c r="D57" s="59"/>
      <c r="I57" s="59"/>
      <c r="J57" s="59"/>
      <c r="K57" s="59"/>
    </row>
    <row r="58" ht="12.75" customHeight="1">
      <c r="A58" s="46"/>
      <c r="B58" s="59"/>
      <c r="C58" s="59"/>
      <c r="D58" s="59"/>
      <c r="I58" s="59"/>
      <c r="J58" s="59"/>
      <c r="K58" s="59"/>
    </row>
    <row r="59" ht="12.75" customHeight="1">
      <c r="A59" s="46"/>
      <c r="B59" s="59"/>
      <c r="C59" s="59"/>
      <c r="D59" s="59"/>
      <c r="I59" s="59"/>
      <c r="J59" s="59"/>
      <c r="K59" s="59"/>
    </row>
    <row r="60" ht="12.75" customHeight="1">
      <c r="A60" s="46"/>
      <c r="B60" s="59"/>
      <c r="C60" s="59"/>
      <c r="D60" s="59"/>
      <c r="I60" s="59"/>
      <c r="J60" s="59"/>
      <c r="K60" s="59"/>
    </row>
    <row r="61" ht="12.75" customHeight="1">
      <c r="A61" s="46"/>
      <c r="B61" s="59"/>
      <c r="C61" s="59"/>
      <c r="D61" s="59"/>
      <c r="I61" s="59"/>
      <c r="J61" s="59"/>
      <c r="K61" s="59"/>
    </row>
    <row r="62" ht="12.75" customHeight="1">
      <c r="A62" s="46"/>
      <c r="B62" s="59"/>
      <c r="C62" s="59"/>
      <c r="D62" s="59"/>
      <c r="I62" s="59"/>
      <c r="J62" s="59"/>
      <c r="K62" s="59"/>
    </row>
    <row r="63" ht="12.75" customHeight="1">
      <c r="A63" s="46"/>
      <c r="B63" s="59"/>
      <c r="C63" s="59"/>
      <c r="D63" s="59"/>
      <c r="I63" s="59"/>
      <c r="J63" s="59"/>
      <c r="K63" s="59"/>
    </row>
    <row r="64" ht="12.75" customHeight="1">
      <c r="A64" s="46"/>
      <c r="B64" s="59"/>
      <c r="C64" s="59"/>
      <c r="D64" s="59"/>
      <c r="I64" s="59"/>
      <c r="J64" s="59"/>
      <c r="K64" s="59"/>
    </row>
    <row r="65" ht="12.75" customHeight="1">
      <c r="A65" s="46"/>
      <c r="B65" s="59"/>
      <c r="C65" s="59"/>
      <c r="D65" s="59"/>
      <c r="I65" s="59"/>
      <c r="J65" s="59"/>
      <c r="K65" s="59"/>
    </row>
    <row r="66" ht="12.75" customHeight="1">
      <c r="A66" s="46"/>
      <c r="B66" s="59"/>
      <c r="C66" s="59"/>
      <c r="D66" s="59"/>
      <c r="I66" s="59"/>
      <c r="J66" s="59"/>
      <c r="K66" s="59"/>
    </row>
    <row r="67" ht="12.75" customHeight="1">
      <c r="A67" s="46"/>
      <c r="B67" s="59"/>
      <c r="C67" s="59"/>
      <c r="D67" s="59"/>
      <c r="I67" s="59"/>
      <c r="J67" s="59"/>
      <c r="K67" s="59"/>
    </row>
    <row r="68" ht="12.75" customHeight="1">
      <c r="A68" s="46"/>
      <c r="B68" s="59"/>
      <c r="C68" s="59"/>
      <c r="D68" s="59"/>
      <c r="I68" s="59"/>
      <c r="J68" s="59"/>
      <c r="K68" s="59"/>
    </row>
    <row r="69" ht="12.75" customHeight="1">
      <c r="A69" s="46"/>
      <c r="B69" s="59"/>
      <c r="C69" s="59"/>
      <c r="D69" s="59"/>
      <c r="I69" s="59"/>
      <c r="J69" s="59"/>
      <c r="K69" s="59"/>
    </row>
    <row r="70" ht="12.75" customHeight="1">
      <c r="A70" s="46"/>
      <c r="B70" s="59"/>
      <c r="C70" s="59"/>
      <c r="D70" s="59"/>
      <c r="I70" s="59"/>
      <c r="J70" s="59"/>
      <c r="K70" s="59"/>
    </row>
    <row r="71" ht="12.75" customHeight="1">
      <c r="A71" s="46"/>
      <c r="B71" s="59"/>
      <c r="C71" s="59"/>
      <c r="D71" s="59"/>
      <c r="I71" s="59"/>
      <c r="J71" s="59"/>
      <c r="K71" s="59"/>
    </row>
    <row r="72" ht="12.75" customHeight="1">
      <c r="A72" s="46"/>
      <c r="B72" s="59"/>
      <c r="C72" s="59"/>
      <c r="D72" s="59"/>
      <c r="I72" s="59"/>
      <c r="J72" s="59"/>
      <c r="K72" s="59"/>
    </row>
    <row r="73" ht="12.75" customHeight="1">
      <c r="A73" s="46"/>
      <c r="B73" s="59"/>
      <c r="C73" s="59"/>
      <c r="D73" s="59"/>
      <c r="I73" s="59"/>
      <c r="J73" s="59"/>
      <c r="K73" s="59"/>
    </row>
    <row r="74" ht="12.75" customHeight="1">
      <c r="A74" s="46"/>
      <c r="B74" s="59"/>
      <c r="C74" s="59"/>
      <c r="D74" s="59"/>
      <c r="I74" s="59"/>
      <c r="J74" s="59"/>
      <c r="K74" s="59"/>
    </row>
    <row r="75" ht="12.75" customHeight="1">
      <c r="A75" s="46"/>
      <c r="B75" s="59"/>
      <c r="C75" s="59"/>
      <c r="D75" s="59"/>
      <c r="I75" s="59"/>
      <c r="J75" s="59"/>
      <c r="K75" s="59"/>
    </row>
    <row r="76" ht="12.75" customHeight="1">
      <c r="A76" s="46"/>
      <c r="B76" s="59"/>
      <c r="C76" s="59"/>
      <c r="D76" s="59"/>
      <c r="I76" s="59"/>
      <c r="J76" s="59"/>
      <c r="K76" s="59"/>
    </row>
    <row r="77" ht="12.75" customHeight="1">
      <c r="A77" s="46"/>
      <c r="B77" s="59"/>
      <c r="C77" s="59"/>
      <c r="D77" s="59"/>
      <c r="I77" s="59"/>
      <c r="J77" s="59"/>
      <c r="K77" s="59"/>
    </row>
    <row r="78" ht="12.75" customHeight="1">
      <c r="A78" s="46"/>
      <c r="B78" s="59"/>
      <c r="C78" s="59"/>
      <c r="D78" s="59"/>
      <c r="I78" s="59"/>
      <c r="J78" s="59"/>
      <c r="K78" s="59"/>
    </row>
    <row r="79" ht="12.75" customHeight="1">
      <c r="A79" s="46"/>
      <c r="B79" s="59"/>
      <c r="C79" s="59"/>
      <c r="D79" s="59"/>
      <c r="I79" s="59"/>
      <c r="J79" s="59"/>
      <c r="K79" s="59"/>
    </row>
    <row r="80" ht="12.75" customHeight="1">
      <c r="A80" s="46"/>
      <c r="B80" s="59"/>
      <c r="C80" s="59"/>
      <c r="D80" s="59"/>
      <c r="I80" s="59"/>
      <c r="J80" s="59"/>
      <c r="K80" s="59"/>
    </row>
    <row r="81" ht="12.75" customHeight="1">
      <c r="A81" s="46"/>
      <c r="B81" s="59"/>
      <c r="C81" s="59"/>
      <c r="D81" s="59"/>
      <c r="I81" s="59"/>
      <c r="J81" s="59"/>
      <c r="K81" s="59"/>
    </row>
    <row r="82" ht="12.75" customHeight="1">
      <c r="A82" s="46"/>
      <c r="B82" s="59"/>
      <c r="C82" s="59"/>
      <c r="D82" s="59"/>
      <c r="I82" s="59"/>
      <c r="J82" s="59"/>
      <c r="K82" s="59"/>
    </row>
    <row r="83" ht="12.75" customHeight="1">
      <c r="A83" s="46"/>
      <c r="B83" s="59"/>
      <c r="C83" s="59"/>
      <c r="D83" s="59"/>
      <c r="I83" s="59"/>
      <c r="J83" s="59"/>
      <c r="K83" s="59"/>
    </row>
    <row r="84" ht="12.75" customHeight="1">
      <c r="A84" s="46"/>
      <c r="B84" s="59"/>
      <c r="C84" s="59"/>
      <c r="D84" s="59"/>
      <c r="I84" s="59"/>
      <c r="J84" s="59"/>
      <c r="K84" s="59"/>
    </row>
    <row r="85" ht="12.75" customHeight="1">
      <c r="A85" s="46"/>
      <c r="B85" s="59"/>
      <c r="C85" s="59"/>
      <c r="D85" s="59"/>
      <c r="I85" s="59"/>
      <c r="J85" s="59"/>
      <c r="K85" s="59"/>
    </row>
    <row r="86" ht="12.75" customHeight="1">
      <c r="A86" s="46"/>
      <c r="B86" s="59"/>
      <c r="C86" s="59"/>
      <c r="D86" s="59"/>
      <c r="I86" s="59"/>
      <c r="J86" s="59"/>
      <c r="K86" s="59"/>
    </row>
    <row r="87" ht="12.75" customHeight="1">
      <c r="A87" s="46"/>
      <c r="B87" s="59"/>
      <c r="C87" s="59"/>
      <c r="D87" s="59"/>
      <c r="I87" s="59"/>
      <c r="J87" s="59"/>
      <c r="K87" s="59"/>
    </row>
    <row r="88" ht="12.75" customHeight="1">
      <c r="A88" s="46"/>
      <c r="B88" s="59"/>
      <c r="C88" s="59"/>
      <c r="D88" s="59"/>
      <c r="I88" s="59"/>
      <c r="J88" s="59"/>
      <c r="K88" s="59"/>
    </row>
    <row r="89" ht="12.75" customHeight="1">
      <c r="A89" s="46"/>
      <c r="B89" s="59"/>
      <c r="C89" s="59"/>
      <c r="D89" s="59"/>
      <c r="I89" s="59"/>
      <c r="J89" s="59"/>
      <c r="K89" s="59"/>
    </row>
    <row r="90" ht="12.75" customHeight="1">
      <c r="A90" s="46"/>
      <c r="B90" s="59"/>
      <c r="C90" s="59"/>
      <c r="D90" s="59"/>
      <c r="I90" s="59"/>
      <c r="J90" s="59"/>
      <c r="K90" s="59"/>
    </row>
    <row r="91" ht="12.75" customHeight="1">
      <c r="A91" s="46"/>
      <c r="B91" s="59"/>
      <c r="C91" s="59"/>
      <c r="D91" s="59"/>
      <c r="I91" s="59"/>
      <c r="J91" s="59"/>
      <c r="K91" s="59"/>
    </row>
    <row r="92" ht="12.75" customHeight="1">
      <c r="A92" s="46"/>
      <c r="B92" s="59"/>
      <c r="C92" s="59"/>
      <c r="D92" s="59"/>
      <c r="I92" s="59"/>
      <c r="J92" s="59"/>
      <c r="K92" s="59"/>
    </row>
    <row r="93" ht="12.75" customHeight="1">
      <c r="A93" s="46"/>
      <c r="B93" s="59"/>
      <c r="C93" s="59"/>
      <c r="D93" s="59"/>
      <c r="I93" s="59"/>
      <c r="J93" s="59"/>
      <c r="K93" s="59"/>
    </row>
    <row r="94" ht="12.75" customHeight="1">
      <c r="A94" s="46"/>
      <c r="B94" s="59"/>
      <c r="C94" s="59"/>
      <c r="D94" s="59"/>
      <c r="I94" s="59"/>
      <c r="J94" s="59"/>
      <c r="K94" s="59"/>
    </row>
    <row r="95" ht="12.75" customHeight="1">
      <c r="A95" s="46"/>
      <c r="B95" s="59"/>
      <c r="C95" s="59"/>
      <c r="D95" s="59"/>
      <c r="I95" s="59"/>
      <c r="J95" s="59"/>
      <c r="K95" s="59"/>
    </row>
    <row r="96" ht="12.75" customHeight="1">
      <c r="A96" s="46"/>
      <c r="B96" s="59"/>
      <c r="C96" s="59"/>
      <c r="D96" s="59"/>
      <c r="I96" s="59"/>
      <c r="J96" s="59"/>
      <c r="K96" s="59"/>
    </row>
    <row r="97" ht="12.75" customHeight="1">
      <c r="A97" s="46"/>
      <c r="B97" s="59"/>
      <c r="C97" s="59"/>
      <c r="D97" s="59"/>
      <c r="I97" s="59"/>
      <c r="J97" s="59"/>
      <c r="K97" s="59"/>
    </row>
    <row r="98" ht="12.75" customHeight="1">
      <c r="A98" s="46"/>
      <c r="B98" s="59"/>
      <c r="C98" s="59"/>
      <c r="D98" s="59"/>
      <c r="I98" s="59"/>
      <c r="J98" s="59"/>
      <c r="K98" s="59"/>
    </row>
    <row r="99" ht="12.75" customHeight="1">
      <c r="A99" s="46"/>
      <c r="B99" s="59"/>
      <c r="C99" s="59"/>
      <c r="D99" s="59"/>
      <c r="I99" s="59"/>
      <c r="J99" s="59"/>
      <c r="K99" s="59"/>
    </row>
    <row r="100" ht="12.75" customHeight="1">
      <c r="A100" s="46"/>
      <c r="B100" s="59"/>
      <c r="C100" s="59"/>
      <c r="D100" s="59"/>
      <c r="I100" s="59"/>
      <c r="J100" s="59"/>
      <c r="K100" s="59"/>
    </row>
    <row r="101" ht="12.75" customHeight="1">
      <c r="A101" s="46"/>
      <c r="B101" s="59"/>
      <c r="C101" s="59"/>
      <c r="D101" s="59"/>
      <c r="I101" s="59"/>
      <c r="J101" s="59"/>
      <c r="K101" s="59"/>
    </row>
    <row r="102" ht="12.75" customHeight="1">
      <c r="A102" s="46"/>
      <c r="B102" s="59"/>
      <c r="C102" s="59"/>
      <c r="D102" s="59"/>
      <c r="I102" s="59"/>
      <c r="J102" s="59"/>
      <c r="K102" s="59"/>
    </row>
    <row r="103" ht="12.75" customHeight="1">
      <c r="A103" s="46"/>
      <c r="B103" s="59"/>
      <c r="C103" s="59"/>
      <c r="D103" s="59"/>
      <c r="I103" s="59"/>
      <c r="J103" s="59"/>
      <c r="K103" s="59"/>
    </row>
    <row r="104" ht="12.75" customHeight="1">
      <c r="A104" s="46"/>
      <c r="B104" s="59"/>
      <c r="C104" s="59"/>
      <c r="D104" s="59"/>
      <c r="I104" s="59"/>
      <c r="J104" s="59"/>
      <c r="K104" s="59"/>
    </row>
    <row r="105" ht="12.75" customHeight="1">
      <c r="A105" s="46"/>
      <c r="B105" s="59"/>
      <c r="C105" s="59"/>
      <c r="D105" s="59"/>
      <c r="I105" s="59"/>
      <c r="J105" s="59"/>
      <c r="K105" s="59"/>
    </row>
    <row r="106" ht="12.75" customHeight="1">
      <c r="A106" s="46"/>
      <c r="B106" s="59"/>
      <c r="C106" s="59"/>
      <c r="D106" s="59"/>
      <c r="I106" s="59"/>
      <c r="J106" s="59"/>
      <c r="K106" s="59"/>
    </row>
    <row r="107" ht="12.75" customHeight="1">
      <c r="A107" s="46"/>
      <c r="B107" s="59"/>
      <c r="C107" s="59"/>
      <c r="D107" s="59"/>
      <c r="I107" s="59"/>
      <c r="J107" s="59"/>
      <c r="K107" s="59"/>
    </row>
    <row r="108" ht="12.75" customHeight="1">
      <c r="A108" s="46"/>
      <c r="B108" s="59"/>
      <c r="C108" s="59"/>
      <c r="D108" s="59"/>
      <c r="I108" s="59"/>
      <c r="J108" s="59"/>
      <c r="K108" s="59"/>
    </row>
    <row r="109" ht="12.75" customHeight="1">
      <c r="A109" s="46"/>
      <c r="B109" s="59"/>
      <c r="C109" s="59"/>
      <c r="D109" s="59"/>
      <c r="I109" s="59"/>
      <c r="J109" s="59"/>
      <c r="K109" s="59"/>
    </row>
    <row r="110" ht="12.75" customHeight="1">
      <c r="A110" s="46"/>
      <c r="B110" s="59"/>
      <c r="C110" s="59"/>
      <c r="D110" s="59"/>
      <c r="I110" s="59"/>
      <c r="J110" s="59"/>
      <c r="K110" s="59"/>
    </row>
    <row r="111" ht="12.75" customHeight="1">
      <c r="A111" s="46"/>
      <c r="B111" s="59"/>
      <c r="C111" s="59"/>
      <c r="D111" s="59"/>
      <c r="I111" s="59"/>
      <c r="J111" s="59"/>
      <c r="K111" s="59"/>
    </row>
    <row r="112" ht="12.75" customHeight="1">
      <c r="A112" s="46"/>
      <c r="B112" s="59"/>
      <c r="C112" s="59"/>
      <c r="D112" s="59"/>
      <c r="I112" s="59"/>
      <c r="J112" s="59"/>
      <c r="K112" s="59"/>
    </row>
    <row r="113" ht="12.75" customHeight="1">
      <c r="A113" s="46"/>
      <c r="B113" s="59"/>
      <c r="C113" s="59"/>
      <c r="D113" s="59"/>
      <c r="I113" s="59"/>
      <c r="J113" s="59"/>
      <c r="K113" s="59"/>
    </row>
    <row r="114" ht="12.75" customHeight="1">
      <c r="A114" s="46"/>
      <c r="B114" s="59"/>
      <c r="C114" s="59"/>
      <c r="D114" s="59"/>
      <c r="I114" s="59"/>
      <c r="J114" s="59"/>
      <c r="K114" s="59"/>
    </row>
    <row r="115" ht="12.75" customHeight="1">
      <c r="A115" s="46"/>
      <c r="B115" s="59"/>
      <c r="C115" s="59"/>
      <c r="D115" s="59"/>
      <c r="I115" s="59"/>
      <c r="J115" s="59"/>
      <c r="K115" s="59"/>
    </row>
    <row r="116" ht="12.75" customHeight="1">
      <c r="A116" s="46"/>
      <c r="B116" s="59"/>
      <c r="C116" s="59"/>
      <c r="D116" s="59"/>
      <c r="I116" s="59"/>
      <c r="J116" s="59"/>
      <c r="K116" s="59"/>
    </row>
    <row r="117" ht="12.75" customHeight="1">
      <c r="A117" s="46"/>
      <c r="B117" s="59"/>
      <c r="C117" s="59"/>
      <c r="D117" s="59"/>
      <c r="I117" s="59"/>
      <c r="J117" s="59"/>
      <c r="K117" s="59"/>
    </row>
    <row r="118" ht="12.75" customHeight="1">
      <c r="A118" s="46"/>
      <c r="B118" s="59"/>
      <c r="C118" s="59"/>
      <c r="D118" s="59"/>
      <c r="I118" s="59"/>
      <c r="J118" s="59"/>
      <c r="K118" s="59"/>
    </row>
    <row r="119" ht="12.75" customHeight="1">
      <c r="A119" s="46"/>
      <c r="B119" s="59"/>
      <c r="C119" s="59"/>
      <c r="D119" s="59"/>
      <c r="I119" s="59"/>
      <c r="J119" s="59"/>
      <c r="K119" s="59"/>
    </row>
    <row r="120" ht="12.75" customHeight="1">
      <c r="A120" s="46"/>
      <c r="B120" s="59"/>
      <c r="C120" s="59"/>
      <c r="D120" s="59"/>
      <c r="I120" s="59"/>
      <c r="J120" s="59"/>
      <c r="K120" s="59"/>
    </row>
    <row r="121" ht="12.75" customHeight="1">
      <c r="A121" s="46"/>
      <c r="B121" s="59"/>
      <c r="C121" s="59"/>
      <c r="D121" s="59"/>
      <c r="I121" s="59"/>
      <c r="J121" s="59"/>
      <c r="K121" s="59"/>
    </row>
    <row r="122" ht="12.75" customHeight="1">
      <c r="A122" s="46"/>
      <c r="B122" s="59"/>
      <c r="C122" s="59"/>
      <c r="D122" s="59"/>
      <c r="I122" s="59"/>
      <c r="J122" s="59"/>
      <c r="K122" s="59"/>
    </row>
    <row r="123" ht="12.75" customHeight="1">
      <c r="A123" s="46"/>
      <c r="B123" s="59"/>
      <c r="C123" s="59"/>
      <c r="D123" s="59"/>
      <c r="I123" s="59"/>
      <c r="J123" s="59"/>
      <c r="K123" s="59"/>
    </row>
    <row r="124" ht="12.75" customHeight="1">
      <c r="A124" s="46"/>
      <c r="B124" s="59"/>
      <c r="C124" s="59"/>
      <c r="D124" s="59"/>
      <c r="I124" s="59"/>
      <c r="J124" s="59"/>
      <c r="K124" s="59"/>
    </row>
    <row r="125" ht="12.75" customHeight="1">
      <c r="A125" s="46"/>
      <c r="B125" s="59"/>
      <c r="C125" s="59"/>
      <c r="D125" s="59"/>
      <c r="I125" s="59"/>
      <c r="J125" s="59"/>
      <c r="K125" s="59"/>
    </row>
    <row r="126" ht="12.75" customHeight="1">
      <c r="A126" s="46"/>
      <c r="B126" s="59"/>
      <c r="C126" s="59"/>
      <c r="D126" s="59"/>
      <c r="I126" s="59"/>
      <c r="J126" s="59"/>
      <c r="K126" s="59"/>
    </row>
    <row r="127" ht="12.75" customHeight="1">
      <c r="A127" s="46"/>
      <c r="B127" s="59"/>
      <c r="C127" s="59"/>
      <c r="D127" s="59"/>
      <c r="I127" s="59"/>
      <c r="J127" s="59"/>
      <c r="K127" s="59"/>
    </row>
    <row r="128" ht="12.75" customHeight="1">
      <c r="A128" s="46"/>
      <c r="B128" s="59"/>
      <c r="C128" s="59"/>
      <c r="D128" s="59"/>
      <c r="I128" s="59"/>
      <c r="J128" s="59"/>
      <c r="K128" s="59"/>
    </row>
    <row r="129" ht="12.75" customHeight="1">
      <c r="A129" s="46"/>
      <c r="B129" s="59"/>
      <c r="C129" s="59"/>
      <c r="D129" s="59"/>
      <c r="I129" s="59"/>
      <c r="J129" s="59"/>
      <c r="K129" s="59"/>
    </row>
    <row r="130" ht="12.75" customHeight="1">
      <c r="A130" s="46"/>
      <c r="B130" s="59"/>
      <c r="C130" s="59"/>
      <c r="D130" s="59"/>
      <c r="I130" s="59"/>
      <c r="J130" s="59"/>
      <c r="K130" s="59"/>
    </row>
    <row r="131" ht="12.75" customHeight="1">
      <c r="A131" s="46"/>
      <c r="B131" s="59"/>
      <c r="C131" s="59"/>
      <c r="D131" s="59"/>
      <c r="I131" s="59"/>
      <c r="J131" s="59"/>
      <c r="K131" s="59"/>
    </row>
    <row r="132" ht="12.75" customHeight="1">
      <c r="A132" s="46"/>
      <c r="B132" s="59"/>
      <c r="C132" s="59"/>
      <c r="D132" s="59"/>
      <c r="I132" s="59"/>
      <c r="J132" s="59"/>
      <c r="K132" s="59"/>
    </row>
    <row r="133" ht="12.75" customHeight="1">
      <c r="A133" s="46"/>
      <c r="B133" s="59"/>
      <c r="C133" s="59"/>
      <c r="D133" s="59"/>
      <c r="I133" s="59"/>
      <c r="J133" s="59"/>
      <c r="K133" s="59"/>
    </row>
    <row r="134" ht="12.75" customHeight="1">
      <c r="A134" s="46"/>
      <c r="B134" s="59"/>
      <c r="C134" s="59"/>
      <c r="D134" s="59"/>
      <c r="I134" s="59"/>
      <c r="J134" s="59"/>
      <c r="K134" s="59"/>
    </row>
    <row r="135" ht="12.75" customHeight="1">
      <c r="A135" s="46"/>
      <c r="B135" s="59"/>
      <c r="C135" s="59"/>
      <c r="D135" s="59"/>
      <c r="I135" s="59"/>
      <c r="J135" s="59"/>
      <c r="K135" s="59"/>
    </row>
    <row r="136" ht="12.75" customHeight="1">
      <c r="A136" s="46"/>
      <c r="B136" s="59"/>
      <c r="C136" s="59"/>
      <c r="D136" s="59"/>
      <c r="I136" s="59"/>
      <c r="J136" s="59"/>
      <c r="K136" s="59"/>
    </row>
    <row r="137" ht="12.75" customHeight="1">
      <c r="A137" s="46"/>
      <c r="B137" s="59"/>
      <c r="C137" s="59"/>
      <c r="D137" s="59"/>
      <c r="I137" s="59"/>
      <c r="J137" s="59"/>
      <c r="K137" s="59"/>
    </row>
    <row r="138" ht="12.75" customHeight="1">
      <c r="A138" s="46"/>
      <c r="B138" s="59"/>
      <c r="C138" s="59"/>
      <c r="D138" s="59"/>
      <c r="I138" s="59"/>
      <c r="J138" s="59"/>
      <c r="K138" s="59"/>
    </row>
    <row r="139" ht="12.75" customHeight="1">
      <c r="A139" s="46"/>
      <c r="B139" s="59"/>
      <c r="C139" s="59"/>
      <c r="D139" s="59"/>
      <c r="I139" s="59"/>
      <c r="J139" s="59"/>
      <c r="K139" s="59"/>
    </row>
    <row r="140" ht="12.75" customHeight="1">
      <c r="A140" s="46"/>
      <c r="B140" s="59"/>
      <c r="C140" s="59"/>
      <c r="D140" s="59"/>
      <c r="I140" s="59"/>
      <c r="J140" s="59"/>
      <c r="K140" s="59"/>
    </row>
    <row r="141" ht="12.75" customHeight="1">
      <c r="A141" s="46"/>
      <c r="B141" s="59"/>
      <c r="C141" s="59"/>
      <c r="D141" s="59"/>
      <c r="I141" s="59"/>
      <c r="J141" s="59"/>
      <c r="K141" s="59"/>
    </row>
    <row r="142" ht="12.75" customHeight="1">
      <c r="A142" s="46"/>
      <c r="B142" s="59"/>
      <c r="C142" s="59"/>
      <c r="D142" s="59"/>
      <c r="I142" s="59"/>
      <c r="J142" s="59"/>
      <c r="K142" s="59"/>
    </row>
    <row r="143" ht="12.75" customHeight="1">
      <c r="A143" s="46"/>
      <c r="B143" s="59"/>
      <c r="C143" s="59"/>
      <c r="D143" s="59"/>
      <c r="I143" s="59"/>
      <c r="J143" s="59"/>
      <c r="K143" s="59"/>
    </row>
    <row r="144" ht="12.75" customHeight="1">
      <c r="A144" s="46"/>
      <c r="B144" s="59"/>
      <c r="C144" s="59"/>
      <c r="D144" s="59"/>
      <c r="I144" s="59"/>
      <c r="J144" s="59"/>
      <c r="K144" s="59"/>
    </row>
    <row r="145" ht="12.75" customHeight="1">
      <c r="A145" s="46"/>
      <c r="B145" s="59"/>
      <c r="C145" s="59"/>
      <c r="D145" s="59"/>
      <c r="I145" s="59"/>
      <c r="J145" s="59"/>
      <c r="K145" s="59"/>
    </row>
    <row r="146" ht="12.75" customHeight="1">
      <c r="A146" s="46"/>
      <c r="B146" s="59"/>
      <c r="C146" s="59"/>
      <c r="D146" s="59"/>
      <c r="I146" s="59"/>
      <c r="J146" s="59"/>
      <c r="K146" s="59"/>
    </row>
    <row r="147" ht="12.75" customHeight="1">
      <c r="A147" s="46"/>
      <c r="B147" s="59"/>
      <c r="C147" s="59"/>
      <c r="D147" s="59"/>
      <c r="I147" s="59"/>
      <c r="J147" s="59"/>
      <c r="K147" s="59"/>
    </row>
    <row r="148" ht="12.75" customHeight="1">
      <c r="A148" s="46"/>
      <c r="B148" s="59"/>
      <c r="C148" s="59"/>
      <c r="D148" s="59"/>
      <c r="I148" s="59"/>
      <c r="J148" s="59"/>
      <c r="K148" s="59"/>
    </row>
    <row r="149" ht="12.75" customHeight="1">
      <c r="A149" s="46"/>
      <c r="B149" s="59"/>
      <c r="C149" s="59"/>
      <c r="D149" s="59"/>
      <c r="I149" s="59"/>
      <c r="J149" s="59"/>
      <c r="K149" s="59"/>
    </row>
    <row r="150" ht="12.75" customHeight="1">
      <c r="A150" s="46"/>
      <c r="B150" s="59"/>
      <c r="C150" s="59"/>
      <c r="D150" s="59"/>
      <c r="I150" s="59"/>
      <c r="J150" s="59"/>
      <c r="K150" s="59"/>
    </row>
    <row r="151" ht="12.75" customHeight="1">
      <c r="A151" s="46"/>
      <c r="B151" s="59"/>
      <c r="C151" s="59"/>
      <c r="D151" s="59"/>
      <c r="I151" s="59"/>
      <c r="J151" s="59"/>
      <c r="K151" s="59"/>
    </row>
    <row r="152" ht="12.75" customHeight="1">
      <c r="A152" s="46"/>
      <c r="B152" s="59"/>
      <c r="C152" s="59"/>
      <c r="D152" s="59"/>
      <c r="I152" s="59"/>
      <c r="J152" s="59"/>
      <c r="K152" s="59"/>
    </row>
    <row r="153" ht="12.75" customHeight="1">
      <c r="A153" s="46"/>
      <c r="B153" s="59"/>
      <c r="C153" s="59"/>
      <c r="D153" s="59"/>
      <c r="I153" s="59"/>
      <c r="J153" s="59"/>
      <c r="K153" s="59"/>
    </row>
    <row r="154" ht="12.75" customHeight="1">
      <c r="A154" s="46"/>
      <c r="B154" s="59"/>
      <c r="C154" s="59"/>
      <c r="D154" s="59"/>
      <c r="I154" s="59"/>
      <c r="J154" s="59"/>
      <c r="K154" s="59"/>
    </row>
    <row r="155" ht="12.75" customHeight="1">
      <c r="A155" s="46"/>
      <c r="B155" s="59"/>
      <c r="C155" s="59"/>
      <c r="D155" s="59"/>
      <c r="I155" s="59"/>
      <c r="J155" s="59"/>
      <c r="K155" s="59"/>
    </row>
    <row r="156" ht="12.75" customHeight="1">
      <c r="A156" s="46"/>
      <c r="B156" s="59"/>
      <c r="C156" s="59"/>
      <c r="D156" s="59"/>
      <c r="I156" s="59"/>
      <c r="J156" s="59"/>
      <c r="K156" s="59"/>
    </row>
    <row r="157" ht="12.75" customHeight="1">
      <c r="A157" s="46"/>
      <c r="B157" s="59"/>
      <c r="C157" s="59"/>
      <c r="D157" s="59"/>
      <c r="I157" s="59"/>
      <c r="J157" s="59"/>
      <c r="K157" s="59"/>
    </row>
    <row r="158" ht="12.75" customHeight="1">
      <c r="A158" s="46"/>
      <c r="B158" s="59"/>
      <c r="C158" s="59"/>
      <c r="D158" s="59"/>
      <c r="I158" s="59"/>
      <c r="J158" s="59"/>
      <c r="K158" s="59"/>
    </row>
    <row r="159" ht="12.75" customHeight="1">
      <c r="A159" s="46"/>
      <c r="B159" s="59"/>
      <c r="C159" s="59"/>
      <c r="D159" s="59"/>
      <c r="I159" s="59"/>
      <c r="J159" s="59"/>
      <c r="K159" s="59"/>
    </row>
    <row r="160" ht="12.75" customHeight="1">
      <c r="A160" s="46"/>
      <c r="B160" s="59"/>
      <c r="C160" s="59"/>
      <c r="D160" s="59"/>
      <c r="I160" s="59"/>
      <c r="J160" s="59"/>
      <c r="K160" s="59"/>
    </row>
    <row r="161" ht="12.75" customHeight="1">
      <c r="A161" s="46"/>
      <c r="B161" s="59"/>
      <c r="C161" s="59"/>
      <c r="D161" s="59"/>
      <c r="I161" s="59"/>
      <c r="J161" s="59"/>
      <c r="K161" s="59"/>
    </row>
    <row r="162" ht="12.75" customHeight="1">
      <c r="A162" s="46"/>
      <c r="B162" s="59"/>
      <c r="C162" s="59"/>
      <c r="D162" s="59"/>
      <c r="I162" s="59"/>
      <c r="J162" s="59"/>
      <c r="K162" s="59"/>
    </row>
    <row r="163" ht="12.75" customHeight="1">
      <c r="A163" s="46"/>
      <c r="B163" s="59"/>
      <c r="C163" s="59"/>
      <c r="D163" s="59"/>
      <c r="I163" s="59"/>
      <c r="J163" s="59"/>
      <c r="K163" s="59"/>
    </row>
    <row r="164" ht="12.75" customHeight="1">
      <c r="A164" s="46"/>
      <c r="B164" s="59"/>
      <c r="C164" s="59"/>
      <c r="D164" s="59"/>
      <c r="I164" s="59"/>
      <c r="J164" s="59"/>
      <c r="K164" s="59"/>
    </row>
    <row r="165" ht="12.75" customHeight="1">
      <c r="A165" s="46"/>
      <c r="B165" s="59"/>
      <c r="C165" s="59"/>
      <c r="D165" s="59"/>
      <c r="I165" s="59"/>
      <c r="J165" s="59"/>
      <c r="K165" s="59"/>
    </row>
    <row r="166" ht="12.75" customHeight="1">
      <c r="A166" s="46"/>
      <c r="B166" s="59"/>
      <c r="C166" s="59"/>
      <c r="D166" s="59"/>
      <c r="I166" s="59"/>
      <c r="J166" s="59"/>
      <c r="K166" s="59"/>
    </row>
    <row r="167" ht="12.75" customHeight="1">
      <c r="A167" s="46"/>
      <c r="B167" s="59"/>
      <c r="C167" s="59"/>
      <c r="D167" s="59"/>
      <c r="I167" s="59"/>
      <c r="J167" s="59"/>
      <c r="K167" s="59"/>
    </row>
    <row r="168" ht="12.75" customHeight="1">
      <c r="A168" s="46"/>
      <c r="B168" s="59"/>
      <c r="C168" s="59"/>
      <c r="D168" s="59"/>
      <c r="I168" s="59"/>
      <c r="J168" s="59"/>
      <c r="K168" s="59"/>
    </row>
    <row r="169" ht="12.75" customHeight="1">
      <c r="A169" s="46"/>
      <c r="B169" s="59"/>
      <c r="C169" s="59"/>
      <c r="D169" s="59"/>
      <c r="I169" s="59"/>
      <c r="J169" s="59"/>
      <c r="K169" s="59"/>
    </row>
    <row r="170" ht="12.75" customHeight="1">
      <c r="A170" s="46"/>
      <c r="B170" s="59"/>
      <c r="C170" s="59"/>
      <c r="D170" s="59"/>
      <c r="I170" s="59"/>
      <c r="J170" s="59"/>
      <c r="K170" s="59"/>
    </row>
    <row r="171" ht="12.75" customHeight="1">
      <c r="A171" s="46"/>
      <c r="B171" s="59"/>
      <c r="C171" s="59"/>
      <c r="D171" s="59"/>
      <c r="I171" s="59"/>
      <c r="J171" s="59"/>
      <c r="K171" s="59"/>
    </row>
    <row r="172" ht="12.75" customHeight="1">
      <c r="A172" s="46"/>
      <c r="B172" s="59"/>
      <c r="C172" s="59"/>
      <c r="D172" s="59"/>
      <c r="I172" s="59"/>
      <c r="J172" s="59"/>
      <c r="K172" s="59"/>
    </row>
    <row r="173" ht="12.75" customHeight="1">
      <c r="A173" s="46"/>
      <c r="B173" s="59"/>
      <c r="C173" s="59"/>
      <c r="D173" s="59"/>
      <c r="I173" s="59"/>
      <c r="J173" s="59"/>
      <c r="K173" s="59"/>
    </row>
    <row r="174" ht="12.75" customHeight="1">
      <c r="A174" s="46"/>
      <c r="B174" s="59"/>
      <c r="C174" s="59"/>
      <c r="D174" s="59"/>
      <c r="I174" s="59"/>
      <c r="J174" s="59"/>
      <c r="K174" s="59"/>
    </row>
    <row r="175" ht="12.75" customHeight="1">
      <c r="A175" s="46"/>
      <c r="B175" s="59"/>
      <c r="C175" s="59"/>
      <c r="D175" s="59"/>
      <c r="I175" s="59"/>
      <c r="J175" s="59"/>
      <c r="K175" s="59"/>
    </row>
    <row r="176" ht="12.75" customHeight="1">
      <c r="A176" s="46"/>
      <c r="B176" s="59"/>
      <c r="C176" s="59"/>
      <c r="D176" s="59"/>
      <c r="I176" s="59"/>
      <c r="J176" s="59"/>
      <c r="K176" s="59"/>
    </row>
    <row r="177" ht="12.75" customHeight="1">
      <c r="A177" s="46"/>
      <c r="B177" s="59"/>
      <c r="C177" s="59"/>
      <c r="D177" s="59"/>
      <c r="I177" s="59"/>
      <c r="J177" s="59"/>
      <c r="K177" s="59"/>
    </row>
    <row r="178" ht="12.75" customHeight="1">
      <c r="A178" s="46"/>
      <c r="B178" s="59"/>
      <c r="C178" s="59"/>
      <c r="D178" s="59"/>
      <c r="I178" s="59"/>
      <c r="J178" s="59"/>
      <c r="K178" s="59"/>
    </row>
    <row r="179" ht="12.75" customHeight="1">
      <c r="A179" s="46"/>
      <c r="B179" s="59"/>
      <c r="C179" s="59"/>
      <c r="D179" s="59"/>
      <c r="I179" s="59"/>
      <c r="J179" s="59"/>
      <c r="K179" s="59"/>
    </row>
    <row r="180" ht="12.75" customHeight="1">
      <c r="A180" s="46"/>
      <c r="B180" s="59"/>
      <c r="C180" s="59"/>
      <c r="D180" s="59"/>
      <c r="I180" s="59"/>
      <c r="J180" s="59"/>
      <c r="K180" s="59"/>
    </row>
    <row r="181" ht="12.75" customHeight="1">
      <c r="A181" s="46"/>
      <c r="B181" s="59"/>
      <c r="C181" s="59"/>
      <c r="D181" s="59"/>
      <c r="I181" s="59"/>
      <c r="J181" s="59"/>
      <c r="K181" s="59"/>
    </row>
    <row r="182" ht="12.75" customHeight="1">
      <c r="A182" s="46"/>
      <c r="B182" s="59"/>
      <c r="C182" s="59"/>
      <c r="D182" s="59"/>
      <c r="I182" s="59"/>
      <c r="J182" s="59"/>
      <c r="K182" s="59"/>
    </row>
    <row r="183" ht="12.75" customHeight="1">
      <c r="A183" s="46"/>
      <c r="B183" s="59"/>
      <c r="C183" s="59"/>
      <c r="D183" s="59"/>
      <c r="I183" s="59"/>
      <c r="J183" s="59"/>
      <c r="K183" s="59"/>
    </row>
    <row r="184" ht="12.75" customHeight="1">
      <c r="A184" s="46"/>
      <c r="B184" s="59"/>
      <c r="C184" s="59"/>
      <c r="D184" s="59"/>
      <c r="I184" s="59"/>
      <c r="J184" s="59"/>
      <c r="K184" s="59"/>
    </row>
    <row r="185" ht="12.75" customHeight="1">
      <c r="A185" s="46"/>
      <c r="B185" s="59"/>
      <c r="C185" s="59"/>
      <c r="D185" s="59"/>
      <c r="I185" s="59"/>
      <c r="J185" s="59"/>
      <c r="K185" s="59"/>
    </row>
    <row r="186" ht="12.75" customHeight="1">
      <c r="A186" s="46"/>
      <c r="B186" s="59"/>
      <c r="C186" s="59"/>
      <c r="D186" s="59"/>
      <c r="I186" s="59"/>
      <c r="J186" s="59"/>
      <c r="K186" s="59"/>
    </row>
    <row r="187" ht="12.75" customHeight="1">
      <c r="A187" s="46"/>
      <c r="B187" s="59"/>
      <c r="C187" s="59"/>
      <c r="D187" s="59"/>
      <c r="I187" s="59"/>
      <c r="J187" s="59"/>
      <c r="K187" s="59"/>
    </row>
    <row r="188" ht="12.75" customHeight="1">
      <c r="A188" s="46"/>
      <c r="B188" s="59"/>
      <c r="C188" s="59"/>
      <c r="D188" s="59"/>
      <c r="I188" s="59"/>
      <c r="J188" s="59"/>
      <c r="K188" s="59"/>
    </row>
    <row r="189" ht="12.75" customHeight="1">
      <c r="A189" s="46"/>
      <c r="B189" s="59"/>
      <c r="C189" s="59"/>
      <c r="D189" s="59"/>
      <c r="I189" s="59"/>
      <c r="J189" s="59"/>
      <c r="K189" s="59"/>
    </row>
    <row r="190" ht="12.75" customHeight="1">
      <c r="A190" s="46" t="s">
        <v>335</v>
      </c>
      <c r="B190" s="59"/>
      <c r="C190" s="59">
        <v>650.0</v>
      </c>
      <c r="D190" s="59"/>
      <c r="I190" s="59"/>
      <c r="J190" s="59"/>
      <c r="K190" s="59"/>
    </row>
    <row r="191" ht="12.75" customHeight="1">
      <c r="A191" s="46" t="s">
        <v>336</v>
      </c>
      <c r="B191" s="59">
        <v>414.0</v>
      </c>
      <c r="C191" s="59">
        <v>650.0</v>
      </c>
      <c r="D191" s="59"/>
      <c r="I191" s="59"/>
      <c r="J191" s="59"/>
      <c r="K191" s="59"/>
    </row>
    <row r="192" ht="12.75" customHeight="1">
      <c r="A192" s="46"/>
      <c r="B192" s="59"/>
      <c r="C192" s="59"/>
      <c r="D192" s="59"/>
      <c r="I192" s="59"/>
      <c r="J192" s="59"/>
      <c r="K192" s="59"/>
    </row>
    <row r="193" ht="12.75" customHeight="1">
      <c r="A193" s="46"/>
      <c r="B193" s="59"/>
      <c r="C193" s="59"/>
      <c r="D193" s="59"/>
      <c r="I193" s="59"/>
      <c r="J193" s="59"/>
      <c r="K193" s="59"/>
    </row>
    <row r="194" ht="12.75" customHeight="1">
      <c r="A194" s="46"/>
      <c r="B194" s="59"/>
      <c r="C194" s="59"/>
      <c r="D194" s="59"/>
      <c r="I194" s="59"/>
      <c r="J194" s="59"/>
      <c r="K194" s="59"/>
    </row>
    <row r="195" ht="12.75" customHeight="1">
      <c r="A195" s="46"/>
      <c r="B195" s="59"/>
      <c r="C195" s="59"/>
      <c r="D195" s="59"/>
      <c r="I195" s="59"/>
      <c r="J195" s="59"/>
      <c r="K195" s="59"/>
    </row>
    <row r="196" ht="12.75" customHeight="1">
      <c r="A196" s="46"/>
      <c r="B196" s="59"/>
      <c r="C196" s="59"/>
      <c r="D196" s="59"/>
      <c r="I196" s="59"/>
      <c r="J196" s="59"/>
      <c r="K196" s="59"/>
    </row>
    <row r="197" ht="12.75" customHeight="1">
      <c r="A197" s="46"/>
      <c r="B197" s="59"/>
      <c r="C197" s="59"/>
      <c r="D197" s="59"/>
      <c r="I197" s="59"/>
      <c r="J197" s="59"/>
      <c r="K197" s="59"/>
    </row>
    <row r="198" ht="12.75" customHeight="1">
      <c r="A198" s="46"/>
      <c r="B198" s="59"/>
      <c r="C198" s="59"/>
      <c r="D198" s="59"/>
      <c r="I198" s="59"/>
      <c r="J198" s="59"/>
      <c r="K198" s="59"/>
    </row>
    <row r="199" ht="12.75" customHeight="1">
      <c r="A199" s="46"/>
      <c r="B199" s="59"/>
      <c r="C199" s="59"/>
      <c r="D199" s="59"/>
      <c r="I199" s="59"/>
      <c r="J199" s="59"/>
      <c r="K199" s="59"/>
    </row>
    <row r="200" ht="12.75" customHeight="1">
      <c r="A200" s="46"/>
      <c r="B200" s="59"/>
      <c r="C200" s="59"/>
      <c r="D200" s="59"/>
      <c r="I200" s="59"/>
      <c r="J200" s="59"/>
      <c r="K200" s="59"/>
    </row>
    <row r="201" ht="12.75" customHeight="1">
      <c r="A201" s="46"/>
      <c r="B201" s="59"/>
      <c r="C201" s="59"/>
      <c r="D201" s="59"/>
      <c r="I201" s="59"/>
      <c r="J201" s="59"/>
      <c r="K201" s="59"/>
    </row>
    <row r="202" ht="12.75" customHeight="1">
      <c r="A202" s="46"/>
      <c r="B202" s="59"/>
      <c r="C202" s="59"/>
      <c r="D202" s="59"/>
      <c r="I202" s="59"/>
      <c r="J202" s="59"/>
      <c r="K202" s="59"/>
    </row>
    <row r="203" ht="12.75" customHeight="1">
      <c r="A203" s="46"/>
      <c r="B203" s="59"/>
      <c r="C203" s="59"/>
      <c r="D203" s="59"/>
      <c r="I203" s="59"/>
      <c r="J203" s="59"/>
      <c r="K203" s="59"/>
    </row>
    <row r="204" ht="12.75" customHeight="1">
      <c r="A204" s="46"/>
      <c r="B204" s="59"/>
      <c r="C204" s="59"/>
      <c r="D204" s="59"/>
      <c r="I204" s="59"/>
      <c r="J204" s="59"/>
      <c r="K204" s="59"/>
    </row>
    <row r="205" ht="12.75" customHeight="1">
      <c r="A205" s="46"/>
      <c r="B205" s="59"/>
      <c r="C205" s="59"/>
      <c r="D205" s="59"/>
      <c r="I205" s="59"/>
      <c r="J205" s="59"/>
      <c r="K205" s="59"/>
    </row>
    <row r="206" ht="12.75" customHeight="1">
      <c r="A206" s="46"/>
      <c r="B206" s="59"/>
      <c r="C206" s="59"/>
      <c r="D206" s="59"/>
      <c r="I206" s="59"/>
      <c r="J206" s="59"/>
      <c r="K206" s="59"/>
    </row>
    <row r="207" ht="12.75" customHeight="1">
      <c r="A207" s="46"/>
      <c r="B207" s="59"/>
      <c r="C207" s="59"/>
      <c r="D207" s="59"/>
      <c r="I207" s="59"/>
      <c r="J207" s="59"/>
      <c r="K207" s="59"/>
    </row>
    <row r="208" ht="12.75" customHeight="1">
      <c r="A208" s="46"/>
      <c r="B208" s="59"/>
      <c r="C208" s="59"/>
      <c r="D208" s="59"/>
      <c r="I208" s="59"/>
      <c r="J208" s="59"/>
      <c r="K208" s="59"/>
    </row>
    <row r="209" ht="12.75" customHeight="1">
      <c r="A209" s="46"/>
      <c r="B209" s="59"/>
      <c r="C209" s="59"/>
      <c r="D209" s="59"/>
      <c r="I209" s="59"/>
      <c r="J209" s="59"/>
      <c r="K209" s="59"/>
    </row>
    <row r="210" ht="12.75" customHeight="1">
      <c r="A210" s="46"/>
      <c r="B210" s="59"/>
      <c r="C210" s="59"/>
      <c r="D210" s="59"/>
      <c r="I210" s="59"/>
      <c r="J210" s="59"/>
      <c r="K210" s="59"/>
    </row>
    <row r="211" ht="12.75" customHeight="1">
      <c r="A211" s="46"/>
      <c r="B211" s="59"/>
      <c r="C211" s="59"/>
      <c r="D211" s="59"/>
      <c r="I211" s="59"/>
      <c r="J211" s="59"/>
      <c r="K211" s="59"/>
    </row>
    <row r="212" ht="12.75" customHeight="1">
      <c r="A212" s="46"/>
      <c r="B212" s="59"/>
      <c r="C212" s="59"/>
      <c r="D212" s="59"/>
      <c r="I212" s="59"/>
      <c r="J212" s="59"/>
      <c r="K212" s="59"/>
    </row>
    <row r="213" ht="12.75" customHeight="1">
      <c r="A213" s="46"/>
      <c r="B213" s="59"/>
      <c r="C213" s="59"/>
      <c r="D213" s="59"/>
      <c r="I213" s="59"/>
      <c r="J213" s="59"/>
      <c r="K213" s="59"/>
    </row>
    <row r="214" ht="12.75" customHeight="1">
      <c r="A214" s="46"/>
      <c r="B214" s="59"/>
      <c r="C214" s="59"/>
      <c r="D214" s="59"/>
      <c r="I214" s="59"/>
      <c r="J214" s="59"/>
      <c r="K214" s="59"/>
    </row>
    <row r="215" ht="12.75" customHeight="1">
      <c r="A215" s="46"/>
      <c r="B215" s="59"/>
      <c r="C215" s="59"/>
      <c r="D215" s="59"/>
      <c r="I215" s="59"/>
      <c r="J215" s="59"/>
      <c r="K215" s="59"/>
    </row>
    <row r="216" ht="12.75" customHeight="1">
      <c r="A216" s="46"/>
      <c r="B216" s="59"/>
      <c r="C216" s="59"/>
      <c r="D216" s="59"/>
      <c r="I216" s="59"/>
      <c r="J216" s="59"/>
      <c r="K216" s="59"/>
    </row>
    <row r="217" ht="12.75" customHeight="1">
      <c r="A217" s="46"/>
      <c r="B217" s="59"/>
      <c r="C217" s="59"/>
      <c r="D217" s="59"/>
      <c r="I217" s="59"/>
      <c r="J217" s="59"/>
      <c r="K217" s="59"/>
    </row>
    <row r="218" ht="12.75" customHeight="1">
      <c r="A218" s="46"/>
      <c r="B218" s="59"/>
      <c r="C218" s="59"/>
      <c r="D218" s="59"/>
      <c r="I218" s="59"/>
      <c r="J218" s="59"/>
      <c r="K218" s="59"/>
    </row>
    <row r="219" ht="12.75" customHeight="1">
      <c r="A219" s="46"/>
      <c r="B219" s="59"/>
      <c r="C219" s="59"/>
      <c r="D219" s="59"/>
      <c r="I219" s="59"/>
      <c r="J219" s="59"/>
      <c r="K219" s="59"/>
    </row>
    <row r="220" ht="12.75" customHeight="1">
      <c r="A220" s="46"/>
      <c r="B220" s="59"/>
      <c r="C220" s="59"/>
      <c r="D220" s="59"/>
      <c r="I220" s="59"/>
      <c r="J220" s="59"/>
      <c r="K220" s="59"/>
    </row>
    <row r="221" ht="12.75" customHeight="1">
      <c r="A221" s="46"/>
      <c r="B221" s="59"/>
      <c r="C221" s="59"/>
      <c r="D221" s="59"/>
      <c r="I221" s="59"/>
      <c r="J221" s="59"/>
      <c r="K221" s="59"/>
    </row>
    <row r="222" ht="12.75" customHeight="1">
      <c r="A222" s="46"/>
      <c r="B222" s="59"/>
      <c r="C222" s="59"/>
      <c r="D222" s="59"/>
      <c r="I222" s="59"/>
      <c r="J222" s="59"/>
      <c r="K222" s="59"/>
    </row>
    <row r="223" ht="12.75" customHeight="1">
      <c r="A223" s="46"/>
      <c r="B223" s="59"/>
      <c r="C223" s="59"/>
      <c r="D223" s="59"/>
      <c r="I223" s="59"/>
      <c r="J223" s="59"/>
      <c r="K223" s="59"/>
    </row>
    <row r="224" ht="12.75" customHeight="1">
      <c r="A224" s="46"/>
      <c r="B224" s="59"/>
      <c r="C224" s="59"/>
      <c r="D224" s="59"/>
      <c r="I224" s="59"/>
      <c r="J224" s="59"/>
      <c r="K224" s="59"/>
    </row>
    <row r="225" ht="12.75" customHeight="1">
      <c r="A225" s="46"/>
      <c r="B225" s="59"/>
      <c r="C225" s="59"/>
      <c r="D225" s="59"/>
      <c r="I225" s="59"/>
      <c r="J225" s="59"/>
      <c r="K225" s="59"/>
    </row>
    <row r="226" ht="12.75" customHeight="1">
      <c r="A226" s="46"/>
      <c r="B226" s="59"/>
      <c r="C226" s="59"/>
      <c r="D226" s="59"/>
      <c r="I226" s="59"/>
      <c r="J226" s="59"/>
      <c r="K226" s="59"/>
    </row>
    <row r="227" ht="12.75" customHeight="1">
      <c r="A227" s="46"/>
      <c r="B227" s="59"/>
      <c r="C227" s="59"/>
      <c r="D227" s="59"/>
      <c r="I227" s="59"/>
      <c r="J227" s="59"/>
      <c r="K227" s="59"/>
    </row>
    <row r="228" ht="12.75" customHeight="1">
      <c r="A228" s="46"/>
      <c r="B228" s="59"/>
      <c r="C228" s="59"/>
      <c r="D228" s="59"/>
      <c r="I228" s="59"/>
      <c r="J228" s="59"/>
      <c r="K228" s="59"/>
    </row>
    <row r="229" ht="12.75" customHeight="1">
      <c r="A229" s="46"/>
      <c r="B229" s="59"/>
      <c r="C229" s="59"/>
      <c r="D229" s="59"/>
      <c r="I229" s="59"/>
      <c r="J229" s="59"/>
      <c r="K229" s="59"/>
    </row>
    <row r="230" ht="12.75" customHeight="1">
      <c r="A230" s="46"/>
      <c r="B230" s="59"/>
      <c r="C230" s="59"/>
      <c r="D230" s="59"/>
      <c r="I230" s="59"/>
      <c r="J230" s="59"/>
      <c r="K230" s="59"/>
    </row>
    <row r="231" ht="12.75" customHeight="1">
      <c r="A231" s="46"/>
      <c r="B231" s="59"/>
      <c r="C231" s="59"/>
      <c r="D231" s="59"/>
      <c r="I231" s="59"/>
      <c r="J231" s="59"/>
      <c r="K231" s="59"/>
    </row>
    <row r="232" ht="12.75" customHeight="1">
      <c r="A232" s="46"/>
      <c r="B232" s="59"/>
      <c r="C232" s="59"/>
      <c r="D232" s="59"/>
      <c r="I232" s="59"/>
      <c r="J232" s="59"/>
      <c r="K232" s="59"/>
    </row>
    <row r="233" ht="12.75" customHeight="1">
      <c r="A233" s="46"/>
      <c r="B233" s="59"/>
      <c r="C233" s="59"/>
      <c r="D233" s="59"/>
      <c r="I233" s="59"/>
      <c r="J233" s="59"/>
      <c r="K233" s="59"/>
    </row>
    <row r="234" ht="12.75" customHeight="1">
      <c r="A234" s="46"/>
      <c r="B234" s="59"/>
      <c r="C234" s="59"/>
      <c r="D234" s="59"/>
      <c r="I234" s="59"/>
      <c r="J234" s="59"/>
      <c r="K234" s="59"/>
    </row>
    <row r="235" ht="12.75" customHeight="1">
      <c r="A235" s="46"/>
      <c r="B235" s="59"/>
      <c r="C235" s="59"/>
      <c r="D235" s="59"/>
      <c r="I235" s="59"/>
      <c r="J235" s="59"/>
      <c r="K235" s="59"/>
    </row>
    <row r="236" ht="12.75" customHeight="1">
      <c r="A236" s="46"/>
      <c r="B236" s="59"/>
      <c r="C236" s="59"/>
      <c r="D236" s="59"/>
      <c r="I236" s="59"/>
      <c r="J236" s="59"/>
      <c r="K236" s="59"/>
    </row>
    <row r="237" ht="12.75" customHeight="1">
      <c r="A237" s="46"/>
      <c r="B237" s="59"/>
      <c r="C237" s="59"/>
      <c r="D237" s="59"/>
      <c r="I237" s="59"/>
      <c r="J237" s="59"/>
      <c r="K237" s="59"/>
    </row>
    <row r="238" ht="12.75" customHeight="1">
      <c r="A238" s="46"/>
      <c r="B238" s="59"/>
      <c r="C238" s="59"/>
      <c r="D238" s="59"/>
      <c r="I238" s="59"/>
      <c r="J238" s="59"/>
      <c r="K238" s="59"/>
    </row>
    <row r="239" ht="12.75" customHeight="1">
      <c r="A239" s="46"/>
      <c r="B239" s="59"/>
      <c r="C239" s="59"/>
      <c r="D239" s="59"/>
      <c r="I239" s="59"/>
      <c r="J239" s="59"/>
      <c r="K239" s="59"/>
    </row>
    <row r="240" ht="12.75" customHeight="1">
      <c r="A240" s="46"/>
      <c r="B240" s="59"/>
      <c r="C240" s="59"/>
      <c r="D240" s="59"/>
      <c r="I240" s="59"/>
      <c r="J240" s="59"/>
      <c r="K240" s="59"/>
    </row>
    <row r="241" ht="12.75" customHeight="1">
      <c r="A241" s="46"/>
      <c r="B241" s="59"/>
      <c r="C241" s="59"/>
      <c r="D241" s="59"/>
      <c r="I241" s="59"/>
      <c r="J241" s="59"/>
      <c r="K241" s="59"/>
    </row>
    <row r="242" ht="12.75" customHeight="1">
      <c r="A242" s="46"/>
      <c r="B242" s="59"/>
      <c r="C242" s="59"/>
      <c r="D242" s="59"/>
      <c r="I242" s="59"/>
      <c r="J242" s="59"/>
      <c r="K242" s="59"/>
    </row>
    <row r="243" ht="12.75" customHeight="1">
      <c r="A243" s="46"/>
      <c r="B243" s="59"/>
      <c r="C243" s="59"/>
      <c r="D243" s="59"/>
      <c r="I243" s="59"/>
      <c r="J243" s="59"/>
      <c r="K243" s="59"/>
    </row>
    <row r="244" ht="12.75" customHeight="1">
      <c r="A244" s="46"/>
      <c r="B244" s="59"/>
      <c r="C244" s="59"/>
      <c r="D244" s="59"/>
      <c r="I244" s="59"/>
      <c r="J244" s="59"/>
      <c r="K244" s="59"/>
    </row>
    <row r="245" ht="12.75" customHeight="1">
      <c r="A245" s="46"/>
      <c r="B245" s="59"/>
      <c r="C245" s="59"/>
      <c r="D245" s="59"/>
      <c r="I245" s="59"/>
      <c r="J245" s="59"/>
      <c r="K245" s="59"/>
    </row>
    <row r="246" ht="12.75" customHeight="1">
      <c r="A246" s="46"/>
      <c r="B246" s="59"/>
      <c r="C246" s="59"/>
      <c r="D246" s="59"/>
      <c r="I246" s="59"/>
      <c r="J246" s="59"/>
      <c r="K246" s="59"/>
    </row>
    <row r="247" ht="12.75" customHeight="1">
      <c r="A247" s="46"/>
      <c r="B247" s="59"/>
      <c r="C247" s="59"/>
      <c r="D247" s="59"/>
      <c r="I247" s="59"/>
      <c r="J247" s="59"/>
      <c r="K247" s="59"/>
    </row>
    <row r="248" ht="12.75" customHeight="1">
      <c r="A248" s="46"/>
      <c r="B248" s="59"/>
      <c r="C248" s="59"/>
      <c r="D248" s="59"/>
      <c r="I248" s="59"/>
      <c r="J248" s="59"/>
      <c r="K248" s="59"/>
    </row>
    <row r="249" ht="12.75" customHeight="1">
      <c r="A249" s="46"/>
      <c r="B249" s="59"/>
      <c r="C249" s="59"/>
      <c r="D249" s="59"/>
      <c r="I249" s="59"/>
      <c r="J249" s="59"/>
      <c r="K249" s="59"/>
    </row>
    <row r="250" ht="12.75" customHeight="1">
      <c r="A250" s="46"/>
      <c r="B250" s="59"/>
      <c r="C250" s="59"/>
      <c r="D250" s="59"/>
      <c r="I250" s="59"/>
      <c r="J250" s="59"/>
      <c r="K250" s="59"/>
    </row>
    <row r="251" ht="12.75" customHeight="1">
      <c r="A251" s="46"/>
      <c r="B251" s="59"/>
      <c r="C251" s="59"/>
      <c r="D251" s="59"/>
      <c r="I251" s="59"/>
      <c r="J251" s="59"/>
      <c r="K251" s="59"/>
    </row>
    <row r="252" ht="12.75" customHeight="1">
      <c r="A252" s="46"/>
      <c r="B252" s="59"/>
      <c r="C252" s="59"/>
      <c r="D252" s="59"/>
      <c r="I252" s="59"/>
      <c r="J252" s="59"/>
      <c r="K252" s="59"/>
    </row>
    <row r="253" ht="12.75" customHeight="1">
      <c r="A253" s="46"/>
      <c r="B253" s="59"/>
      <c r="C253" s="59"/>
      <c r="D253" s="59"/>
      <c r="I253" s="59"/>
      <c r="J253" s="59"/>
      <c r="K253" s="59"/>
    </row>
    <row r="254" ht="12.75" customHeight="1">
      <c r="A254" s="46"/>
      <c r="B254" s="59"/>
      <c r="C254" s="59"/>
      <c r="D254" s="59"/>
      <c r="I254" s="59"/>
      <c r="J254" s="59"/>
      <c r="K254" s="59"/>
    </row>
    <row r="255" ht="12.75" customHeight="1">
      <c r="A255" s="46"/>
      <c r="B255" s="59"/>
      <c r="C255" s="59"/>
      <c r="D255" s="59"/>
      <c r="I255" s="59"/>
      <c r="J255" s="59"/>
      <c r="K255" s="59"/>
    </row>
    <row r="256" ht="12.75" customHeight="1">
      <c r="A256" s="46"/>
      <c r="B256" s="59"/>
      <c r="C256" s="59"/>
      <c r="D256" s="59"/>
      <c r="I256" s="59"/>
      <c r="J256" s="59"/>
      <c r="K256" s="59"/>
    </row>
    <row r="257" ht="12.75" customHeight="1">
      <c r="A257" s="46"/>
      <c r="B257" s="59"/>
      <c r="C257" s="59"/>
      <c r="D257" s="59"/>
      <c r="I257" s="59"/>
      <c r="J257" s="59"/>
      <c r="K257" s="59"/>
    </row>
    <row r="258" ht="12.75" customHeight="1">
      <c r="A258" s="46"/>
      <c r="B258" s="59"/>
      <c r="C258" s="59"/>
      <c r="D258" s="59"/>
      <c r="I258" s="59"/>
      <c r="J258" s="59"/>
      <c r="K258" s="59"/>
    </row>
    <row r="259" ht="12.75" customHeight="1">
      <c r="A259" s="46"/>
      <c r="B259" s="59"/>
      <c r="C259" s="59"/>
      <c r="D259" s="59"/>
      <c r="I259" s="59"/>
      <c r="J259" s="59"/>
      <c r="K259" s="59"/>
    </row>
    <row r="260" ht="12.75" customHeight="1">
      <c r="A260" s="46"/>
      <c r="B260" s="59"/>
      <c r="C260" s="59"/>
      <c r="D260" s="59"/>
      <c r="I260" s="59"/>
      <c r="J260" s="59"/>
      <c r="K260" s="59"/>
    </row>
    <row r="261" ht="12.75" customHeight="1">
      <c r="A261" s="46"/>
      <c r="B261" s="59"/>
      <c r="C261" s="59"/>
      <c r="D261" s="59"/>
      <c r="I261" s="59"/>
      <c r="J261" s="59"/>
      <c r="K261" s="59"/>
    </row>
    <row r="262" ht="12.75" customHeight="1">
      <c r="A262" s="46"/>
      <c r="B262" s="59"/>
      <c r="C262" s="59"/>
      <c r="D262" s="59"/>
      <c r="I262" s="59"/>
      <c r="J262" s="59"/>
      <c r="K262" s="59"/>
    </row>
    <row r="263" ht="12.75" customHeight="1">
      <c r="A263" s="46"/>
      <c r="B263" s="59"/>
      <c r="C263" s="59"/>
      <c r="D263" s="59"/>
      <c r="I263" s="59"/>
      <c r="J263" s="59"/>
      <c r="K263" s="59"/>
    </row>
    <row r="264" ht="12.75" customHeight="1">
      <c r="A264" s="46"/>
      <c r="B264" s="59"/>
      <c r="C264" s="59"/>
      <c r="D264" s="59"/>
      <c r="I264" s="59"/>
      <c r="J264" s="59"/>
      <c r="K264" s="59"/>
    </row>
    <row r="265" ht="12.75" customHeight="1">
      <c r="A265" s="46"/>
      <c r="B265" s="59"/>
      <c r="C265" s="59"/>
      <c r="D265" s="59"/>
      <c r="I265" s="59"/>
      <c r="J265" s="59"/>
      <c r="K265" s="59"/>
    </row>
    <row r="266" ht="12.75" customHeight="1">
      <c r="A266" s="46"/>
      <c r="B266" s="59"/>
      <c r="C266" s="59"/>
      <c r="D266" s="59"/>
      <c r="I266" s="59"/>
      <c r="J266" s="59"/>
      <c r="K266" s="59"/>
    </row>
    <row r="267" ht="12.75" customHeight="1">
      <c r="A267" s="46"/>
      <c r="B267" s="59"/>
      <c r="C267" s="59"/>
      <c r="D267" s="59"/>
      <c r="I267" s="59"/>
      <c r="J267" s="59"/>
      <c r="K267" s="59"/>
    </row>
    <row r="268" ht="12.75" customHeight="1">
      <c r="A268" s="46"/>
      <c r="B268" s="59"/>
      <c r="C268" s="59"/>
      <c r="D268" s="59"/>
      <c r="I268" s="59"/>
      <c r="J268" s="59"/>
      <c r="K268" s="59"/>
    </row>
    <row r="269" ht="12.75" customHeight="1">
      <c r="A269" s="46"/>
      <c r="B269" s="59"/>
      <c r="C269" s="59"/>
      <c r="D269" s="59"/>
      <c r="I269" s="59"/>
      <c r="J269" s="59"/>
      <c r="K269" s="59"/>
    </row>
    <row r="270" ht="12.75" customHeight="1">
      <c r="A270" s="46"/>
      <c r="B270" s="59"/>
      <c r="C270" s="59"/>
      <c r="D270" s="59"/>
      <c r="I270" s="59"/>
      <c r="J270" s="59"/>
      <c r="K270" s="59"/>
    </row>
    <row r="271" ht="12.75" customHeight="1">
      <c r="A271" s="46"/>
      <c r="B271" s="59"/>
      <c r="C271" s="59"/>
      <c r="D271" s="59"/>
      <c r="I271" s="59"/>
      <c r="J271" s="59"/>
      <c r="K271" s="59"/>
    </row>
    <row r="272" ht="12.75" customHeight="1">
      <c r="A272" s="46"/>
      <c r="B272" s="59"/>
      <c r="C272" s="59"/>
      <c r="D272" s="59"/>
      <c r="I272" s="59"/>
      <c r="J272" s="59"/>
      <c r="K272" s="59"/>
    </row>
    <row r="273" ht="12.75" customHeight="1">
      <c r="A273" s="46"/>
      <c r="B273" s="59"/>
      <c r="C273" s="59"/>
      <c r="D273" s="59"/>
      <c r="I273" s="59"/>
      <c r="J273" s="59"/>
      <c r="K273" s="59"/>
    </row>
    <row r="274" ht="12.75" customHeight="1">
      <c r="A274" s="46"/>
      <c r="B274" s="59"/>
      <c r="C274" s="59"/>
      <c r="D274" s="59"/>
      <c r="I274" s="59"/>
      <c r="J274" s="59"/>
      <c r="K274" s="59"/>
    </row>
    <row r="275" ht="12.75" customHeight="1">
      <c r="A275" s="46"/>
      <c r="B275" s="59"/>
      <c r="C275" s="59"/>
      <c r="D275" s="59"/>
      <c r="I275" s="59"/>
      <c r="J275" s="59"/>
      <c r="K275" s="59"/>
    </row>
    <row r="276" ht="12.75" customHeight="1">
      <c r="A276" s="46"/>
      <c r="B276" s="59"/>
      <c r="C276" s="59"/>
      <c r="D276" s="59"/>
      <c r="I276" s="59"/>
      <c r="J276" s="59"/>
      <c r="K276" s="59"/>
    </row>
    <row r="277" ht="12.75" customHeight="1">
      <c r="A277" s="46"/>
      <c r="B277" s="59"/>
      <c r="C277" s="59"/>
      <c r="D277" s="59"/>
      <c r="I277" s="59"/>
      <c r="J277" s="59"/>
      <c r="K277" s="59"/>
    </row>
    <row r="278" ht="12.75" customHeight="1">
      <c r="A278" s="46"/>
      <c r="B278" s="59"/>
      <c r="C278" s="59"/>
      <c r="D278" s="59"/>
      <c r="I278" s="59"/>
      <c r="J278" s="59"/>
      <c r="K278" s="59"/>
    </row>
    <row r="279" ht="12.75" customHeight="1">
      <c r="A279" s="46"/>
      <c r="B279" s="59"/>
      <c r="C279" s="59"/>
      <c r="D279" s="59"/>
      <c r="I279" s="59"/>
      <c r="J279" s="59"/>
      <c r="K279" s="59"/>
    </row>
    <row r="280" ht="12.75" customHeight="1">
      <c r="A280" s="46"/>
      <c r="B280" s="59"/>
      <c r="C280" s="59"/>
      <c r="D280" s="59"/>
      <c r="I280" s="59"/>
      <c r="J280" s="59"/>
      <c r="K280" s="59"/>
    </row>
    <row r="281" ht="12.75" customHeight="1">
      <c r="A281" s="46"/>
      <c r="B281" s="59"/>
      <c r="C281" s="59"/>
      <c r="D281" s="59"/>
      <c r="I281" s="59"/>
      <c r="J281" s="59"/>
      <c r="K281" s="59"/>
    </row>
    <row r="282" ht="12.75" customHeight="1">
      <c r="A282" s="46"/>
      <c r="B282" s="59"/>
      <c r="C282" s="59"/>
      <c r="D282" s="59"/>
      <c r="I282" s="59"/>
      <c r="J282" s="59"/>
      <c r="K282" s="59"/>
    </row>
    <row r="283" ht="12.75" customHeight="1">
      <c r="A283" s="46"/>
      <c r="B283" s="59"/>
      <c r="C283" s="59"/>
      <c r="D283" s="59"/>
      <c r="I283" s="59"/>
      <c r="J283" s="59"/>
      <c r="K283" s="59"/>
    </row>
    <row r="284" ht="12.75" customHeight="1">
      <c r="A284" s="46"/>
      <c r="B284" s="59"/>
      <c r="C284" s="59"/>
      <c r="D284" s="59"/>
      <c r="I284" s="59"/>
      <c r="J284" s="59"/>
      <c r="K284" s="59"/>
    </row>
    <row r="285" ht="12.75" customHeight="1">
      <c r="A285" s="46"/>
      <c r="B285" s="59"/>
      <c r="C285" s="59"/>
      <c r="D285" s="59"/>
      <c r="I285" s="59"/>
      <c r="J285" s="59"/>
      <c r="K285" s="59"/>
    </row>
    <row r="286" ht="12.75" customHeight="1">
      <c r="A286" s="46"/>
      <c r="B286" s="59"/>
      <c r="C286" s="59"/>
      <c r="D286" s="59"/>
      <c r="I286" s="59"/>
      <c r="J286" s="59"/>
      <c r="K286" s="59"/>
    </row>
    <row r="287" ht="12.75" customHeight="1">
      <c r="A287" s="46"/>
      <c r="B287" s="59"/>
      <c r="C287" s="59"/>
      <c r="D287" s="59"/>
      <c r="I287" s="59"/>
      <c r="J287" s="59"/>
      <c r="K287" s="59"/>
    </row>
    <row r="288" ht="12.75" customHeight="1">
      <c r="A288" s="46"/>
      <c r="B288" s="59"/>
      <c r="C288" s="59"/>
      <c r="D288" s="59"/>
      <c r="I288" s="59"/>
      <c r="J288" s="59"/>
      <c r="K288" s="59"/>
    </row>
    <row r="289" ht="12.75" customHeight="1">
      <c r="A289" s="46"/>
      <c r="B289" s="59"/>
      <c r="C289" s="59"/>
      <c r="D289" s="59"/>
      <c r="I289" s="59"/>
      <c r="J289" s="59"/>
      <c r="K289" s="59"/>
    </row>
    <row r="290" ht="12.75" customHeight="1">
      <c r="A290" s="46"/>
      <c r="B290" s="59"/>
      <c r="C290" s="59"/>
      <c r="D290" s="59"/>
      <c r="I290" s="59"/>
      <c r="J290" s="59"/>
      <c r="K290" s="59"/>
    </row>
    <row r="291" ht="12.75" customHeight="1">
      <c r="A291" s="46"/>
      <c r="B291" s="59"/>
      <c r="C291" s="59"/>
      <c r="D291" s="59"/>
      <c r="I291" s="59"/>
      <c r="J291" s="59"/>
      <c r="K291" s="59"/>
    </row>
    <row r="292" ht="12.75" customHeight="1">
      <c r="A292" s="46"/>
      <c r="B292" s="59"/>
      <c r="C292" s="59"/>
      <c r="D292" s="59"/>
      <c r="I292" s="59"/>
      <c r="J292" s="59"/>
      <c r="K292" s="59"/>
    </row>
    <row r="293" ht="12.75" customHeight="1">
      <c r="A293" s="46"/>
      <c r="B293" s="59"/>
      <c r="C293" s="59"/>
      <c r="D293" s="59"/>
      <c r="I293" s="59"/>
      <c r="J293" s="59"/>
      <c r="K293" s="59"/>
    </row>
    <row r="294" ht="12.75" customHeight="1">
      <c r="A294" s="46"/>
      <c r="B294" s="59"/>
      <c r="C294" s="59"/>
      <c r="D294" s="59"/>
      <c r="I294" s="59"/>
      <c r="J294" s="59"/>
      <c r="K294" s="59"/>
    </row>
    <row r="295" ht="12.75" customHeight="1">
      <c r="A295" s="46"/>
      <c r="B295" s="59"/>
      <c r="C295" s="59"/>
      <c r="D295" s="59"/>
      <c r="I295" s="59"/>
      <c r="J295" s="59"/>
      <c r="K295" s="59"/>
    </row>
    <row r="296" ht="12.75" customHeight="1">
      <c r="A296" s="46"/>
      <c r="B296" s="59"/>
      <c r="C296" s="59"/>
      <c r="D296" s="59"/>
      <c r="I296" s="59"/>
      <c r="J296" s="59"/>
      <c r="K296" s="59"/>
    </row>
    <row r="297" ht="12.75" customHeight="1">
      <c r="A297" s="46"/>
      <c r="B297" s="59"/>
      <c r="C297" s="59"/>
      <c r="D297" s="59"/>
      <c r="I297" s="59"/>
      <c r="J297" s="59"/>
      <c r="K297" s="59"/>
    </row>
    <row r="298" ht="12.75" customHeight="1">
      <c r="A298" s="46"/>
      <c r="B298" s="59"/>
      <c r="C298" s="59"/>
      <c r="D298" s="59"/>
      <c r="I298" s="59"/>
      <c r="J298" s="59"/>
      <c r="K298" s="59"/>
    </row>
    <row r="299" ht="12.75" customHeight="1">
      <c r="A299" s="46"/>
      <c r="B299" s="59"/>
      <c r="C299" s="59"/>
      <c r="D299" s="59"/>
      <c r="I299" s="59"/>
      <c r="J299" s="59"/>
      <c r="K299" s="59"/>
    </row>
    <row r="300" ht="12.75" customHeight="1">
      <c r="A300" s="46"/>
      <c r="B300" s="59"/>
      <c r="C300" s="59"/>
      <c r="D300" s="59"/>
      <c r="I300" s="59"/>
      <c r="J300" s="59"/>
      <c r="K300" s="59"/>
    </row>
    <row r="301" ht="12.75" customHeight="1">
      <c r="A301" s="46"/>
      <c r="B301" s="59"/>
      <c r="C301" s="59"/>
      <c r="D301" s="59"/>
      <c r="I301" s="59"/>
      <c r="J301" s="59"/>
      <c r="K301" s="59"/>
    </row>
    <row r="302" ht="12.75" customHeight="1">
      <c r="A302" s="46"/>
      <c r="B302" s="59"/>
      <c r="C302" s="59"/>
      <c r="D302" s="59"/>
      <c r="I302" s="59"/>
      <c r="J302" s="59"/>
      <c r="K302" s="59"/>
    </row>
    <row r="303" ht="12.75" customHeight="1">
      <c r="A303" s="46"/>
      <c r="B303" s="59"/>
      <c r="C303" s="59"/>
      <c r="D303" s="59"/>
      <c r="I303" s="59"/>
      <c r="J303" s="59"/>
      <c r="K303" s="59"/>
    </row>
    <row r="304" ht="12.75" customHeight="1">
      <c r="A304" s="46"/>
      <c r="B304" s="59"/>
      <c r="C304" s="59"/>
      <c r="D304" s="59"/>
      <c r="I304" s="59"/>
      <c r="J304" s="59"/>
      <c r="K304" s="59"/>
    </row>
    <row r="305" ht="12.75" customHeight="1">
      <c r="A305" s="46"/>
      <c r="B305" s="59"/>
      <c r="C305" s="59"/>
      <c r="D305" s="59"/>
      <c r="I305" s="59"/>
      <c r="J305" s="59"/>
      <c r="K305" s="59"/>
    </row>
    <row r="306" ht="12.75" customHeight="1">
      <c r="A306" s="46"/>
      <c r="B306" s="59"/>
      <c r="C306" s="59"/>
      <c r="D306" s="59"/>
      <c r="I306" s="59"/>
      <c r="J306" s="59"/>
      <c r="K306" s="59"/>
    </row>
    <row r="307" ht="12.75" customHeight="1">
      <c r="A307" s="46"/>
      <c r="B307" s="59"/>
      <c r="C307" s="59"/>
      <c r="D307" s="59"/>
      <c r="I307" s="59"/>
      <c r="J307" s="59"/>
      <c r="K307" s="59"/>
    </row>
    <row r="308" ht="12.75" customHeight="1">
      <c r="A308" s="46"/>
      <c r="B308" s="59"/>
      <c r="C308" s="59"/>
      <c r="D308" s="59"/>
      <c r="I308" s="59"/>
      <c r="J308" s="59"/>
      <c r="K308" s="59"/>
    </row>
    <row r="309" ht="12.75" customHeight="1">
      <c r="A309" s="46"/>
      <c r="B309" s="59"/>
      <c r="C309" s="59"/>
      <c r="D309" s="59"/>
      <c r="I309" s="59"/>
      <c r="J309" s="59"/>
      <c r="K309" s="59"/>
    </row>
    <row r="310" ht="12.75" customHeight="1">
      <c r="A310" s="46"/>
      <c r="B310" s="59"/>
      <c r="C310" s="59"/>
      <c r="D310" s="59"/>
      <c r="I310" s="59"/>
      <c r="J310" s="59"/>
      <c r="K310" s="59"/>
    </row>
    <row r="311" ht="12.75" customHeight="1">
      <c r="A311" s="46"/>
      <c r="B311" s="59"/>
      <c r="C311" s="59"/>
      <c r="D311" s="59"/>
      <c r="I311" s="59"/>
      <c r="J311" s="59"/>
      <c r="K311" s="59"/>
    </row>
    <row r="312" ht="12.75" customHeight="1">
      <c r="A312" s="46"/>
      <c r="B312" s="59"/>
      <c r="C312" s="59"/>
      <c r="D312" s="59"/>
      <c r="I312" s="59"/>
      <c r="J312" s="59"/>
      <c r="K312" s="59"/>
    </row>
    <row r="313" ht="12.75" customHeight="1">
      <c r="A313" s="46"/>
      <c r="B313" s="59"/>
      <c r="C313" s="59"/>
      <c r="D313" s="59"/>
      <c r="I313" s="59"/>
      <c r="J313" s="59"/>
      <c r="K313" s="59"/>
    </row>
    <row r="314" ht="12.75" customHeight="1">
      <c r="A314" s="46"/>
      <c r="B314" s="59"/>
      <c r="C314" s="59"/>
      <c r="D314" s="59"/>
      <c r="I314" s="59"/>
      <c r="J314" s="59"/>
      <c r="K314" s="59"/>
    </row>
    <row r="315" ht="12.75" customHeight="1">
      <c r="A315" s="46"/>
      <c r="B315" s="59"/>
      <c r="C315" s="59"/>
      <c r="D315" s="59"/>
      <c r="I315" s="59"/>
      <c r="J315" s="59"/>
      <c r="K315" s="59"/>
    </row>
    <row r="316" ht="12.75" customHeight="1">
      <c r="A316" s="46"/>
      <c r="B316" s="59"/>
      <c r="C316" s="59"/>
      <c r="D316" s="59"/>
      <c r="I316" s="59"/>
      <c r="J316" s="59"/>
      <c r="K316" s="59"/>
    </row>
    <row r="317" ht="12.75" customHeight="1">
      <c r="A317" s="46"/>
      <c r="B317" s="59"/>
      <c r="C317" s="59"/>
      <c r="D317" s="59"/>
      <c r="I317" s="59"/>
      <c r="J317" s="59"/>
      <c r="K317" s="59"/>
    </row>
    <row r="318" ht="12.75" customHeight="1">
      <c r="A318" s="46"/>
      <c r="B318" s="59"/>
      <c r="C318" s="59"/>
      <c r="D318" s="59"/>
      <c r="I318" s="59"/>
      <c r="J318" s="59"/>
      <c r="K318" s="59"/>
    </row>
    <row r="319" ht="12.75" customHeight="1">
      <c r="A319" s="46"/>
      <c r="B319" s="59"/>
      <c r="C319" s="59"/>
      <c r="D319" s="59"/>
      <c r="I319" s="59"/>
      <c r="J319" s="59"/>
      <c r="K319" s="59"/>
    </row>
    <row r="320" ht="12.75" customHeight="1">
      <c r="A320" s="46"/>
      <c r="B320" s="59"/>
      <c r="C320" s="59"/>
      <c r="D320" s="59"/>
      <c r="I320" s="59"/>
      <c r="J320" s="59"/>
      <c r="K320" s="59"/>
    </row>
    <row r="321" ht="12.75" customHeight="1">
      <c r="A321" s="46"/>
      <c r="B321" s="59"/>
      <c r="C321" s="59"/>
      <c r="D321" s="59"/>
      <c r="I321" s="59"/>
      <c r="J321" s="59"/>
      <c r="K321" s="59"/>
    </row>
    <row r="322" ht="12.75" customHeight="1">
      <c r="A322" s="46"/>
      <c r="B322" s="59"/>
      <c r="C322" s="59"/>
      <c r="D322" s="59"/>
      <c r="I322" s="59"/>
      <c r="J322" s="59"/>
      <c r="K322" s="59"/>
    </row>
    <row r="323" ht="12.75" customHeight="1">
      <c r="A323" s="46"/>
      <c r="B323" s="59"/>
      <c r="C323" s="59"/>
      <c r="D323" s="59"/>
      <c r="I323" s="59"/>
      <c r="J323" s="59"/>
      <c r="K323" s="59"/>
    </row>
    <row r="324" ht="12.75" customHeight="1">
      <c r="A324" s="46"/>
      <c r="B324" s="59"/>
      <c r="C324" s="59"/>
      <c r="D324" s="59"/>
      <c r="I324" s="59"/>
      <c r="J324" s="59"/>
      <c r="K324" s="59"/>
    </row>
    <row r="325" ht="12.75" customHeight="1">
      <c r="A325" s="46"/>
      <c r="B325" s="59"/>
      <c r="C325" s="59"/>
      <c r="D325" s="59"/>
      <c r="I325" s="59"/>
      <c r="J325" s="59"/>
      <c r="K325" s="59"/>
    </row>
    <row r="326" ht="12.75" customHeight="1">
      <c r="A326" s="46"/>
      <c r="B326" s="59"/>
      <c r="C326" s="59"/>
      <c r="D326" s="59"/>
      <c r="I326" s="59"/>
      <c r="J326" s="59"/>
      <c r="K326" s="59"/>
    </row>
    <row r="327" ht="12.75" customHeight="1">
      <c r="A327" s="46"/>
      <c r="B327" s="59"/>
      <c r="C327" s="59"/>
      <c r="D327" s="59"/>
      <c r="I327" s="59"/>
      <c r="J327" s="59"/>
      <c r="K327" s="59"/>
    </row>
    <row r="328" ht="12.75" customHeight="1">
      <c r="A328" s="46"/>
      <c r="B328" s="59"/>
      <c r="C328" s="59"/>
      <c r="D328" s="59"/>
      <c r="I328" s="59"/>
      <c r="J328" s="59"/>
      <c r="K328" s="59"/>
    </row>
    <row r="329" ht="12.75" customHeight="1">
      <c r="A329" s="46"/>
      <c r="B329" s="59"/>
      <c r="C329" s="59"/>
      <c r="D329" s="59"/>
      <c r="I329" s="59"/>
      <c r="J329" s="59"/>
      <c r="K329" s="59"/>
    </row>
    <row r="330" ht="12.75" customHeight="1">
      <c r="A330" s="46"/>
      <c r="B330" s="59"/>
      <c r="C330" s="59"/>
      <c r="D330" s="59"/>
      <c r="I330" s="59"/>
      <c r="J330" s="59"/>
      <c r="K330" s="59"/>
    </row>
    <row r="331" ht="12.75" customHeight="1">
      <c r="A331" s="46"/>
      <c r="B331" s="59"/>
      <c r="C331" s="59"/>
      <c r="D331" s="59"/>
      <c r="I331" s="59"/>
      <c r="J331" s="59"/>
      <c r="K331" s="59"/>
    </row>
    <row r="332" ht="12.75" customHeight="1">
      <c r="A332" s="46"/>
      <c r="B332" s="59"/>
      <c r="C332" s="59"/>
      <c r="D332" s="59"/>
      <c r="I332" s="59"/>
      <c r="J332" s="59"/>
      <c r="K332" s="59"/>
    </row>
    <row r="333" ht="12.75" customHeight="1">
      <c r="A333" s="46"/>
      <c r="B333" s="59"/>
      <c r="C333" s="59"/>
      <c r="D333" s="59"/>
      <c r="I333" s="59"/>
      <c r="J333" s="59"/>
      <c r="K333" s="59"/>
    </row>
    <row r="334" ht="12.75" customHeight="1">
      <c r="A334" s="46"/>
      <c r="B334" s="59"/>
      <c r="C334" s="59"/>
      <c r="D334" s="59"/>
      <c r="I334" s="59"/>
      <c r="J334" s="59"/>
      <c r="K334" s="59"/>
    </row>
    <row r="335" ht="12.75" customHeight="1">
      <c r="A335" s="46"/>
      <c r="B335" s="59"/>
      <c r="C335" s="59"/>
      <c r="D335" s="59"/>
      <c r="I335" s="59"/>
      <c r="J335" s="59"/>
      <c r="K335" s="59"/>
    </row>
    <row r="336" ht="12.75" customHeight="1">
      <c r="A336" s="46"/>
      <c r="B336" s="59"/>
      <c r="C336" s="59"/>
      <c r="D336" s="59"/>
      <c r="I336" s="59"/>
      <c r="J336" s="59"/>
      <c r="K336" s="59"/>
    </row>
    <row r="337" ht="12.75" customHeight="1">
      <c r="A337" s="46"/>
      <c r="B337" s="59"/>
      <c r="C337" s="59"/>
      <c r="D337" s="59"/>
      <c r="I337" s="59"/>
      <c r="J337" s="59"/>
      <c r="K337" s="59"/>
    </row>
    <row r="338" ht="12.75" customHeight="1">
      <c r="A338" s="46"/>
      <c r="B338" s="59"/>
      <c r="C338" s="59"/>
      <c r="D338" s="59"/>
      <c r="I338" s="59"/>
      <c r="J338" s="59"/>
      <c r="K338" s="59"/>
    </row>
    <row r="339" ht="12.75" customHeight="1">
      <c r="A339" s="46"/>
      <c r="B339" s="59"/>
      <c r="C339" s="59"/>
      <c r="D339" s="59"/>
      <c r="I339" s="59"/>
      <c r="J339" s="59"/>
      <c r="K339" s="59"/>
    </row>
    <row r="340" ht="12.75" customHeight="1">
      <c r="A340" s="46"/>
      <c r="B340" s="59"/>
      <c r="C340" s="59"/>
      <c r="D340" s="59"/>
      <c r="I340" s="59"/>
      <c r="J340" s="59"/>
      <c r="K340" s="59"/>
    </row>
    <row r="341" ht="12.75" customHeight="1">
      <c r="A341" s="46"/>
      <c r="B341" s="59"/>
      <c r="C341" s="59"/>
      <c r="D341" s="59"/>
      <c r="I341" s="59"/>
      <c r="J341" s="59"/>
      <c r="K341" s="59"/>
    </row>
    <row r="342" ht="12.75" customHeight="1">
      <c r="A342" s="46"/>
      <c r="B342" s="59"/>
      <c r="C342" s="59"/>
      <c r="D342" s="59"/>
      <c r="I342" s="59"/>
      <c r="J342" s="59"/>
      <c r="K342" s="59"/>
    </row>
    <row r="343" ht="12.75" customHeight="1">
      <c r="A343" s="46"/>
      <c r="B343" s="59"/>
      <c r="C343" s="59"/>
      <c r="D343" s="59"/>
      <c r="I343" s="59"/>
      <c r="J343" s="59"/>
      <c r="K343" s="59"/>
    </row>
    <row r="344" ht="12.75" customHeight="1">
      <c r="A344" s="46"/>
      <c r="B344" s="59"/>
      <c r="C344" s="59"/>
      <c r="D344" s="59"/>
      <c r="I344" s="59"/>
      <c r="J344" s="59"/>
      <c r="K344" s="59"/>
    </row>
    <row r="345" ht="12.75" customHeight="1">
      <c r="A345" s="46"/>
      <c r="B345" s="59"/>
      <c r="C345" s="59"/>
      <c r="D345" s="59"/>
      <c r="I345" s="59"/>
      <c r="J345" s="59"/>
      <c r="K345" s="59"/>
    </row>
    <row r="346" ht="12.75" customHeight="1">
      <c r="A346" s="46"/>
      <c r="B346" s="59"/>
      <c r="C346" s="59"/>
      <c r="D346" s="59"/>
      <c r="I346" s="59"/>
      <c r="J346" s="59"/>
      <c r="K346" s="59"/>
    </row>
    <row r="347" ht="12.75" customHeight="1">
      <c r="A347" s="46"/>
      <c r="B347" s="59"/>
      <c r="C347" s="59"/>
      <c r="D347" s="59"/>
      <c r="I347" s="59"/>
      <c r="J347" s="59"/>
      <c r="K347" s="59"/>
    </row>
    <row r="348" ht="12.75" customHeight="1">
      <c r="A348" s="46"/>
      <c r="B348" s="59"/>
      <c r="C348" s="59"/>
      <c r="D348" s="59"/>
      <c r="I348" s="59"/>
      <c r="J348" s="59"/>
      <c r="K348" s="59"/>
    </row>
    <row r="349" ht="12.75" customHeight="1">
      <c r="A349" s="46"/>
      <c r="B349" s="59"/>
      <c r="C349" s="59"/>
      <c r="D349" s="59"/>
      <c r="I349" s="59"/>
      <c r="J349" s="59"/>
      <c r="K349" s="59"/>
    </row>
    <row r="350" ht="12.75" customHeight="1">
      <c r="A350" s="46"/>
      <c r="B350" s="59"/>
      <c r="C350" s="59"/>
      <c r="D350" s="59"/>
      <c r="I350" s="59"/>
      <c r="J350" s="59"/>
      <c r="K350" s="59"/>
    </row>
    <row r="351" ht="12.75" customHeight="1">
      <c r="A351" s="46"/>
      <c r="B351" s="59"/>
      <c r="C351" s="59"/>
      <c r="D351" s="59"/>
      <c r="I351" s="59"/>
      <c r="J351" s="59"/>
      <c r="K351" s="59"/>
    </row>
    <row r="352" ht="12.75" customHeight="1">
      <c r="A352" s="46"/>
      <c r="B352" s="59"/>
      <c r="C352" s="59"/>
      <c r="D352" s="59"/>
      <c r="I352" s="59"/>
      <c r="J352" s="59"/>
      <c r="K352" s="59"/>
    </row>
    <row r="353" ht="12.75" customHeight="1">
      <c r="A353" s="46"/>
      <c r="B353" s="59"/>
      <c r="C353" s="59"/>
      <c r="D353" s="59"/>
      <c r="I353" s="59"/>
      <c r="J353" s="59"/>
      <c r="K353" s="59"/>
    </row>
    <row r="354" ht="12.75" customHeight="1">
      <c r="A354" s="46"/>
      <c r="B354" s="59"/>
      <c r="C354" s="59"/>
      <c r="D354" s="59"/>
      <c r="I354" s="59"/>
      <c r="J354" s="59"/>
      <c r="K354" s="59"/>
    </row>
    <row r="355" ht="12.75" customHeight="1">
      <c r="A355" s="46"/>
      <c r="B355" s="59"/>
      <c r="C355" s="59"/>
      <c r="D355" s="59"/>
      <c r="I355" s="59"/>
      <c r="J355" s="59"/>
      <c r="K355" s="59"/>
    </row>
    <row r="356" ht="12.75" customHeight="1">
      <c r="A356" s="46"/>
      <c r="B356" s="59"/>
      <c r="C356" s="59"/>
      <c r="D356" s="59"/>
      <c r="I356" s="59"/>
      <c r="J356" s="59"/>
      <c r="K356" s="59"/>
    </row>
    <row r="357" ht="12.75" customHeight="1">
      <c r="A357" s="46"/>
      <c r="B357" s="59"/>
      <c r="C357" s="59"/>
      <c r="D357" s="59"/>
      <c r="I357" s="59"/>
      <c r="J357" s="59"/>
      <c r="K357" s="59"/>
    </row>
    <row r="358" ht="12.75" customHeight="1">
      <c r="A358" s="46"/>
      <c r="B358" s="59"/>
      <c r="C358" s="59"/>
      <c r="D358" s="59"/>
      <c r="I358" s="59"/>
      <c r="J358" s="59"/>
      <c r="K358" s="59"/>
    </row>
    <row r="359" ht="12.75" customHeight="1">
      <c r="A359" s="46"/>
      <c r="B359" s="59"/>
      <c r="C359" s="59"/>
      <c r="D359" s="59"/>
      <c r="I359" s="59"/>
      <c r="J359" s="59"/>
      <c r="K359" s="59"/>
    </row>
    <row r="360" ht="12.75" customHeight="1">
      <c r="A360" s="46"/>
      <c r="B360" s="59"/>
      <c r="C360" s="59"/>
      <c r="D360" s="59"/>
      <c r="I360" s="59"/>
      <c r="J360" s="59"/>
      <c r="K360" s="59"/>
    </row>
    <row r="361" ht="12.75" customHeight="1">
      <c r="A361" s="46"/>
      <c r="B361" s="59"/>
      <c r="C361" s="59"/>
      <c r="D361" s="59"/>
      <c r="I361" s="59"/>
      <c r="J361" s="59"/>
      <c r="K361" s="59"/>
    </row>
    <row r="362" ht="12.75" customHeight="1">
      <c r="A362" s="46"/>
      <c r="B362" s="59"/>
      <c r="C362" s="59"/>
      <c r="D362" s="59"/>
      <c r="I362" s="59"/>
      <c r="J362" s="59"/>
      <c r="K362" s="59"/>
    </row>
    <row r="363" ht="12.75" customHeight="1">
      <c r="A363" s="46"/>
      <c r="B363" s="59"/>
      <c r="C363" s="59"/>
      <c r="D363" s="59"/>
      <c r="I363" s="59"/>
      <c r="J363" s="59"/>
      <c r="K363" s="59"/>
    </row>
    <row r="364" ht="12.75" customHeight="1">
      <c r="A364" s="46"/>
      <c r="B364" s="59"/>
      <c r="C364" s="59"/>
      <c r="D364" s="59"/>
      <c r="I364" s="59"/>
      <c r="J364" s="59"/>
      <c r="K364" s="59"/>
    </row>
    <row r="365" ht="12.75" customHeight="1">
      <c r="A365" s="46"/>
      <c r="B365" s="59"/>
      <c r="C365" s="59"/>
      <c r="D365" s="59"/>
      <c r="I365" s="59"/>
      <c r="J365" s="59"/>
      <c r="K365" s="59"/>
    </row>
    <row r="366" ht="12.75" customHeight="1">
      <c r="A366" s="46"/>
      <c r="B366" s="59"/>
      <c r="C366" s="59"/>
      <c r="D366" s="59"/>
      <c r="I366" s="59"/>
      <c r="J366" s="59"/>
      <c r="K366" s="59"/>
    </row>
    <row r="367" ht="12.75" customHeight="1">
      <c r="A367" s="46"/>
      <c r="B367" s="59"/>
      <c r="C367" s="59"/>
      <c r="D367" s="59"/>
      <c r="I367" s="59"/>
      <c r="J367" s="59"/>
      <c r="K367" s="59"/>
    </row>
    <row r="368" ht="12.75" customHeight="1">
      <c r="A368" s="46"/>
      <c r="B368" s="59"/>
      <c r="C368" s="59"/>
      <c r="D368" s="59"/>
      <c r="I368" s="59"/>
      <c r="J368" s="59"/>
      <c r="K368" s="59"/>
    </row>
    <row r="369" ht="12.75" customHeight="1">
      <c r="A369" s="46"/>
      <c r="B369" s="59"/>
      <c r="C369" s="59"/>
      <c r="D369" s="59"/>
      <c r="I369" s="59"/>
      <c r="J369" s="59"/>
      <c r="K369" s="59"/>
    </row>
    <row r="370" ht="12.75" customHeight="1">
      <c r="A370" s="46"/>
      <c r="B370" s="59"/>
      <c r="C370" s="59"/>
      <c r="D370" s="59"/>
      <c r="I370" s="59"/>
      <c r="J370" s="59"/>
      <c r="K370" s="59"/>
    </row>
    <row r="371" ht="12.75" customHeight="1">
      <c r="A371" s="46"/>
      <c r="B371" s="59"/>
      <c r="C371" s="59"/>
      <c r="D371" s="59"/>
      <c r="I371" s="59"/>
      <c r="J371" s="59"/>
      <c r="K371" s="59"/>
    </row>
    <row r="372" ht="12.75" customHeight="1">
      <c r="A372" s="46"/>
      <c r="B372" s="59"/>
      <c r="C372" s="59"/>
      <c r="D372" s="59"/>
      <c r="I372" s="59"/>
      <c r="J372" s="59"/>
      <c r="K372" s="59"/>
    </row>
    <row r="373" ht="12.75" customHeight="1">
      <c r="A373" s="46"/>
      <c r="B373" s="59"/>
      <c r="C373" s="59"/>
      <c r="D373" s="59"/>
      <c r="I373" s="59"/>
      <c r="J373" s="59"/>
      <c r="K373" s="59"/>
    </row>
    <row r="374" ht="12.75" customHeight="1">
      <c r="A374" s="46"/>
      <c r="B374" s="59"/>
      <c r="C374" s="59"/>
      <c r="D374" s="59"/>
      <c r="I374" s="59"/>
      <c r="J374" s="59"/>
      <c r="K374" s="59"/>
    </row>
    <row r="375" ht="12.75" customHeight="1">
      <c r="A375" s="46"/>
      <c r="B375" s="59"/>
      <c r="C375" s="59"/>
      <c r="D375" s="59"/>
      <c r="I375" s="59"/>
      <c r="J375" s="59"/>
      <c r="K375" s="59"/>
    </row>
    <row r="376" ht="12.75" customHeight="1">
      <c r="A376" s="46"/>
      <c r="B376" s="59"/>
      <c r="C376" s="59"/>
      <c r="D376" s="59"/>
      <c r="I376" s="59"/>
      <c r="J376" s="59"/>
      <c r="K376" s="59"/>
    </row>
    <row r="377" ht="12.75" customHeight="1">
      <c r="A377" s="46"/>
      <c r="B377" s="59"/>
      <c r="C377" s="59"/>
      <c r="D377" s="59"/>
      <c r="I377" s="59"/>
      <c r="J377" s="59"/>
      <c r="K377" s="59"/>
    </row>
    <row r="378" ht="12.75" customHeight="1">
      <c r="A378" s="46"/>
      <c r="B378" s="59"/>
      <c r="C378" s="59"/>
      <c r="D378" s="59"/>
      <c r="I378" s="59"/>
      <c r="J378" s="59"/>
      <c r="K378" s="59"/>
    </row>
    <row r="379" ht="12.75" customHeight="1">
      <c r="A379" s="46"/>
      <c r="B379" s="59"/>
      <c r="C379" s="59"/>
      <c r="D379" s="59"/>
      <c r="I379" s="59"/>
      <c r="J379" s="59"/>
      <c r="K379" s="59"/>
    </row>
    <row r="380" ht="12.75" customHeight="1">
      <c r="A380" s="46"/>
      <c r="B380" s="59"/>
      <c r="C380" s="59"/>
      <c r="D380" s="59"/>
      <c r="I380" s="59"/>
      <c r="J380" s="59"/>
      <c r="K380" s="59"/>
    </row>
    <row r="381" ht="12.75" customHeight="1">
      <c r="A381" s="46"/>
      <c r="B381" s="59"/>
      <c r="C381" s="59"/>
      <c r="D381" s="59"/>
      <c r="I381" s="59"/>
      <c r="J381" s="59"/>
      <c r="K381" s="59"/>
    </row>
    <row r="382" ht="12.75" customHeight="1">
      <c r="A382" s="46"/>
      <c r="B382" s="59"/>
      <c r="C382" s="59"/>
      <c r="D382" s="59"/>
      <c r="I382" s="59"/>
      <c r="J382" s="59"/>
      <c r="K382" s="59"/>
    </row>
    <row r="383" ht="12.75" customHeight="1">
      <c r="A383" s="46"/>
      <c r="B383" s="59"/>
      <c r="C383" s="59"/>
      <c r="D383" s="59"/>
      <c r="I383" s="59"/>
      <c r="J383" s="59"/>
      <c r="K383" s="59"/>
    </row>
    <row r="384" ht="12.75" customHeight="1">
      <c r="A384" s="46"/>
      <c r="B384" s="59"/>
      <c r="C384" s="59"/>
      <c r="D384" s="59"/>
      <c r="I384" s="59"/>
      <c r="J384" s="59"/>
      <c r="K384" s="59"/>
    </row>
    <row r="385" ht="12.75" customHeight="1">
      <c r="A385" s="46"/>
      <c r="B385" s="59"/>
      <c r="C385" s="59"/>
      <c r="D385" s="59"/>
      <c r="I385" s="59"/>
      <c r="J385" s="59"/>
      <c r="K385" s="59"/>
    </row>
    <row r="386" ht="12.75" customHeight="1">
      <c r="A386" s="46"/>
      <c r="B386" s="59"/>
      <c r="C386" s="59"/>
      <c r="D386" s="59"/>
      <c r="I386" s="59"/>
      <c r="J386" s="59"/>
      <c r="K386" s="59"/>
    </row>
    <row r="387" ht="12.75" customHeight="1">
      <c r="A387" s="46"/>
      <c r="B387" s="59"/>
      <c r="C387" s="59"/>
      <c r="D387" s="59"/>
      <c r="I387" s="59"/>
      <c r="J387" s="59"/>
      <c r="K387" s="59"/>
    </row>
    <row r="388" ht="12.75" customHeight="1">
      <c r="A388" s="46"/>
      <c r="B388" s="59"/>
      <c r="C388" s="59"/>
      <c r="D388" s="59"/>
      <c r="I388" s="59"/>
      <c r="J388" s="59"/>
      <c r="K388" s="59"/>
    </row>
    <row r="389" ht="12.75" customHeight="1">
      <c r="A389" s="46"/>
      <c r="B389" s="59"/>
      <c r="C389" s="59"/>
      <c r="D389" s="59"/>
      <c r="I389" s="59"/>
      <c r="J389" s="59"/>
      <c r="K389" s="59"/>
    </row>
    <row r="390" ht="12.75" customHeight="1">
      <c r="A390" s="46"/>
      <c r="B390" s="59"/>
      <c r="C390" s="59"/>
      <c r="D390" s="59"/>
      <c r="I390" s="59"/>
      <c r="J390" s="59"/>
      <c r="K390" s="59"/>
    </row>
    <row r="391" ht="12.75" customHeight="1">
      <c r="A391" s="46"/>
      <c r="B391" s="59"/>
      <c r="C391" s="59"/>
      <c r="D391" s="59"/>
      <c r="I391" s="59"/>
      <c r="J391" s="59"/>
      <c r="K391" s="59"/>
    </row>
    <row r="392" ht="12.75" customHeight="1">
      <c r="A392" s="46"/>
      <c r="B392" s="59"/>
      <c r="C392" s="59"/>
      <c r="D392" s="59"/>
      <c r="I392" s="59"/>
      <c r="J392" s="59"/>
      <c r="K392" s="59"/>
    </row>
    <row r="393" ht="12.75" customHeight="1">
      <c r="A393" s="46"/>
      <c r="B393" s="59"/>
      <c r="C393" s="59"/>
      <c r="D393" s="59"/>
      <c r="I393" s="59"/>
      <c r="J393" s="59"/>
      <c r="K393" s="59"/>
    </row>
    <row r="394" ht="12.75" customHeight="1">
      <c r="A394" s="46"/>
      <c r="B394" s="59"/>
      <c r="C394" s="59"/>
      <c r="D394" s="59"/>
      <c r="I394" s="59"/>
      <c r="J394" s="59"/>
      <c r="K394" s="59"/>
    </row>
    <row r="395" ht="12.75" customHeight="1">
      <c r="A395" s="46"/>
      <c r="B395" s="59"/>
      <c r="C395" s="59"/>
      <c r="D395" s="59"/>
      <c r="I395" s="59"/>
      <c r="J395" s="59"/>
      <c r="K395" s="59"/>
    </row>
    <row r="396" ht="12.75" customHeight="1">
      <c r="A396" s="46"/>
      <c r="B396" s="59"/>
      <c r="C396" s="59"/>
      <c r="D396" s="59"/>
      <c r="I396" s="59"/>
      <c r="J396" s="59"/>
      <c r="K396" s="59"/>
    </row>
    <row r="397" ht="12.75" customHeight="1">
      <c r="A397" s="46"/>
      <c r="B397" s="59"/>
      <c r="C397" s="59"/>
      <c r="D397" s="59"/>
      <c r="I397" s="59"/>
      <c r="J397" s="59"/>
      <c r="K397" s="59"/>
    </row>
    <row r="398" ht="12.75" customHeight="1">
      <c r="A398" s="46"/>
      <c r="B398" s="59"/>
      <c r="C398" s="59"/>
      <c r="D398" s="59"/>
      <c r="I398" s="59"/>
      <c r="J398" s="59"/>
      <c r="K398" s="59"/>
    </row>
    <row r="399" ht="12.75" customHeight="1">
      <c r="A399" s="46"/>
      <c r="B399" s="59"/>
      <c r="C399" s="59"/>
      <c r="D399" s="59"/>
      <c r="I399" s="59"/>
      <c r="J399" s="59"/>
      <c r="K399" s="59"/>
    </row>
    <row r="400" ht="12.75" customHeight="1">
      <c r="A400" s="46"/>
      <c r="B400" s="59"/>
      <c r="C400" s="59"/>
      <c r="D400" s="59"/>
      <c r="I400" s="59"/>
      <c r="J400" s="59"/>
      <c r="K400" s="59"/>
    </row>
    <row r="401" ht="12.75" customHeight="1">
      <c r="A401" s="46"/>
      <c r="B401" s="59"/>
      <c r="C401" s="59"/>
      <c r="D401" s="59"/>
      <c r="I401" s="59"/>
      <c r="J401" s="59"/>
      <c r="K401" s="59"/>
    </row>
    <row r="402" ht="12.75" customHeight="1">
      <c r="A402" s="46"/>
      <c r="B402" s="59"/>
      <c r="C402" s="59"/>
      <c r="D402" s="59"/>
      <c r="I402" s="59"/>
      <c r="J402" s="59"/>
      <c r="K402" s="59"/>
    </row>
    <row r="403" ht="12.75" customHeight="1">
      <c r="A403" s="46"/>
      <c r="B403" s="59"/>
      <c r="C403" s="59"/>
      <c r="D403" s="59"/>
      <c r="I403" s="59"/>
      <c r="J403" s="59"/>
      <c r="K403" s="59"/>
    </row>
    <row r="404" ht="12.75" customHeight="1">
      <c r="A404" s="46"/>
      <c r="B404" s="59"/>
      <c r="C404" s="59"/>
      <c r="D404" s="59"/>
      <c r="I404" s="59"/>
      <c r="J404" s="59"/>
      <c r="K404" s="59"/>
    </row>
    <row r="405" ht="12.75" customHeight="1">
      <c r="A405" s="46"/>
      <c r="B405" s="59"/>
      <c r="C405" s="59"/>
      <c r="D405" s="59"/>
      <c r="I405" s="59"/>
      <c r="J405" s="59"/>
      <c r="K405" s="59"/>
    </row>
    <row r="406" ht="12.75" customHeight="1">
      <c r="A406" s="46"/>
      <c r="B406" s="59"/>
      <c r="C406" s="59"/>
      <c r="D406" s="59"/>
      <c r="I406" s="59"/>
      <c r="J406" s="59"/>
      <c r="K406" s="59"/>
    </row>
    <row r="407" ht="12.75" customHeight="1">
      <c r="A407" s="46"/>
      <c r="B407" s="59"/>
      <c r="C407" s="59"/>
      <c r="D407" s="59"/>
      <c r="I407" s="59"/>
      <c r="J407" s="59"/>
      <c r="K407" s="59"/>
    </row>
    <row r="408" ht="12.75" customHeight="1">
      <c r="A408" s="46"/>
      <c r="B408" s="59"/>
      <c r="C408" s="59"/>
      <c r="D408" s="59"/>
      <c r="I408" s="59"/>
      <c r="J408" s="59"/>
      <c r="K408" s="59"/>
    </row>
    <row r="409" ht="12.75" customHeight="1">
      <c r="A409" s="46"/>
      <c r="B409" s="59"/>
      <c r="C409" s="59"/>
      <c r="D409" s="59"/>
      <c r="I409" s="59"/>
      <c r="J409" s="59"/>
      <c r="K409" s="59"/>
    </row>
    <row r="410" ht="12.75" customHeight="1">
      <c r="A410" s="46"/>
      <c r="B410" s="59"/>
      <c r="C410" s="59"/>
      <c r="D410" s="59"/>
      <c r="I410" s="59"/>
      <c r="J410" s="59"/>
      <c r="K410" s="59"/>
    </row>
    <row r="411" ht="12.75" customHeight="1">
      <c r="A411" s="46"/>
      <c r="B411" s="59"/>
      <c r="C411" s="59"/>
      <c r="D411" s="59"/>
      <c r="I411" s="59"/>
      <c r="J411" s="59"/>
      <c r="K411" s="59"/>
    </row>
    <row r="412" ht="12.75" customHeight="1">
      <c r="A412" s="46"/>
      <c r="B412" s="59"/>
      <c r="C412" s="59"/>
      <c r="D412" s="59"/>
      <c r="I412" s="59"/>
      <c r="J412" s="59"/>
      <c r="K412" s="59"/>
    </row>
    <row r="413" ht="12.75" customHeight="1">
      <c r="A413" s="46"/>
      <c r="B413" s="59"/>
      <c r="C413" s="59"/>
      <c r="D413" s="59"/>
      <c r="I413" s="59"/>
      <c r="J413" s="59"/>
      <c r="K413" s="59"/>
    </row>
    <row r="414" ht="12.75" customHeight="1">
      <c r="A414" s="46"/>
      <c r="B414" s="59"/>
      <c r="C414" s="59"/>
      <c r="D414" s="59"/>
      <c r="I414" s="59"/>
      <c r="J414" s="59"/>
      <c r="K414" s="59"/>
    </row>
    <row r="415" ht="12.75" customHeight="1">
      <c r="A415" s="46"/>
      <c r="B415" s="59"/>
      <c r="C415" s="59"/>
      <c r="D415" s="59"/>
      <c r="I415" s="59"/>
      <c r="J415" s="59"/>
      <c r="K415" s="59"/>
    </row>
    <row r="416" ht="12.75" customHeight="1">
      <c r="A416" s="46"/>
      <c r="B416" s="59"/>
      <c r="C416" s="59"/>
      <c r="D416" s="59"/>
      <c r="I416" s="59"/>
      <c r="J416" s="59"/>
      <c r="K416" s="59"/>
    </row>
    <row r="417" ht="12.75" customHeight="1">
      <c r="A417" s="46"/>
      <c r="B417" s="59"/>
      <c r="C417" s="59"/>
      <c r="D417" s="59"/>
      <c r="I417" s="59"/>
      <c r="J417" s="59"/>
      <c r="K417" s="59"/>
    </row>
    <row r="418" ht="12.75" customHeight="1">
      <c r="A418" s="46"/>
      <c r="B418" s="59"/>
      <c r="C418" s="59"/>
      <c r="D418" s="59"/>
      <c r="I418" s="59"/>
      <c r="J418" s="59"/>
      <c r="K418" s="59"/>
    </row>
    <row r="419" ht="12.75" customHeight="1">
      <c r="A419" s="46"/>
      <c r="B419" s="59"/>
      <c r="C419" s="59"/>
      <c r="D419" s="59"/>
      <c r="I419" s="59"/>
      <c r="J419" s="59"/>
      <c r="K419" s="59"/>
    </row>
    <row r="420" ht="12.75" customHeight="1">
      <c r="A420" s="46"/>
      <c r="B420" s="59"/>
      <c r="C420" s="59"/>
      <c r="D420" s="59"/>
      <c r="I420" s="59"/>
      <c r="J420" s="59"/>
      <c r="K420" s="59"/>
    </row>
    <row r="421" ht="12.75" customHeight="1">
      <c r="A421" s="46"/>
      <c r="B421" s="59"/>
      <c r="C421" s="59"/>
      <c r="D421" s="59"/>
      <c r="I421" s="59"/>
      <c r="J421" s="59"/>
      <c r="K421" s="59"/>
    </row>
    <row r="422" ht="12.75" customHeight="1">
      <c r="A422" s="46"/>
      <c r="B422" s="59"/>
      <c r="C422" s="59"/>
      <c r="D422" s="59"/>
      <c r="I422" s="59"/>
      <c r="J422" s="59"/>
      <c r="K422" s="59"/>
    </row>
    <row r="423" ht="12.75" customHeight="1">
      <c r="A423" s="46"/>
      <c r="B423" s="59"/>
      <c r="C423" s="59"/>
      <c r="D423" s="59"/>
      <c r="I423" s="59"/>
      <c r="J423" s="59"/>
      <c r="K423" s="59"/>
    </row>
    <row r="424" ht="12.75" customHeight="1">
      <c r="A424" s="46"/>
      <c r="B424" s="59"/>
      <c r="C424" s="59"/>
      <c r="D424" s="59"/>
      <c r="I424" s="59"/>
      <c r="J424" s="59"/>
      <c r="K424" s="59"/>
    </row>
    <row r="425" ht="12.75" customHeight="1">
      <c r="A425" s="46"/>
      <c r="B425" s="59"/>
      <c r="C425" s="59"/>
      <c r="D425" s="59"/>
      <c r="I425" s="59"/>
      <c r="J425" s="59"/>
      <c r="K425" s="59"/>
    </row>
    <row r="426" ht="12.75" customHeight="1">
      <c r="A426" s="46"/>
      <c r="B426" s="59"/>
      <c r="C426" s="59"/>
      <c r="D426" s="59"/>
      <c r="I426" s="59"/>
      <c r="J426" s="59"/>
      <c r="K426" s="59"/>
    </row>
    <row r="427" ht="12.75" customHeight="1">
      <c r="A427" s="46"/>
      <c r="B427" s="59"/>
      <c r="C427" s="59"/>
      <c r="D427" s="59"/>
      <c r="I427" s="59"/>
      <c r="J427" s="59"/>
      <c r="K427" s="59"/>
    </row>
    <row r="428" ht="12.75" customHeight="1">
      <c r="A428" s="46"/>
      <c r="B428" s="59"/>
      <c r="C428" s="59"/>
      <c r="D428" s="59"/>
      <c r="I428" s="59"/>
      <c r="J428" s="59"/>
      <c r="K428" s="59"/>
    </row>
    <row r="429" ht="12.75" customHeight="1">
      <c r="A429" s="46"/>
      <c r="B429" s="59"/>
      <c r="C429" s="59"/>
      <c r="D429" s="59"/>
      <c r="I429" s="59"/>
      <c r="J429" s="59"/>
      <c r="K429" s="59"/>
    </row>
    <row r="430" ht="12.75" customHeight="1">
      <c r="A430" s="46"/>
      <c r="B430" s="59"/>
      <c r="C430" s="59"/>
      <c r="D430" s="59"/>
      <c r="I430" s="59"/>
      <c r="J430" s="59"/>
      <c r="K430" s="59"/>
    </row>
    <row r="431" ht="12.75" customHeight="1">
      <c r="A431" s="46"/>
      <c r="B431" s="59"/>
      <c r="C431" s="59"/>
      <c r="D431" s="59"/>
      <c r="I431" s="59"/>
      <c r="J431" s="59"/>
      <c r="K431" s="59"/>
    </row>
    <row r="432" ht="12.75" customHeight="1">
      <c r="A432" s="46"/>
      <c r="B432" s="59"/>
      <c r="C432" s="59"/>
      <c r="D432" s="59"/>
      <c r="I432" s="59"/>
      <c r="J432" s="59"/>
      <c r="K432" s="59"/>
    </row>
    <row r="433" ht="12.75" customHeight="1">
      <c r="A433" s="46"/>
      <c r="B433" s="59"/>
      <c r="C433" s="59"/>
      <c r="D433" s="59"/>
      <c r="I433" s="59"/>
      <c r="J433" s="59"/>
      <c r="K433" s="59"/>
    </row>
    <row r="434" ht="12.75" customHeight="1">
      <c r="A434" s="46"/>
      <c r="B434" s="59"/>
      <c r="C434" s="59"/>
      <c r="D434" s="59"/>
      <c r="I434" s="59"/>
      <c r="J434" s="59"/>
      <c r="K434" s="59"/>
    </row>
    <row r="435" ht="12.75" customHeight="1">
      <c r="A435" s="46"/>
      <c r="B435" s="59"/>
      <c r="C435" s="59"/>
      <c r="D435" s="59"/>
      <c r="I435" s="59"/>
      <c r="J435" s="59"/>
      <c r="K435" s="59"/>
    </row>
    <row r="436" ht="12.75" customHeight="1">
      <c r="A436" s="46"/>
      <c r="B436" s="59"/>
      <c r="C436" s="59"/>
      <c r="D436" s="59"/>
      <c r="I436" s="59"/>
      <c r="J436" s="59"/>
      <c r="K436" s="59"/>
    </row>
    <row r="437" ht="12.75" customHeight="1">
      <c r="A437" s="46"/>
      <c r="B437" s="59"/>
      <c r="C437" s="59"/>
      <c r="D437" s="59"/>
      <c r="I437" s="59"/>
      <c r="J437" s="59"/>
      <c r="K437" s="59"/>
    </row>
    <row r="438" ht="12.75" customHeight="1">
      <c r="A438" s="46"/>
      <c r="B438" s="59"/>
      <c r="C438" s="59"/>
      <c r="D438" s="59"/>
      <c r="I438" s="59"/>
      <c r="J438" s="59"/>
      <c r="K438" s="59"/>
    </row>
    <row r="439" ht="12.75" customHeight="1">
      <c r="A439" s="46"/>
      <c r="B439" s="59"/>
      <c r="C439" s="59"/>
      <c r="D439" s="59"/>
      <c r="I439" s="59"/>
      <c r="J439" s="59"/>
      <c r="K439" s="59"/>
    </row>
    <row r="440" ht="12.75" customHeight="1">
      <c r="A440" s="46"/>
      <c r="B440" s="59"/>
      <c r="C440" s="59"/>
      <c r="D440" s="59"/>
      <c r="I440" s="59"/>
      <c r="J440" s="59"/>
      <c r="K440" s="59"/>
    </row>
    <row r="441" ht="12.75" customHeight="1">
      <c r="A441" s="46"/>
      <c r="B441" s="59"/>
      <c r="C441" s="59"/>
      <c r="D441" s="59"/>
      <c r="I441" s="59"/>
      <c r="J441" s="59"/>
      <c r="K441" s="59"/>
    </row>
    <row r="442" ht="12.75" customHeight="1">
      <c r="A442" s="46"/>
      <c r="B442" s="59"/>
      <c r="C442" s="59"/>
      <c r="D442" s="59"/>
      <c r="I442" s="59"/>
      <c r="J442" s="59"/>
      <c r="K442" s="59"/>
    </row>
    <row r="443" ht="12.75" customHeight="1">
      <c r="A443" s="46"/>
      <c r="B443" s="59"/>
      <c r="C443" s="59"/>
      <c r="D443" s="59"/>
      <c r="I443" s="59"/>
      <c r="J443" s="59"/>
      <c r="K443" s="59"/>
    </row>
    <row r="444" ht="12.75" customHeight="1">
      <c r="A444" s="46"/>
      <c r="B444" s="59"/>
      <c r="C444" s="59"/>
      <c r="D444" s="59"/>
      <c r="I444" s="59"/>
      <c r="J444" s="59"/>
      <c r="K444" s="59"/>
    </row>
    <row r="445" ht="12.75" customHeight="1">
      <c r="A445" s="46"/>
      <c r="B445" s="59"/>
      <c r="C445" s="59"/>
      <c r="D445" s="59"/>
      <c r="I445" s="59"/>
      <c r="J445" s="59"/>
      <c r="K445" s="59"/>
    </row>
    <row r="446" ht="12.75" customHeight="1">
      <c r="A446" s="46"/>
      <c r="B446" s="59"/>
      <c r="C446" s="59"/>
      <c r="D446" s="59"/>
      <c r="I446" s="59"/>
      <c r="J446" s="59"/>
      <c r="K446" s="59"/>
    </row>
    <row r="447" ht="12.75" customHeight="1">
      <c r="A447" s="46"/>
      <c r="B447" s="59"/>
      <c r="C447" s="59"/>
      <c r="D447" s="59"/>
      <c r="I447" s="59"/>
      <c r="J447" s="59"/>
      <c r="K447" s="59"/>
    </row>
    <row r="448" ht="12.75" customHeight="1">
      <c r="A448" s="46"/>
      <c r="B448" s="59"/>
      <c r="C448" s="59"/>
      <c r="D448" s="59"/>
      <c r="I448" s="59"/>
      <c r="J448" s="59"/>
      <c r="K448" s="59"/>
    </row>
    <row r="449" ht="12.75" customHeight="1">
      <c r="A449" s="46"/>
      <c r="B449" s="59"/>
      <c r="C449" s="59"/>
      <c r="D449" s="59"/>
      <c r="I449" s="59"/>
      <c r="J449" s="59"/>
      <c r="K449" s="59"/>
    </row>
    <row r="450" ht="12.75" customHeight="1">
      <c r="A450" s="46"/>
      <c r="B450" s="59"/>
      <c r="C450" s="59"/>
      <c r="D450" s="59"/>
      <c r="I450" s="59"/>
      <c r="J450" s="59"/>
      <c r="K450" s="59"/>
    </row>
    <row r="451" ht="12.75" customHeight="1">
      <c r="A451" s="46"/>
      <c r="B451" s="59"/>
      <c r="C451" s="59"/>
      <c r="D451" s="59"/>
      <c r="I451" s="59"/>
      <c r="J451" s="59"/>
      <c r="K451" s="59"/>
    </row>
    <row r="452" ht="12.75" customHeight="1">
      <c r="A452" s="46"/>
      <c r="B452" s="59"/>
      <c r="C452" s="59"/>
      <c r="D452" s="59"/>
      <c r="I452" s="59"/>
      <c r="J452" s="59"/>
      <c r="K452" s="59"/>
    </row>
    <row r="453" ht="12.75" customHeight="1">
      <c r="A453" s="46"/>
      <c r="B453" s="59"/>
      <c r="C453" s="59"/>
      <c r="D453" s="59"/>
      <c r="I453" s="59"/>
      <c r="J453" s="59"/>
      <c r="K453" s="59"/>
    </row>
    <row r="454" ht="12.75" customHeight="1">
      <c r="A454" s="46"/>
      <c r="B454" s="59"/>
      <c r="C454" s="59"/>
      <c r="D454" s="59"/>
      <c r="I454" s="59"/>
      <c r="J454" s="59"/>
      <c r="K454" s="59"/>
    </row>
    <row r="455" ht="12.75" customHeight="1">
      <c r="A455" s="46"/>
      <c r="B455" s="59"/>
      <c r="C455" s="59"/>
      <c r="D455" s="59"/>
      <c r="I455" s="59"/>
      <c r="J455" s="59"/>
      <c r="K455" s="59"/>
    </row>
    <row r="456" ht="12.75" customHeight="1">
      <c r="A456" s="46"/>
      <c r="B456" s="59"/>
      <c r="C456" s="59"/>
      <c r="D456" s="59"/>
      <c r="I456" s="59"/>
      <c r="J456" s="59"/>
      <c r="K456" s="59"/>
    </row>
    <row r="457" ht="12.75" customHeight="1">
      <c r="A457" s="46"/>
      <c r="B457" s="59"/>
      <c r="C457" s="59"/>
      <c r="D457" s="59"/>
      <c r="I457" s="59"/>
      <c r="J457" s="59"/>
      <c r="K457" s="59"/>
    </row>
    <row r="458" ht="12.75" customHeight="1">
      <c r="A458" s="46"/>
      <c r="B458" s="59"/>
      <c r="C458" s="59"/>
      <c r="D458" s="59"/>
      <c r="I458" s="59"/>
      <c r="J458" s="59"/>
      <c r="K458" s="59"/>
    </row>
    <row r="459" ht="12.75" customHeight="1">
      <c r="A459" s="46"/>
      <c r="B459" s="59"/>
      <c r="C459" s="59"/>
      <c r="D459" s="59"/>
      <c r="I459" s="59"/>
      <c r="J459" s="59"/>
      <c r="K459" s="59"/>
    </row>
    <row r="460" ht="12.75" customHeight="1">
      <c r="A460" s="46"/>
      <c r="B460" s="59"/>
      <c r="C460" s="59"/>
      <c r="D460" s="59"/>
      <c r="I460" s="59"/>
      <c r="J460" s="59"/>
      <c r="K460" s="59"/>
    </row>
    <row r="461" ht="12.75" customHeight="1">
      <c r="A461" s="46"/>
      <c r="B461" s="59"/>
      <c r="C461" s="59"/>
      <c r="D461" s="59"/>
      <c r="I461" s="59"/>
      <c r="J461" s="59"/>
      <c r="K461" s="59"/>
    </row>
    <row r="462" ht="12.75" customHeight="1">
      <c r="A462" s="46"/>
      <c r="B462" s="59"/>
      <c r="C462" s="59"/>
      <c r="D462" s="59"/>
      <c r="I462" s="59"/>
      <c r="J462" s="59"/>
      <c r="K462" s="59"/>
    </row>
    <row r="463" ht="12.75" customHeight="1">
      <c r="A463" s="46"/>
      <c r="B463" s="59"/>
      <c r="C463" s="59"/>
      <c r="D463" s="59"/>
      <c r="I463" s="59"/>
      <c r="J463" s="59"/>
      <c r="K463" s="59"/>
    </row>
    <row r="464" ht="12.75" customHeight="1">
      <c r="A464" s="46"/>
      <c r="B464" s="59"/>
      <c r="C464" s="59"/>
      <c r="D464" s="59"/>
      <c r="I464" s="59"/>
      <c r="J464" s="59"/>
      <c r="K464" s="59"/>
    </row>
    <row r="465" ht="12.75" customHeight="1">
      <c r="A465" s="46"/>
      <c r="B465" s="59"/>
      <c r="C465" s="59"/>
      <c r="D465" s="59"/>
      <c r="I465" s="59"/>
      <c r="J465" s="59"/>
      <c r="K465" s="59"/>
    </row>
    <row r="466" ht="12.75" customHeight="1">
      <c r="A466" s="46"/>
      <c r="B466" s="59"/>
      <c r="C466" s="59"/>
      <c r="D466" s="59"/>
      <c r="I466" s="59"/>
      <c r="J466" s="59"/>
      <c r="K466" s="59"/>
    </row>
    <row r="467" ht="12.75" customHeight="1">
      <c r="A467" s="46"/>
      <c r="B467" s="59"/>
      <c r="C467" s="59"/>
      <c r="D467" s="59"/>
      <c r="I467" s="59"/>
      <c r="J467" s="59"/>
      <c r="K467" s="59"/>
    </row>
    <row r="468" ht="12.75" customHeight="1">
      <c r="A468" s="46"/>
      <c r="B468" s="59"/>
      <c r="C468" s="59"/>
      <c r="D468" s="59"/>
      <c r="I468" s="59"/>
      <c r="J468" s="59"/>
      <c r="K468" s="59"/>
    </row>
    <row r="469" ht="12.75" customHeight="1">
      <c r="A469" s="46"/>
      <c r="B469" s="59"/>
      <c r="C469" s="59"/>
      <c r="D469" s="59"/>
      <c r="I469" s="59"/>
      <c r="J469" s="59"/>
      <c r="K469" s="59"/>
    </row>
    <row r="470" ht="12.75" customHeight="1">
      <c r="A470" s="46"/>
      <c r="B470" s="59"/>
      <c r="C470" s="59"/>
      <c r="D470" s="59"/>
      <c r="I470" s="59"/>
      <c r="J470" s="59"/>
      <c r="K470" s="59"/>
    </row>
    <row r="471" ht="12.75" customHeight="1">
      <c r="A471" s="46"/>
      <c r="B471" s="59"/>
      <c r="C471" s="59"/>
      <c r="D471" s="59"/>
      <c r="I471" s="59"/>
      <c r="J471" s="59"/>
      <c r="K471" s="59"/>
    </row>
    <row r="472" ht="12.75" customHeight="1">
      <c r="A472" s="46"/>
      <c r="B472" s="59"/>
      <c r="C472" s="59"/>
      <c r="D472" s="59"/>
      <c r="I472" s="59"/>
      <c r="J472" s="59"/>
      <c r="K472" s="59"/>
    </row>
    <row r="473" ht="12.75" customHeight="1">
      <c r="A473" s="46"/>
      <c r="B473" s="59"/>
      <c r="C473" s="59"/>
      <c r="D473" s="59"/>
      <c r="I473" s="59"/>
      <c r="J473" s="59"/>
      <c r="K473" s="59"/>
    </row>
    <row r="474" ht="12.75" customHeight="1">
      <c r="A474" s="46"/>
      <c r="B474" s="59"/>
      <c r="C474" s="59"/>
      <c r="D474" s="59"/>
      <c r="I474" s="59"/>
      <c r="J474" s="59"/>
      <c r="K474" s="59"/>
    </row>
    <row r="475" ht="12.75" customHeight="1">
      <c r="A475" s="46"/>
      <c r="B475" s="59"/>
      <c r="C475" s="59"/>
      <c r="D475" s="59"/>
      <c r="I475" s="59"/>
      <c r="J475" s="59"/>
      <c r="K475" s="59"/>
    </row>
    <row r="476" ht="12.75" customHeight="1">
      <c r="A476" s="46"/>
      <c r="B476" s="59"/>
      <c r="C476" s="59"/>
      <c r="D476" s="59"/>
      <c r="I476" s="59"/>
      <c r="J476" s="59"/>
      <c r="K476" s="59"/>
    </row>
    <row r="477" ht="12.75" customHeight="1">
      <c r="A477" s="46"/>
      <c r="B477" s="59"/>
      <c r="C477" s="59"/>
      <c r="D477" s="59"/>
      <c r="I477" s="59"/>
      <c r="J477" s="59"/>
      <c r="K477" s="59"/>
    </row>
    <row r="478" ht="12.75" customHeight="1">
      <c r="A478" s="46"/>
      <c r="B478" s="59"/>
      <c r="C478" s="59"/>
      <c r="D478" s="59"/>
      <c r="I478" s="59"/>
      <c r="J478" s="59"/>
      <c r="K478" s="59"/>
    </row>
    <row r="479" ht="12.75" customHeight="1">
      <c r="A479" s="46"/>
      <c r="B479" s="59"/>
      <c r="C479" s="59"/>
      <c r="D479" s="59"/>
      <c r="I479" s="59"/>
      <c r="J479" s="59"/>
      <c r="K479" s="59"/>
    </row>
    <row r="480" ht="12.75" customHeight="1">
      <c r="A480" s="46"/>
      <c r="B480" s="59"/>
      <c r="C480" s="59"/>
      <c r="D480" s="59"/>
      <c r="I480" s="59"/>
      <c r="J480" s="59"/>
      <c r="K480" s="59"/>
    </row>
    <row r="481" ht="12.75" customHeight="1">
      <c r="A481" s="46"/>
      <c r="B481" s="59"/>
      <c r="C481" s="59"/>
      <c r="D481" s="59"/>
      <c r="I481" s="59"/>
      <c r="J481" s="59"/>
      <c r="K481" s="59"/>
    </row>
    <row r="482" ht="12.75" customHeight="1">
      <c r="A482" s="46"/>
      <c r="B482" s="59"/>
      <c r="C482" s="59"/>
      <c r="D482" s="59"/>
      <c r="I482" s="59"/>
      <c r="J482" s="59"/>
      <c r="K482" s="59"/>
    </row>
    <row r="483" ht="12.75" customHeight="1">
      <c r="A483" s="46"/>
      <c r="B483" s="59"/>
      <c r="C483" s="59"/>
      <c r="D483" s="59"/>
      <c r="I483" s="59"/>
      <c r="J483" s="59"/>
      <c r="K483" s="59"/>
    </row>
    <row r="484" ht="12.75" customHeight="1">
      <c r="A484" s="46"/>
      <c r="B484" s="59"/>
      <c r="C484" s="59"/>
      <c r="D484" s="59"/>
      <c r="I484" s="59"/>
      <c r="J484" s="59"/>
      <c r="K484" s="59"/>
    </row>
    <row r="485" ht="12.75" customHeight="1">
      <c r="A485" s="46"/>
      <c r="B485" s="59"/>
      <c r="C485" s="59"/>
      <c r="D485" s="59"/>
      <c r="I485" s="59"/>
      <c r="J485" s="59"/>
      <c r="K485" s="59"/>
    </row>
    <row r="486" ht="12.75" customHeight="1">
      <c r="A486" s="46"/>
      <c r="B486" s="59"/>
      <c r="C486" s="59"/>
      <c r="D486" s="59"/>
      <c r="I486" s="59"/>
      <c r="J486" s="59"/>
      <c r="K486" s="59"/>
    </row>
    <row r="487" ht="12.75" customHeight="1">
      <c r="A487" s="46"/>
      <c r="B487" s="59"/>
      <c r="C487" s="59"/>
      <c r="D487" s="59"/>
      <c r="I487" s="59"/>
      <c r="J487" s="59"/>
      <c r="K487" s="59"/>
    </row>
    <row r="488" ht="12.75" customHeight="1">
      <c r="A488" s="46"/>
      <c r="B488" s="59"/>
      <c r="C488" s="59"/>
      <c r="D488" s="59"/>
      <c r="I488" s="59"/>
      <c r="J488" s="59"/>
      <c r="K488" s="59"/>
    </row>
    <row r="489" ht="12.75" customHeight="1">
      <c r="A489" s="46"/>
      <c r="B489" s="59"/>
      <c r="C489" s="59"/>
      <c r="D489" s="59"/>
      <c r="I489" s="59"/>
      <c r="J489" s="59"/>
      <c r="K489" s="59"/>
    </row>
    <row r="490" ht="12.75" customHeight="1">
      <c r="A490" s="46"/>
      <c r="B490" s="59"/>
      <c r="C490" s="59"/>
      <c r="D490" s="59"/>
      <c r="I490" s="59"/>
      <c r="J490" s="59"/>
      <c r="K490" s="59"/>
    </row>
    <row r="491" ht="12.75" customHeight="1">
      <c r="A491" s="46"/>
      <c r="B491" s="59"/>
      <c r="C491" s="59"/>
      <c r="D491" s="59"/>
      <c r="I491" s="59"/>
      <c r="J491" s="59"/>
      <c r="K491" s="59"/>
    </row>
    <row r="492" ht="12.75" customHeight="1">
      <c r="A492" s="46"/>
      <c r="B492" s="59"/>
      <c r="C492" s="59"/>
      <c r="D492" s="59"/>
      <c r="I492" s="59"/>
      <c r="J492" s="59"/>
      <c r="K492" s="59"/>
    </row>
    <row r="493" ht="12.75" customHeight="1">
      <c r="A493" s="46"/>
      <c r="B493" s="59"/>
      <c r="C493" s="59"/>
      <c r="D493" s="59"/>
      <c r="I493" s="59"/>
      <c r="J493" s="59"/>
      <c r="K493" s="59"/>
    </row>
    <row r="494" ht="12.75" customHeight="1">
      <c r="A494" s="46"/>
      <c r="B494" s="59"/>
      <c r="C494" s="59"/>
      <c r="D494" s="59"/>
      <c r="I494" s="59"/>
      <c r="J494" s="59"/>
      <c r="K494" s="59"/>
    </row>
    <row r="495" ht="12.75" customHeight="1">
      <c r="A495" s="46"/>
      <c r="B495" s="59"/>
      <c r="C495" s="59"/>
      <c r="D495" s="59"/>
      <c r="I495" s="59"/>
      <c r="J495" s="59"/>
      <c r="K495" s="59"/>
    </row>
    <row r="496" ht="12.75" customHeight="1">
      <c r="A496" s="46"/>
      <c r="B496" s="59"/>
      <c r="C496" s="59"/>
      <c r="D496" s="59"/>
      <c r="I496" s="59"/>
      <c r="J496" s="59"/>
      <c r="K496" s="59"/>
    </row>
    <row r="497" ht="12.75" customHeight="1">
      <c r="A497" s="46"/>
      <c r="B497" s="59"/>
      <c r="C497" s="59"/>
      <c r="D497" s="59"/>
      <c r="I497" s="59"/>
      <c r="J497" s="59"/>
      <c r="K497" s="59"/>
    </row>
    <row r="498" ht="12.75" customHeight="1">
      <c r="A498" s="46"/>
      <c r="B498" s="59"/>
      <c r="C498" s="59"/>
      <c r="D498" s="59"/>
      <c r="I498" s="59"/>
      <c r="J498" s="59"/>
      <c r="K498" s="59"/>
    </row>
    <row r="499" ht="12.75" customHeight="1">
      <c r="A499" s="46"/>
      <c r="B499" s="59"/>
      <c r="C499" s="59"/>
      <c r="D499" s="59"/>
      <c r="I499" s="59"/>
      <c r="J499" s="59"/>
      <c r="K499" s="59"/>
    </row>
    <row r="500" ht="12.75" customHeight="1">
      <c r="A500" s="46"/>
      <c r="B500" s="59"/>
      <c r="C500" s="59"/>
      <c r="D500" s="59"/>
      <c r="I500" s="59"/>
      <c r="J500" s="59"/>
      <c r="K500" s="59"/>
    </row>
    <row r="501" ht="12.75" customHeight="1">
      <c r="A501" s="46"/>
      <c r="B501" s="59"/>
      <c r="C501" s="59"/>
      <c r="D501" s="59"/>
      <c r="I501" s="59"/>
      <c r="J501" s="59"/>
      <c r="K501" s="59"/>
    </row>
    <row r="502" ht="12.75" customHeight="1">
      <c r="A502" s="46"/>
      <c r="B502" s="59"/>
      <c r="C502" s="59"/>
      <c r="D502" s="59"/>
      <c r="I502" s="59"/>
      <c r="J502" s="59"/>
      <c r="K502" s="59"/>
    </row>
    <row r="503" ht="12.75" customHeight="1">
      <c r="A503" s="46"/>
      <c r="B503" s="59"/>
      <c r="C503" s="59"/>
      <c r="D503" s="59"/>
      <c r="I503" s="59"/>
      <c r="J503" s="59"/>
      <c r="K503" s="59"/>
    </row>
    <row r="504" ht="12.75" customHeight="1">
      <c r="A504" s="46"/>
      <c r="B504" s="59"/>
      <c r="C504" s="59"/>
      <c r="D504" s="59"/>
      <c r="I504" s="59"/>
      <c r="J504" s="59"/>
      <c r="K504" s="59"/>
    </row>
    <row r="505" ht="12.75" customHeight="1">
      <c r="A505" s="46"/>
      <c r="B505" s="59"/>
      <c r="C505" s="59"/>
      <c r="D505" s="59"/>
      <c r="I505" s="59"/>
      <c r="J505" s="59"/>
      <c r="K505" s="59"/>
    </row>
    <row r="506" ht="12.75" customHeight="1">
      <c r="A506" s="46"/>
      <c r="B506" s="59"/>
      <c r="C506" s="59"/>
      <c r="D506" s="59"/>
      <c r="I506" s="59"/>
      <c r="J506" s="59"/>
      <c r="K506" s="59"/>
    </row>
    <row r="507" ht="12.75" customHeight="1">
      <c r="A507" s="46"/>
      <c r="B507" s="59"/>
      <c r="C507" s="59"/>
      <c r="D507" s="59"/>
      <c r="I507" s="59"/>
      <c r="J507" s="59"/>
      <c r="K507" s="59"/>
    </row>
    <row r="508" ht="12.75" customHeight="1">
      <c r="A508" s="46"/>
      <c r="B508" s="59"/>
      <c r="C508" s="59"/>
      <c r="D508" s="59"/>
      <c r="I508" s="59"/>
      <c r="J508" s="59"/>
      <c r="K508" s="59"/>
    </row>
    <row r="509" ht="12.75" customHeight="1">
      <c r="A509" s="46"/>
      <c r="B509" s="59"/>
      <c r="C509" s="59"/>
      <c r="D509" s="59"/>
      <c r="I509" s="59"/>
      <c r="J509" s="59"/>
      <c r="K509" s="59"/>
    </row>
    <row r="510" ht="12.75" customHeight="1">
      <c r="A510" s="46"/>
      <c r="B510" s="59"/>
      <c r="C510" s="59"/>
      <c r="D510" s="59"/>
      <c r="I510" s="59"/>
      <c r="J510" s="59"/>
      <c r="K510" s="59"/>
    </row>
    <row r="511" ht="12.75" customHeight="1">
      <c r="A511" s="46"/>
      <c r="B511" s="59"/>
      <c r="C511" s="59"/>
      <c r="D511" s="59"/>
      <c r="I511" s="59"/>
      <c r="J511" s="59"/>
      <c r="K511" s="59"/>
    </row>
    <row r="512" ht="12.75" customHeight="1">
      <c r="A512" s="46"/>
      <c r="B512" s="59"/>
      <c r="C512" s="59"/>
      <c r="D512" s="59"/>
      <c r="I512" s="59"/>
      <c r="J512" s="59"/>
      <c r="K512" s="59"/>
    </row>
    <row r="513" ht="12.75" customHeight="1">
      <c r="A513" s="46"/>
      <c r="B513" s="59"/>
      <c r="C513" s="59"/>
      <c r="D513" s="59"/>
      <c r="I513" s="59"/>
      <c r="J513" s="59"/>
      <c r="K513" s="59"/>
    </row>
    <row r="514" ht="12.75" customHeight="1">
      <c r="A514" s="46"/>
      <c r="B514" s="59"/>
      <c r="C514" s="59"/>
      <c r="D514" s="59"/>
      <c r="I514" s="59"/>
      <c r="J514" s="59"/>
      <c r="K514" s="59"/>
    </row>
    <row r="515" ht="12.75" customHeight="1">
      <c r="A515" s="46"/>
      <c r="B515" s="59"/>
      <c r="C515" s="59"/>
      <c r="D515" s="59"/>
      <c r="I515" s="59"/>
      <c r="J515" s="59"/>
      <c r="K515" s="59"/>
    </row>
    <row r="516" ht="12.75" customHeight="1">
      <c r="A516" s="46"/>
      <c r="B516" s="59"/>
      <c r="C516" s="59"/>
      <c r="D516" s="59"/>
      <c r="I516" s="59"/>
      <c r="J516" s="59"/>
      <c r="K516" s="59"/>
    </row>
    <row r="517" ht="12.75" customHeight="1">
      <c r="A517" s="46"/>
      <c r="B517" s="59"/>
      <c r="C517" s="59"/>
      <c r="D517" s="59"/>
      <c r="I517" s="59"/>
      <c r="J517" s="59"/>
      <c r="K517" s="59"/>
    </row>
    <row r="518" ht="12.75" customHeight="1">
      <c r="A518" s="46"/>
      <c r="B518" s="59"/>
      <c r="C518" s="59"/>
      <c r="D518" s="59"/>
      <c r="I518" s="59"/>
      <c r="J518" s="59"/>
      <c r="K518" s="59"/>
    </row>
    <row r="519" ht="12.75" customHeight="1">
      <c r="A519" s="46"/>
      <c r="B519" s="59"/>
      <c r="C519" s="59"/>
      <c r="D519" s="59"/>
      <c r="I519" s="59"/>
      <c r="J519" s="59"/>
      <c r="K519" s="59"/>
    </row>
    <row r="520" ht="12.75" customHeight="1">
      <c r="A520" s="46"/>
      <c r="B520" s="59"/>
      <c r="C520" s="59"/>
      <c r="D520" s="59"/>
      <c r="I520" s="59"/>
      <c r="J520" s="59"/>
      <c r="K520" s="59"/>
    </row>
    <row r="521" ht="12.75" customHeight="1">
      <c r="A521" s="46"/>
      <c r="B521" s="59"/>
      <c r="C521" s="59"/>
      <c r="D521" s="59"/>
      <c r="I521" s="59"/>
      <c r="J521" s="59"/>
      <c r="K521" s="59"/>
    </row>
    <row r="522" ht="12.75" customHeight="1">
      <c r="A522" s="46"/>
      <c r="B522" s="59"/>
      <c r="C522" s="59"/>
      <c r="D522" s="59"/>
      <c r="I522" s="59"/>
      <c r="J522" s="59"/>
      <c r="K522" s="59"/>
    </row>
    <row r="523" ht="12.75" customHeight="1">
      <c r="A523" s="46"/>
      <c r="B523" s="59"/>
      <c r="C523" s="59"/>
      <c r="D523" s="59"/>
      <c r="I523" s="59"/>
      <c r="J523" s="59"/>
      <c r="K523" s="59"/>
    </row>
    <row r="524" ht="12.75" customHeight="1">
      <c r="A524" s="46"/>
      <c r="B524" s="59"/>
      <c r="C524" s="59"/>
      <c r="D524" s="59"/>
      <c r="I524" s="59"/>
      <c r="J524" s="59"/>
      <c r="K524" s="59"/>
    </row>
    <row r="525" ht="12.75" customHeight="1">
      <c r="A525" s="46"/>
      <c r="B525" s="59"/>
      <c r="C525" s="59"/>
      <c r="D525" s="59"/>
      <c r="I525" s="59"/>
      <c r="J525" s="59"/>
      <c r="K525" s="59"/>
    </row>
    <row r="526" ht="12.75" customHeight="1">
      <c r="A526" s="46"/>
      <c r="B526" s="59"/>
      <c r="C526" s="59"/>
      <c r="D526" s="59"/>
      <c r="I526" s="59"/>
      <c r="J526" s="59"/>
      <c r="K526" s="59"/>
    </row>
    <row r="527" ht="12.75" customHeight="1">
      <c r="A527" s="46"/>
      <c r="B527" s="59"/>
      <c r="C527" s="59"/>
      <c r="D527" s="59"/>
      <c r="I527" s="59"/>
      <c r="J527" s="59"/>
      <c r="K527" s="59"/>
    </row>
    <row r="528" ht="12.75" customHeight="1">
      <c r="A528" s="46"/>
      <c r="B528" s="59"/>
      <c r="C528" s="59"/>
      <c r="D528" s="59"/>
      <c r="I528" s="59"/>
      <c r="J528" s="59"/>
      <c r="K528" s="59"/>
    </row>
    <row r="529" ht="12.75" customHeight="1">
      <c r="A529" s="46"/>
      <c r="B529" s="59"/>
      <c r="C529" s="59"/>
      <c r="D529" s="59"/>
      <c r="I529" s="59"/>
      <c r="J529" s="59"/>
      <c r="K529" s="59"/>
    </row>
    <row r="530" ht="12.75" customHeight="1">
      <c r="A530" s="46"/>
      <c r="B530" s="59"/>
      <c r="C530" s="59"/>
      <c r="D530" s="59"/>
      <c r="I530" s="59"/>
      <c r="J530" s="59"/>
      <c r="K530" s="59"/>
    </row>
    <row r="531" ht="12.75" customHeight="1">
      <c r="A531" s="46"/>
      <c r="B531" s="59"/>
      <c r="C531" s="59"/>
      <c r="D531" s="59"/>
      <c r="I531" s="59"/>
      <c r="J531" s="59"/>
      <c r="K531" s="59"/>
    </row>
    <row r="532" ht="12.75" customHeight="1">
      <c r="A532" s="46"/>
      <c r="B532" s="59"/>
      <c r="C532" s="59"/>
      <c r="D532" s="59"/>
      <c r="I532" s="59"/>
      <c r="J532" s="59"/>
      <c r="K532" s="59"/>
    </row>
    <row r="533" ht="12.75" customHeight="1">
      <c r="A533" s="46"/>
      <c r="B533" s="59"/>
      <c r="C533" s="59"/>
      <c r="D533" s="59"/>
      <c r="I533" s="59"/>
      <c r="J533" s="59"/>
      <c r="K533" s="59"/>
    </row>
    <row r="534" ht="12.75" customHeight="1">
      <c r="A534" s="46"/>
      <c r="B534" s="59"/>
      <c r="C534" s="59"/>
      <c r="D534" s="59"/>
      <c r="I534" s="59"/>
      <c r="J534" s="59"/>
      <c r="K534" s="59"/>
    </row>
    <row r="535" ht="12.75" customHeight="1">
      <c r="A535" s="46"/>
      <c r="B535" s="59"/>
      <c r="C535" s="59"/>
      <c r="D535" s="59"/>
      <c r="I535" s="59"/>
      <c r="J535" s="59"/>
      <c r="K535" s="59"/>
    </row>
    <row r="536" ht="12.75" customHeight="1">
      <c r="A536" s="46"/>
      <c r="B536" s="59"/>
      <c r="C536" s="59"/>
      <c r="D536" s="59"/>
      <c r="I536" s="59"/>
      <c r="J536" s="59"/>
      <c r="K536" s="59"/>
    </row>
    <row r="537" ht="12.75" customHeight="1">
      <c r="A537" s="46"/>
      <c r="B537" s="59"/>
      <c r="C537" s="59"/>
      <c r="D537" s="59"/>
      <c r="I537" s="59"/>
      <c r="J537" s="59"/>
      <c r="K537" s="59"/>
    </row>
    <row r="538" ht="12.75" customHeight="1">
      <c r="A538" s="46"/>
      <c r="B538" s="59"/>
      <c r="C538" s="59"/>
      <c r="D538" s="59"/>
      <c r="I538" s="59"/>
      <c r="J538" s="59"/>
      <c r="K538" s="59"/>
    </row>
    <row r="539" ht="12.75" customHeight="1">
      <c r="A539" s="46"/>
      <c r="B539" s="59"/>
      <c r="C539" s="59"/>
      <c r="D539" s="59"/>
      <c r="I539" s="59"/>
      <c r="J539" s="59"/>
      <c r="K539" s="59"/>
    </row>
    <row r="540" ht="12.75" customHeight="1">
      <c r="A540" s="46"/>
      <c r="B540" s="59"/>
      <c r="C540" s="59"/>
      <c r="D540" s="59"/>
      <c r="I540" s="59"/>
      <c r="J540" s="59"/>
      <c r="K540" s="59"/>
    </row>
    <row r="541" ht="12.75" customHeight="1">
      <c r="A541" s="46"/>
      <c r="B541" s="59"/>
      <c r="C541" s="59"/>
      <c r="D541" s="59"/>
      <c r="I541" s="59"/>
      <c r="J541" s="59"/>
      <c r="K541" s="59"/>
    </row>
    <row r="542" ht="12.75" customHeight="1">
      <c r="A542" s="46"/>
      <c r="B542" s="59"/>
      <c r="C542" s="59"/>
      <c r="D542" s="59"/>
      <c r="I542" s="59"/>
      <c r="J542" s="59"/>
      <c r="K542" s="59"/>
    </row>
    <row r="543" ht="12.75" customHeight="1">
      <c r="A543" s="46"/>
      <c r="B543" s="59"/>
      <c r="C543" s="59"/>
      <c r="D543" s="59"/>
      <c r="I543" s="59"/>
      <c r="J543" s="59"/>
      <c r="K543" s="59"/>
    </row>
    <row r="544" ht="12.75" customHeight="1">
      <c r="A544" s="46"/>
      <c r="B544" s="59"/>
      <c r="C544" s="59"/>
      <c r="D544" s="59"/>
      <c r="I544" s="59"/>
      <c r="J544" s="59"/>
      <c r="K544" s="59"/>
    </row>
    <row r="545" ht="12.75" customHeight="1">
      <c r="A545" s="46"/>
      <c r="B545" s="59"/>
      <c r="C545" s="59"/>
      <c r="D545" s="59"/>
      <c r="I545" s="59"/>
      <c r="J545" s="59"/>
      <c r="K545" s="59"/>
    </row>
    <row r="546" ht="12.75" customHeight="1">
      <c r="A546" s="46"/>
      <c r="B546" s="59"/>
      <c r="C546" s="59"/>
      <c r="D546" s="59"/>
      <c r="I546" s="59"/>
      <c r="J546" s="59"/>
      <c r="K546" s="59"/>
    </row>
    <row r="547" ht="12.75" customHeight="1">
      <c r="A547" s="46"/>
      <c r="B547" s="59"/>
      <c r="C547" s="59"/>
      <c r="D547" s="59"/>
      <c r="I547" s="59"/>
      <c r="J547" s="59"/>
      <c r="K547" s="59"/>
    </row>
    <row r="548" ht="12.75" customHeight="1">
      <c r="A548" s="46"/>
      <c r="B548" s="59"/>
      <c r="C548" s="59"/>
      <c r="D548" s="59"/>
      <c r="I548" s="59"/>
      <c r="J548" s="59"/>
      <c r="K548" s="59"/>
    </row>
    <row r="549" ht="12.75" customHeight="1">
      <c r="A549" s="46"/>
      <c r="B549" s="59"/>
      <c r="C549" s="59"/>
      <c r="D549" s="59"/>
      <c r="I549" s="59"/>
      <c r="J549" s="59"/>
      <c r="K549" s="59"/>
    </row>
    <row r="550" ht="12.75" customHeight="1">
      <c r="A550" s="46"/>
      <c r="B550" s="59"/>
      <c r="C550" s="59"/>
      <c r="D550" s="59"/>
      <c r="I550" s="59"/>
      <c r="J550" s="59"/>
      <c r="K550" s="59"/>
    </row>
    <row r="551" ht="12.75" customHeight="1">
      <c r="A551" s="46"/>
      <c r="B551" s="59"/>
      <c r="C551" s="59"/>
      <c r="D551" s="59"/>
      <c r="I551" s="59"/>
      <c r="J551" s="59"/>
      <c r="K551" s="59"/>
    </row>
    <row r="552" ht="12.75" customHeight="1">
      <c r="A552" s="46"/>
      <c r="B552" s="59"/>
      <c r="C552" s="59"/>
      <c r="D552" s="59"/>
      <c r="I552" s="59"/>
      <c r="J552" s="59"/>
      <c r="K552" s="59"/>
    </row>
    <row r="553" ht="12.75" customHeight="1">
      <c r="A553" s="46"/>
      <c r="B553" s="59"/>
      <c r="C553" s="59"/>
      <c r="D553" s="59"/>
      <c r="I553" s="59"/>
      <c r="J553" s="59"/>
      <c r="K553" s="59"/>
    </row>
    <row r="554" ht="12.75" customHeight="1">
      <c r="A554" s="46"/>
      <c r="B554" s="59"/>
      <c r="C554" s="59"/>
      <c r="D554" s="59"/>
      <c r="I554" s="59"/>
      <c r="J554" s="59"/>
      <c r="K554" s="59"/>
    </row>
    <row r="555" ht="12.75" customHeight="1">
      <c r="A555" s="46"/>
      <c r="B555" s="59"/>
      <c r="C555" s="59"/>
      <c r="D555" s="59"/>
      <c r="I555" s="59"/>
      <c r="J555" s="59"/>
      <c r="K555" s="59"/>
    </row>
    <row r="556" ht="12.75" customHeight="1">
      <c r="A556" s="46"/>
      <c r="B556" s="59"/>
      <c r="C556" s="59"/>
      <c r="D556" s="59"/>
      <c r="I556" s="59"/>
      <c r="J556" s="59"/>
      <c r="K556" s="59"/>
    </row>
    <row r="557" ht="12.75" customHeight="1">
      <c r="A557" s="46"/>
      <c r="B557" s="59"/>
      <c r="C557" s="59"/>
      <c r="D557" s="59"/>
      <c r="I557" s="59"/>
      <c r="J557" s="59"/>
      <c r="K557" s="59"/>
    </row>
    <row r="558" ht="12.75" customHeight="1">
      <c r="A558" s="46"/>
      <c r="B558" s="59"/>
      <c r="C558" s="59"/>
      <c r="D558" s="59"/>
      <c r="I558" s="59"/>
      <c r="J558" s="59"/>
      <c r="K558" s="59"/>
    </row>
    <row r="559" ht="12.75" customHeight="1">
      <c r="A559" s="46"/>
      <c r="B559" s="59"/>
      <c r="C559" s="59"/>
      <c r="D559" s="59"/>
      <c r="I559" s="59"/>
      <c r="J559" s="59"/>
      <c r="K559" s="59"/>
    </row>
    <row r="560" ht="12.75" customHeight="1">
      <c r="A560" s="46"/>
      <c r="B560" s="59"/>
      <c r="C560" s="59"/>
      <c r="D560" s="59"/>
      <c r="I560" s="59"/>
      <c r="J560" s="59"/>
      <c r="K560" s="59"/>
    </row>
    <row r="561" ht="12.75" customHeight="1">
      <c r="A561" s="46"/>
      <c r="B561" s="59"/>
      <c r="C561" s="59"/>
      <c r="D561" s="59"/>
      <c r="I561" s="59"/>
      <c r="J561" s="59"/>
      <c r="K561" s="59"/>
    </row>
    <row r="562" ht="12.75" customHeight="1">
      <c r="A562" s="46"/>
      <c r="B562" s="59"/>
      <c r="C562" s="59"/>
      <c r="D562" s="59"/>
      <c r="I562" s="59"/>
      <c r="J562" s="59"/>
      <c r="K562" s="59"/>
    </row>
    <row r="563" ht="12.75" customHeight="1">
      <c r="A563" s="46"/>
      <c r="B563" s="59"/>
      <c r="C563" s="59"/>
      <c r="D563" s="59"/>
      <c r="I563" s="59"/>
      <c r="J563" s="59"/>
      <c r="K563" s="59"/>
    </row>
    <row r="564" ht="12.75" customHeight="1">
      <c r="A564" s="46"/>
      <c r="B564" s="59"/>
      <c r="C564" s="59"/>
      <c r="D564" s="59"/>
      <c r="I564" s="59"/>
      <c r="J564" s="59"/>
      <c r="K564" s="59"/>
    </row>
    <row r="565" ht="12.75" customHeight="1">
      <c r="A565" s="46"/>
      <c r="B565" s="59"/>
      <c r="C565" s="59"/>
      <c r="D565" s="59"/>
      <c r="I565" s="59"/>
      <c r="J565" s="59"/>
      <c r="K565" s="59"/>
    </row>
    <row r="566" ht="12.75" customHeight="1">
      <c r="A566" s="46"/>
      <c r="B566" s="59"/>
      <c r="C566" s="59"/>
      <c r="D566" s="59"/>
      <c r="I566" s="59"/>
      <c r="J566" s="59"/>
      <c r="K566" s="59"/>
    </row>
    <row r="567" ht="12.75" customHeight="1">
      <c r="A567" s="46"/>
      <c r="B567" s="59"/>
      <c r="C567" s="59"/>
      <c r="D567" s="59"/>
      <c r="I567" s="59"/>
      <c r="J567" s="59"/>
      <c r="K567" s="59"/>
    </row>
    <row r="568" ht="12.75" customHeight="1">
      <c r="A568" s="46"/>
      <c r="B568" s="59"/>
      <c r="C568" s="59"/>
      <c r="D568" s="59"/>
      <c r="I568" s="59"/>
      <c r="J568" s="59"/>
      <c r="K568" s="59"/>
    </row>
    <row r="569" ht="12.75" customHeight="1">
      <c r="A569" s="46"/>
      <c r="B569" s="59"/>
      <c r="C569" s="59"/>
      <c r="D569" s="59"/>
      <c r="I569" s="59"/>
      <c r="J569" s="59"/>
      <c r="K569" s="59"/>
    </row>
    <row r="570" ht="12.75" customHeight="1">
      <c r="A570" s="46"/>
      <c r="B570" s="59"/>
      <c r="C570" s="59"/>
      <c r="D570" s="59"/>
      <c r="I570" s="59"/>
      <c r="J570" s="59"/>
      <c r="K570" s="59"/>
    </row>
    <row r="571" ht="12.75" customHeight="1">
      <c r="A571" s="46"/>
      <c r="B571" s="59"/>
      <c r="C571" s="59"/>
      <c r="D571" s="59"/>
      <c r="I571" s="59"/>
      <c r="J571" s="59"/>
      <c r="K571" s="59"/>
    </row>
    <row r="572" ht="12.75" customHeight="1">
      <c r="A572" s="46"/>
      <c r="B572" s="59"/>
      <c r="C572" s="59"/>
      <c r="D572" s="59"/>
      <c r="I572" s="59"/>
      <c r="J572" s="59"/>
      <c r="K572" s="59"/>
    </row>
    <row r="573" ht="12.75" customHeight="1">
      <c r="A573" s="46"/>
      <c r="B573" s="59"/>
      <c r="C573" s="59"/>
      <c r="D573" s="59"/>
      <c r="I573" s="59"/>
      <c r="J573" s="59"/>
      <c r="K573" s="59"/>
    </row>
    <row r="574" ht="12.75" customHeight="1">
      <c r="A574" s="46"/>
      <c r="B574" s="59"/>
      <c r="C574" s="59"/>
      <c r="D574" s="59"/>
      <c r="I574" s="59"/>
      <c r="J574" s="59"/>
      <c r="K574" s="59"/>
    </row>
    <row r="575" ht="12.75" customHeight="1">
      <c r="A575" s="46"/>
      <c r="B575" s="59"/>
      <c r="C575" s="59"/>
      <c r="D575" s="59"/>
      <c r="I575" s="59"/>
      <c r="J575" s="59"/>
      <c r="K575" s="59"/>
    </row>
    <row r="576" ht="12.75" customHeight="1">
      <c r="A576" s="46"/>
      <c r="B576" s="59"/>
      <c r="C576" s="59"/>
      <c r="D576" s="59"/>
      <c r="I576" s="59"/>
      <c r="J576" s="59"/>
      <c r="K576" s="59"/>
    </row>
    <row r="577" ht="12.75" customHeight="1">
      <c r="A577" s="46"/>
      <c r="B577" s="59"/>
      <c r="C577" s="59"/>
      <c r="D577" s="59"/>
      <c r="I577" s="59"/>
      <c r="J577" s="59"/>
      <c r="K577" s="59"/>
    </row>
    <row r="578" ht="12.75" customHeight="1">
      <c r="A578" s="46"/>
      <c r="B578" s="59"/>
      <c r="C578" s="59"/>
      <c r="D578" s="59"/>
      <c r="I578" s="59"/>
      <c r="J578" s="59"/>
      <c r="K578" s="59"/>
    </row>
    <row r="579" ht="12.75" customHeight="1">
      <c r="A579" s="46"/>
      <c r="B579" s="59"/>
      <c r="C579" s="59"/>
      <c r="D579" s="59"/>
      <c r="I579" s="59"/>
      <c r="J579" s="59"/>
      <c r="K579" s="59"/>
    </row>
    <row r="580" ht="12.75" customHeight="1">
      <c r="A580" s="46"/>
      <c r="B580" s="59"/>
      <c r="C580" s="59"/>
      <c r="D580" s="59"/>
      <c r="I580" s="59"/>
      <c r="J580" s="59"/>
      <c r="K580" s="59"/>
    </row>
    <row r="581" ht="12.75" customHeight="1">
      <c r="A581" s="46"/>
      <c r="B581" s="59"/>
      <c r="C581" s="59"/>
      <c r="D581" s="59"/>
      <c r="I581" s="59"/>
      <c r="J581" s="59"/>
      <c r="K581" s="59"/>
    </row>
    <row r="582" ht="12.75" customHeight="1">
      <c r="A582" s="46"/>
      <c r="B582" s="59"/>
      <c r="C582" s="59"/>
      <c r="D582" s="59"/>
      <c r="I582" s="59"/>
      <c r="J582" s="59"/>
      <c r="K582" s="59"/>
    </row>
    <row r="583" ht="12.75" customHeight="1">
      <c r="A583" s="46"/>
      <c r="B583" s="59"/>
      <c r="C583" s="59"/>
      <c r="D583" s="59"/>
      <c r="I583" s="59"/>
      <c r="J583" s="59"/>
      <c r="K583" s="59"/>
    </row>
    <row r="584" ht="12.75" customHeight="1">
      <c r="A584" s="46"/>
      <c r="B584" s="59"/>
      <c r="C584" s="59"/>
      <c r="D584" s="59"/>
      <c r="I584" s="59"/>
      <c r="J584" s="59"/>
      <c r="K584" s="59"/>
    </row>
    <row r="585" ht="12.75" customHeight="1">
      <c r="A585" s="46"/>
      <c r="B585" s="59"/>
      <c r="C585" s="59"/>
      <c r="D585" s="59"/>
      <c r="I585" s="59"/>
      <c r="J585" s="59"/>
      <c r="K585" s="59"/>
    </row>
    <row r="586" ht="12.75" customHeight="1">
      <c r="A586" s="46"/>
      <c r="B586" s="59"/>
      <c r="C586" s="59"/>
      <c r="D586" s="59"/>
      <c r="I586" s="59"/>
      <c r="J586" s="59"/>
      <c r="K586" s="59"/>
    </row>
    <row r="587" ht="12.75" customHeight="1">
      <c r="A587" s="46"/>
      <c r="B587" s="59"/>
      <c r="C587" s="59"/>
      <c r="D587" s="59"/>
      <c r="I587" s="59"/>
      <c r="J587" s="59"/>
      <c r="K587" s="59"/>
    </row>
    <row r="588" ht="12.75" customHeight="1">
      <c r="A588" s="46"/>
      <c r="B588" s="59"/>
      <c r="C588" s="59"/>
      <c r="D588" s="59"/>
      <c r="I588" s="59"/>
      <c r="J588" s="59"/>
      <c r="K588" s="59"/>
    </row>
    <row r="589" ht="12.75" customHeight="1">
      <c r="A589" s="46"/>
      <c r="B589" s="59"/>
      <c r="C589" s="59"/>
      <c r="D589" s="59"/>
      <c r="I589" s="59"/>
      <c r="J589" s="59"/>
      <c r="K589" s="59"/>
    </row>
    <row r="590" ht="12.75" customHeight="1">
      <c r="A590" s="46"/>
      <c r="B590" s="59"/>
      <c r="C590" s="59"/>
      <c r="D590" s="59"/>
      <c r="I590" s="59"/>
      <c r="J590" s="59"/>
      <c r="K590" s="59"/>
    </row>
    <row r="591" ht="12.75" customHeight="1">
      <c r="A591" s="46"/>
      <c r="B591" s="59"/>
      <c r="C591" s="59"/>
      <c r="D591" s="59"/>
      <c r="I591" s="59"/>
      <c r="J591" s="59"/>
      <c r="K591" s="59"/>
    </row>
    <row r="592" ht="12.75" customHeight="1">
      <c r="A592" s="46"/>
      <c r="B592" s="59"/>
      <c r="C592" s="59"/>
      <c r="D592" s="59"/>
      <c r="I592" s="59"/>
      <c r="J592" s="59"/>
      <c r="K592" s="59"/>
    </row>
    <row r="593" ht="12.75" customHeight="1">
      <c r="A593" s="46"/>
      <c r="B593" s="59"/>
      <c r="C593" s="59"/>
      <c r="D593" s="59"/>
      <c r="I593" s="59"/>
      <c r="J593" s="59"/>
      <c r="K593" s="59"/>
    </row>
    <row r="594" ht="12.75" customHeight="1">
      <c r="A594" s="46"/>
      <c r="B594" s="59"/>
      <c r="C594" s="59"/>
      <c r="D594" s="59"/>
      <c r="I594" s="59"/>
      <c r="J594" s="59"/>
      <c r="K594" s="59"/>
    </row>
    <row r="595" ht="12.75" customHeight="1">
      <c r="A595" s="46"/>
      <c r="B595" s="59"/>
      <c r="C595" s="59"/>
      <c r="D595" s="59"/>
      <c r="I595" s="59"/>
      <c r="J595" s="59"/>
      <c r="K595" s="59"/>
    </row>
    <row r="596" ht="12.75" customHeight="1">
      <c r="A596" s="46"/>
      <c r="B596" s="59"/>
      <c r="C596" s="59"/>
      <c r="D596" s="59"/>
      <c r="I596" s="59"/>
      <c r="J596" s="59"/>
      <c r="K596" s="59"/>
    </row>
    <row r="597" ht="12.75" customHeight="1">
      <c r="A597" s="46"/>
      <c r="B597" s="59"/>
      <c r="C597" s="59"/>
      <c r="D597" s="59"/>
      <c r="I597" s="59"/>
      <c r="J597" s="59"/>
      <c r="K597" s="59"/>
    </row>
    <row r="598" ht="12.75" customHeight="1">
      <c r="A598" s="46"/>
      <c r="B598" s="59"/>
      <c r="C598" s="59"/>
      <c r="D598" s="59"/>
      <c r="I598" s="59"/>
      <c r="J598" s="59"/>
      <c r="K598" s="59"/>
    </row>
    <row r="599" ht="12.75" customHeight="1">
      <c r="A599" s="46"/>
      <c r="B599" s="59"/>
      <c r="C599" s="59"/>
      <c r="D599" s="59"/>
      <c r="I599" s="59"/>
      <c r="J599" s="59"/>
      <c r="K599" s="59"/>
    </row>
    <row r="600" ht="12.75" customHeight="1">
      <c r="A600" s="46"/>
      <c r="B600" s="59"/>
      <c r="C600" s="59"/>
      <c r="D600" s="59"/>
      <c r="I600" s="59"/>
      <c r="J600" s="59"/>
      <c r="K600" s="59"/>
    </row>
    <row r="601" ht="12.75" customHeight="1">
      <c r="A601" s="46"/>
      <c r="B601" s="59"/>
      <c r="C601" s="59"/>
      <c r="D601" s="59"/>
      <c r="I601" s="59"/>
      <c r="J601" s="59"/>
      <c r="K601" s="59"/>
    </row>
    <row r="602" ht="12.75" customHeight="1">
      <c r="A602" s="46"/>
      <c r="B602" s="59"/>
      <c r="C602" s="59"/>
      <c r="D602" s="59"/>
      <c r="I602" s="59"/>
      <c r="J602" s="59"/>
      <c r="K602" s="59"/>
    </row>
    <row r="603" ht="12.75" customHeight="1">
      <c r="A603" s="46"/>
      <c r="B603" s="59"/>
      <c r="C603" s="59"/>
      <c r="D603" s="59"/>
      <c r="I603" s="59"/>
      <c r="J603" s="59"/>
      <c r="K603" s="59"/>
    </row>
    <row r="604" ht="12.75" customHeight="1">
      <c r="A604" s="46"/>
      <c r="B604" s="59"/>
      <c r="C604" s="59"/>
      <c r="D604" s="59"/>
      <c r="I604" s="59"/>
      <c r="J604" s="59"/>
      <c r="K604" s="59"/>
    </row>
    <row r="605" ht="12.75" customHeight="1">
      <c r="A605" s="46"/>
      <c r="B605" s="59"/>
      <c r="C605" s="59"/>
      <c r="D605" s="59"/>
      <c r="I605" s="59"/>
      <c r="J605" s="59"/>
      <c r="K605" s="59"/>
    </row>
    <row r="606" ht="12.75" customHeight="1">
      <c r="A606" s="46"/>
      <c r="B606" s="59"/>
      <c r="C606" s="59"/>
      <c r="D606" s="59"/>
      <c r="I606" s="59"/>
      <c r="J606" s="59"/>
      <c r="K606" s="59"/>
    </row>
    <row r="607" ht="12.75" customHeight="1">
      <c r="A607" s="46"/>
      <c r="B607" s="59"/>
      <c r="C607" s="59"/>
      <c r="D607" s="59"/>
      <c r="I607" s="59"/>
      <c r="J607" s="59"/>
      <c r="K607" s="59"/>
    </row>
    <row r="608" ht="12.75" customHeight="1">
      <c r="A608" s="46"/>
      <c r="B608" s="59"/>
      <c r="C608" s="59"/>
      <c r="D608" s="59"/>
      <c r="I608" s="59"/>
      <c r="J608" s="59"/>
      <c r="K608" s="59"/>
    </row>
    <row r="609" ht="12.75" customHeight="1">
      <c r="A609" s="46"/>
      <c r="B609" s="59"/>
      <c r="C609" s="59"/>
      <c r="D609" s="59"/>
      <c r="I609" s="59"/>
      <c r="J609" s="59"/>
      <c r="K609" s="59"/>
    </row>
    <row r="610" ht="12.75" customHeight="1">
      <c r="A610" s="46"/>
      <c r="B610" s="59"/>
      <c r="C610" s="59"/>
      <c r="D610" s="59"/>
      <c r="I610" s="59"/>
      <c r="J610" s="59"/>
      <c r="K610" s="59"/>
    </row>
    <row r="611" ht="12.75" customHeight="1">
      <c r="A611" s="46"/>
      <c r="B611" s="59"/>
      <c r="C611" s="59"/>
      <c r="D611" s="59"/>
      <c r="I611" s="59"/>
      <c r="J611" s="59"/>
      <c r="K611" s="59"/>
    </row>
    <row r="612" ht="12.75" customHeight="1">
      <c r="A612" s="46"/>
      <c r="B612" s="59"/>
      <c r="C612" s="59"/>
      <c r="D612" s="59"/>
      <c r="I612" s="59"/>
      <c r="J612" s="59"/>
      <c r="K612" s="59"/>
    </row>
    <row r="613" ht="12.75" customHeight="1">
      <c r="A613" s="46"/>
      <c r="B613" s="59"/>
      <c r="C613" s="59"/>
      <c r="D613" s="59"/>
      <c r="I613" s="59"/>
      <c r="J613" s="59"/>
      <c r="K613" s="59"/>
    </row>
    <row r="614" ht="12.75" customHeight="1">
      <c r="A614" s="46"/>
      <c r="B614" s="59"/>
      <c r="C614" s="59"/>
      <c r="D614" s="59"/>
      <c r="I614" s="59"/>
      <c r="J614" s="59"/>
      <c r="K614" s="59"/>
    </row>
    <row r="615" ht="12.75" customHeight="1">
      <c r="A615" s="46"/>
      <c r="B615" s="59"/>
      <c r="C615" s="59"/>
      <c r="D615" s="59"/>
      <c r="I615" s="59"/>
      <c r="J615" s="59"/>
      <c r="K615" s="59"/>
    </row>
    <row r="616" ht="12.75" customHeight="1">
      <c r="A616" s="46"/>
      <c r="B616" s="59"/>
      <c r="C616" s="59"/>
      <c r="D616" s="59"/>
      <c r="I616" s="59"/>
      <c r="J616" s="59"/>
      <c r="K616" s="59"/>
    </row>
    <row r="617" ht="12.75" customHeight="1">
      <c r="A617" s="46"/>
      <c r="B617" s="59"/>
      <c r="C617" s="59"/>
      <c r="D617" s="59"/>
      <c r="I617" s="59"/>
      <c r="J617" s="59"/>
      <c r="K617" s="59"/>
    </row>
    <row r="618" ht="12.75" customHeight="1">
      <c r="A618" s="46"/>
      <c r="B618" s="59"/>
      <c r="C618" s="59"/>
      <c r="D618" s="59"/>
      <c r="I618" s="59"/>
      <c r="J618" s="59"/>
      <c r="K618" s="59"/>
    </row>
    <row r="619" ht="12.75" customHeight="1">
      <c r="A619" s="46"/>
      <c r="B619" s="59"/>
      <c r="C619" s="59"/>
      <c r="D619" s="59"/>
      <c r="I619" s="59"/>
      <c r="J619" s="59"/>
      <c r="K619" s="59"/>
    </row>
    <row r="620" ht="12.75" customHeight="1">
      <c r="A620" s="46"/>
      <c r="B620" s="59"/>
      <c r="C620" s="59"/>
      <c r="D620" s="59"/>
      <c r="I620" s="59"/>
      <c r="J620" s="59"/>
      <c r="K620" s="59"/>
    </row>
    <row r="621" ht="12.75" customHeight="1">
      <c r="A621" s="46"/>
      <c r="B621" s="59"/>
      <c r="C621" s="59"/>
      <c r="D621" s="59"/>
      <c r="I621" s="59"/>
      <c r="J621" s="59"/>
      <c r="K621" s="59"/>
    </row>
    <row r="622" ht="12.75" customHeight="1">
      <c r="A622" s="46"/>
      <c r="B622" s="59"/>
      <c r="C622" s="59"/>
      <c r="D622" s="59"/>
      <c r="I622" s="59"/>
      <c r="J622" s="59"/>
      <c r="K622" s="59"/>
    </row>
    <row r="623" ht="12.75" customHeight="1">
      <c r="A623" s="46"/>
      <c r="B623" s="59"/>
      <c r="C623" s="59"/>
      <c r="D623" s="59"/>
      <c r="I623" s="59"/>
      <c r="J623" s="59"/>
      <c r="K623" s="59"/>
    </row>
    <row r="624" ht="12.75" customHeight="1">
      <c r="A624" s="46"/>
      <c r="B624" s="59"/>
      <c r="C624" s="59"/>
      <c r="D624" s="59"/>
      <c r="I624" s="59"/>
      <c r="J624" s="59"/>
      <c r="K624" s="59"/>
    </row>
    <row r="625" ht="12.75" customHeight="1">
      <c r="A625" s="46"/>
      <c r="B625" s="59"/>
      <c r="C625" s="59"/>
      <c r="D625" s="59"/>
      <c r="I625" s="59"/>
      <c r="J625" s="59"/>
      <c r="K625" s="59"/>
    </row>
    <row r="626" ht="12.75" customHeight="1">
      <c r="A626" s="46"/>
      <c r="B626" s="59"/>
      <c r="C626" s="59"/>
      <c r="D626" s="59"/>
      <c r="I626" s="59"/>
      <c r="J626" s="59"/>
      <c r="K626" s="59"/>
    </row>
    <row r="627" ht="12.75" customHeight="1">
      <c r="A627" s="46"/>
      <c r="B627" s="59"/>
      <c r="C627" s="59"/>
      <c r="D627" s="59"/>
      <c r="I627" s="59"/>
      <c r="J627" s="59"/>
      <c r="K627" s="59"/>
    </row>
    <row r="628" ht="12.75" customHeight="1">
      <c r="A628" s="46"/>
      <c r="B628" s="59"/>
      <c r="C628" s="59"/>
      <c r="D628" s="59"/>
      <c r="I628" s="59"/>
      <c r="J628" s="59"/>
      <c r="K628" s="59"/>
    </row>
    <row r="629" ht="12.75" customHeight="1">
      <c r="A629" s="46"/>
      <c r="B629" s="59"/>
      <c r="C629" s="59"/>
      <c r="D629" s="59"/>
      <c r="I629" s="59"/>
      <c r="J629" s="59"/>
      <c r="K629" s="59"/>
    </row>
    <row r="630" ht="12.75" customHeight="1">
      <c r="A630" s="46"/>
      <c r="B630" s="59"/>
      <c r="C630" s="59"/>
      <c r="D630" s="59"/>
      <c r="I630" s="59"/>
      <c r="J630" s="59"/>
      <c r="K630" s="59"/>
    </row>
    <row r="631" ht="12.75" customHeight="1">
      <c r="A631" s="46"/>
      <c r="B631" s="59"/>
      <c r="C631" s="59"/>
      <c r="D631" s="59"/>
      <c r="I631" s="59"/>
      <c r="J631" s="59"/>
      <c r="K631" s="59"/>
    </row>
    <row r="632" ht="12.75" customHeight="1">
      <c r="A632" s="46"/>
      <c r="B632" s="59"/>
      <c r="C632" s="59"/>
      <c r="D632" s="59"/>
      <c r="I632" s="59"/>
      <c r="J632" s="59"/>
      <c r="K632" s="59"/>
    </row>
    <row r="633" ht="12.75" customHeight="1">
      <c r="A633" s="46"/>
      <c r="B633" s="59"/>
      <c r="C633" s="59"/>
      <c r="D633" s="59"/>
      <c r="I633" s="59"/>
      <c r="J633" s="59"/>
      <c r="K633" s="59"/>
    </row>
    <row r="634" ht="12.75" customHeight="1">
      <c r="A634" s="46"/>
      <c r="B634" s="59"/>
      <c r="C634" s="59"/>
      <c r="D634" s="59"/>
      <c r="I634" s="59"/>
      <c r="J634" s="59"/>
      <c r="K634" s="59"/>
    </row>
    <row r="635" ht="12.75" customHeight="1">
      <c r="A635" s="46"/>
      <c r="B635" s="59"/>
      <c r="C635" s="59"/>
      <c r="D635" s="59"/>
      <c r="I635" s="59"/>
      <c r="J635" s="59"/>
      <c r="K635" s="59"/>
    </row>
    <row r="636" ht="12.75" customHeight="1">
      <c r="A636" s="46"/>
      <c r="B636" s="59"/>
      <c r="C636" s="59"/>
      <c r="D636" s="59"/>
      <c r="I636" s="59"/>
      <c r="J636" s="59"/>
      <c r="K636" s="59"/>
    </row>
    <row r="637" ht="12.75" customHeight="1">
      <c r="A637" s="46"/>
      <c r="B637" s="59"/>
      <c r="C637" s="59"/>
      <c r="D637" s="59"/>
      <c r="I637" s="59"/>
      <c r="J637" s="59"/>
      <c r="K637" s="59"/>
    </row>
    <row r="638" ht="12.75" customHeight="1">
      <c r="A638" s="46"/>
      <c r="B638" s="59"/>
      <c r="C638" s="59"/>
      <c r="D638" s="59"/>
      <c r="I638" s="59"/>
      <c r="J638" s="59"/>
      <c r="K638" s="59"/>
    </row>
    <row r="639" ht="12.75" customHeight="1">
      <c r="A639" s="46"/>
      <c r="B639" s="59"/>
      <c r="C639" s="59"/>
      <c r="D639" s="59"/>
      <c r="I639" s="59"/>
      <c r="J639" s="59"/>
      <c r="K639" s="59"/>
    </row>
    <row r="640" ht="12.75" customHeight="1">
      <c r="A640" s="46"/>
      <c r="B640" s="59"/>
      <c r="C640" s="59"/>
      <c r="D640" s="59"/>
      <c r="I640" s="59"/>
      <c r="J640" s="59"/>
      <c r="K640" s="59"/>
    </row>
    <row r="641" ht="12.75" customHeight="1">
      <c r="A641" s="46"/>
      <c r="B641" s="59"/>
      <c r="C641" s="59"/>
      <c r="D641" s="59"/>
      <c r="I641" s="59"/>
      <c r="J641" s="59"/>
      <c r="K641" s="59"/>
    </row>
    <row r="642" ht="12.75" customHeight="1">
      <c r="A642" s="46"/>
      <c r="B642" s="59"/>
      <c r="C642" s="59"/>
      <c r="D642" s="59"/>
      <c r="I642" s="59"/>
      <c r="J642" s="59"/>
      <c r="K642" s="59"/>
    </row>
    <row r="643" ht="12.75" customHeight="1">
      <c r="A643" s="46"/>
      <c r="B643" s="59"/>
      <c r="C643" s="59"/>
      <c r="D643" s="59"/>
      <c r="I643" s="59"/>
      <c r="J643" s="59"/>
      <c r="K643" s="59"/>
    </row>
    <row r="644" ht="12.75" customHeight="1">
      <c r="A644" s="46"/>
      <c r="B644" s="59"/>
      <c r="C644" s="59"/>
      <c r="D644" s="59"/>
      <c r="I644" s="59"/>
      <c r="J644" s="59"/>
      <c r="K644" s="59"/>
    </row>
    <row r="645" ht="12.75" customHeight="1">
      <c r="A645" s="46"/>
      <c r="B645" s="59"/>
      <c r="C645" s="59"/>
      <c r="D645" s="59"/>
      <c r="I645" s="59"/>
      <c r="J645" s="59"/>
      <c r="K645" s="59"/>
    </row>
    <row r="646" ht="12.75" customHeight="1">
      <c r="A646" s="46"/>
      <c r="B646" s="59"/>
      <c r="C646" s="59"/>
      <c r="D646" s="59"/>
      <c r="I646" s="59"/>
      <c r="J646" s="59"/>
      <c r="K646" s="59"/>
    </row>
    <row r="647" ht="12.75" customHeight="1">
      <c r="A647" s="46"/>
      <c r="B647" s="59"/>
      <c r="C647" s="59"/>
      <c r="D647" s="59"/>
      <c r="I647" s="59"/>
      <c r="J647" s="59"/>
      <c r="K647" s="59"/>
    </row>
    <row r="648" ht="12.75" customHeight="1">
      <c r="A648" s="46"/>
      <c r="B648" s="59"/>
      <c r="C648" s="59"/>
      <c r="D648" s="59"/>
      <c r="I648" s="59"/>
      <c r="J648" s="59"/>
      <c r="K648" s="59"/>
    </row>
    <row r="649" ht="12.75" customHeight="1">
      <c r="A649" s="46"/>
      <c r="B649" s="59"/>
      <c r="C649" s="59"/>
      <c r="D649" s="59"/>
      <c r="I649" s="59"/>
      <c r="J649" s="59"/>
      <c r="K649" s="59"/>
    </row>
    <row r="650" ht="12.75" customHeight="1">
      <c r="A650" s="46"/>
      <c r="B650" s="59"/>
      <c r="C650" s="59"/>
      <c r="D650" s="59"/>
      <c r="I650" s="59"/>
      <c r="J650" s="59"/>
      <c r="K650" s="59"/>
    </row>
    <row r="651" ht="12.75" customHeight="1">
      <c r="A651" s="46"/>
      <c r="B651" s="59"/>
      <c r="C651" s="59"/>
      <c r="D651" s="59"/>
      <c r="I651" s="59"/>
      <c r="J651" s="59"/>
      <c r="K651" s="59"/>
    </row>
    <row r="652" ht="12.75" customHeight="1">
      <c r="A652" s="46"/>
      <c r="B652" s="59"/>
      <c r="C652" s="59"/>
      <c r="D652" s="59"/>
      <c r="I652" s="59"/>
      <c r="J652" s="59"/>
      <c r="K652" s="59"/>
    </row>
    <row r="653" ht="12.75" customHeight="1">
      <c r="A653" s="46"/>
      <c r="B653" s="59"/>
      <c r="C653" s="59"/>
      <c r="D653" s="59"/>
      <c r="I653" s="59"/>
      <c r="J653" s="59"/>
      <c r="K653" s="59"/>
    </row>
    <row r="654" ht="12.75" customHeight="1">
      <c r="A654" s="46"/>
      <c r="B654" s="59"/>
      <c r="C654" s="59"/>
      <c r="D654" s="59"/>
      <c r="I654" s="59"/>
      <c r="J654" s="59"/>
      <c r="K654" s="59"/>
    </row>
    <row r="655" ht="12.75" customHeight="1">
      <c r="A655" s="46"/>
      <c r="B655" s="59"/>
      <c r="C655" s="59"/>
      <c r="D655" s="59"/>
      <c r="I655" s="59"/>
      <c r="J655" s="59"/>
      <c r="K655" s="59"/>
    </row>
    <row r="656" ht="12.75" customHeight="1">
      <c r="A656" s="46"/>
      <c r="B656" s="59"/>
      <c r="C656" s="59"/>
      <c r="D656" s="59"/>
      <c r="I656" s="59"/>
      <c r="J656" s="59"/>
      <c r="K656" s="59"/>
    </row>
    <row r="657" ht="12.75" customHeight="1">
      <c r="A657" s="46"/>
      <c r="B657" s="59"/>
      <c r="C657" s="59"/>
      <c r="D657" s="59"/>
      <c r="I657" s="59"/>
      <c r="J657" s="59"/>
      <c r="K657" s="59"/>
    </row>
    <row r="658" ht="12.75" customHeight="1">
      <c r="A658" s="46"/>
      <c r="B658" s="59"/>
      <c r="C658" s="59"/>
      <c r="D658" s="59"/>
      <c r="I658" s="59"/>
      <c r="J658" s="59"/>
      <c r="K658" s="59"/>
    </row>
    <row r="659" ht="12.75" customHeight="1">
      <c r="A659" s="46"/>
      <c r="B659" s="59"/>
      <c r="C659" s="59"/>
      <c r="D659" s="59"/>
      <c r="I659" s="59"/>
      <c r="J659" s="59"/>
      <c r="K659" s="59"/>
    </row>
    <row r="660" ht="12.75" customHeight="1">
      <c r="A660" s="46"/>
      <c r="B660" s="59"/>
      <c r="C660" s="59"/>
      <c r="D660" s="59"/>
      <c r="I660" s="59"/>
      <c r="J660" s="59"/>
      <c r="K660" s="59"/>
    </row>
    <row r="661" ht="12.75" customHeight="1">
      <c r="A661" s="46"/>
      <c r="B661" s="59"/>
      <c r="C661" s="59"/>
      <c r="D661" s="59"/>
      <c r="I661" s="59"/>
      <c r="J661" s="59"/>
      <c r="K661" s="59"/>
    </row>
    <row r="662" ht="12.75" customHeight="1">
      <c r="A662" s="46"/>
      <c r="B662" s="59"/>
      <c r="C662" s="59"/>
      <c r="D662" s="59"/>
      <c r="I662" s="59"/>
      <c r="J662" s="59"/>
      <c r="K662" s="59"/>
    </row>
    <row r="663" ht="12.75" customHeight="1">
      <c r="A663" s="46"/>
      <c r="B663" s="59"/>
      <c r="C663" s="59"/>
      <c r="D663" s="59"/>
      <c r="I663" s="59"/>
      <c r="J663" s="59"/>
      <c r="K663" s="59"/>
    </row>
    <row r="664" ht="12.75" customHeight="1">
      <c r="A664" s="46"/>
      <c r="B664" s="59"/>
      <c r="C664" s="59"/>
      <c r="D664" s="59"/>
      <c r="I664" s="59"/>
      <c r="J664" s="59"/>
      <c r="K664" s="59"/>
    </row>
    <row r="665" ht="12.75" customHeight="1">
      <c r="A665" s="46"/>
      <c r="B665" s="59"/>
      <c r="C665" s="59"/>
      <c r="D665" s="59"/>
      <c r="I665" s="59"/>
      <c r="J665" s="59"/>
      <c r="K665" s="59"/>
    </row>
    <row r="666" ht="12.75" customHeight="1">
      <c r="A666" s="46"/>
      <c r="B666" s="59"/>
      <c r="C666" s="59"/>
      <c r="D666" s="59"/>
      <c r="I666" s="59"/>
      <c r="J666" s="59"/>
      <c r="K666" s="59"/>
    </row>
    <row r="667" ht="12.75" customHeight="1">
      <c r="A667" s="46"/>
      <c r="B667" s="59"/>
      <c r="C667" s="59"/>
      <c r="D667" s="59"/>
      <c r="I667" s="59"/>
      <c r="J667" s="59"/>
      <c r="K667" s="59"/>
    </row>
    <row r="668" ht="12.75" customHeight="1">
      <c r="A668" s="46"/>
      <c r="B668" s="59"/>
      <c r="C668" s="59"/>
      <c r="D668" s="59"/>
      <c r="I668" s="59"/>
      <c r="J668" s="59"/>
      <c r="K668" s="59"/>
    </row>
    <row r="669" ht="12.75" customHeight="1">
      <c r="A669" s="46"/>
      <c r="B669" s="59"/>
      <c r="C669" s="59"/>
      <c r="D669" s="59"/>
      <c r="I669" s="59"/>
      <c r="J669" s="59"/>
      <c r="K669" s="59"/>
    </row>
    <row r="670" ht="12.75" customHeight="1">
      <c r="A670" s="46"/>
      <c r="B670" s="59"/>
      <c r="C670" s="59"/>
      <c r="D670" s="59"/>
      <c r="I670" s="59"/>
      <c r="J670" s="59"/>
      <c r="K670" s="59"/>
    </row>
    <row r="671" ht="12.75" customHeight="1">
      <c r="A671" s="46"/>
      <c r="B671" s="59"/>
      <c r="C671" s="59"/>
      <c r="D671" s="59"/>
      <c r="I671" s="59"/>
      <c r="J671" s="59"/>
      <c r="K671" s="59"/>
    </row>
    <row r="672" ht="12.75" customHeight="1">
      <c r="A672" s="46"/>
      <c r="B672" s="59"/>
      <c r="C672" s="59"/>
      <c r="D672" s="59"/>
      <c r="I672" s="59"/>
      <c r="J672" s="59"/>
      <c r="K672" s="59"/>
    </row>
    <row r="673" ht="12.75" customHeight="1">
      <c r="A673" s="46"/>
      <c r="B673" s="59"/>
      <c r="C673" s="59"/>
      <c r="D673" s="59"/>
      <c r="I673" s="59"/>
      <c r="J673" s="59"/>
      <c r="K673" s="59"/>
    </row>
    <row r="674" ht="12.75" customHeight="1">
      <c r="A674" s="46"/>
      <c r="B674" s="59"/>
      <c r="C674" s="59"/>
      <c r="D674" s="59"/>
      <c r="I674" s="59"/>
      <c r="J674" s="59"/>
      <c r="K674" s="59"/>
    </row>
    <row r="675" ht="12.75" customHeight="1">
      <c r="A675" s="46"/>
      <c r="B675" s="59"/>
      <c r="C675" s="59"/>
      <c r="D675" s="59"/>
      <c r="I675" s="59"/>
      <c r="J675" s="59"/>
      <c r="K675" s="59"/>
    </row>
    <row r="676" ht="12.75" customHeight="1">
      <c r="A676" s="46"/>
      <c r="B676" s="59"/>
      <c r="C676" s="59"/>
      <c r="D676" s="59"/>
      <c r="I676" s="59"/>
      <c r="J676" s="59"/>
      <c r="K676" s="59"/>
    </row>
    <row r="677" ht="12.75" customHeight="1">
      <c r="A677" s="46"/>
      <c r="B677" s="59"/>
      <c r="C677" s="59"/>
      <c r="D677" s="59"/>
      <c r="I677" s="59"/>
      <c r="J677" s="59"/>
      <c r="K677" s="59"/>
    </row>
    <row r="678" ht="12.75" customHeight="1">
      <c r="A678" s="46"/>
      <c r="B678" s="59"/>
      <c r="C678" s="59"/>
      <c r="D678" s="59"/>
      <c r="I678" s="59"/>
      <c r="J678" s="59"/>
      <c r="K678" s="59"/>
    </row>
    <row r="679" ht="12.75" customHeight="1">
      <c r="A679" s="46"/>
      <c r="B679" s="59"/>
      <c r="C679" s="59"/>
      <c r="D679" s="59"/>
      <c r="I679" s="59"/>
      <c r="J679" s="59"/>
      <c r="K679" s="59"/>
    </row>
    <row r="680" ht="12.75" customHeight="1">
      <c r="A680" s="46"/>
      <c r="B680" s="59"/>
      <c r="C680" s="59"/>
      <c r="D680" s="59"/>
      <c r="I680" s="59"/>
      <c r="J680" s="59"/>
      <c r="K680" s="59"/>
    </row>
    <row r="681" ht="12.75" customHeight="1">
      <c r="A681" s="46"/>
      <c r="B681" s="59"/>
      <c r="C681" s="59"/>
      <c r="D681" s="59"/>
      <c r="I681" s="59"/>
      <c r="J681" s="59"/>
      <c r="K681" s="59"/>
    </row>
    <row r="682" ht="12.75" customHeight="1">
      <c r="A682" s="46"/>
      <c r="B682" s="59"/>
      <c r="C682" s="59"/>
      <c r="D682" s="59"/>
      <c r="I682" s="59"/>
      <c r="J682" s="59"/>
      <c r="K682" s="59"/>
    </row>
    <row r="683" ht="12.75" customHeight="1">
      <c r="A683" s="46"/>
      <c r="B683" s="59"/>
      <c r="C683" s="59"/>
      <c r="D683" s="59"/>
      <c r="I683" s="59"/>
      <c r="J683" s="59"/>
      <c r="K683" s="59"/>
    </row>
    <row r="684" ht="12.75" customHeight="1">
      <c r="A684" s="46"/>
      <c r="B684" s="59"/>
      <c r="C684" s="59"/>
      <c r="D684" s="59"/>
      <c r="I684" s="59"/>
      <c r="J684" s="59"/>
      <c r="K684" s="59"/>
    </row>
    <row r="685" ht="12.75" customHeight="1">
      <c r="A685" s="46"/>
      <c r="B685" s="59"/>
      <c r="C685" s="59"/>
      <c r="D685" s="59"/>
      <c r="I685" s="59"/>
      <c r="J685" s="59"/>
      <c r="K685" s="59"/>
    </row>
    <row r="686" ht="12.75" customHeight="1">
      <c r="A686" s="46"/>
      <c r="B686" s="59"/>
      <c r="C686" s="59"/>
      <c r="D686" s="59"/>
      <c r="I686" s="59"/>
      <c r="J686" s="59"/>
      <c r="K686" s="59"/>
    </row>
    <row r="687" ht="12.75" customHeight="1">
      <c r="A687" s="46"/>
      <c r="B687" s="59"/>
      <c r="C687" s="59"/>
      <c r="D687" s="59"/>
      <c r="I687" s="59"/>
      <c r="J687" s="59"/>
      <c r="K687" s="59"/>
    </row>
    <row r="688" ht="12.75" customHeight="1">
      <c r="A688" s="46"/>
      <c r="B688" s="59"/>
      <c r="C688" s="59"/>
      <c r="D688" s="59"/>
      <c r="I688" s="59"/>
      <c r="J688" s="59"/>
      <c r="K688" s="59"/>
    </row>
    <row r="689" ht="12.75" customHeight="1">
      <c r="A689" s="46"/>
      <c r="B689" s="59"/>
      <c r="C689" s="59"/>
      <c r="D689" s="59"/>
      <c r="I689" s="59"/>
      <c r="J689" s="59"/>
      <c r="K689" s="59"/>
    </row>
    <row r="690" ht="12.75" customHeight="1">
      <c r="A690" s="46"/>
      <c r="B690" s="59"/>
      <c r="C690" s="59"/>
      <c r="D690" s="59"/>
      <c r="I690" s="59"/>
      <c r="J690" s="59"/>
      <c r="K690" s="59"/>
    </row>
    <row r="691" ht="12.75" customHeight="1">
      <c r="A691" s="46"/>
      <c r="B691" s="59"/>
      <c r="C691" s="59"/>
      <c r="D691" s="59"/>
      <c r="I691" s="59"/>
      <c r="J691" s="59"/>
      <c r="K691" s="59"/>
    </row>
    <row r="692" ht="12.75" customHeight="1">
      <c r="A692" s="46"/>
      <c r="B692" s="59"/>
      <c r="C692" s="59"/>
      <c r="D692" s="59"/>
      <c r="I692" s="59"/>
      <c r="J692" s="59"/>
      <c r="K692" s="59"/>
    </row>
    <row r="693" ht="12.75" customHeight="1">
      <c r="A693" s="46"/>
      <c r="B693" s="59"/>
      <c r="C693" s="59"/>
      <c r="D693" s="59"/>
      <c r="I693" s="59"/>
      <c r="J693" s="59"/>
      <c r="K693" s="59"/>
    </row>
    <row r="694" ht="12.75" customHeight="1">
      <c r="A694" s="46"/>
      <c r="B694" s="59"/>
      <c r="C694" s="59"/>
      <c r="D694" s="59"/>
      <c r="I694" s="59"/>
      <c r="J694" s="59"/>
      <c r="K694" s="59"/>
    </row>
    <row r="695" ht="12.75" customHeight="1">
      <c r="A695" s="46"/>
      <c r="B695" s="59"/>
      <c r="C695" s="59"/>
      <c r="D695" s="59"/>
      <c r="I695" s="59"/>
      <c r="J695" s="59"/>
      <c r="K695" s="59"/>
    </row>
    <row r="696" ht="12.75" customHeight="1">
      <c r="A696" s="46"/>
      <c r="B696" s="59"/>
      <c r="C696" s="59"/>
      <c r="D696" s="59"/>
      <c r="I696" s="59"/>
      <c r="J696" s="59"/>
      <c r="K696" s="59"/>
    </row>
    <row r="697" ht="12.75" customHeight="1">
      <c r="A697" s="46"/>
      <c r="B697" s="59"/>
      <c r="C697" s="59"/>
      <c r="D697" s="59"/>
      <c r="I697" s="59"/>
      <c r="J697" s="59"/>
      <c r="K697" s="59"/>
    </row>
    <row r="698" ht="12.75" customHeight="1">
      <c r="A698" s="46"/>
      <c r="B698" s="59"/>
      <c r="C698" s="59"/>
      <c r="D698" s="59"/>
      <c r="I698" s="59"/>
      <c r="J698" s="59"/>
      <c r="K698" s="59"/>
    </row>
    <row r="699" ht="12.75" customHeight="1">
      <c r="A699" s="46"/>
      <c r="B699" s="59"/>
      <c r="C699" s="59"/>
      <c r="D699" s="59"/>
      <c r="I699" s="59"/>
      <c r="J699" s="59"/>
      <c r="K699" s="59"/>
    </row>
    <row r="700" ht="12.75" customHeight="1">
      <c r="A700" s="46"/>
      <c r="B700" s="59"/>
      <c r="C700" s="59"/>
      <c r="D700" s="59"/>
      <c r="I700" s="59"/>
      <c r="J700" s="59"/>
      <c r="K700" s="59"/>
    </row>
    <row r="701" ht="12.75" customHeight="1">
      <c r="A701" s="46"/>
      <c r="B701" s="59"/>
      <c r="C701" s="59"/>
      <c r="D701" s="59"/>
      <c r="I701" s="59"/>
      <c r="J701" s="59"/>
      <c r="K701" s="59"/>
    </row>
    <row r="702" ht="12.75" customHeight="1">
      <c r="A702" s="46"/>
      <c r="B702" s="59"/>
      <c r="C702" s="59"/>
      <c r="D702" s="59"/>
      <c r="I702" s="59"/>
      <c r="J702" s="59"/>
      <c r="K702" s="59"/>
    </row>
    <row r="703" ht="12.75" customHeight="1">
      <c r="A703" s="46"/>
      <c r="B703" s="59"/>
      <c r="C703" s="59"/>
      <c r="D703" s="59"/>
      <c r="I703" s="59"/>
      <c r="J703" s="59"/>
      <c r="K703" s="59"/>
    </row>
    <row r="704" ht="12.75" customHeight="1">
      <c r="A704" s="46"/>
      <c r="B704" s="59"/>
      <c r="C704" s="59"/>
      <c r="D704" s="59"/>
      <c r="I704" s="59"/>
      <c r="J704" s="59"/>
      <c r="K704" s="59"/>
    </row>
    <row r="705" ht="12.75" customHeight="1">
      <c r="A705" s="46"/>
      <c r="B705" s="59"/>
      <c r="C705" s="59"/>
      <c r="D705" s="59"/>
      <c r="I705" s="59"/>
      <c r="J705" s="59"/>
      <c r="K705" s="59"/>
    </row>
    <row r="706" ht="12.75" customHeight="1">
      <c r="A706" s="46"/>
      <c r="B706" s="59"/>
      <c r="C706" s="59"/>
      <c r="D706" s="59"/>
      <c r="I706" s="59"/>
      <c r="J706" s="59"/>
      <c r="K706" s="59"/>
    </row>
    <row r="707" ht="12.75" customHeight="1">
      <c r="A707" s="46"/>
      <c r="B707" s="59"/>
      <c r="C707" s="59"/>
      <c r="D707" s="59"/>
      <c r="I707" s="59"/>
      <c r="J707" s="59"/>
      <c r="K707" s="59"/>
    </row>
    <row r="708" ht="12.75" customHeight="1">
      <c r="A708" s="46"/>
      <c r="B708" s="59"/>
      <c r="C708" s="59"/>
      <c r="D708" s="59"/>
      <c r="I708" s="59"/>
      <c r="J708" s="59"/>
      <c r="K708" s="59"/>
    </row>
    <row r="709" ht="12.75" customHeight="1">
      <c r="A709" s="46"/>
      <c r="B709" s="59"/>
      <c r="C709" s="59"/>
      <c r="D709" s="59"/>
      <c r="I709" s="59"/>
      <c r="J709" s="59"/>
      <c r="K709" s="59"/>
    </row>
    <row r="710" ht="12.75" customHeight="1">
      <c r="A710" s="46"/>
      <c r="B710" s="59"/>
      <c r="C710" s="59"/>
      <c r="D710" s="59"/>
      <c r="I710" s="59"/>
      <c r="J710" s="59"/>
      <c r="K710" s="59"/>
    </row>
    <row r="711" ht="12.75" customHeight="1">
      <c r="A711" s="46"/>
      <c r="B711" s="59"/>
      <c r="C711" s="59"/>
      <c r="D711" s="59"/>
      <c r="I711" s="59"/>
      <c r="J711" s="59"/>
      <c r="K711" s="59"/>
    </row>
    <row r="712" ht="12.75" customHeight="1">
      <c r="A712" s="46"/>
      <c r="B712" s="59"/>
      <c r="C712" s="59"/>
      <c r="D712" s="59"/>
      <c r="I712" s="59"/>
      <c r="J712" s="59"/>
      <c r="K712" s="59"/>
    </row>
    <row r="713" ht="12.75" customHeight="1">
      <c r="A713" s="46"/>
      <c r="B713" s="59"/>
      <c r="C713" s="59"/>
      <c r="D713" s="59"/>
      <c r="I713" s="59"/>
      <c r="J713" s="59"/>
      <c r="K713" s="59"/>
    </row>
    <row r="714" ht="12.75" customHeight="1">
      <c r="A714" s="46"/>
      <c r="B714" s="59"/>
      <c r="C714" s="59"/>
      <c r="D714" s="59"/>
      <c r="I714" s="59"/>
      <c r="J714" s="59"/>
      <c r="K714" s="59"/>
    </row>
    <row r="715" ht="12.75" customHeight="1">
      <c r="A715" s="46"/>
      <c r="B715" s="59"/>
      <c r="C715" s="59"/>
      <c r="D715" s="59"/>
      <c r="I715" s="59"/>
      <c r="J715" s="59"/>
      <c r="K715" s="59"/>
    </row>
    <row r="716" ht="12.75" customHeight="1">
      <c r="A716" s="46"/>
      <c r="B716" s="59"/>
      <c r="C716" s="59"/>
      <c r="D716" s="59"/>
      <c r="I716" s="59"/>
      <c r="J716" s="59"/>
      <c r="K716" s="59"/>
    </row>
    <row r="717" ht="12.75" customHeight="1">
      <c r="A717" s="46"/>
      <c r="B717" s="59"/>
      <c r="C717" s="59"/>
      <c r="D717" s="59"/>
      <c r="I717" s="59"/>
      <c r="J717" s="59"/>
      <c r="K717" s="59"/>
    </row>
    <row r="718" ht="12.75" customHeight="1">
      <c r="A718" s="46"/>
      <c r="B718" s="59"/>
      <c r="C718" s="59"/>
      <c r="D718" s="59"/>
      <c r="I718" s="59"/>
      <c r="J718" s="59"/>
      <c r="K718" s="59"/>
    </row>
    <row r="719" ht="12.75" customHeight="1">
      <c r="A719" s="46"/>
      <c r="B719" s="59"/>
      <c r="C719" s="59"/>
      <c r="D719" s="59"/>
      <c r="I719" s="59"/>
      <c r="J719" s="59"/>
      <c r="K719" s="59"/>
    </row>
    <row r="720" ht="12.75" customHeight="1">
      <c r="A720" s="46"/>
      <c r="B720" s="59"/>
      <c r="C720" s="59"/>
      <c r="D720" s="59"/>
      <c r="I720" s="59"/>
      <c r="J720" s="59"/>
      <c r="K720" s="59"/>
    </row>
    <row r="721" ht="12.75" customHeight="1">
      <c r="A721" s="46"/>
      <c r="B721" s="59"/>
      <c r="C721" s="59"/>
      <c r="D721" s="59"/>
      <c r="I721" s="59"/>
      <c r="J721" s="59"/>
      <c r="K721" s="59"/>
    </row>
    <row r="722" ht="12.75" customHeight="1">
      <c r="A722" s="46"/>
      <c r="B722" s="59"/>
      <c r="C722" s="59"/>
      <c r="D722" s="59"/>
      <c r="I722" s="59"/>
      <c r="J722" s="59"/>
      <c r="K722" s="59"/>
    </row>
    <row r="723" ht="12.75" customHeight="1">
      <c r="A723" s="46"/>
      <c r="B723" s="59"/>
      <c r="C723" s="59"/>
      <c r="D723" s="59"/>
      <c r="I723" s="59"/>
      <c r="J723" s="59"/>
      <c r="K723" s="59"/>
    </row>
    <row r="724" ht="12.75" customHeight="1">
      <c r="A724" s="46"/>
      <c r="B724" s="59"/>
      <c r="C724" s="59"/>
      <c r="D724" s="59"/>
      <c r="I724" s="59"/>
      <c r="J724" s="59"/>
      <c r="K724" s="59"/>
    </row>
    <row r="725" ht="12.75" customHeight="1">
      <c r="A725" s="46"/>
      <c r="B725" s="59"/>
      <c r="C725" s="59"/>
      <c r="D725" s="59"/>
      <c r="I725" s="59"/>
      <c r="J725" s="59"/>
      <c r="K725" s="59"/>
    </row>
    <row r="726" ht="12.75" customHeight="1">
      <c r="A726" s="46"/>
      <c r="B726" s="59"/>
      <c r="C726" s="59"/>
      <c r="D726" s="59"/>
      <c r="I726" s="59"/>
      <c r="J726" s="59"/>
      <c r="K726" s="59"/>
    </row>
    <row r="727" ht="12.75" customHeight="1">
      <c r="A727" s="46"/>
      <c r="B727" s="59"/>
      <c r="C727" s="59"/>
      <c r="D727" s="59"/>
      <c r="I727" s="59"/>
      <c r="J727" s="59"/>
      <c r="K727" s="59"/>
    </row>
    <row r="728" ht="12.75" customHeight="1">
      <c r="A728" s="46"/>
      <c r="B728" s="59"/>
      <c r="C728" s="59"/>
      <c r="D728" s="59"/>
      <c r="I728" s="59"/>
      <c r="J728" s="59"/>
      <c r="K728" s="59"/>
    </row>
    <row r="729" ht="12.75" customHeight="1">
      <c r="A729" s="46"/>
      <c r="B729" s="59"/>
      <c r="C729" s="59"/>
      <c r="D729" s="59"/>
      <c r="I729" s="59"/>
      <c r="J729" s="59"/>
      <c r="K729" s="59"/>
    </row>
    <row r="730" ht="12.75" customHeight="1">
      <c r="A730" s="46"/>
      <c r="B730" s="59"/>
      <c r="C730" s="59"/>
      <c r="D730" s="59"/>
      <c r="I730" s="59"/>
      <c r="J730" s="59"/>
      <c r="K730" s="59"/>
    </row>
    <row r="731" ht="12.75" customHeight="1">
      <c r="A731" s="46"/>
      <c r="B731" s="59"/>
      <c r="C731" s="59"/>
      <c r="D731" s="59"/>
      <c r="I731" s="59"/>
      <c r="J731" s="59"/>
      <c r="K731" s="59"/>
    </row>
    <row r="732" ht="12.75" customHeight="1">
      <c r="A732" s="46"/>
      <c r="B732" s="59"/>
      <c r="C732" s="59"/>
      <c r="D732" s="59"/>
      <c r="I732" s="59"/>
      <c r="J732" s="59"/>
      <c r="K732" s="59"/>
    </row>
    <row r="733" ht="12.75" customHeight="1">
      <c r="A733" s="46"/>
      <c r="B733" s="59"/>
      <c r="C733" s="59"/>
      <c r="D733" s="59"/>
      <c r="I733" s="59"/>
      <c r="J733" s="59"/>
      <c r="K733" s="59"/>
    </row>
    <row r="734" ht="12.75" customHeight="1">
      <c r="A734" s="46"/>
      <c r="B734" s="59"/>
      <c r="C734" s="59"/>
      <c r="D734" s="59"/>
      <c r="I734" s="59"/>
      <c r="J734" s="59"/>
      <c r="K734" s="59"/>
    </row>
    <row r="735" ht="12.75" customHeight="1">
      <c r="A735" s="46"/>
      <c r="B735" s="59"/>
      <c r="C735" s="59"/>
      <c r="D735" s="59"/>
      <c r="I735" s="59"/>
      <c r="J735" s="59"/>
      <c r="K735" s="59"/>
    </row>
    <row r="736" ht="12.75" customHeight="1">
      <c r="A736" s="46"/>
      <c r="B736" s="59"/>
      <c r="C736" s="59"/>
      <c r="D736" s="59"/>
      <c r="I736" s="59"/>
      <c r="J736" s="59"/>
      <c r="K736" s="59"/>
    </row>
    <row r="737" ht="12.75" customHeight="1">
      <c r="A737" s="46"/>
      <c r="B737" s="59"/>
      <c r="C737" s="59"/>
      <c r="D737" s="59"/>
      <c r="I737" s="59"/>
      <c r="J737" s="59"/>
      <c r="K737" s="59"/>
    </row>
    <row r="738" ht="12.75" customHeight="1">
      <c r="A738" s="46"/>
      <c r="B738" s="59"/>
      <c r="C738" s="59"/>
      <c r="D738" s="59"/>
      <c r="I738" s="59"/>
      <c r="J738" s="59"/>
      <c r="K738" s="59"/>
    </row>
    <row r="739" ht="12.75" customHeight="1">
      <c r="A739" s="46"/>
      <c r="B739" s="59"/>
      <c r="C739" s="59"/>
      <c r="D739" s="59"/>
      <c r="I739" s="59"/>
      <c r="J739" s="59"/>
      <c r="K739" s="59"/>
    </row>
    <row r="740" ht="12.75" customHeight="1">
      <c r="A740" s="46"/>
      <c r="B740" s="59"/>
      <c r="C740" s="59"/>
      <c r="D740" s="59"/>
      <c r="I740" s="59"/>
      <c r="J740" s="59"/>
      <c r="K740" s="59"/>
    </row>
    <row r="741" ht="12.75" customHeight="1">
      <c r="A741" s="46"/>
      <c r="B741" s="59"/>
      <c r="C741" s="59"/>
      <c r="D741" s="59"/>
      <c r="I741" s="59"/>
      <c r="J741" s="59"/>
      <c r="K741" s="59"/>
    </row>
    <row r="742" ht="12.75" customHeight="1">
      <c r="A742" s="46"/>
      <c r="B742" s="59"/>
      <c r="C742" s="59"/>
      <c r="D742" s="59"/>
      <c r="I742" s="59"/>
      <c r="J742" s="59"/>
      <c r="K742" s="59"/>
    </row>
    <row r="743" ht="12.75" customHeight="1">
      <c r="A743" s="46"/>
      <c r="B743" s="59"/>
      <c r="C743" s="59"/>
      <c r="D743" s="59"/>
      <c r="I743" s="59"/>
      <c r="J743" s="59"/>
      <c r="K743" s="59"/>
    </row>
    <row r="744" ht="12.75" customHeight="1">
      <c r="A744" s="46"/>
      <c r="B744" s="59"/>
      <c r="C744" s="59"/>
      <c r="D744" s="59"/>
      <c r="I744" s="59"/>
      <c r="J744" s="59"/>
      <c r="K744" s="59"/>
    </row>
    <row r="745" ht="12.75" customHeight="1">
      <c r="A745" s="46"/>
      <c r="B745" s="59"/>
      <c r="C745" s="59"/>
      <c r="D745" s="59"/>
      <c r="I745" s="59"/>
      <c r="J745" s="59"/>
      <c r="K745" s="59"/>
    </row>
    <row r="746" ht="12.75" customHeight="1">
      <c r="A746" s="46"/>
      <c r="B746" s="59"/>
      <c r="C746" s="59"/>
      <c r="D746" s="59"/>
      <c r="I746" s="59"/>
      <c r="J746" s="59"/>
      <c r="K746" s="59"/>
    </row>
    <row r="747" ht="12.75" customHeight="1">
      <c r="A747" s="46"/>
      <c r="B747" s="59"/>
      <c r="C747" s="59"/>
      <c r="D747" s="59"/>
      <c r="I747" s="59"/>
      <c r="J747" s="59"/>
      <c r="K747" s="59"/>
    </row>
    <row r="748" ht="12.75" customHeight="1">
      <c r="A748" s="46"/>
      <c r="B748" s="59"/>
      <c r="C748" s="59"/>
      <c r="D748" s="59"/>
      <c r="I748" s="59"/>
      <c r="J748" s="59"/>
      <c r="K748" s="59"/>
    </row>
    <row r="749" ht="12.75" customHeight="1">
      <c r="A749" s="46"/>
      <c r="B749" s="59"/>
      <c r="C749" s="59"/>
      <c r="D749" s="59"/>
      <c r="I749" s="59"/>
      <c r="J749" s="59"/>
      <c r="K749" s="59"/>
    </row>
    <row r="750" ht="12.75" customHeight="1">
      <c r="A750" s="46"/>
      <c r="B750" s="59"/>
      <c r="C750" s="59"/>
      <c r="D750" s="59"/>
      <c r="I750" s="59"/>
      <c r="J750" s="59"/>
      <c r="K750" s="59"/>
    </row>
    <row r="751" ht="12.75" customHeight="1">
      <c r="A751" s="46"/>
      <c r="B751" s="59"/>
      <c r="C751" s="59"/>
      <c r="D751" s="59"/>
      <c r="I751" s="59"/>
      <c r="J751" s="59"/>
      <c r="K751" s="59"/>
    </row>
    <row r="752" ht="12.75" customHeight="1">
      <c r="A752" s="46"/>
      <c r="B752" s="59"/>
      <c r="C752" s="59"/>
      <c r="D752" s="59"/>
      <c r="I752" s="59"/>
      <c r="J752" s="59"/>
      <c r="K752" s="59"/>
    </row>
    <row r="753" ht="12.75" customHeight="1">
      <c r="A753" s="46"/>
      <c r="B753" s="59"/>
      <c r="C753" s="59"/>
      <c r="D753" s="59"/>
      <c r="I753" s="59"/>
      <c r="J753" s="59"/>
      <c r="K753" s="59"/>
    </row>
    <row r="754" ht="12.75" customHeight="1">
      <c r="A754" s="46"/>
      <c r="B754" s="59"/>
      <c r="C754" s="59"/>
      <c r="D754" s="59"/>
      <c r="I754" s="59"/>
      <c r="J754" s="59"/>
      <c r="K754" s="59"/>
    </row>
    <row r="755" ht="12.75" customHeight="1">
      <c r="A755" s="46"/>
      <c r="B755" s="59"/>
      <c r="C755" s="59"/>
      <c r="D755" s="59"/>
      <c r="I755" s="59"/>
      <c r="J755" s="59"/>
      <c r="K755" s="59"/>
    </row>
    <row r="756" ht="12.75" customHeight="1">
      <c r="A756" s="46"/>
      <c r="B756" s="59"/>
      <c r="C756" s="59"/>
      <c r="D756" s="59"/>
      <c r="I756" s="59"/>
      <c r="J756" s="59"/>
      <c r="K756" s="59"/>
    </row>
    <row r="757" ht="12.75" customHeight="1">
      <c r="A757" s="46"/>
      <c r="B757" s="59"/>
      <c r="C757" s="59"/>
      <c r="D757" s="59"/>
      <c r="I757" s="59"/>
      <c r="J757" s="59"/>
      <c r="K757" s="59"/>
    </row>
    <row r="758" ht="12.75" customHeight="1">
      <c r="A758" s="46"/>
      <c r="B758" s="59"/>
      <c r="C758" s="59"/>
      <c r="D758" s="59"/>
      <c r="I758" s="59"/>
      <c r="J758" s="59"/>
      <c r="K758" s="59"/>
    </row>
    <row r="759" ht="12.75" customHeight="1">
      <c r="A759" s="46"/>
      <c r="B759" s="59"/>
      <c r="C759" s="59"/>
      <c r="D759" s="59"/>
      <c r="I759" s="59"/>
      <c r="J759" s="59"/>
      <c r="K759" s="59"/>
    </row>
    <row r="760" ht="12.75" customHeight="1">
      <c r="A760" s="46"/>
      <c r="B760" s="59"/>
      <c r="C760" s="59"/>
      <c r="D760" s="59"/>
      <c r="I760" s="59"/>
      <c r="J760" s="59"/>
      <c r="K760" s="59"/>
    </row>
    <row r="761" ht="12.75" customHeight="1">
      <c r="A761" s="46"/>
      <c r="B761" s="59"/>
      <c r="C761" s="59"/>
      <c r="D761" s="59"/>
      <c r="I761" s="59"/>
      <c r="J761" s="59"/>
      <c r="K761" s="59"/>
    </row>
    <row r="762" ht="12.75" customHeight="1">
      <c r="A762" s="46"/>
      <c r="B762" s="59"/>
      <c r="C762" s="59"/>
      <c r="D762" s="59"/>
      <c r="I762" s="59"/>
      <c r="J762" s="59"/>
      <c r="K762" s="59"/>
    </row>
    <row r="763" ht="12.75" customHeight="1">
      <c r="A763" s="46"/>
      <c r="B763" s="59"/>
      <c r="C763" s="59"/>
      <c r="D763" s="59"/>
      <c r="I763" s="59"/>
      <c r="J763" s="59"/>
      <c r="K763" s="59"/>
    </row>
    <row r="764" ht="12.75" customHeight="1">
      <c r="A764" s="46"/>
      <c r="B764" s="59"/>
      <c r="C764" s="59"/>
      <c r="D764" s="59"/>
      <c r="I764" s="59"/>
      <c r="J764" s="59"/>
      <c r="K764" s="59"/>
    </row>
    <row r="765" ht="12.75" customHeight="1">
      <c r="A765" s="46"/>
      <c r="B765" s="59"/>
      <c r="C765" s="59"/>
      <c r="D765" s="59"/>
      <c r="I765" s="59"/>
      <c r="J765" s="59"/>
      <c r="K765" s="59"/>
    </row>
    <row r="766" ht="12.75" customHeight="1">
      <c r="A766" s="46"/>
      <c r="B766" s="59"/>
      <c r="C766" s="59"/>
      <c r="D766" s="59"/>
      <c r="I766" s="59"/>
      <c r="J766" s="59"/>
      <c r="K766" s="59"/>
    </row>
    <row r="767" ht="12.75" customHeight="1">
      <c r="A767" s="46"/>
      <c r="B767" s="59"/>
      <c r="C767" s="59"/>
      <c r="D767" s="59"/>
      <c r="I767" s="59"/>
      <c r="J767" s="59"/>
      <c r="K767" s="59"/>
    </row>
    <row r="768" ht="12.75" customHeight="1">
      <c r="A768" s="46"/>
      <c r="B768" s="59"/>
      <c r="C768" s="59"/>
      <c r="D768" s="59"/>
      <c r="I768" s="59"/>
      <c r="J768" s="59"/>
      <c r="K768" s="59"/>
    </row>
    <row r="769" ht="12.75" customHeight="1">
      <c r="A769" s="46"/>
      <c r="B769" s="59"/>
      <c r="C769" s="59"/>
      <c r="D769" s="59"/>
      <c r="I769" s="59"/>
      <c r="J769" s="59"/>
      <c r="K769" s="59"/>
    </row>
    <row r="770" ht="12.75" customHeight="1">
      <c r="A770" s="46"/>
      <c r="B770" s="59"/>
      <c r="C770" s="59"/>
      <c r="D770" s="59"/>
      <c r="I770" s="59"/>
      <c r="J770" s="59"/>
      <c r="K770" s="59"/>
    </row>
    <row r="771" ht="12.75" customHeight="1">
      <c r="A771" s="46"/>
      <c r="B771" s="59"/>
      <c r="C771" s="59"/>
      <c r="D771" s="59"/>
      <c r="I771" s="59"/>
      <c r="J771" s="59"/>
      <c r="K771" s="59"/>
    </row>
    <row r="772" ht="12.75" customHeight="1">
      <c r="A772" s="46"/>
      <c r="B772" s="59"/>
      <c r="C772" s="59"/>
      <c r="D772" s="59"/>
      <c r="I772" s="59"/>
      <c r="J772" s="59"/>
      <c r="K772" s="59"/>
    </row>
    <row r="773" ht="12.75" customHeight="1">
      <c r="A773" s="46"/>
      <c r="B773" s="59"/>
      <c r="C773" s="59"/>
      <c r="D773" s="59"/>
      <c r="I773" s="59"/>
      <c r="J773" s="59"/>
      <c r="K773" s="59"/>
    </row>
    <row r="774" ht="12.75" customHeight="1">
      <c r="A774" s="46"/>
      <c r="B774" s="59"/>
      <c r="C774" s="59"/>
      <c r="D774" s="59"/>
      <c r="I774" s="59"/>
      <c r="J774" s="59"/>
      <c r="K774" s="59"/>
    </row>
    <row r="775" ht="12.75" customHeight="1">
      <c r="A775" s="46"/>
      <c r="B775" s="59"/>
      <c r="C775" s="59"/>
      <c r="D775" s="59"/>
      <c r="I775" s="59"/>
      <c r="J775" s="59"/>
      <c r="K775" s="59"/>
    </row>
    <row r="776" ht="12.75" customHeight="1">
      <c r="A776" s="46"/>
      <c r="B776" s="59"/>
      <c r="C776" s="59"/>
      <c r="D776" s="59"/>
      <c r="I776" s="59"/>
      <c r="J776" s="59"/>
      <c r="K776" s="59"/>
    </row>
    <row r="777" ht="12.75" customHeight="1">
      <c r="A777" s="46"/>
      <c r="B777" s="59"/>
      <c r="C777" s="59"/>
      <c r="D777" s="59"/>
      <c r="I777" s="59"/>
      <c r="J777" s="59"/>
      <c r="K777" s="59"/>
    </row>
    <row r="778" ht="12.75" customHeight="1">
      <c r="A778" s="46"/>
      <c r="B778" s="59"/>
      <c r="C778" s="59"/>
      <c r="D778" s="59"/>
      <c r="I778" s="59"/>
      <c r="J778" s="59"/>
      <c r="K778" s="59"/>
    </row>
    <row r="779" ht="12.75" customHeight="1">
      <c r="A779" s="46"/>
      <c r="B779" s="59"/>
      <c r="C779" s="59"/>
      <c r="D779" s="59"/>
      <c r="I779" s="59"/>
      <c r="J779" s="59"/>
      <c r="K779" s="59"/>
    </row>
    <row r="780" ht="12.75" customHeight="1">
      <c r="A780" s="46"/>
      <c r="B780" s="59"/>
      <c r="C780" s="59"/>
      <c r="D780" s="59"/>
      <c r="I780" s="59"/>
      <c r="J780" s="59"/>
      <c r="K780" s="59"/>
    </row>
    <row r="781" ht="12.75" customHeight="1">
      <c r="A781" s="46"/>
      <c r="B781" s="59"/>
      <c r="C781" s="59"/>
      <c r="D781" s="59"/>
      <c r="I781" s="59"/>
      <c r="J781" s="59"/>
      <c r="K781" s="59"/>
    </row>
    <row r="782" ht="12.75" customHeight="1">
      <c r="A782" s="46"/>
      <c r="B782" s="59"/>
      <c r="C782" s="59"/>
      <c r="D782" s="59"/>
      <c r="I782" s="59"/>
      <c r="J782" s="59"/>
      <c r="K782" s="59"/>
    </row>
    <row r="783" ht="12.75" customHeight="1">
      <c r="A783" s="46"/>
      <c r="B783" s="59"/>
      <c r="C783" s="59"/>
      <c r="D783" s="59"/>
      <c r="I783" s="59"/>
      <c r="J783" s="59"/>
      <c r="K783" s="59"/>
    </row>
    <row r="784" ht="12.75" customHeight="1">
      <c r="A784" s="46"/>
      <c r="B784" s="59"/>
      <c r="C784" s="59"/>
      <c r="D784" s="59"/>
      <c r="I784" s="59"/>
      <c r="J784" s="59"/>
      <c r="K784" s="59"/>
    </row>
    <row r="785" ht="12.75" customHeight="1">
      <c r="A785" s="46"/>
      <c r="B785" s="59"/>
      <c r="C785" s="59"/>
      <c r="D785" s="59"/>
      <c r="I785" s="59"/>
      <c r="J785" s="59"/>
      <c r="K785" s="59"/>
    </row>
    <row r="786" ht="12.75" customHeight="1">
      <c r="A786" s="46"/>
      <c r="B786" s="59"/>
      <c r="C786" s="59"/>
      <c r="D786" s="59"/>
      <c r="I786" s="59"/>
      <c r="J786" s="59"/>
      <c r="K786" s="59"/>
    </row>
    <row r="787" ht="12.75" customHeight="1">
      <c r="A787" s="46"/>
      <c r="B787" s="59"/>
      <c r="C787" s="59"/>
      <c r="D787" s="59"/>
      <c r="I787" s="59"/>
      <c r="J787" s="59"/>
      <c r="K787" s="59"/>
    </row>
    <row r="788" ht="12.75" customHeight="1">
      <c r="A788" s="46"/>
      <c r="B788" s="59"/>
      <c r="C788" s="59"/>
      <c r="D788" s="59"/>
      <c r="I788" s="59"/>
      <c r="J788" s="59"/>
      <c r="K788" s="59"/>
    </row>
    <row r="789" ht="12.75" customHeight="1">
      <c r="A789" s="46"/>
      <c r="B789" s="59"/>
      <c r="C789" s="59"/>
      <c r="D789" s="59"/>
      <c r="I789" s="59"/>
      <c r="J789" s="59"/>
      <c r="K789" s="59"/>
    </row>
    <row r="790" ht="12.75" customHeight="1">
      <c r="A790" s="46"/>
      <c r="B790" s="59"/>
      <c r="C790" s="59"/>
      <c r="D790" s="59"/>
      <c r="I790" s="59"/>
      <c r="J790" s="59"/>
      <c r="K790" s="59"/>
    </row>
    <row r="791" ht="12.75" customHeight="1">
      <c r="A791" s="46"/>
      <c r="B791" s="59"/>
      <c r="C791" s="59"/>
      <c r="D791" s="59"/>
      <c r="I791" s="59"/>
      <c r="J791" s="59"/>
      <c r="K791" s="59"/>
    </row>
    <row r="792" ht="12.75" customHeight="1">
      <c r="A792" s="46"/>
      <c r="B792" s="59"/>
      <c r="C792" s="59"/>
      <c r="D792" s="59"/>
      <c r="I792" s="59"/>
      <c r="J792" s="59"/>
      <c r="K792" s="59"/>
    </row>
    <row r="793" ht="12.75" customHeight="1">
      <c r="A793" s="46"/>
      <c r="B793" s="59"/>
      <c r="C793" s="59"/>
      <c r="D793" s="59"/>
      <c r="I793" s="59"/>
      <c r="J793" s="59"/>
      <c r="K793" s="59"/>
    </row>
    <row r="794" ht="12.75" customHeight="1">
      <c r="A794" s="46"/>
      <c r="B794" s="59"/>
      <c r="C794" s="59"/>
      <c r="D794" s="59"/>
      <c r="I794" s="59"/>
      <c r="J794" s="59"/>
      <c r="K794" s="59"/>
    </row>
    <row r="795" ht="12.75" customHeight="1">
      <c r="A795" s="46"/>
      <c r="B795" s="59"/>
      <c r="C795" s="59"/>
      <c r="D795" s="59"/>
      <c r="I795" s="59"/>
      <c r="J795" s="59"/>
      <c r="K795" s="59"/>
    </row>
    <row r="796" ht="12.75" customHeight="1">
      <c r="A796" s="46"/>
      <c r="B796" s="59"/>
      <c r="C796" s="59"/>
      <c r="D796" s="59"/>
      <c r="I796" s="59"/>
      <c r="J796" s="59"/>
      <c r="K796" s="59"/>
    </row>
    <row r="797" ht="12.75" customHeight="1">
      <c r="A797" s="46"/>
      <c r="B797" s="59"/>
      <c r="C797" s="59"/>
      <c r="D797" s="59"/>
      <c r="I797" s="59"/>
      <c r="J797" s="59"/>
      <c r="K797" s="59"/>
    </row>
    <row r="798" ht="12.75" customHeight="1">
      <c r="A798" s="46"/>
      <c r="B798" s="59"/>
      <c r="C798" s="59"/>
      <c r="D798" s="59"/>
      <c r="I798" s="59"/>
      <c r="J798" s="59"/>
      <c r="K798" s="59"/>
    </row>
    <row r="799" ht="12.75" customHeight="1">
      <c r="A799" s="46"/>
      <c r="B799" s="59"/>
      <c r="C799" s="59"/>
      <c r="D799" s="59"/>
      <c r="I799" s="59"/>
      <c r="J799" s="59"/>
      <c r="K799" s="59"/>
    </row>
    <row r="800" ht="12.75" customHeight="1">
      <c r="A800" s="46"/>
      <c r="B800" s="59"/>
      <c r="C800" s="59"/>
      <c r="D800" s="59"/>
      <c r="I800" s="59"/>
      <c r="J800" s="59"/>
      <c r="K800" s="59"/>
    </row>
    <row r="801" ht="12.75" customHeight="1">
      <c r="A801" s="46"/>
      <c r="B801" s="59"/>
      <c r="C801" s="59"/>
      <c r="D801" s="59"/>
      <c r="I801" s="59"/>
      <c r="J801" s="59"/>
      <c r="K801" s="59"/>
    </row>
    <row r="802" ht="12.75" customHeight="1">
      <c r="A802" s="46"/>
      <c r="B802" s="59"/>
      <c r="C802" s="59"/>
      <c r="D802" s="59"/>
      <c r="I802" s="59"/>
      <c r="J802" s="59"/>
      <c r="K802" s="59"/>
    </row>
    <row r="803" ht="12.75" customHeight="1">
      <c r="A803" s="46"/>
      <c r="B803" s="59"/>
      <c r="C803" s="59"/>
      <c r="D803" s="59"/>
      <c r="I803" s="59"/>
      <c r="J803" s="59"/>
      <c r="K803" s="59"/>
    </row>
    <row r="804" ht="12.75" customHeight="1">
      <c r="A804" s="46"/>
      <c r="B804" s="59"/>
      <c r="C804" s="59"/>
      <c r="D804" s="59"/>
      <c r="I804" s="59"/>
      <c r="J804" s="59"/>
      <c r="K804" s="59"/>
    </row>
    <row r="805" ht="12.75" customHeight="1">
      <c r="A805" s="46"/>
      <c r="B805" s="59"/>
      <c r="C805" s="59"/>
      <c r="D805" s="59"/>
      <c r="I805" s="59"/>
      <c r="J805" s="59"/>
      <c r="K805" s="59"/>
    </row>
    <row r="806" ht="12.75" customHeight="1">
      <c r="A806" s="46"/>
      <c r="B806" s="59"/>
      <c r="C806" s="59"/>
      <c r="D806" s="59"/>
      <c r="I806" s="59"/>
      <c r="J806" s="59"/>
      <c r="K806" s="59"/>
    </row>
    <row r="807" ht="12.75" customHeight="1">
      <c r="A807" s="46"/>
      <c r="B807" s="59"/>
      <c r="C807" s="59"/>
      <c r="D807" s="59"/>
      <c r="I807" s="59"/>
      <c r="J807" s="59"/>
      <c r="K807" s="59"/>
    </row>
    <row r="808" ht="12.75" customHeight="1">
      <c r="A808" s="46"/>
      <c r="B808" s="59"/>
      <c r="C808" s="59"/>
      <c r="D808" s="59"/>
      <c r="I808" s="59"/>
      <c r="J808" s="59"/>
      <c r="K808" s="59"/>
    </row>
    <row r="809" ht="12.75" customHeight="1">
      <c r="A809" s="46"/>
      <c r="B809" s="59"/>
      <c r="C809" s="59"/>
      <c r="D809" s="59"/>
      <c r="I809" s="59"/>
      <c r="J809" s="59"/>
      <c r="K809" s="59"/>
    </row>
    <row r="810" ht="12.75" customHeight="1">
      <c r="A810" s="46"/>
      <c r="B810" s="59"/>
      <c r="C810" s="59"/>
      <c r="D810" s="59"/>
      <c r="I810" s="59"/>
      <c r="J810" s="59"/>
      <c r="K810" s="59"/>
    </row>
    <row r="811" ht="12.75" customHeight="1">
      <c r="A811" s="46"/>
      <c r="B811" s="59"/>
      <c r="C811" s="59"/>
      <c r="D811" s="59"/>
      <c r="I811" s="59"/>
      <c r="J811" s="59"/>
      <c r="K811" s="59"/>
    </row>
    <row r="812" ht="12.75" customHeight="1">
      <c r="A812" s="46"/>
      <c r="B812" s="59"/>
      <c r="C812" s="59"/>
      <c r="D812" s="59"/>
      <c r="I812" s="59"/>
      <c r="J812" s="59"/>
      <c r="K812" s="59"/>
    </row>
    <row r="813" ht="12.75" customHeight="1">
      <c r="A813" s="46"/>
      <c r="B813" s="59"/>
      <c r="C813" s="59"/>
      <c r="D813" s="59"/>
      <c r="I813" s="59"/>
      <c r="J813" s="59"/>
      <c r="K813" s="59"/>
    </row>
    <row r="814" ht="12.75" customHeight="1">
      <c r="A814" s="46"/>
      <c r="B814" s="59"/>
      <c r="C814" s="59"/>
      <c r="D814" s="59"/>
      <c r="I814" s="59"/>
      <c r="J814" s="59"/>
      <c r="K814" s="59"/>
    </row>
    <row r="815" ht="12.75" customHeight="1">
      <c r="A815" s="46"/>
      <c r="B815" s="59"/>
      <c r="C815" s="59"/>
      <c r="D815" s="59"/>
      <c r="I815" s="59"/>
      <c r="J815" s="59"/>
      <c r="K815" s="59"/>
    </row>
    <row r="816" ht="12.75" customHeight="1">
      <c r="A816" s="46"/>
      <c r="B816" s="59"/>
      <c r="C816" s="59"/>
      <c r="D816" s="59"/>
      <c r="I816" s="59"/>
      <c r="J816" s="59"/>
      <c r="K816" s="59"/>
    </row>
    <row r="817" ht="12.75" customHeight="1">
      <c r="A817" s="46"/>
      <c r="B817" s="59"/>
      <c r="C817" s="59"/>
      <c r="D817" s="59"/>
      <c r="I817" s="59"/>
      <c r="J817" s="59"/>
      <c r="K817" s="59"/>
    </row>
    <row r="818" ht="12.75" customHeight="1">
      <c r="A818" s="46"/>
      <c r="B818" s="59"/>
      <c r="C818" s="59"/>
      <c r="D818" s="59"/>
      <c r="I818" s="59"/>
      <c r="J818" s="59"/>
      <c r="K818" s="59"/>
    </row>
    <row r="819" ht="12.75" customHeight="1">
      <c r="A819" s="46"/>
      <c r="B819" s="59"/>
      <c r="C819" s="59"/>
      <c r="D819" s="59"/>
      <c r="I819" s="59"/>
      <c r="J819" s="59"/>
      <c r="K819" s="59"/>
    </row>
    <row r="820" ht="12.75" customHeight="1">
      <c r="A820" s="46"/>
      <c r="B820" s="59"/>
      <c r="C820" s="59"/>
      <c r="D820" s="59"/>
      <c r="I820" s="59"/>
      <c r="J820" s="59"/>
      <c r="K820" s="59"/>
    </row>
    <row r="821" ht="12.75" customHeight="1">
      <c r="A821" s="46"/>
      <c r="B821" s="59"/>
      <c r="C821" s="59"/>
      <c r="D821" s="59"/>
      <c r="I821" s="59"/>
      <c r="J821" s="59"/>
      <c r="K821" s="59"/>
    </row>
    <row r="822" ht="12.75" customHeight="1">
      <c r="A822" s="46"/>
      <c r="B822" s="59"/>
      <c r="C822" s="59"/>
      <c r="D822" s="59"/>
      <c r="I822" s="59"/>
      <c r="J822" s="59"/>
      <c r="K822" s="59"/>
    </row>
    <row r="823" ht="12.75" customHeight="1">
      <c r="A823" s="46"/>
      <c r="B823" s="59"/>
      <c r="C823" s="59"/>
      <c r="D823" s="59"/>
      <c r="I823" s="59"/>
      <c r="J823" s="59"/>
      <c r="K823" s="59"/>
    </row>
    <row r="824" ht="12.75" customHeight="1">
      <c r="A824" s="46"/>
      <c r="B824" s="59"/>
      <c r="C824" s="59"/>
      <c r="D824" s="59"/>
      <c r="I824" s="59"/>
      <c r="J824" s="59"/>
      <c r="K824" s="59"/>
    </row>
    <row r="825" ht="12.75" customHeight="1">
      <c r="A825" s="46"/>
      <c r="B825" s="59"/>
      <c r="C825" s="59"/>
      <c r="D825" s="59"/>
      <c r="I825" s="59"/>
      <c r="J825" s="59"/>
      <c r="K825" s="59"/>
    </row>
    <row r="826" ht="12.75" customHeight="1">
      <c r="A826" s="46"/>
      <c r="B826" s="59"/>
      <c r="C826" s="59"/>
      <c r="D826" s="59"/>
      <c r="I826" s="59"/>
      <c r="J826" s="59"/>
      <c r="K826" s="59"/>
    </row>
    <row r="827" ht="12.75" customHeight="1">
      <c r="A827" s="46"/>
      <c r="B827" s="59"/>
      <c r="C827" s="59"/>
      <c r="D827" s="59"/>
      <c r="I827" s="59"/>
      <c r="J827" s="59"/>
      <c r="K827" s="59"/>
    </row>
    <row r="828" ht="12.75" customHeight="1">
      <c r="A828" s="46"/>
      <c r="B828" s="59"/>
      <c r="C828" s="59"/>
      <c r="D828" s="59"/>
      <c r="I828" s="59"/>
      <c r="J828" s="59"/>
      <c r="K828" s="59"/>
    </row>
    <row r="829" ht="12.75" customHeight="1">
      <c r="A829" s="46"/>
      <c r="B829" s="59"/>
      <c r="C829" s="59"/>
      <c r="D829" s="59"/>
      <c r="I829" s="59"/>
      <c r="J829" s="59"/>
      <c r="K829" s="59"/>
    </row>
    <row r="830" ht="12.75" customHeight="1">
      <c r="A830" s="46"/>
      <c r="B830" s="59"/>
      <c r="C830" s="59"/>
      <c r="D830" s="59"/>
      <c r="I830" s="59"/>
      <c r="J830" s="59"/>
      <c r="K830" s="59"/>
    </row>
    <row r="831" ht="12.75" customHeight="1">
      <c r="A831" s="46"/>
      <c r="B831" s="59"/>
      <c r="C831" s="59"/>
      <c r="D831" s="59"/>
      <c r="I831" s="59"/>
      <c r="J831" s="59"/>
      <c r="K831" s="59"/>
    </row>
    <row r="832" ht="12.75" customHeight="1">
      <c r="A832" s="46"/>
      <c r="B832" s="59"/>
      <c r="C832" s="59"/>
      <c r="D832" s="59"/>
      <c r="I832" s="59"/>
      <c r="J832" s="59"/>
      <c r="K832" s="59"/>
    </row>
    <row r="833" ht="12.75" customHeight="1">
      <c r="A833" s="46"/>
      <c r="B833" s="59"/>
      <c r="C833" s="59"/>
      <c r="D833" s="59"/>
      <c r="I833" s="59"/>
      <c r="J833" s="59"/>
      <c r="K833" s="59"/>
    </row>
    <row r="834" ht="12.75" customHeight="1">
      <c r="A834" s="46"/>
      <c r="B834" s="59"/>
      <c r="C834" s="59"/>
      <c r="D834" s="59"/>
      <c r="I834" s="59"/>
      <c r="J834" s="59"/>
      <c r="K834" s="59"/>
    </row>
    <row r="835" ht="12.75" customHeight="1">
      <c r="A835" s="46"/>
      <c r="B835" s="59"/>
      <c r="C835" s="59"/>
      <c r="D835" s="59"/>
      <c r="I835" s="59"/>
      <c r="J835" s="59"/>
      <c r="K835" s="59"/>
    </row>
    <row r="836" ht="12.75" customHeight="1">
      <c r="A836" s="46"/>
      <c r="B836" s="59"/>
      <c r="C836" s="59"/>
      <c r="D836" s="59"/>
      <c r="I836" s="59"/>
      <c r="J836" s="59"/>
      <c r="K836" s="59"/>
    </row>
    <row r="837" ht="12.75" customHeight="1">
      <c r="A837" s="46"/>
      <c r="B837" s="59"/>
      <c r="C837" s="59"/>
      <c r="D837" s="59"/>
      <c r="I837" s="59"/>
      <c r="J837" s="59"/>
      <c r="K837" s="59"/>
    </row>
    <row r="838" ht="12.75" customHeight="1">
      <c r="A838" s="46"/>
      <c r="B838" s="59"/>
      <c r="C838" s="59"/>
      <c r="D838" s="59"/>
      <c r="I838" s="59"/>
      <c r="J838" s="59"/>
      <c r="K838" s="59"/>
    </row>
    <row r="839" ht="12.75" customHeight="1">
      <c r="A839" s="46"/>
      <c r="B839" s="59"/>
      <c r="C839" s="59"/>
      <c r="D839" s="59"/>
      <c r="I839" s="59"/>
      <c r="J839" s="59"/>
      <c r="K839" s="59"/>
    </row>
    <row r="840" ht="12.75" customHeight="1">
      <c r="A840" s="46"/>
      <c r="B840" s="59"/>
      <c r="C840" s="59"/>
      <c r="D840" s="59"/>
      <c r="I840" s="59"/>
      <c r="J840" s="59"/>
      <c r="K840" s="59"/>
    </row>
    <row r="841" ht="12.75" customHeight="1">
      <c r="A841" s="46"/>
      <c r="B841" s="59"/>
      <c r="C841" s="59"/>
      <c r="D841" s="59"/>
      <c r="I841" s="59"/>
      <c r="J841" s="59"/>
      <c r="K841" s="59"/>
    </row>
    <row r="842" ht="12.75" customHeight="1">
      <c r="A842" s="46"/>
      <c r="B842" s="59"/>
      <c r="C842" s="59"/>
      <c r="D842" s="59"/>
      <c r="I842" s="59"/>
      <c r="J842" s="59"/>
      <c r="K842" s="59"/>
    </row>
    <row r="843" ht="12.75" customHeight="1">
      <c r="A843" s="46"/>
      <c r="B843" s="59"/>
      <c r="C843" s="59"/>
      <c r="D843" s="59"/>
      <c r="I843" s="59"/>
      <c r="J843" s="59"/>
      <c r="K843" s="59"/>
    </row>
    <row r="844" ht="12.75" customHeight="1">
      <c r="A844" s="46"/>
      <c r="B844" s="59"/>
      <c r="C844" s="59"/>
      <c r="D844" s="59"/>
      <c r="I844" s="59"/>
      <c r="J844" s="59"/>
      <c r="K844" s="59"/>
    </row>
    <row r="845" ht="12.75" customHeight="1">
      <c r="A845" s="46"/>
      <c r="B845" s="59"/>
      <c r="C845" s="59"/>
      <c r="D845" s="59"/>
      <c r="I845" s="59"/>
      <c r="J845" s="59"/>
      <c r="K845" s="59"/>
    </row>
    <row r="846" ht="12.75" customHeight="1">
      <c r="A846" s="46"/>
      <c r="B846" s="59"/>
      <c r="C846" s="59"/>
      <c r="D846" s="59"/>
      <c r="I846" s="59"/>
      <c r="J846" s="59"/>
      <c r="K846" s="59"/>
    </row>
    <row r="847" ht="12.75" customHeight="1">
      <c r="A847" s="46"/>
      <c r="B847" s="59"/>
      <c r="C847" s="59"/>
      <c r="D847" s="59"/>
      <c r="I847" s="59"/>
      <c r="J847" s="59"/>
      <c r="K847" s="59"/>
    </row>
    <row r="848" ht="12.75" customHeight="1">
      <c r="A848" s="46"/>
      <c r="B848" s="59"/>
      <c r="C848" s="59"/>
      <c r="D848" s="59"/>
      <c r="I848" s="59"/>
      <c r="J848" s="59"/>
      <c r="K848" s="59"/>
    </row>
    <row r="849" ht="12.75" customHeight="1">
      <c r="A849" s="46"/>
      <c r="B849" s="59"/>
      <c r="C849" s="59"/>
      <c r="D849" s="59"/>
      <c r="I849" s="59"/>
      <c r="J849" s="59"/>
      <c r="K849" s="59"/>
    </row>
    <row r="850" ht="12.75" customHeight="1">
      <c r="A850" s="46"/>
      <c r="B850" s="59"/>
      <c r="C850" s="59"/>
      <c r="D850" s="59"/>
      <c r="I850" s="59"/>
      <c r="J850" s="59"/>
      <c r="K850" s="59"/>
    </row>
    <row r="851" ht="12.75" customHeight="1">
      <c r="A851" s="46"/>
      <c r="B851" s="59"/>
      <c r="C851" s="59"/>
      <c r="D851" s="59"/>
      <c r="I851" s="59"/>
      <c r="J851" s="59"/>
      <c r="K851" s="59"/>
    </row>
    <row r="852" ht="12.75" customHeight="1">
      <c r="A852" s="46"/>
      <c r="B852" s="59"/>
      <c r="C852" s="59"/>
      <c r="D852" s="59"/>
      <c r="I852" s="59"/>
      <c r="J852" s="59"/>
      <c r="K852" s="59"/>
    </row>
    <row r="853" ht="12.75" customHeight="1">
      <c r="A853" s="46"/>
      <c r="B853" s="59"/>
      <c r="C853" s="59"/>
      <c r="D853" s="59"/>
      <c r="I853" s="59"/>
      <c r="J853" s="59"/>
      <c r="K853" s="59"/>
    </row>
    <row r="854" ht="12.75" customHeight="1">
      <c r="A854" s="46"/>
      <c r="B854" s="59"/>
      <c r="C854" s="59"/>
      <c r="D854" s="59"/>
      <c r="I854" s="59"/>
      <c r="J854" s="59"/>
      <c r="K854" s="59"/>
    </row>
    <row r="855" ht="12.75" customHeight="1">
      <c r="A855" s="46"/>
      <c r="B855" s="59"/>
      <c r="C855" s="59"/>
      <c r="D855" s="59"/>
      <c r="I855" s="59"/>
      <c r="J855" s="59"/>
      <c r="K855" s="59"/>
    </row>
    <row r="856" ht="12.75" customHeight="1">
      <c r="A856" s="46"/>
      <c r="B856" s="59"/>
      <c r="C856" s="59"/>
      <c r="D856" s="59"/>
      <c r="I856" s="59"/>
      <c r="J856" s="59"/>
      <c r="K856" s="59"/>
    </row>
    <row r="857" ht="12.75" customHeight="1">
      <c r="A857" s="46"/>
      <c r="B857" s="59"/>
      <c r="C857" s="59"/>
      <c r="D857" s="59"/>
      <c r="I857" s="59"/>
      <c r="J857" s="59"/>
      <c r="K857" s="59"/>
    </row>
    <row r="858" ht="12.75" customHeight="1">
      <c r="A858" s="46"/>
      <c r="B858" s="59"/>
      <c r="C858" s="59"/>
      <c r="D858" s="59"/>
      <c r="I858" s="59"/>
      <c r="J858" s="59"/>
      <c r="K858" s="59"/>
    </row>
    <row r="859" ht="12.75" customHeight="1">
      <c r="A859" s="46"/>
      <c r="B859" s="59"/>
      <c r="C859" s="59"/>
      <c r="D859" s="59"/>
      <c r="I859" s="59"/>
      <c r="J859" s="59"/>
      <c r="K859" s="59"/>
    </row>
    <row r="860" ht="12.75" customHeight="1">
      <c r="A860" s="46"/>
      <c r="B860" s="59"/>
      <c r="C860" s="59"/>
      <c r="D860" s="59"/>
      <c r="I860" s="59"/>
      <c r="J860" s="59"/>
      <c r="K860" s="59"/>
    </row>
    <row r="861" ht="12.75" customHeight="1">
      <c r="A861" s="46"/>
      <c r="B861" s="59"/>
      <c r="C861" s="59"/>
      <c r="D861" s="59"/>
      <c r="I861" s="59"/>
      <c r="J861" s="59"/>
      <c r="K861" s="59"/>
    </row>
    <row r="862" ht="12.75" customHeight="1">
      <c r="A862" s="46"/>
      <c r="B862" s="59"/>
      <c r="C862" s="59"/>
      <c r="D862" s="59"/>
      <c r="I862" s="59"/>
      <c r="J862" s="59"/>
      <c r="K862" s="59"/>
    </row>
    <row r="863" ht="12.75" customHeight="1">
      <c r="A863" s="46"/>
      <c r="B863" s="59"/>
      <c r="C863" s="59"/>
      <c r="D863" s="59"/>
      <c r="I863" s="59"/>
      <c r="J863" s="59"/>
      <c r="K863" s="59"/>
    </row>
    <row r="864" ht="12.75" customHeight="1">
      <c r="A864" s="46"/>
      <c r="B864" s="59"/>
      <c r="C864" s="59"/>
      <c r="D864" s="59"/>
      <c r="I864" s="59"/>
      <c r="J864" s="59"/>
      <c r="K864" s="59"/>
    </row>
    <row r="865" ht="12.75" customHeight="1">
      <c r="A865" s="46"/>
      <c r="B865" s="59"/>
      <c r="C865" s="59"/>
      <c r="D865" s="59"/>
      <c r="I865" s="59"/>
      <c r="J865" s="59"/>
      <c r="K865" s="59"/>
    </row>
    <row r="866" ht="12.75" customHeight="1">
      <c r="A866" s="46"/>
      <c r="B866" s="59"/>
      <c r="C866" s="59"/>
      <c r="D866" s="59"/>
      <c r="I866" s="59"/>
      <c r="J866" s="59"/>
      <c r="K866" s="59"/>
    </row>
    <row r="867" ht="12.75" customHeight="1">
      <c r="A867" s="46"/>
      <c r="B867" s="59"/>
      <c r="C867" s="59"/>
      <c r="D867" s="59"/>
      <c r="I867" s="59"/>
      <c r="J867" s="59"/>
      <c r="K867" s="59"/>
    </row>
    <row r="868" ht="12.75" customHeight="1">
      <c r="A868" s="46"/>
      <c r="B868" s="59"/>
      <c r="C868" s="59"/>
      <c r="D868" s="59"/>
      <c r="I868" s="59"/>
      <c r="J868" s="59"/>
      <c r="K868" s="59"/>
    </row>
    <row r="869" ht="12.75" customHeight="1">
      <c r="A869" s="46"/>
      <c r="B869" s="59"/>
      <c r="C869" s="59"/>
      <c r="D869" s="59"/>
      <c r="I869" s="59"/>
      <c r="J869" s="59"/>
      <c r="K869" s="59"/>
    </row>
    <row r="870" ht="12.75" customHeight="1">
      <c r="A870" s="46"/>
      <c r="B870" s="59"/>
      <c r="C870" s="59"/>
      <c r="D870" s="59"/>
      <c r="I870" s="59"/>
      <c r="J870" s="59"/>
      <c r="K870" s="59"/>
    </row>
    <row r="871" ht="12.75" customHeight="1">
      <c r="A871" s="46"/>
      <c r="B871" s="59"/>
      <c r="C871" s="59"/>
      <c r="D871" s="59"/>
      <c r="I871" s="59"/>
      <c r="J871" s="59"/>
      <c r="K871" s="59"/>
    </row>
    <row r="872" ht="12.75" customHeight="1">
      <c r="A872" s="46"/>
      <c r="B872" s="59"/>
      <c r="C872" s="59"/>
      <c r="D872" s="59"/>
      <c r="I872" s="59"/>
      <c r="J872" s="59"/>
      <c r="K872" s="59"/>
    </row>
    <row r="873" ht="12.75" customHeight="1">
      <c r="A873" s="46"/>
      <c r="B873" s="59"/>
      <c r="C873" s="59"/>
      <c r="D873" s="59"/>
      <c r="I873" s="59"/>
      <c r="J873" s="59"/>
      <c r="K873" s="59"/>
    </row>
    <row r="874" ht="12.75" customHeight="1">
      <c r="A874" s="46"/>
      <c r="B874" s="59"/>
      <c r="C874" s="59"/>
      <c r="D874" s="59"/>
      <c r="I874" s="59"/>
      <c r="J874" s="59"/>
      <c r="K874" s="59"/>
    </row>
    <row r="875" ht="12.75" customHeight="1">
      <c r="A875" s="46"/>
      <c r="B875" s="59"/>
      <c r="C875" s="59"/>
      <c r="D875" s="59"/>
      <c r="I875" s="59"/>
      <c r="J875" s="59"/>
      <c r="K875" s="59"/>
    </row>
    <row r="876" ht="12.75" customHeight="1">
      <c r="A876" s="46"/>
      <c r="B876" s="59"/>
      <c r="C876" s="59"/>
      <c r="D876" s="59"/>
      <c r="I876" s="59"/>
      <c r="J876" s="59"/>
      <c r="K876" s="59"/>
    </row>
    <row r="877" ht="12.75" customHeight="1">
      <c r="A877" s="46"/>
      <c r="B877" s="59"/>
      <c r="C877" s="59"/>
      <c r="D877" s="59"/>
      <c r="I877" s="59"/>
      <c r="J877" s="59"/>
      <c r="K877" s="59"/>
    </row>
    <row r="878" ht="12.75" customHeight="1">
      <c r="A878" s="46"/>
      <c r="B878" s="59"/>
      <c r="C878" s="59"/>
      <c r="D878" s="59"/>
      <c r="I878" s="59"/>
      <c r="J878" s="59"/>
      <c r="K878" s="59"/>
    </row>
    <row r="879" ht="12.75" customHeight="1">
      <c r="A879" s="46"/>
      <c r="B879" s="59"/>
      <c r="C879" s="59"/>
      <c r="D879" s="59"/>
      <c r="I879" s="59"/>
      <c r="J879" s="59"/>
      <c r="K879" s="59"/>
    </row>
    <row r="880" ht="12.75" customHeight="1">
      <c r="A880" s="46"/>
      <c r="B880" s="59"/>
      <c r="C880" s="59"/>
      <c r="D880" s="59"/>
      <c r="I880" s="59"/>
      <c r="J880" s="59"/>
      <c r="K880" s="59"/>
    </row>
    <row r="881" ht="12.75" customHeight="1">
      <c r="A881" s="46"/>
      <c r="B881" s="59"/>
      <c r="C881" s="59"/>
      <c r="D881" s="59"/>
      <c r="I881" s="59"/>
      <c r="J881" s="59"/>
      <c r="K881" s="59"/>
    </row>
    <row r="882" ht="12.75" customHeight="1">
      <c r="A882" s="46"/>
      <c r="B882" s="59"/>
      <c r="C882" s="59"/>
      <c r="D882" s="59"/>
      <c r="I882" s="59"/>
      <c r="J882" s="59"/>
      <c r="K882" s="59"/>
    </row>
    <row r="883" ht="12.75" customHeight="1">
      <c r="A883" s="46"/>
      <c r="B883" s="59"/>
      <c r="C883" s="59"/>
      <c r="D883" s="59"/>
      <c r="I883" s="59"/>
      <c r="J883" s="59"/>
      <c r="K883" s="59"/>
    </row>
    <row r="884" ht="12.75" customHeight="1">
      <c r="A884" s="46"/>
      <c r="B884" s="59"/>
      <c r="C884" s="59"/>
      <c r="D884" s="59"/>
      <c r="I884" s="59"/>
      <c r="J884" s="59"/>
      <c r="K884" s="59"/>
    </row>
    <row r="885" ht="12.75" customHeight="1">
      <c r="A885" s="46"/>
      <c r="B885" s="59"/>
      <c r="C885" s="59"/>
      <c r="D885" s="59"/>
      <c r="I885" s="59"/>
      <c r="J885" s="59"/>
      <c r="K885" s="59"/>
    </row>
    <row r="886" ht="12.75" customHeight="1">
      <c r="A886" s="46"/>
      <c r="B886" s="59"/>
      <c r="C886" s="59"/>
      <c r="D886" s="59"/>
      <c r="I886" s="59"/>
      <c r="J886" s="59"/>
      <c r="K886" s="59"/>
    </row>
    <row r="887" ht="12.75" customHeight="1">
      <c r="A887" s="46"/>
      <c r="B887" s="59"/>
      <c r="C887" s="59"/>
      <c r="D887" s="59"/>
      <c r="I887" s="59"/>
      <c r="J887" s="59"/>
      <c r="K887" s="59"/>
    </row>
    <row r="888" ht="12.75" customHeight="1">
      <c r="A888" s="46"/>
      <c r="B888" s="59"/>
      <c r="C888" s="59"/>
      <c r="D888" s="59"/>
      <c r="I888" s="59"/>
      <c r="J888" s="59"/>
      <c r="K888" s="59"/>
    </row>
    <row r="889" ht="12.75" customHeight="1">
      <c r="A889" s="46"/>
      <c r="B889" s="59"/>
      <c r="C889" s="59"/>
      <c r="D889" s="59"/>
      <c r="I889" s="59"/>
      <c r="J889" s="59"/>
      <c r="K889" s="59"/>
    </row>
    <row r="890" ht="12.75" customHeight="1">
      <c r="A890" s="46"/>
      <c r="B890" s="59"/>
      <c r="C890" s="59"/>
      <c r="D890" s="59"/>
      <c r="I890" s="59"/>
      <c r="J890" s="59"/>
      <c r="K890" s="59"/>
    </row>
    <row r="891" ht="12.75" customHeight="1">
      <c r="A891" s="46"/>
      <c r="B891" s="59"/>
      <c r="C891" s="59"/>
      <c r="D891" s="59"/>
      <c r="I891" s="59"/>
      <c r="J891" s="59"/>
      <c r="K891" s="59"/>
    </row>
    <row r="892" ht="12.75" customHeight="1">
      <c r="A892" s="46"/>
      <c r="B892" s="59"/>
      <c r="C892" s="59"/>
      <c r="D892" s="59"/>
      <c r="I892" s="59"/>
      <c r="J892" s="59"/>
      <c r="K892" s="59"/>
    </row>
    <row r="893" ht="12.75" customHeight="1">
      <c r="A893" s="46"/>
      <c r="B893" s="59"/>
      <c r="C893" s="59"/>
      <c r="D893" s="59"/>
      <c r="I893" s="59"/>
      <c r="J893" s="59"/>
      <c r="K893" s="59"/>
    </row>
    <row r="894" ht="12.75" customHeight="1">
      <c r="A894" s="46"/>
      <c r="B894" s="59"/>
      <c r="C894" s="59"/>
      <c r="D894" s="59"/>
      <c r="I894" s="59"/>
      <c r="J894" s="59"/>
      <c r="K894" s="59"/>
    </row>
    <row r="895" ht="12.75" customHeight="1">
      <c r="A895" s="46"/>
      <c r="B895" s="59"/>
      <c r="C895" s="59"/>
      <c r="D895" s="59"/>
      <c r="I895" s="59"/>
      <c r="J895" s="59"/>
      <c r="K895" s="59"/>
    </row>
    <row r="896" ht="12.75" customHeight="1">
      <c r="A896" s="46"/>
      <c r="B896" s="59"/>
      <c r="C896" s="59"/>
      <c r="D896" s="59"/>
      <c r="I896" s="59"/>
      <c r="J896" s="59"/>
      <c r="K896" s="59"/>
    </row>
    <row r="897" ht="12.75" customHeight="1">
      <c r="A897" s="46"/>
      <c r="B897" s="59"/>
      <c r="C897" s="59"/>
      <c r="D897" s="59"/>
      <c r="I897" s="59"/>
      <c r="J897" s="59"/>
      <c r="K897" s="59"/>
    </row>
    <row r="898" ht="12.75" customHeight="1">
      <c r="A898" s="46"/>
      <c r="B898" s="59"/>
      <c r="C898" s="59"/>
      <c r="D898" s="59"/>
      <c r="I898" s="59"/>
      <c r="J898" s="59"/>
      <c r="K898" s="59"/>
    </row>
    <row r="899" ht="12.75" customHeight="1">
      <c r="A899" s="46"/>
      <c r="B899" s="59"/>
      <c r="C899" s="59"/>
      <c r="D899" s="59"/>
      <c r="I899" s="59"/>
      <c r="J899" s="59"/>
      <c r="K899" s="59"/>
    </row>
    <row r="900" ht="12.75" customHeight="1">
      <c r="A900" s="46"/>
      <c r="B900" s="59"/>
      <c r="C900" s="59"/>
      <c r="D900" s="59"/>
      <c r="I900" s="59"/>
      <c r="J900" s="59"/>
      <c r="K900" s="59"/>
    </row>
    <row r="901" ht="12.75" customHeight="1">
      <c r="A901" s="46"/>
      <c r="B901" s="59"/>
      <c r="C901" s="59"/>
      <c r="D901" s="59"/>
      <c r="I901" s="59"/>
      <c r="J901" s="59"/>
      <c r="K901" s="59"/>
    </row>
    <row r="902" ht="12.75" customHeight="1">
      <c r="A902" s="46"/>
      <c r="B902" s="59"/>
      <c r="C902" s="59"/>
      <c r="D902" s="59"/>
      <c r="I902" s="59"/>
      <c r="J902" s="59"/>
      <c r="K902" s="59"/>
    </row>
    <row r="903" ht="12.75" customHeight="1">
      <c r="A903" s="46"/>
      <c r="B903" s="59"/>
      <c r="C903" s="59"/>
      <c r="D903" s="59"/>
      <c r="I903" s="59"/>
      <c r="J903" s="59"/>
      <c r="K903" s="59"/>
    </row>
    <row r="904" ht="12.75" customHeight="1">
      <c r="A904" s="46"/>
      <c r="B904" s="59"/>
      <c r="C904" s="59"/>
      <c r="D904" s="59"/>
      <c r="I904" s="59"/>
      <c r="J904" s="59"/>
      <c r="K904" s="59"/>
    </row>
    <row r="905" ht="12.75" customHeight="1">
      <c r="A905" s="46"/>
      <c r="B905" s="59"/>
      <c r="C905" s="59"/>
      <c r="D905" s="59"/>
      <c r="I905" s="59"/>
      <c r="J905" s="59"/>
      <c r="K905" s="59"/>
    </row>
    <row r="906" ht="12.75" customHeight="1">
      <c r="A906" s="46"/>
      <c r="B906" s="59"/>
      <c r="C906" s="59"/>
      <c r="D906" s="59"/>
      <c r="I906" s="59"/>
      <c r="J906" s="59"/>
      <c r="K906" s="59"/>
    </row>
    <row r="907" ht="12.75" customHeight="1">
      <c r="A907" s="46"/>
      <c r="B907" s="59"/>
      <c r="C907" s="59"/>
      <c r="D907" s="59"/>
      <c r="I907" s="59"/>
      <c r="J907" s="59"/>
      <c r="K907" s="59"/>
    </row>
    <row r="908" ht="12.75" customHeight="1">
      <c r="A908" s="46"/>
      <c r="B908" s="59"/>
      <c r="C908" s="59"/>
      <c r="D908" s="59"/>
      <c r="I908" s="59"/>
      <c r="J908" s="59"/>
      <c r="K908" s="59"/>
    </row>
    <row r="909" ht="12.75" customHeight="1">
      <c r="A909" s="46"/>
      <c r="B909" s="59"/>
      <c r="C909" s="59"/>
      <c r="D909" s="59"/>
      <c r="I909" s="59"/>
      <c r="J909" s="59"/>
      <c r="K909" s="59"/>
    </row>
    <row r="910" ht="12.75" customHeight="1">
      <c r="A910" s="46"/>
      <c r="B910" s="59"/>
      <c r="C910" s="59"/>
      <c r="D910" s="59"/>
      <c r="I910" s="59"/>
      <c r="J910" s="59"/>
      <c r="K910" s="59"/>
    </row>
    <row r="911" ht="12.75" customHeight="1">
      <c r="A911" s="46"/>
      <c r="B911" s="59"/>
      <c r="C911" s="59"/>
      <c r="D911" s="59"/>
      <c r="I911" s="59"/>
      <c r="J911" s="59"/>
      <c r="K911" s="59"/>
    </row>
    <row r="912" ht="12.75" customHeight="1">
      <c r="A912" s="46"/>
      <c r="B912" s="59"/>
      <c r="C912" s="59"/>
      <c r="D912" s="59"/>
      <c r="I912" s="59"/>
      <c r="J912" s="59"/>
      <c r="K912" s="59"/>
    </row>
    <row r="913" ht="12.75" customHeight="1">
      <c r="A913" s="46"/>
      <c r="B913" s="59"/>
      <c r="C913" s="59"/>
      <c r="D913" s="59"/>
      <c r="I913" s="59"/>
      <c r="J913" s="59"/>
      <c r="K913" s="59"/>
    </row>
    <row r="914" ht="12.75" customHeight="1">
      <c r="A914" s="46"/>
      <c r="B914" s="59"/>
      <c r="C914" s="59"/>
      <c r="D914" s="59"/>
      <c r="I914" s="59"/>
      <c r="J914" s="59"/>
      <c r="K914" s="59"/>
    </row>
    <row r="915" ht="12.75" customHeight="1">
      <c r="A915" s="46"/>
      <c r="B915" s="59"/>
      <c r="C915" s="59"/>
      <c r="D915" s="59"/>
      <c r="I915" s="59"/>
      <c r="J915" s="59"/>
      <c r="K915" s="59"/>
    </row>
    <row r="916" ht="12.75" customHeight="1">
      <c r="A916" s="46"/>
      <c r="B916" s="59"/>
      <c r="C916" s="59"/>
      <c r="D916" s="59"/>
      <c r="I916" s="59"/>
      <c r="J916" s="59"/>
      <c r="K916" s="59"/>
    </row>
    <row r="917" ht="12.75" customHeight="1">
      <c r="A917" s="46"/>
      <c r="B917" s="59"/>
      <c r="C917" s="59"/>
      <c r="D917" s="59"/>
      <c r="I917" s="59"/>
      <c r="J917" s="59"/>
      <c r="K917" s="59"/>
    </row>
    <row r="918" ht="12.75" customHeight="1">
      <c r="A918" s="46"/>
      <c r="B918" s="59"/>
      <c r="C918" s="59"/>
      <c r="D918" s="59"/>
      <c r="I918" s="59"/>
      <c r="J918" s="59"/>
      <c r="K918" s="59"/>
    </row>
    <row r="919" ht="12.75" customHeight="1">
      <c r="A919" s="46"/>
      <c r="B919" s="59"/>
      <c r="C919" s="59"/>
      <c r="D919" s="59"/>
      <c r="I919" s="59"/>
      <c r="J919" s="59"/>
      <c r="K919" s="59"/>
    </row>
    <row r="920" ht="12.75" customHeight="1">
      <c r="A920" s="46"/>
      <c r="B920" s="59"/>
      <c r="C920" s="59"/>
      <c r="D920" s="59"/>
      <c r="I920" s="59"/>
      <c r="J920" s="59"/>
      <c r="K920" s="59"/>
    </row>
    <row r="921" ht="12.75" customHeight="1">
      <c r="A921" s="46"/>
      <c r="B921" s="59"/>
      <c r="C921" s="59"/>
      <c r="D921" s="59"/>
      <c r="I921" s="59"/>
      <c r="J921" s="59"/>
      <c r="K921" s="59"/>
    </row>
    <row r="922" ht="12.75" customHeight="1">
      <c r="A922" s="46"/>
      <c r="B922" s="59"/>
      <c r="C922" s="59"/>
      <c r="D922" s="59"/>
      <c r="I922" s="59"/>
      <c r="J922" s="59"/>
      <c r="K922" s="59"/>
    </row>
    <row r="923" ht="12.75" customHeight="1">
      <c r="A923" s="46"/>
      <c r="B923" s="59"/>
      <c r="C923" s="59"/>
      <c r="D923" s="59"/>
      <c r="I923" s="59"/>
      <c r="J923" s="59"/>
      <c r="K923" s="59"/>
    </row>
    <row r="924" ht="12.75" customHeight="1">
      <c r="A924" s="46"/>
      <c r="B924" s="59"/>
      <c r="C924" s="59"/>
      <c r="D924" s="59"/>
      <c r="I924" s="59"/>
      <c r="J924" s="59"/>
      <c r="K924" s="59"/>
    </row>
    <row r="925" ht="12.75" customHeight="1">
      <c r="A925" s="46"/>
      <c r="B925" s="59"/>
      <c r="C925" s="59"/>
      <c r="D925" s="59"/>
      <c r="I925" s="59"/>
      <c r="J925" s="59"/>
      <c r="K925" s="59"/>
    </row>
    <row r="926" ht="12.75" customHeight="1">
      <c r="A926" s="46"/>
      <c r="B926" s="59"/>
      <c r="C926" s="59"/>
      <c r="D926" s="59"/>
      <c r="I926" s="59"/>
      <c r="J926" s="59"/>
      <c r="K926" s="59"/>
    </row>
    <row r="927" ht="12.75" customHeight="1">
      <c r="A927" s="46"/>
      <c r="B927" s="59"/>
      <c r="C927" s="59"/>
      <c r="D927" s="59"/>
      <c r="I927" s="59"/>
      <c r="J927" s="59"/>
      <c r="K927" s="59"/>
    </row>
    <row r="928" ht="12.75" customHeight="1">
      <c r="A928" s="46"/>
      <c r="B928" s="59"/>
      <c r="C928" s="59"/>
      <c r="D928" s="59"/>
      <c r="I928" s="59"/>
      <c r="J928" s="59"/>
      <c r="K928" s="59"/>
    </row>
    <row r="929" ht="12.75" customHeight="1">
      <c r="A929" s="46"/>
      <c r="B929" s="59"/>
      <c r="C929" s="59"/>
      <c r="D929" s="59"/>
      <c r="I929" s="59"/>
      <c r="J929" s="59"/>
      <c r="K929" s="59"/>
    </row>
    <row r="930" ht="12.75" customHeight="1">
      <c r="A930" s="46"/>
      <c r="B930" s="59"/>
      <c r="C930" s="59"/>
      <c r="D930" s="59"/>
      <c r="I930" s="59"/>
      <c r="J930" s="59"/>
      <c r="K930" s="59"/>
    </row>
    <row r="931" ht="12.75" customHeight="1">
      <c r="A931" s="46"/>
      <c r="B931" s="59"/>
      <c r="C931" s="59"/>
      <c r="D931" s="59"/>
      <c r="I931" s="59"/>
      <c r="J931" s="59"/>
      <c r="K931" s="59"/>
    </row>
    <row r="932" ht="12.75" customHeight="1">
      <c r="A932" s="46"/>
      <c r="B932" s="59"/>
      <c r="C932" s="59"/>
      <c r="D932" s="59"/>
      <c r="I932" s="59"/>
      <c r="J932" s="59"/>
      <c r="K932" s="59"/>
    </row>
    <row r="933" ht="12.75" customHeight="1">
      <c r="A933" s="46"/>
      <c r="B933" s="59"/>
      <c r="C933" s="59"/>
      <c r="D933" s="59"/>
      <c r="I933" s="59"/>
      <c r="J933" s="59"/>
      <c r="K933" s="59"/>
    </row>
    <row r="934" ht="12.75" customHeight="1">
      <c r="A934" s="46"/>
      <c r="B934" s="59"/>
      <c r="C934" s="59"/>
      <c r="D934" s="59"/>
      <c r="I934" s="59"/>
      <c r="J934" s="59"/>
      <c r="K934" s="59"/>
    </row>
    <row r="935" ht="12.75" customHeight="1">
      <c r="A935" s="46"/>
      <c r="B935" s="59"/>
      <c r="C935" s="59"/>
      <c r="D935" s="59"/>
      <c r="I935" s="59"/>
      <c r="J935" s="59"/>
      <c r="K935" s="59"/>
    </row>
    <row r="936" ht="12.75" customHeight="1">
      <c r="A936" s="46"/>
      <c r="B936" s="59"/>
      <c r="C936" s="59"/>
      <c r="D936" s="59"/>
      <c r="I936" s="59"/>
      <c r="J936" s="59"/>
      <c r="K936" s="59"/>
    </row>
    <row r="937" ht="12.75" customHeight="1">
      <c r="A937" s="46"/>
      <c r="B937" s="59"/>
      <c r="C937" s="59"/>
      <c r="D937" s="59"/>
      <c r="I937" s="59"/>
      <c r="J937" s="59"/>
      <c r="K937" s="59"/>
    </row>
    <row r="938" ht="12.75" customHeight="1">
      <c r="A938" s="46"/>
      <c r="B938" s="59"/>
      <c r="C938" s="59"/>
      <c r="D938" s="59"/>
      <c r="I938" s="59"/>
      <c r="J938" s="59"/>
      <c r="K938" s="59"/>
    </row>
    <row r="939" ht="12.75" customHeight="1">
      <c r="A939" s="46"/>
      <c r="B939" s="59"/>
      <c r="C939" s="59"/>
      <c r="D939" s="59"/>
      <c r="I939" s="59"/>
      <c r="J939" s="59"/>
      <c r="K939" s="59"/>
    </row>
    <row r="940" ht="12.75" customHeight="1">
      <c r="A940" s="46"/>
      <c r="B940" s="59"/>
      <c r="C940" s="59"/>
      <c r="D940" s="59"/>
      <c r="I940" s="59"/>
      <c r="J940" s="59"/>
      <c r="K940" s="59"/>
    </row>
    <row r="941" ht="12.75" customHeight="1">
      <c r="A941" s="46"/>
      <c r="B941" s="59"/>
      <c r="C941" s="59"/>
      <c r="D941" s="59"/>
      <c r="I941" s="59"/>
      <c r="J941" s="59"/>
      <c r="K941" s="59"/>
    </row>
    <row r="942" ht="12.75" customHeight="1">
      <c r="A942" s="46"/>
      <c r="B942" s="59"/>
      <c r="C942" s="59"/>
      <c r="D942" s="59"/>
      <c r="I942" s="59"/>
      <c r="J942" s="59"/>
      <c r="K942" s="59"/>
    </row>
    <row r="943" ht="12.75" customHeight="1">
      <c r="A943" s="46"/>
      <c r="B943" s="59"/>
      <c r="C943" s="59"/>
      <c r="D943" s="59"/>
      <c r="I943" s="59"/>
      <c r="J943" s="59"/>
      <c r="K943" s="59"/>
    </row>
    <row r="944" ht="12.75" customHeight="1">
      <c r="A944" s="46"/>
      <c r="B944" s="59"/>
      <c r="C944" s="59"/>
      <c r="D944" s="59"/>
      <c r="I944" s="59"/>
      <c r="J944" s="59"/>
      <c r="K944" s="59"/>
    </row>
    <row r="945" ht="12.75" customHeight="1">
      <c r="A945" s="46"/>
      <c r="B945" s="59"/>
      <c r="C945" s="59"/>
      <c r="D945" s="59"/>
      <c r="I945" s="59"/>
      <c r="J945" s="59"/>
      <c r="K945" s="59"/>
    </row>
    <row r="946" ht="12.75" customHeight="1">
      <c r="A946" s="46"/>
      <c r="B946" s="59"/>
      <c r="C946" s="59"/>
      <c r="D946" s="59"/>
      <c r="I946" s="59"/>
      <c r="J946" s="59"/>
      <c r="K946" s="59"/>
    </row>
    <row r="947" ht="12.75" customHeight="1">
      <c r="A947" s="46"/>
      <c r="B947" s="59"/>
      <c r="C947" s="59"/>
      <c r="D947" s="59"/>
      <c r="I947" s="59"/>
      <c r="J947" s="59"/>
      <c r="K947" s="59"/>
    </row>
    <row r="948" ht="12.75" customHeight="1">
      <c r="A948" s="46"/>
      <c r="B948" s="59"/>
      <c r="C948" s="59"/>
      <c r="D948" s="59"/>
      <c r="I948" s="59"/>
      <c r="J948" s="59"/>
      <c r="K948" s="59"/>
    </row>
    <row r="949" ht="12.75" customHeight="1">
      <c r="A949" s="46"/>
      <c r="B949" s="59"/>
      <c r="C949" s="59"/>
      <c r="D949" s="59"/>
      <c r="I949" s="59"/>
      <c r="J949" s="59"/>
      <c r="K949" s="59"/>
    </row>
    <row r="950" ht="12.75" customHeight="1">
      <c r="A950" s="46"/>
      <c r="B950" s="59"/>
      <c r="C950" s="59"/>
      <c r="D950" s="59"/>
      <c r="I950" s="59"/>
      <c r="J950" s="59"/>
      <c r="K950" s="59"/>
    </row>
    <row r="951" ht="12.75" customHeight="1">
      <c r="A951" s="46"/>
      <c r="B951" s="59"/>
      <c r="C951" s="59"/>
      <c r="D951" s="59"/>
      <c r="I951" s="59"/>
      <c r="J951" s="59"/>
      <c r="K951" s="59"/>
    </row>
    <row r="952" ht="12.75" customHeight="1">
      <c r="A952" s="46"/>
      <c r="B952" s="59"/>
      <c r="C952" s="59"/>
      <c r="D952" s="59"/>
      <c r="I952" s="59"/>
      <c r="J952" s="59"/>
      <c r="K952" s="59"/>
    </row>
    <row r="953" ht="12.75" customHeight="1">
      <c r="A953" s="46"/>
      <c r="B953" s="59"/>
      <c r="C953" s="59"/>
      <c r="D953" s="59"/>
      <c r="I953" s="59"/>
      <c r="J953" s="59"/>
      <c r="K953" s="59"/>
    </row>
    <row r="954" ht="12.75" customHeight="1">
      <c r="A954" s="46"/>
      <c r="B954" s="59"/>
      <c r="C954" s="59"/>
      <c r="D954" s="59"/>
      <c r="I954" s="59"/>
      <c r="J954" s="59"/>
      <c r="K954" s="59"/>
    </row>
    <row r="955" ht="12.75" customHeight="1">
      <c r="A955" s="46"/>
      <c r="B955" s="59"/>
      <c r="C955" s="59"/>
      <c r="D955" s="59"/>
      <c r="I955" s="59"/>
      <c r="J955" s="59"/>
      <c r="K955" s="59"/>
    </row>
    <row r="956" ht="12.75" customHeight="1">
      <c r="A956" s="46"/>
      <c r="B956" s="59"/>
      <c r="C956" s="59"/>
      <c r="D956" s="59"/>
      <c r="I956" s="59"/>
      <c r="J956" s="59"/>
      <c r="K956" s="59"/>
    </row>
    <row r="957" ht="12.75" customHeight="1">
      <c r="A957" s="46"/>
      <c r="B957" s="59"/>
      <c r="C957" s="59"/>
      <c r="D957" s="59"/>
      <c r="I957" s="59"/>
      <c r="J957" s="59"/>
      <c r="K957" s="59"/>
    </row>
    <row r="958" ht="12.75" customHeight="1">
      <c r="A958" s="46"/>
      <c r="B958" s="59"/>
      <c r="C958" s="59"/>
      <c r="D958" s="59"/>
      <c r="I958" s="59"/>
      <c r="J958" s="59"/>
      <c r="K958" s="59"/>
    </row>
    <row r="959" ht="12.75" customHeight="1">
      <c r="A959" s="46"/>
      <c r="B959" s="59"/>
      <c r="C959" s="59"/>
      <c r="D959" s="59"/>
      <c r="I959" s="59"/>
      <c r="J959" s="59"/>
      <c r="K959" s="59"/>
    </row>
    <row r="960" ht="12.75" customHeight="1">
      <c r="A960" s="46"/>
      <c r="B960" s="59"/>
      <c r="C960" s="59"/>
      <c r="D960" s="59"/>
      <c r="I960" s="59"/>
      <c r="J960" s="59"/>
      <c r="K960" s="59"/>
    </row>
    <row r="961" ht="12.75" customHeight="1">
      <c r="A961" s="46"/>
      <c r="B961" s="59"/>
      <c r="C961" s="59"/>
      <c r="D961" s="59"/>
      <c r="I961" s="59"/>
      <c r="J961" s="59"/>
      <c r="K961" s="59"/>
    </row>
    <row r="962" ht="12.75" customHeight="1">
      <c r="A962" s="46"/>
      <c r="B962" s="59"/>
      <c r="C962" s="59"/>
      <c r="D962" s="59"/>
      <c r="I962" s="59"/>
      <c r="J962" s="59"/>
      <c r="K962" s="59"/>
    </row>
    <row r="963" ht="12.75" customHeight="1">
      <c r="A963" s="46"/>
      <c r="B963" s="59"/>
      <c r="C963" s="59"/>
      <c r="D963" s="59"/>
      <c r="I963" s="59"/>
      <c r="J963" s="59"/>
      <c r="K963" s="59"/>
    </row>
    <row r="964" ht="12.75" customHeight="1">
      <c r="A964" s="46"/>
      <c r="B964" s="59"/>
      <c r="C964" s="59"/>
      <c r="D964" s="59"/>
      <c r="I964" s="59"/>
      <c r="J964" s="59"/>
      <c r="K964" s="59"/>
    </row>
    <row r="965" ht="12.75" customHeight="1">
      <c r="A965" s="46"/>
      <c r="B965" s="59"/>
      <c r="C965" s="59"/>
      <c r="D965" s="59"/>
      <c r="I965" s="59"/>
      <c r="J965" s="59"/>
      <c r="K965" s="59"/>
    </row>
    <row r="966" ht="12.75" customHeight="1">
      <c r="A966" s="46"/>
      <c r="B966" s="59"/>
      <c r="C966" s="59"/>
      <c r="D966" s="59"/>
      <c r="I966" s="59"/>
      <c r="J966" s="59"/>
      <c r="K966" s="59"/>
    </row>
    <row r="967" ht="12.75" customHeight="1">
      <c r="A967" s="46"/>
      <c r="B967" s="59"/>
      <c r="C967" s="59"/>
      <c r="D967" s="59"/>
      <c r="I967" s="59"/>
      <c r="J967" s="59"/>
      <c r="K967" s="59"/>
    </row>
    <row r="968" ht="12.75" customHeight="1">
      <c r="A968" s="46"/>
      <c r="B968" s="59"/>
      <c r="C968" s="59"/>
      <c r="D968" s="59"/>
      <c r="I968" s="59"/>
      <c r="J968" s="59"/>
      <c r="K968" s="59"/>
    </row>
    <row r="969" ht="12.75" customHeight="1">
      <c r="A969" s="46"/>
      <c r="B969" s="59"/>
      <c r="C969" s="59"/>
      <c r="D969" s="59"/>
      <c r="I969" s="59"/>
      <c r="J969" s="59"/>
      <c r="K969" s="59"/>
    </row>
    <row r="970" ht="12.75" customHeight="1">
      <c r="A970" s="46"/>
      <c r="B970" s="59"/>
      <c r="C970" s="59"/>
      <c r="D970" s="59"/>
      <c r="I970" s="59"/>
      <c r="J970" s="59"/>
      <c r="K970" s="59"/>
    </row>
    <row r="971" ht="12.75" customHeight="1">
      <c r="A971" s="46"/>
      <c r="B971" s="59"/>
      <c r="C971" s="59"/>
      <c r="D971" s="59"/>
      <c r="I971" s="59"/>
      <c r="J971" s="59"/>
      <c r="K971" s="59"/>
    </row>
    <row r="972" ht="12.75" customHeight="1">
      <c r="A972" s="46"/>
      <c r="B972" s="59"/>
      <c r="C972" s="59"/>
      <c r="D972" s="59"/>
      <c r="I972" s="59"/>
      <c r="J972" s="59"/>
      <c r="K972" s="59"/>
    </row>
    <row r="973" ht="12.75" customHeight="1">
      <c r="A973" s="46"/>
      <c r="B973" s="59"/>
      <c r="C973" s="59"/>
      <c r="D973" s="59"/>
      <c r="I973" s="59"/>
      <c r="J973" s="59"/>
      <c r="K973" s="59"/>
    </row>
    <row r="974" ht="12.75" customHeight="1">
      <c r="A974" s="46"/>
      <c r="B974" s="59"/>
      <c r="C974" s="59"/>
      <c r="D974" s="59"/>
      <c r="I974" s="59"/>
      <c r="J974" s="59"/>
      <c r="K974" s="59"/>
    </row>
    <row r="975" ht="12.75" customHeight="1">
      <c r="A975" s="46"/>
      <c r="B975" s="59"/>
      <c r="C975" s="59"/>
      <c r="D975" s="59"/>
      <c r="I975" s="59"/>
      <c r="J975" s="59"/>
      <c r="K975" s="59"/>
    </row>
    <row r="976" ht="12.75" customHeight="1">
      <c r="A976" s="46"/>
      <c r="B976" s="59"/>
      <c r="C976" s="59"/>
      <c r="D976" s="59"/>
      <c r="I976" s="59"/>
      <c r="J976" s="59"/>
      <c r="K976" s="59"/>
    </row>
    <row r="977" ht="12.75" customHeight="1">
      <c r="A977" s="46"/>
      <c r="B977" s="59"/>
      <c r="C977" s="59"/>
      <c r="D977" s="59"/>
      <c r="I977" s="59"/>
      <c r="J977" s="59"/>
      <c r="K977" s="59"/>
    </row>
    <row r="978" ht="12.75" customHeight="1">
      <c r="A978" s="46"/>
      <c r="B978" s="59"/>
      <c r="C978" s="59"/>
      <c r="D978" s="59"/>
      <c r="I978" s="59"/>
      <c r="J978" s="59"/>
      <c r="K978" s="59"/>
    </row>
    <row r="979" ht="12.75" customHeight="1">
      <c r="A979" s="46"/>
      <c r="B979" s="59"/>
      <c r="C979" s="59"/>
      <c r="D979" s="59"/>
      <c r="I979" s="59"/>
      <c r="J979" s="59"/>
      <c r="K979" s="59"/>
    </row>
    <row r="980" ht="12.75" customHeight="1">
      <c r="A980" s="46"/>
      <c r="B980" s="59"/>
      <c r="C980" s="59"/>
      <c r="D980" s="59"/>
      <c r="I980" s="59"/>
      <c r="J980" s="59"/>
      <c r="K980" s="59"/>
    </row>
    <row r="981" ht="12.75" customHeight="1">
      <c r="A981" s="46"/>
      <c r="B981" s="59"/>
      <c r="C981" s="59"/>
      <c r="D981" s="59"/>
      <c r="I981" s="59"/>
      <c r="J981" s="59"/>
      <c r="K981" s="59"/>
    </row>
    <row r="982" ht="12.75" customHeight="1">
      <c r="A982" s="46"/>
      <c r="B982" s="59"/>
      <c r="C982" s="59"/>
      <c r="D982" s="59"/>
      <c r="I982" s="59"/>
      <c r="J982" s="59"/>
      <c r="K982" s="59"/>
    </row>
    <row r="983" ht="12.75" customHeight="1">
      <c r="A983" s="46"/>
      <c r="B983" s="59"/>
      <c r="C983" s="59"/>
      <c r="D983" s="59"/>
      <c r="I983" s="59"/>
      <c r="J983" s="59"/>
      <c r="K983" s="59"/>
    </row>
    <row r="984" ht="12.75" customHeight="1">
      <c r="A984" s="46"/>
      <c r="B984" s="59"/>
      <c r="C984" s="59"/>
      <c r="D984" s="59"/>
      <c r="I984" s="59"/>
      <c r="J984" s="59"/>
      <c r="K984" s="59"/>
    </row>
    <row r="985" ht="12.75" customHeight="1">
      <c r="A985" s="46"/>
      <c r="B985" s="59"/>
      <c r="C985" s="59"/>
      <c r="D985" s="59"/>
      <c r="I985" s="59"/>
      <c r="J985" s="59"/>
      <c r="K985" s="59"/>
    </row>
    <row r="986" ht="12.75" customHeight="1">
      <c r="A986" s="46"/>
      <c r="B986" s="59"/>
      <c r="C986" s="59"/>
      <c r="D986" s="59"/>
      <c r="I986" s="59"/>
      <c r="J986" s="59"/>
      <c r="K986" s="59"/>
    </row>
    <row r="987" ht="12.75" customHeight="1">
      <c r="A987" s="46"/>
      <c r="B987" s="59"/>
      <c r="C987" s="59"/>
      <c r="D987" s="59"/>
      <c r="I987" s="59"/>
      <c r="J987" s="59"/>
      <c r="K987" s="59"/>
    </row>
    <row r="988" ht="12.75" customHeight="1">
      <c r="A988" s="46"/>
      <c r="B988" s="59"/>
      <c r="C988" s="59"/>
      <c r="D988" s="59"/>
      <c r="I988" s="59"/>
      <c r="J988" s="59"/>
      <c r="K988" s="59"/>
    </row>
    <row r="989" ht="12.75" customHeight="1">
      <c r="A989" s="46"/>
      <c r="B989" s="59"/>
      <c r="C989" s="59"/>
      <c r="D989" s="59"/>
      <c r="I989" s="59"/>
      <c r="J989" s="59"/>
      <c r="K989" s="59"/>
    </row>
    <row r="990" ht="12.75" customHeight="1">
      <c r="A990" s="46"/>
      <c r="B990" s="59"/>
      <c r="C990" s="59"/>
      <c r="D990" s="59"/>
      <c r="I990" s="59"/>
      <c r="J990" s="59"/>
      <c r="K990" s="59"/>
    </row>
    <row r="991" ht="12.75" customHeight="1">
      <c r="A991" s="46"/>
      <c r="B991" s="59"/>
      <c r="C991" s="59"/>
      <c r="D991" s="59"/>
      <c r="I991" s="59"/>
      <c r="J991" s="59"/>
      <c r="K991" s="59"/>
    </row>
    <row r="992" ht="12.75" customHeight="1">
      <c r="A992" s="46"/>
      <c r="B992" s="59"/>
      <c r="C992" s="59"/>
      <c r="D992" s="59"/>
      <c r="I992" s="59"/>
      <c r="J992" s="59"/>
      <c r="K992" s="59"/>
    </row>
    <row r="993" ht="12.75" customHeight="1">
      <c r="A993" s="46"/>
      <c r="B993" s="59"/>
      <c r="C993" s="59"/>
      <c r="D993" s="59"/>
      <c r="I993" s="59"/>
      <c r="J993" s="59"/>
      <c r="K993" s="59"/>
    </row>
    <row r="994" ht="12.75" customHeight="1">
      <c r="A994" s="46"/>
      <c r="B994" s="59"/>
      <c r="C994" s="59"/>
      <c r="D994" s="59"/>
      <c r="I994" s="59"/>
      <c r="J994" s="59"/>
      <c r="K994" s="59"/>
    </row>
    <row r="995" ht="12.75" customHeight="1">
      <c r="A995" s="46"/>
      <c r="B995" s="59"/>
      <c r="C995" s="59"/>
      <c r="D995" s="59"/>
      <c r="I995" s="59"/>
      <c r="J995" s="59"/>
      <c r="K995" s="59"/>
    </row>
    <row r="996" ht="12.75" customHeight="1">
      <c r="A996" s="46"/>
      <c r="B996" s="59"/>
      <c r="C996" s="59"/>
      <c r="D996" s="59"/>
      <c r="I996" s="59"/>
      <c r="J996" s="59"/>
      <c r="K996" s="59"/>
    </row>
    <row r="997" ht="12.75" customHeight="1">
      <c r="A997" s="46"/>
      <c r="B997" s="59"/>
      <c r="C997" s="59"/>
      <c r="D997" s="59"/>
      <c r="I997" s="59"/>
      <c r="J997" s="59"/>
      <c r="K997" s="59"/>
    </row>
    <row r="998" ht="12.75" customHeight="1">
      <c r="A998" s="46"/>
      <c r="B998" s="59"/>
      <c r="C998" s="59"/>
      <c r="D998" s="59"/>
      <c r="I998" s="59"/>
      <c r="J998" s="59"/>
      <c r="K998" s="59"/>
    </row>
    <row r="999" ht="12.75" customHeight="1">
      <c r="A999" s="46"/>
      <c r="B999" s="59"/>
      <c r="C999" s="59"/>
      <c r="D999" s="59"/>
      <c r="I999" s="59"/>
      <c r="J999" s="59"/>
      <c r="K999" s="59"/>
    </row>
    <row r="1000" ht="12.75" customHeight="1">
      <c r="A1000" s="46"/>
      <c r="B1000" s="59"/>
      <c r="C1000" s="59"/>
      <c r="D1000" s="59"/>
      <c r="I1000" s="59"/>
      <c r="J1000" s="59"/>
      <c r="K1000" s="59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75"/>
    <col customWidth="1" min="3" max="11" width="11.38"/>
    <col customWidth="1" min="12" max="26" width="10.63"/>
  </cols>
  <sheetData>
    <row r="1" ht="12.75" customHeight="1">
      <c r="A1" s="59">
        <f t="shared" ref="A1:A30" si="1">C1-B1</f>
        <v>78995</v>
      </c>
      <c r="B1" s="59">
        <f>3416+766+542+6386+3736+159</f>
        <v>15005</v>
      </c>
      <c r="C1" s="59">
        <f>21400+4800+3400+40000+23400+1000</f>
        <v>94000</v>
      </c>
      <c r="D1" s="59">
        <f t="shared" ref="D1:D30" si="2">C1*2.3681%</f>
        <v>2226.014</v>
      </c>
      <c r="E1" s="59">
        <f t="shared" ref="E1:E30" si="3">C1-D1</f>
        <v>91773.986</v>
      </c>
      <c r="F1" s="59"/>
      <c r="G1" s="59"/>
      <c r="H1" s="59"/>
      <c r="I1" s="59"/>
      <c r="J1" s="5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59">
        <f t="shared" si="1"/>
        <v>2522</v>
      </c>
      <c r="B2" s="59">
        <f>287+191</f>
        <v>478</v>
      </c>
      <c r="C2" s="59">
        <f>1800+1200</f>
        <v>3000</v>
      </c>
      <c r="D2" s="59">
        <f t="shared" si="2"/>
        <v>71.043</v>
      </c>
      <c r="E2" s="59">
        <f t="shared" si="3"/>
        <v>2928.957</v>
      </c>
      <c r="F2" s="59"/>
      <c r="G2" s="59"/>
      <c r="H2" s="59"/>
      <c r="I2" s="59"/>
      <c r="J2" s="59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59">
        <f t="shared" si="1"/>
        <v>3614</v>
      </c>
      <c r="B3" s="59">
        <v>686.0</v>
      </c>
      <c r="C3" s="59">
        <v>4300.0</v>
      </c>
      <c r="D3" s="59">
        <f t="shared" si="2"/>
        <v>101.8283</v>
      </c>
      <c r="E3" s="59">
        <f t="shared" si="3"/>
        <v>4198.1717</v>
      </c>
      <c r="F3" s="59"/>
      <c r="G3" s="59"/>
      <c r="H3" s="59"/>
      <c r="I3" s="59"/>
      <c r="J3" s="59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59">
        <f t="shared" si="1"/>
        <v>1387</v>
      </c>
      <c r="B4" s="59">
        <v>263.0</v>
      </c>
      <c r="C4" s="59">
        <v>1650.0</v>
      </c>
      <c r="D4" s="59">
        <f t="shared" si="2"/>
        <v>39.07365</v>
      </c>
      <c r="E4" s="59">
        <f t="shared" si="3"/>
        <v>1610.92635</v>
      </c>
      <c r="F4" s="59"/>
      <c r="G4" s="59"/>
      <c r="H4" s="59"/>
      <c r="I4" s="59"/>
      <c r="J4" s="5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59">
        <f t="shared" si="1"/>
        <v>6976</v>
      </c>
      <c r="B5" s="59">
        <f>766+558</f>
        <v>1324</v>
      </c>
      <c r="C5" s="59">
        <f>4800+3500</f>
        <v>8300</v>
      </c>
      <c r="D5" s="59">
        <f t="shared" si="2"/>
        <v>196.5523</v>
      </c>
      <c r="E5" s="59">
        <f t="shared" si="3"/>
        <v>8103.4477</v>
      </c>
      <c r="F5" s="59"/>
      <c r="G5" s="59"/>
      <c r="H5" s="59"/>
      <c r="I5" s="59"/>
      <c r="J5" s="59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59">
        <f t="shared" si="1"/>
        <v>20800</v>
      </c>
      <c r="B6" s="59">
        <f>2394+1397+159</f>
        <v>3950</v>
      </c>
      <c r="C6" s="59">
        <f>15000+8750+1000</f>
        <v>24750</v>
      </c>
      <c r="D6" s="59">
        <f t="shared" si="2"/>
        <v>586.10475</v>
      </c>
      <c r="E6" s="59">
        <f t="shared" si="3"/>
        <v>24163.89525</v>
      </c>
      <c r="F6" s="59"/>
      <c r="G6" s="59"/>
      <c r="H6" s="59"/>
      <c r="I6" s="59"/>
      <c r="J6" s="59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59">
        <f t="shared" si="1"/>
        <v>0</v>
      </c>
      <c r="B7" s="59">
        <v>0.0</v>
      </c>
      <c r="C7" s="59">
        <v>0.0</v>
      </c>
      <c r="D7" s="59">
        <f t="shared" si="2"/>
        <v>0</v>
      </c>
      <c r="E7" s="59">
        <f t="shared" si="3"/>
        <v>0</v>
      </c>
      <c r="F7" s="59"/>
      <c r="G7" s="59"/>
      <c r="H7" s="59"/>
      <c r="I7" s="59"/>
      <c r="J7" s="59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59">
        <f t="shared" si="1"/>
        <v>26178</v>
      </c>
      <c r="B8" s="59">
        <f>223+997+3752</f>
        <v>4972</v>
      </c>
      <c r="C8" s="59">
        <f>1400+6250+23500</f>
        <v>31150</v>
      </c>
      <c r="D8" s="59">
        <f t="shared" si="2"/>
        <v>737.66315</v>
      </c>
      <c r="E8" s="59">
        <f t="shared" si="3"/>
        <v>30412.33685</v>
      </c>
      <c r="F8" s="59"/>
      <c r="G8" s="59"/>
      <c r="H8" s="59"/>
      <c r="I8" s="59"/>
      <c r="J8" s="59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59">
        <f t="shared" si="1"/>
        <v>1152</v>
      </c>
      <c r="B9" s="59">
        <v>218.0</v>
      </c>
      <c r="C9" s="59">
        <v>1370.0</v>
      </c>
      <c r="D9" s="59">
        <f t="shared" si="2"/>
        <v>32.44297</v>
      </c>
      <c r="E9" s="59">
        <f t="shared" si="3"/>
        <v>1337.55703</v>
      </c>
      <c r="F9" s="59"/>
      <c r="G9" s="59"/>
      <c r="H9" s="59"/>
      <c r="I9" s="59"/>
      <c r="J9" s="59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59">
        <f t="shared" si="1"/>
        <v>12437</v>
      </c>
      <c r="B10" s="59">
        <v>2363.0</v>
      </c>
      <c r="C10" s="59">
        <v>14800.0</v>
      </c>
      <c r="D10" s="59">
        <f t="shared" si="2"/>
        <v>350.4788</v>
      </c>
      <c r="E10" s="59">
        <f t="shared" si="3"/>
        <v>14449.5212</v>
      </c>
      <c r="F10" s="59"/>
      <c r="G10" s="59"/>
      <c r="H10" s="59"/>
      <c r="I10" s="59"/>
      <c r="J10" s="59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59">
        <f t="shared" si="1"/>
        <v>44582</v>
      </c>
      <c r="B11" s="59">
        <f>351+1508+2155+431+3193+830</f>
        <v>8468</v>
      </c>
      <c r="C11" s="59">
        <f>2200+9450+13500+2700+20000+5200</f>
        <v>53050</v>
      </c>
      <c r="D11" s="59">
        <f t="shared" si="2"/>
        <v>1256.27705</v>
      </c>
      <c r="E11" s="59">
        <f t="shared" si="3"/>
        <v>51793.72295</v>
      </c>
      <c r="F11" s="59"/>
      <c r="G11" s="59"/>
      <c r="H11" s="59"/>
      <c r="I11" s="59"/>
      <c r="J11" s="5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59">
        <f t="shared" si="1"/>
        <v>6598</v>
      </c>
      <c r="B12" s="59">
        <f>335+215+319+383</f>
        <v>1252</v>
      </c>
      <c r="C12" s="59">
        <f>2100+1350+2000+2400</f>
        <v>7850</v>
      </c>
      <c r="D12" s="59">
        <f t="shared" si="2"/>
        <v>185.89585</v>
      </c>
      <c r="E12" s="59">
        <f t="shared" si="3"/>
        <v>7664.10415</v>
      </c>
      <c r="F12" s="59"/>
      <c r="G12" s="59"/>
      <c r="H12" s="59"/>
      <c r="I12" s="59"/>
      <c r="J12" s="59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59">
        <f t="shared" si="1"/>
        <v>10170</v>
      </c>
      <c r="B13" s="59">
        <f>702+590+638</f>
        <v>1930</v>
      </c>
      <c r="C13" s="59">
        <f>4400+3700+4000</f>
        <v>12100</v>
      </c>
      <c r="D13" s="59">
        <f t="shared" si="2"/>
        <v>286.5401</v>
      </c>
      <c r="E13" s="59">
        <f t="shared" si="3"/>
        <v>11813.4599</v>
      </c>
      <c r="F13" s="59"/>
      <c r="G13" s="59"/>
      <c r="H13" s="59"/>
      <c r="I13" s="59"/>
      <c r="J13" s="59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59">
        <f t="shared" si="1"/>
        <v>22691</v>
      </c>
      <c r="B14" s="59">
        <f>638+2554+1117</f>
        <v>4309</v>
      </c>
      <c r="C14" s="59">
        <f>4000+16000+7000</f>
        <v>27000</v>
      </c>
      <c r="D14" s="59">
        <f t="shared" si="2"/>
        <v>639.387</v>
      </c>
      <c r="E14" s="59">
        <f t="shared" si="3"/>
        <v>26360.613</v>
      </c>
      <c r="F14" s="59"/>
      <c r="G14" s="59"/>
      <c r="H14" s="59"/>
      <c r="I14" s="59"/>
      <c r="J14" s="59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59">
        <f t="shared" si="1"/>
        <v>8152</v>
      </c>
      <c r="B15" s="59">
        <f>319+1229</f>
        <v>1548</v>
      </c>
      <c r="C15" s="59">
        <f>2000+7700</f>
        <v>9700</v>
      </c>
      <c r="D15" s="59">
        <f t="shared" si="2"/>
        <v>229.7057</v>
      </c>
      <c r="E15" s="59">
        <f t="shared" si="3"/>
        <v>9470.2943</v>
      </c>
      <c r="F15" s="59"/>
      <c r="G15" s="59"/>
      <c r="H15" s="59"/>
      <c r="I15" s="59"/>
      <c r="J15" s="59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59">
        <f t="shared" si="1"/>
        <v>4732</v>
      </c>
      <c r="B16" s="59">
        <f>624+274</f>
        <v>898</v>
      </c>
      <c r="C16" s="59">
        <f>3910+1720</f>
        <v>5630</v>
      </c>
      <c r="D16" s="59">
        <f t="shared" si="2"/>
        <v>133.32403</v>
      </c>
      <c r="E16" s="59">
        <f t="shared" si="3"/>
        <v>5496.67597</v>
      </c>
      <c r="F16" s="59"/>
      <c r="G16" s="59"/>
      <c r="H16" s="59"/>
      <c r="I16" s="59"/>
      <c r="J16" s="59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59">
        <f t="shared" si="1"/>
        <v>0</v>
      </c>
      <c r="B17" s="59">
        <v>0.0</v>
      </c>
      <c r="C17" s="59">
        <v>0.0</v>
      </c>
      <c r="D17" s="59">
        <f t="shared" si="2"/>
        <v>0</v>
      </c>
      <c r="E17" s="59">
        <f t="shared" si="3"/>
        <v>0</v>
      </c>
      <c r="F17" s="59"/>
      <c r="G17" s="59"/>
      <c r="H17" s="59"/>
      <c r="I17" s="59"/>
      <c r="J17" s="59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59">
        <f t="shared" si="1"/>
        <v>33532</v>
      </c>
      <c r="B18" s="59">
        <f>2075+1756+335+351+199+1652</f>
        <v>6368</v>
      </c>
      <c r="C18" s="59">
        <f>13000+11000+2100+2200+1250+10350</f>
        <v>39900</v>
      </c>
      <c r="D18" s="59">
        <f t="shared" si="2"/>
        <v>944.8719</v>
      </c>
      <c r="E18" s="59">
        <f t="shared" si="3"/>
        <v>38955.1281</v>
      </c>
      <c r="F18" s="59"/>
      <c r="G18" s="59"/>
      <c r="H18" s="59"/>
      <c r="I18" s="59"/>
      <c r="J18" s="59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59">
        <f t="shared" si="1"/>
        <v>12111</v>
      </c>
      <c r="B19" s="59">
        <f>166+957+1176</f>
        <v>2299</v>
      </c>
      <c r="C19" s="59">
        <f>1040+6000+7370</f>
        <v>14410</v>
      </c>
      <c r="D19" s="59">
        <f t="shared" si="2"/>
        <v>341.24321</v>
      </c>
      <c r="E19" s="59">
        <f t="shared" si="3"/>
        <v>14068.75679</v>
      </c>
      <c r="F19" s="59"/>
      <c r="G19" s="59"/>
      <c r="H19" s="59"/>
      <c r="I19" s="59"/>
      <c r="J19" s="59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59">
        <f t="shared" si="1"/>
        <v>5589</v>
      </c>
      <c r="B20" s="59">
        <f>423+638</f>
        <v>1061</v>
      </c>
      <c r="C20" s="59">
        <f>2650+4000</f>
        <v>6650</v>
      </c>
      <c r="D20" s="59">
        <f t="shared" si="2"/>
        <v>157.47865</v>
      </c>
      <c r="E20" s="59">
        <f t="shared" si="3"/>
        <v>6492.52135</v>
      </c>
      <c r="F20" s="59"/>
      <c r="G20" s="59"/>
      <c r="H20" s="59"/>
      <c r="I20" s="59"/>
      <c r="J20" s="59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59">
        <f t="shared" si="1"/>
        <v>2858</v>
      </c>
      <c r="B21" s="59">
        <v>542.0</v>
      </c>
      <c r="C21" s="59">
        <v>3400.0</v>
      </c>
      <c r="D21" s="59">
        <f t="shared" si="2"/>
        <v>80.5154</v>
      </c>
      <c r="E21" s="59">
        <f t="shared" si="3"/>
        <v>3319.4846</v>
      </c>
      <c r="F21" s="59"/>
      <c r="G21" s="59"/>
      <c r="H21" s="59"/>
      <c r="I21" s="59"/>
      <c r="J21" s="59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59">
        <f t="shared" si="1"/>
        <v>22314</v>
      </c>
      <c r="B22" s="59">
        <f>271+223+662+526+2554</f>
        <v>4236</v>
      </c>
      <c r="C22" s="59">
        <f>1700+1400+4150+3300+16000</f>
        <v>26550</v>
      </c>
      <c r="D22" s="59">
        <f t="shared" si="2"/>
        <v>628.73055</v>
      </c>
      <c r="E22" s="59">
        <f t="shared" si="3"/>
        <v>25921.26945</v>
      </c>
      <c r="F22" s="59"/>
      <c r="G22" s="59"/>
      <c r="H22" s="59"/>
      <c r="I22" s="59"/>
      <c r="J22" s="59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59">
        <f t="shared" si="1"/>
        <v>29136</v>
      </c>
      <c r="B23" s="59">
        <f>702+3603+1229</f>
        <v>5534</v>
      </c>
      <c r="C23" s="59">
        <f>4400+22570+7700</f>
        <v>34670</v>
      </c>
      <c r="D23" s="59">
        <f t="shared" si="2"/>
        <v>821.02027</v>
      </c>
      <c r="E23" s="59">
        <f t="shared" si="3"/>
        <v>33848.97973</v>
      </c>
      <c r="F23" s="59"/>
      <c r="G23" s="59"/>
      <c r="H23" s="59"/>
      <c r="I23" s="59"/>
      <c r="J23" s="59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59">
        <f t="shared" si="1"/>
        <v>35087</v>
      </c>
      <c r="B24" s="59">
        <f>1915+1077+1277+2394</f>
        <v>6663</v>
      </c>
      <c r="C24" s="59">
        <f>12000+6750+8000+15000</f>
        <v>41750</v>
      </c>
      <c r="D24" s="59">
        <f t="shared" si="2"/>
        <v>988.68175</v>
      </c>
      <c r="E24" s="59">
        <f t="shared" si="3"/>
        <v>40761.31825</v>
      </c>
      <c r="F24" s="59"/>
      <c r="G24" s="59"/>
      <c r="H24" s="59"/>
      <c r="I24" s="59"/>
      <c r="J24" s="59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59">
        <f t="shared" si="1"/>
        <v>1345</v>
      </c>
      <c r="B25" s="59">
        <v>255.0</v>
      </c>
      <c r="C25" s="59">
        <v>1600.0</v>
      </c>
      <c r="D25" s="59">
        <f t="shared" si="2"/>
        <v>37.8896</v>
      </c>
      <c r="E25" s="59">
        <f t="shared" si="3"/>
        <v>1562.1104</v>
      </c>
      <c r="F25" s="59"/>
      <c r="G25" s="59"/>
      <c r="H25" s="59"/>
      <c r="I25" s="59"/>
      <c r="J25" s="59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59">
        <f t="shared" si="1"/>
        <v>5799</v>
      </c>
      <c r="B26" s="59">
        <v>1101.0</v>
      </c>
      <c r="C26" s="59">
        <v>6900.0</v>
      </c>
      <c r="D26" s="59">
        <f t="shared" si="2"/>
        <v>163.3989</v>
      </c>
      <c r="E26" s="59">
        <f t="shared" si="3"/>
        <v>6736.6011</v>
      </c>
      <c r="F26" s="59"/>
      <c r="G26" s="59"/>
      <c r="H26" s="59"/>
      <c r="I26" s="59"/>
      <c r="J26" s="59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59">
        <f t="shared" si="1"/>
        <v>11976</v>
      </c>
      <c r="B27" s="59">
        <f>399+399+1476</f>
        <v>2274</v>
      </c>
      <c r="C27" s="59">
        <f>2500+2500+9250</f>
        <v>14250</v>
      </c>
      <c r="D27" s="59">
        <f t="shared" si="2"/>
        <v>337.45425</v>
      </c>
      <c r="E27" s="59">
        <f t="shared" si="3"/>
        <v>13912.54575</v>
      </c>
      <c r="F27" s="59"/>
      <c r="G27" s="59"/>
      <c r="H27" s="59"/>
      <c r="I27" s="59"/>
      <c r="J27" s="59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59">
        <f t="shared" si="1"/>
        <v>38404</v>
      </c>
      <c r="B28" s="59">
        <f>191+7105</f>
        <v>7296</v>
      </c>
      <c r="C28" s="59">
        <f>1200+44500</f>
        <v>45700</v>
      </c>
      <c r="D28" s="59">
        <f t="shared" si="2"/>
        <v>1082.2217</v>
      </c>
      <c r="E28" s="59">
        <f t="shared" si="3"/>
        <v>44617.7783</v>
      </c>
      <c r="F28" s="59"/>
      <c r="G28" s="59"/>
      <c r="H28" s="59"/>
      <c r="I28" s="59"/>
      <c r="J28" s="59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59">
        <f t="shared" si="1"/>
        <v>8867</v>
      </c>
      <c r="B29" s="59">
        <f>143+1261+279</f>
        <v>1683</v>
      </c>
      <c r="C29" s="59">
        <f>900+7900+1750</f>
        <v>10550</v>
      </c>
      <c r="D29" s="59">
        <f t="shared" si="2"/>
        <v>249.83455</v>
      </c>
      <c r="E29" s="59">
        <f t="shared" si="3"/>
        <v>10300.16545</v>
      </c>
      <c r="F29" s="59"/>
      <c r="G29" s="59"/>
      <c r="H29" s="87" t="s">
        <v>1</v>
      </c>
      <c r="I29" s="65"/>
      <c r="J29" s="88" t="s">
        <v>3381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59">
        <f t="shared" si="1"/>
        <v>3950</v>
      </c>
      <c r="B30" s="59">
        <v>750.0</v>
      </c>
      <c r="C30" s="59">
        <v>4700.0</v>
      </c>
      <c r="D30" s="59">
        <f t="shared" si="2"/>
        <v>111.3007</v>
      </c>
      <c r="E30" s="59">
        <f t="shared" si="3"/>
        <v>4588.6993</v>
      </c>
      <c r="F30" s="59"/>
      <c r="G30" s="37" t="s">
        <v>3387</v>
      </c>
      <c r="H30" s="59">
        <v>259976.0</v>
      </c>
      <c r="I30" s="59"/>
      <c r="J30" s="59">
        <v>87765.0</v>
      </c>
      <c r="K30" s="37" t="s">
        <v>2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66">
        <f t="shared" ref="A31:C31" si="4">SUM(A1:A30)</f>
        <v>461954</v>
      </c>
      <c r="B31" s="66">
        <f t="shared" si="4"/>
        <v>87726</v>
      </c>
      <c r="C31" s="66">
        <f t="shared" si="4"/>
        <v>549680</v>
      </c>
      <c r="D31" s="59"/>
      <c r="E31" s="59"/>
      <c r="F31" s="59"/>
      <c r="G31" s="37" t="s">
        <v>3381</v>
      </c>
      <c r="H31" s="59">
        <v>49395.0</v>
      </c>
      <c r="I31" s="59"/>
      <c r="J31" s="59">
        <v>49395.0</v>
      </c>
      <c r="K31" s="37" t="s">
        <v>1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59"/>
      <c r="B32" s="59"/>
      <c r="C32" s="59"/>
      <c r="D32" s="59"/>
      <c r="E32" s="59"/>
      <c r="F32" s="59"/>
      <c r="G32" s="37" t="s">
        <v>3388</v>
      </c>
      <c r="H32" s="59">
        <v>309371.0</v>
      </c>
      <c r="I32" s="59"/>
      <c r="J32" s="66">
        <f>J30-J31</f>
        <v>38370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59"/>
      <c r="B34" s="78" t="s">
        <v>3218</v>
      </c>
      <c r="C34" s="78">
        <f>C31*2.3681%</f>
        <v>13016.97208</v>
      </c>
      <c r="D34" s="59"/>
      <c r="E34" s="59"/>
      <c r="F34" s="59"/>
      <c r="G34" s="59"/>
      <c r="H34" s="59"/>
      <c r="I34" s="59"/>
      <c r="J34" s="59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59">
        <v>461915.0</v>
      </c>
      <c r="B35" s="59">
        <v>87765.0</v>
      </c>
      <c r="C35" s="59">
        <f>SUM(A35:B35)</f>
        <v>549680</v>
      </c>
      <c r="D35" s="59"/>
      <c r="E35" s="59"/>
      <c r="F35" s="59"/>
      <c r="G35" s="59"/>
      <c r="H35" s="59"/>
      <c r="I35" s="59"/>
      <c r="J35" s="59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59">
        <f t="shared" ref="A36:B36" si="5">A35-A31</f>
        <v>-39</v>
      </c>
      <c r="B36" s="59">
        <f t="shared" si="5"/>
        <v>39</v>
      </c>
      <c r="C36" s="59"/>
      <c r="D36" s="59"/>
      <c r="E36" s="59"/>
      <c r="F36" s="59"/>
      <c r="G36" s="59"/>
      <c r="H36" s="59"/>
      <c r="I36" s="59"/>
      <c r="J36" s="59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75"/>
    <col customWidth="1" min="3" max="3" width="11.38"/>
    <col customWidth="1" min="4" max="26" width="10.63"/>
  </cols>
  <sheetData>
    <row r="1" ht="12.75" customHeight="1">
      <c r="A1" s="59">
        <f t="shared" ref="A1:A31" si="1">C1-B1</f>
        <v>4875</v>
      </c>
      <c r="B1" s="59">
        <f>39+886</f>
        <v>925</v>
      </c>
      <c r="C1" s="59">
        <f>250+5550</f>
        <v>5800</v>
      </c>
      <c r="D1" s="59">
        <f t="shared" ref="D1:D31" si="2">C1*2.3681%</f>
        <v>137.3498</v>
      </c>
      <c r="E1" s="59">
        <f t="shared" ref="E1:E31" si="3">C1-D1</f>
        <v>5662.6502</v>
      </c>
    </row>
    <row r="2" ht="12.75" customHeight="1">
      <c r="A2" s="59">
        <f t="shared" si="1"/>
        <v>6724</v>
      </c>
      <c r="B2" s="59">
        <f>638+399+239</f>
        <v>1276</v>
      </c>
      <c r="C2" s="59">
        <f>4000+2500+1500</f>
        <v>8000</v>
      </c>
      <c r="D2" s="59">
        <f t="shared" si="2"/>
        <v>189.448</v>
      </c>
      <c r="E2" s="59">
        <f t="shared" si="3"/>
        <v>7810.552</v>
      </c>
    </row>
    <row r="3" ht="12.75" customHeight="1">
      <c r="A3" s="59">
        <f t="shared" si="1"/>
        <v>0</v>
      </c>
      <c r="B3" s="59">
        <v>0.0</v>
      </c>
      <c r="C3" s="59">
        <v>0.0</v>
      </c>
      <c r="D3" s="59">
        <f t="shared" si="2"/>
        <v>0</v>
      </c>
      <c r="E3" s="59">
        <f t="shared" si="3"/>
        <v>0</v>
      </c>
    </row>
    <row r="4" ht="12.75" customHeight="1">
      <c r="A4" s="59">
        <f t="shared" si="1"/>
        <v>0</v>
      </c>
      <c r="B4" s="59">
        <v>0.0</v>
      </c>
      <c r="C4" s="59">
        <v>0.0</v>
      </c>
      <c r="D4" s="59">
        <f t="shared" si="2"/>
        <v>0</v>
      </c>
      <c r="E4" s="59">
        <f t="shared" si="3"/>
        <v>0</v>
      </c>
    </row>
    <row r="5" ht="12.75" customHeight="1">
      <c r="A5" s="59">
        <f t="shared" si="1"/>
        <v>12185</v>
      </c>
      <c r="B5" s="59">
        <v>2315.0</v>
      </c>
      <c r="C5" s="59">
        <v>14500.0</v>
      </c>
      <c r="D5" s="59">
        <f t="shared" si="2"/>
        <v>343.3745</v>
      </c>
      <c r="E5" s="59">
        <f t="shared" si="3"/>
        <v>14156.6255</v>
      </c>
    </row>
    <row r="6" ht="12.75" customHeight="1">
      <c r="A6" s="59">
        <f t="shared" si="1"/>
        <v>69330</v>
      </c>
      <c r="B6" s="59">
        <f>7344+4789+1037</f>
        <v>13170</v>
      </c>
      <c r="C6" s="59">
        <f>46000+30000+6500</f>
        <v>82500</v>
      </c>
      <c r="D6" s="59">
        <f t="shared" si="2"/>
        <v>1953.6825</v>
      </c>
      <c r="E6" s="59">
        <f t="shared" si="3"/>
        <v>80546.3175</v>
      </c>
    </row>
    <row r="7" ht="12.75" customHeight="1">
      <c r="A7" s="59">
        <f t="shared" si="1"/>
        <v>56053</v>
      </c>
      <c r="B7" s="59">
        <f>1373+734+3352+2155+399+2634</f>
        <v>10647</v>
      </c>
      <c r="C7" s="59">
        <f>8600+4600+21000+13500+2500+16500</f>
        <v>66700</v>
      </c>
      <c r="D7" s="59">
        <f t="shared" si="2"/>
        <v>1579.5227</v>
      </c>
      <c r="E7" s="59">
        <f t="shared" si="3"/>
        <v>65120.4773</v>
      </c>
    </row>
    <row r="8" ht="12.75" customHeight="1">
      <c r="A8" s="59">
        <f t="shared" si="1"/>
        <v>6513</v>
      </c>
      <c r="B8" s="59">
        <f>319+918</f>
        <v>1237</v>
      </c>
      <c r="C8" s="59">
        <f>2000+5750</f>
        <v>7750</v>
      </c>
      <c r="D8" s="59">
        <f t="shared" si="2"/>
        <v>183.52775</v>
      </c>
      <c r="E8" s="59">
        <f t="shared" si="3"/>
        <v>7566.47225</v>
      </c>
    </row>
    <row r="9" ht="12.75" customHeight="1">
      <c r="A9" s="59">
        <f t="shared" si="1"/>
        <v>30674</v>
      </c>
      <c r="B9" s="59">
        <f>1915+718+3193</f>
        <v>5826</v>
      </c>
      <c r="C9" s="59">
        <f>12000+4500+20000</f>
        <v>36500</v>
      </c>
      <c r="D9" s="59">
        <f t="shared" si="2"/>
        <v>864.3565</v>
      </c>
      <c r="E9" s="59">
        <f t="shared" si="3"/>
        <v>35635.6435</v>
      </c>
    </row>
    <row r="10" ht="12.75" customHeight="1">
      <c r="A10" s="59">
        <f t="shared" si="1"/>
        <v>8320</v>
      </c>
      <c r="B10" s="59">
        <v>1580.0</v>
      </c>
      <c r="C10" s="59">
        <v>9900.0</v>
      </c>
      <c r="D10" s="59">
        <f t="shared" si="2"/>
        <v>234.4419</v>
      </c>
      <c r="E10" s="59">
        <f t="shared" si="3"/>
        <v>9665.5581</v>
      </c>
    </row>
    <row r="11" ht="12.75" customHeight="1">
      <c r="A11" s="59">
        <f t="shared" si="1"/>
        <v>5295</v>
      </c>
      <c r="B11" s="59">
        <f>207+798</f>
        <v>1005</v>
      </c>
      <c r="C11" s="59">
        <f>1300+5000</f>
        <v>6300</v>
      </c>
      <c r="D11" s="59">
        <f t="shared" si="2"/>
        <v>149.1903</v>
      </c>
      <c r="E11" s="59">
        <f t="shared" si="3"/>
        <v>6150.8097</v>
      </c>
    </row>
    <row r="12" ht="12.75" customHeight="1">
      <c r="A12" s="59">
        <f t="shared" si="1"/>
        <v>44791</v>
      </c>
      <c r="B12" s="59">
        <f>7025+606+878</f>
        <v>8509</v>
      </c>
      <c r="C12" s="59">
        <f>44000+3800+5500</f>
        <v>53300</v>
      </c>
      <c r="D12" s="59">
        <f t="shared" si="2"/>
        <v>1262.1973</v>
      </c>
      <c r="E12" s="59">
        <f t="shared" si="3"/>
        <v>52037.8027</v>
      </c>
    </row>
    <row r="13" ht="12.75" customHeight="1">
      <c r="A13" s="59">
        <f t="shared" si="1"/>
        <v>0</v>
      </c>
      <c r="B13" s="59">
        <v>0.0</v>
      </c>
      <c r="C13" s="59">
        <v>0.0</v>
      </c>
      <c r="D13" s="59">
        <f t="shared" si="2"/>
        <v>0</v>
      </c>
      <c r="E13" s="59">
        <f t="shared" si="3"/>
        <v>0</v>
      </c>
    </row>
    <row r="14" ht="12.75" customHeight="1">
      <c r="A14" s="59">
        <f t="shared" si="1"/>
        <v>14245</v>
      </c>
      <c r="B14" s="59">
        <f>886+798+319+383+319</f>
        <v>2705</v>
      </c>
      <c r="C14" s="59">
        <f>5550+5000+2000+2400+2000</f>
        <v>16950</v>
      </c>
      <c r="D14" s="59">
        <f t="shared" si="2"/>
        <v>401.39295</v>
      </c>
      <c r="E14" s="59">
        <f t="shared" si="3"/>
        <v>16548.60705</v>
      </c>
    </row>
    <row r="15" ht="12.75" customHeight="1">
      <c r="A15" s="59">
        <f t="shared" si="1"/>
        <v>4791</v>
      </c>
      <c r="B15" s="59">
        <f>558+351</f>
        <v>909</v>
      </c>
      <c r="C15" s="59">
        <f>3500+2200</f>
        <v>5700</v>
      </c>
      <c r="D15" s="59">
        <f t="shared" si="2"/>
        <v>134.9817</v>
      </c>
      <c r="E15" s="59">
        <f t="shared" si="3"/>
        <v>5565.0183</v>
      </c>
    </row>
    <row r="16" ht="12.75" customHeight="1">
      <c r="A16" s="59">
        <f t="shared" si="1"/>
        <v>48280</v>
      </c>
      <c r="B16" s="59">
        <f>2682+1500+1436+359+3193</f>
        <v>9170</v>
      </c>
      <c r="C16" s="59">
        <f>16800+9400+9000+2250+20000</f>
        <v>57450</v>
      </c>
      <c r="D16" s="59">
        <f t="shared" si="2"/>
        <v>1360.47345</v>
      </c>
      <c r="E16" s="59">
        <f t="shared" si="3"/>
        <v>56089.52655</v>
      </c>
    </row>
    <row r="17" ht="12.75" customHeight="1">
      <c r="A17" s="59">
        <f t="shared" si="1"/>
        <v>0</v>
      </c>
      <c r="B17" s="59">
        <v>0.0</v>
      </c>
      <c r="C17" s="59">
        <v>0.0</v>
      </c>
      <c r="D17" s="59">
        <f t="shared" si="2"/>
        <v>0</v>
      </c>
      <c r="E17" s="59">
        <f t="shared" si="3"/>
        <v>0</v>
      </c>
    </row>
    <row r="18" ht="12.75" customHeight="1">
      <c r="A18" s="59">
        <f t="shared" si="1"/>
        <v>26723</v>
      </c>
      <c r="B18" s="59">
        <f>447+4630</f>
        <v>5077</v>
      </c>
      <c r="C18" s="59">
        <f>2800+29000</f>
        <v>31800</v>
      </c>
      <c r="D18" s="59">
        <f t="shared" si="2"/>
        <v>753.0558</v>
      </c>
      <c r="E18" s="59">
        <f t="shared" si="3"/>
        <v>31046.9442</v>
      </c>
    </row>
    <row r="19" ht="12.75" customHeight="1">
      <c r="A19" s="59">
        <f t="shared" si="1"/>
        <v>3194</v>
      </c>
      <c r="B19" s="59">
        <v>606.0</v>
      </c>
      <c r="C19" s="59">
        <v>3800.0</v>
      </c>
      <c r="D19" s="59">
        <f t="shared" si="2"/>
        <v>89.9878</v>
      </c>
      <c r="E19" s="59">
        <f t="shared" si="3"/>
        <v>3710.0122</v>
      </c>
    </row>
    <row r="20" ht="12.75" customHeight="1">
      <c r="A20" s="59">
        <f t="shared" si="1"/>
        <v>31009</v>
      </c>
      <c r="B20" s="59">
        <v>5891.0</v>
      </c>
      <c r="C20" s="59">
        <v>36900.0</v>
      </c>
      <c r="D20" s="59">
        <f t="shared" si="2"/>
        <v>873.8289</v>
      </c>
      <c r="E20" s="59">
        <f t="shared" si="3"/>
        <v>36026.1711</v>
      </c>
    </row>
    <row r="21" ht="12.75" customHeight="1">
      <c r="A21" s="59">
        <f t="shared" si="1"/>
        <v>15127</v>
      </c>
      <c r="B21" s="59">
        <f>1117+1756</f>
        <v>2873</v>
      </c>
      <c r="C21" s="59">
        <f>7000+11000</f>
        <v>18000</v>
      </c>
      <c r="D21" s="59">
        <f t="shared" si="2"/>
        <v>426.258</v>
      </c>
      <c r="E21" s="59">
        <f t="shared" si="3"/>
        <v>17573.742</v>
      </c>
    </row>
    <row r="22" ht="12.75" customHeight="1">
      <c r="A22" s="59">
        <f t="shared" si="1"/>
        <v>8993</v>
      </c>
      <c r="B22" s="59">
        <f>670+1037</f>
        <v>1707</v>
      </c>
      <c r="C22" s="59">
        <f>4200+6500</f>
        <v>10700</v>
      </c>
      <c r="D22" s="59">
        <f t="shared" si="2"/>
        <v>253.3867</v>
      </c>
      <c r="E22" s="59">
        <f t="shared" si="3"/>
        <v>10446.6133</v>
      </c>
    </row>
    <row r="23" ht="12.75" customHeight="1">
      <c r="A23" s="59">
        <f t="shared" si="1"/>
        <v>4706</v>
      </c>
      <c r="B23" s="59">
        <v>894.0</v>
      </c>
      <c r="C23" s="59">
        <v>5600.0</v>
      </c>
      <c r="D23" s="59">
        <f t="shared" si="2"/>
        <v>132.6136</v>
      </c>
      <c r="E23" s="59">
        <f t="shared" si="3"/>
        <v>5467.3864</v>
      </c>
    </row>
    <row r="24" ht="12.75" customHeight="1">
      <c r="A24" s="59">
        <f t="shared" si="1"/>
        <v>18993</v>
      </c>
      <c r="B24" s="59">
        <f>654+878+2075</f>
        <v>3607</v>
      </c>
      <c r="C24" s="59">
        <f>4100+5500+13000</f>
        <v>22600</v>
      </c>
      <c r="D24" s="59">
        <f t="shared" si="2"/>
        <v>535.1906</v>
      </c>
      <c r="E24" s="59">
        <f t="shared" si="3"/>
        <v>22064.8094</v>
      </c>
    </row>
    <row r="25" ht="12.75" customHeight="1">
      <c r="A25" s="59">
        <f t="shared" si="1"/>
        <v>19825</v>
      </c>
      <c r="B25" s="59">
        <f>2369+957+439</f>
        <v>3765</v>
      </c>
      <c r="C25" s="59">
        <f>14840+6000+2750</f>
        <v>23590</v>
      </c>
      <c r="D25" s="59">
        <f t="shared" si="2"/>
        <v>558.63479</v>
      </c>
      <c r="E25" s="59">
        <f t="shared" si="3"/>
        <v>23031.36521</v>
      </c>
    </row>
    <row r="26" ht="12.75" customHeight="1">
      <c r="A26" s="59">
        <f t="shared" si="1"/>
        <v>6639</v>
      </c>
      <c r="B26" s="59">
        <f>926+335</f>
        <v>1261</v>
      </c>
      <c r="C26" s="59">
        <f>5800+2100</f>
        <v>7900</v>
      </c>
      <c r="D26" s="59">
        <f t="shared" si="2"/>
        <v>187.0799</v>
      </c>
      <c r="E26" s="59">
        <f t="shared" si="3"/>
        <v>7712.9201</v>
      </c>
    </row>
    <row r="27" ht="12.75" customHeight="1">
      <c r="A27" s="59">
        <f t="shared" si="1"/>
        <v>9959</v>
      </c>
      <c r="B27" s="59">
        <f>878+343+351+319</f>
        <v>1891</v>
      </c>
      <c r="C27" s="59">
        <f>5500+2150+2200+2000</f>
        <v>11850</v>
      </c>
      <c r="D27" s="59">
        <f t="shared" si="2"/>
        <v>280.61985</v>
      </c>
      <c r="E27" s="59">
        <f t="shared" si="3"/>
        <v>11569.38015</v>
      </c>
    </row>
    <row r="28" ht="12.75" customHeight="1">
      <c r="A28" s="59">
        <f t="shared" si="1"/>
        <v>13447</v>
      </c>
      <c r="B28" s="59">
        <f>638+1915</f>
        <v>2553</v>
      </c>
      <c r="C28" s="59">
        <f>4000+12000</f>
        <v>16000</v>
      </c>
      <c r="D28" s="59">
        <f t="shared" si="2"/>
        <v>378.896</v>
      </c>
      <c r="E28" s="59">
        <f t="shared" si="3"/>
        <v>15621.104</v>
      </c>
    </row>
    <row r="29" ht="12.75" customHeight="1">
      <c r="A29" s="59">
        <f t="shared" si="1"/>
        <v>12523</v>
      </c>
      <c r="B29" s="59">
        <f>1596+590+191</f>
        <v>2377</v>
      </c>
      <c r="C29" s="59">
        <f>10000+3700+1200</f>
        <v>14900</v>
      </c>
      <c r="D29" s="59">
        <f t="shared" si="2"/>
        <v>352.8469</v>
      </c>
      <c r="E29" s="59">
        <f t="shared" si="3"/>
        <v>14547.1531</v>
      </c>
      <c r="H29" s="87" t="s">
        <v>1</v>
      </c>
      <c r="I29" s="65"/>
      <c r="J29" s="88" t="s">
        <v>3381</v>
      </c>
    </row>
    <row r="30" ht="12.75" customHeight="1">
      <c r="A30" s="59">
        <f t="shared" si="1"/>
        <v>4035</v>
      </c>
      <c r="B30" s="59">
        <f>367+271+127</f>
        <v>765</v>
      </c>
      <c r="C30" s="59">
        <f>2300+1700+800</f>
        <v>4800</v>
      </c>
      <c r="D30" s="59">
        <f t="shared" si="2"/>
        <v>113.6688</v>
      </c>
      <c r="E30" s="59">
        <f t="shared" si="3"/>
        <v>4686.3312</v>
      </c>
      <c r="G30" s="37" t="s">
        <v>3387</v>
      </c>
      <c r="H30" s="59">
        <v>252018.0</v>
      </c>
      <c r="I30" s="59"/>
      <c r="J30" s="59">
        <v>93211.0</v>
      </c>
      <c r="K30" s="37" t="s">
        <v>2</v>
      </c>
    </row>
    <row r="31" ht="12.75" customHeight="1">
      <c r="A31" s="59">
        <f t="shared" si="1"/>
        <v>3530</v>
      </c>
      <c r="B31" s="59">
        <f>351+319</f>
        <v>670</v>
      </c>
      <c r="C31" s="59">
        <f>2200+2000</f>
        <v>4200</v>
      </c>
      <c r="D31" s="59">
        <f t="shared" si="2"/>
        <v>99.4602</v>
      </c>
      <c r="E31" s="59">
        <f t="shared" si="3"/>
        <v>4100.5398</v>
      </c>
      <c r="G31" s="37" t="s">
        <v>3381</v>
      </c>
      <c r="H31" s="59">
        <v>47884.0</v>
      </c>
      <c r="I31" s="59"/>
      <c r="J31" s="59">
        <v>47884.0</v>
      </c>
      <c r="K31" s="37" t="s">
        <v>1</v>
      </c>
    </row>
    <row r="32" ht="12.75" customHeight="1">
      <c r="A32" s="66">
        <f t="shared" ref="A32:C32" si="4">SUM(A1:A31)</f>
        <v>490779</v>
      </c>
      <c r="B32" s="66">
        <f t="shared" si="4"/>
        <v>93211</v>
      </c>
      <c r="C32" s="66">
        <f t="shared" si="4"/>
        <v>583990</v>
      </c>
      <c r="G32" s="37" t="s">
        <v>3388</v>
      </c>
      <c r="H32" s="59">
        <v>299902.0</v>
      </c>
      <c r="I32" s="59"/>
      <c r="J32" s="66">
        <f>J30-J31</f>
        <v>45327</v>
      </c>
    </row>
    <row r="33" ht="12.75" customHeight="1">
      <c r="A33" s="59"/>
      <c r="B33" s="59"/>
      <c r="C33" s="59"/>
    </row>
    <row r="34" ht="12.75" customHeight="1">
      <c r="A34" s="59"/>
      <c r="B34" s="59"/>
      <c r="C34" s="59"/>
      <c r="F34" s="59"/>
      <c r="G34" s="59"/>
    </row>
    <row r="35" ht="12.75" customHeight="1">
      <c r="A35" s="59"/>
      <c r="B35" s="78" t="s">
        <v>3218</v>
      </c>
      <c r="C35" s="78">
        <f>C32*2.3681%</f>
        <v>13829.46719</v>
      </c>
    </row>
    <row r="36" ht="12.75" customHeight="1">
      <c r="A36" s="59">
        <v>490749.0</v>
      </c>
      <c r="B36" s="59">
        <v>93241.0</v>
      </c>
      <c r="C36" s="59">
        <v>583990.0</v>
      </c>
    </row>
    <row r="37" ht="12.75" customHeight="1">
      <c r="A37" s="59">
        <f t="shared" ref="A37:B37" si="5">A32-A36</f>
        <v>30</v>
      </c>
      <c r="B37" s="59">
        <f t="shared" si="5"/>
        <v>-30</v>
      </c>
      <c r="C37" s="59"/>
    </row>
    <row r="38" ht="12.75" customHeight="1">
      <c r="A38" s="59"/>
      <c r="B38" s="59"/>
      <c r="C38" s="59"/>
    </row>
    <row r="39" ht="12.75" customHeight="1">
      <c r="A39" s="59"/>
      <c r="B39" s="59"/>
      <c r="C39" s="59"/>
    </row>
    <row r="40" ht="12.75" customHeight="1">
      <c r="A40" s="59"/>
      <c r="B40" s="59"/>
      <c r="C40" s="59"/>
    </row>
    <row r="41" ht="12.75" customHeight="1">
      <c r="A41" s="59"/>
      <c r="B41" s="59"/>
      <c r="C41" s="59"/>
    </row>
    <row r="42" ht="12.75" customHeight="1">
      <c r="A42" s="59"/>
      <c r="B42" s="59"/>
      <c r="C42" s="59"/>
    </row>
    <row r="43" ht="12.75" customHeight="1">
      <c r="A43" s="59"/>
      <c r="B43" s="59"/>
      <c r="C43" s="59"/>
    </row>
    <row r="44" ht="12.75" customHeight="1">
      <c r="A44" s="59"/>
      <c r="B44" s="59"/>
      <c r="C44" s="59"/>
    </row>
    <row r="45" ht="12.75" customHeight="1">
      <c r="A45" s="59"/>
      <c r="B45" s="59"/>
      <c r="C45" s="59"/>
    </row>
    <row r="46" ht="12.75" customHeight="1">
      <c r="A46" s="59"/>
      <c r="B46" s="59"/>
      <c r="C46" s="59"/>
    </row>
    <row r="47" ht="12.75" customHeight="1">
      <c r="A47" s="59"/>
      <c r="B47" s="59"/>
      <c r="C47" s="59"/>
    </row>
    <row r="48" ht="12.75" customHeight="1">
      <c r="A48" s="59"/>
      <c r="B48" s="59"/>
      <c r="C48" s="59"/>
    </row>
    <row r="49" ht="12.75" customHeight="1">
      <c r="A49" s="59"/>
      <c r="B49" s="59"/>
      <c r="C49" s="59"/>
    </row>
    <row r="50" ht="12.75" customHeight="1">
      <c r="A50" s="59"/>
      <c r="B50" s="59"/>
      <c r="C50" s="59"/>
    </row>
    <row r="51" ht="12.75" customHeight="1">
      <c r="A51" s="59"/>
      <c r="B51" s="59"/>
      <c r="C51" s="59"/>
    </row>
    <row r="52" ht="12.75" customHeight="1">
      <c r="A52" s="59"/>
      <c r="B52" s="59"/>
      <c r="C52" s="59"/>
    </row>
    <row r="53" ht="12.75" customHeight="1">
      <c r="A53" s="59"/>
      <c r="B53" s="59"/>
      <c r="C53" s="59"/>
    </row>
    <row r="54" ht="12.75" customHeight="1">
      <c r="A54" s="59"/>
      <c r="B54" s="59"/>
      <c r="C54" s="59"/>
    </row>
    <row r="55" ht="12.75" customHeight="1">
      <c r="A55" s="59"/>
      <c r="B55" s="59"/>
      <c r="C55" s="59"/>
    </row>
    <row r="56" ht="12.75" customHeight="1">
      <c r="A56" s="59"/>
      <c r="B56" s="59"/>
      <c r="C56" s="59"/>
    </row>
    <row r="57" ht="12.75" customHeight="1">
      <c r="A57" s="59"/>
      <c r="B57" s="59"/>
      <c r="C57" s="59"/>
    </row>
    <row r="58" ht="12.75" customHeight="1">
      <c r="A58" s="59"/>
      <c r="B58" s="59"/>
      <c r="C58" s="59"/>
    </row>
    <row r="59" ht="12.75" customHeight="1">
      <c r="A59" s="59"/>
      <c r="B59" s="59"/>
      <c r="C59" s="59"/>
    </row>
    <row r="60" ht="12.75" customHeight="1">
      <c r="A60" s="59"/>
      <c r="B60" s="59"/>
      <c r="C60" s="59"/>
    </row>
    <row r="61" ht="12.75" customHeight="1">
      <c r="A61" s="59"/>
      <c r="B61" s="59"/>
      <c r="C61" s="59"/>
    </row>
    <row r="62" ht="12.75" customHeight="1">
      <c r="A62" s="59"/>
      <c r="B62" s="59"/>
      <c r="C62" s="59"/>
    </row>
    <row r="63" ht="12.75" customHeight="1">
      <c r="A63" s="59"/>
      <c r="B63" s="59"/>
      <c r="C63" s="59"/>
    </row>
    <row r="64" ht="12.75" customHeight="1">
      <c r="A64" s="59"/>
      <c r="B64" s="59"/>
      <c r="C64" s="59"/>
    </row>
    <row r="65" ht="12.75" customHeight="1">
      <c r="A65" s="59"/>
      <c r="B65" s="59"/>
      <c r="C65" s="59"/>
    </row>
    <row r="66" ht="12.75" customHeight="1">
      <c r="A66" s="59"/>
      <c r="B66" s="59"/>
      <c r="C66" s="59"/>
    </row>
    <row r="67" ht="12.75" customHeight="1">
      <c r="A67" s="59"/>
      <c r="B67" s="59"/>
      <c r="C67" s="59"/>
    </row>
    <row r="68" ht="12.75" customHeight="1">
      <c r="A68" s="59"/>
      <c r="B68" s="59"/>
      <c r="C68" s="59"/>
    </row>
    <row r="69" ht="12.75" customHeight="1">
      <c r="A69" s="59"/>
      <c r="B69" s="59"/>
      <c r="C69" s="59"/>
    </row>
    <row r="70" ht="12.75" customHeight="1">
      <c r="A70" s="59"/>
      <c r="B70" s="59"/>
      <c r="C70" s="59"/>
    </row>
    <row r="71" ht="12.75" customHeight="1">
      <c r="A71" s="59"/>
      <c r="B71" s="59"/>
      <c r="C71" s="59"/>
    </row>
    <row r="72" ht="12.75" customHeight="1">
      <c r="A72" s="59"/>
      <c r="B72" s="59"/>
      <c r="C72" s="59"/>
    </row>
    <row r="73" ht="12.75" customHeight="1">
      <c r="A73" s="59"/>
      <c r="B73" s="59"/>
      <c r="C73" s="59"/>
    </row>
    <row r="74" ht="12.75" customHeight="1">
      <c r="A74" s="59"/>
      <c r="B74" s="59"/>
      <c r="C74" s="59"/>
    </row>
    <row r="75" ht="12.75" customHeight="1">
      <c r="A75" s="59"/>
      <c r="B75" s="59"/>
      <c r="C75" s="59"/>
    </row>
    <row r="76" ht="12.75" customHeight="1">
      <c r="A76" s="59"/>
      <c r="B76" s="59"/>
      <c r="C76" s="59"/>
    </row>
    <row r="77" ht="12.75" customHeight="1">
      <c r="A77" s="59"/>
      <c r="B77" s="59"/>
      <c r="C77" s="59"/>
    </row>
    <row r="78" ht="12.75" customHeight="1">
      <c r="A78" s="59"/>
      <c r="B78" s="59"/>
      <c r="C78" s="59"/>
    </row>
    <row r="79" ht="12.75" customHeight="1">
      <c r="A79" s="59"/>
      <c r="B79" s="59"/>
      <c r="C79" s="59"/>
    </row>
    <row r="80" ht="12.75" customHeight="1">
      <c r="A80" s="59"/>
      <c r="B80" s="59"/>
      <c r="C80" s="59"/>
    </row>
    <row r="81" ht="12.75" customHeight="1">
      <c r="A81" s="59"/>
      <c r="B81" s="59"/>
      <c r="C81" s="59"/>
    </row>
    <row r="82" ht="12.75" customHeight="1">
      <c r="A82" s="59"/>
      <c r="B82" s="59"/>
      <c r="C82" s="59"/>
    </row>
    <row r="83" ht="12.75" customHeight="1">
      <c r="A83" s="59"/>
      <c r="B83" s="59"/>
      <c r="C83" s="59"/>
    </row>
    <row r="84" ht="12.75" customHeight="1">
      <c r="A84" s="59"/>
      <c r="B84" s="59"/>
      <c r="C84" s="59"/>
    </row>
    <row r="85" ht="12.75" customHeight="1">
      <c r="A85" s="59"/>
      <c r="B85" s="59"/>
      <c r="C85" s="59"/>
    </row>
    <row r="86" ht="12.75" customHeight="1">
      <c r="A86" s="59"/>
      <c r="B86" s="59"/>
      <c r="C86" s="59"/>
    </row>
    <row r="87" ht="12.75" customHeight="1">
      <c r="A87" s="59"/>
      <c r="B87" s="59"/>
      <c r="C87" s="59"/>
    </row>
    <row r="88" ht="12.75" customHeight="1">
      <c r="A88" s="59"/>
      <c r="B88" s="59"/>
      <c r="C88" s="59"/>
    </row>
    <row r="89" ht="12.75" customHeight="1">
      <c r="A89" s="59"/>
      <c r="B89" s="59"/>
      <c r="C89" s="59"/>
    </row>
    <row r="90" ht="12.75" customHeight="1">
      <c r="A90" s="59"/>
      <c r="B90" s="59"/>
      <c r="C90" s="59"/>
    </row>
    <row r="91" ht="12.75" customHeight="1">
      <c r="A91" s="59"/>
      <c r="B91" s="59"/>
      <c r="C91" s="59"/>
    </row>
    <row r="92" ht="12.75" customHeight="1">
      <c r="A92" s="59"/>
      <c r="B92" s="59"/>
      <c r="C92" s="59"/>
    </row>
    <row r="93" ht="12.75" customHeight="1">
      <c r="A93" s="59"/>
      <c r="B93" s="59"/>
      <c r="C93" s="59"/>
    </row>
    <row r="94" ht="12.75" customHeight="1">
      <c r="A94" s="59"/>
      <c r="B94" s="59"/>
      <c r="C94" s="59"/>
    </row>
    <row r="95" ht="12.75" customHeight="1">
      <c r="A95" s="59"/>
      <c r="B95" s="59"/>
      <c r="C95" s="59"/>
    </row>
    <row r="96" ht="12.75" customHeight="1">
      <c r="A96" s="59"/>
      <c r="B96" s="59"/>
      <c r="C96" s="59"/>
    </row>
    <row r="97" ht="12.75" customHeight="1">
      <c r="A97" s="59"/>
      <c r="B97" s="59"/>
      <c r="C97" s="59"/>
    </row>
    <row r="98" ht="12.75" customHeight="1">
      <c r="A98" s="59"/>
      <c r="B98" s="59"/>
      <c r="C98" s="59"/>
    </row>
    <row r="99" ht="12.75" customHeight="1">
      <c r="A99" s="59"/>
      <c r="B99" s="59"/>
      <c r="C99" s="59"/>
    </row>
    <row r="100" ht="12.75" customHeight="1">
      <c r="A100" s="59"/>
      <c r="B100" s="59"/>
      <c r="C100" s="59"/>
    </row>
    <row r="101" ht="12.75" customHeight="1">
      <c r="A101" s="59"/>
      <c r="B101" s="59"/>
      <c r="C101" s="59"/>
    </row>
    <row r="102" ht="12.75" customHeight="1">
      <c r="A102" s="59"/>
      <c r="B102" s="59"/>
      <c r="C102" s="59"/>
    </row>
    <row r="103" ht="12.75" customHeight="1">
      <c r="A103" s="59"/>
      <c r="B103" s="59"/>
      <c r="C103" s="59"/>
    </row>
    <row r="104" ht="12.75" customHeight="1">
      <c r="A104" s="59"/>
      <c r="B104" s="59"/>
      <c r="C104" s="59"/>
    </row>
    <row r="105" ht="12.75" customHeight="1">
      <c r="A105" s="59"/>
      <c r="B105" s="59"/>
      <c r="C105" s="59"/>
    </row>
    <row r="106" ht="12.75" customHeight="1">
      <c r="A106" s="59"/>
      <c r="B106" s="59"/>
      <c r="C106" s="59"/>
    </row>
    <row r="107" ht="12.75" customHeight="1">
      <c r="A107" s="59"/>
      <c r="B107" s="59"/>
      <c r="C107" s="59"/>
    </row>
    <row r="108" ht="12.75" customHeight="1">
      <c r="A108" s="59"/>
      <c r="B108" s="59"/>
      <c r="C108" s="59"/>
    </row>
    <row r="109" ht="12.75" customHeight="1">
      <c r="A109" s="59"/>
      <c r="B109" s="59"/>
      <c r="C109" s="59"/>
    </row>
    <row r="110" ht="12.75" customHeight="1">
      <c r="A110" s="59"/>
      <c r="B110" s="59"/>
      <c r="C110" s="59"/>
    </row>
    <row r="111" ht="12.75" customHeight="1">
      <c r="A111" s="59"/>
      <c r="B111" s="59"/>
      <c r="C111" s="59"/>
    </row>
    <row r="112" ht="12.75" customHeight="1">
      <c r="A112" s="59"/>
      <c r="B112" s="59"/>
      <c r="C112" s="59"/>
    </row>
    <row r="113" ht="12.75" customHeight="1">
      <c r="A113" s="59"/>
      <c r="B113" s="59"/>
      <c r="C113" s="59"/>
    </row>
    <row r="114" ht="12.75" customHeight="1">
      <c r="A114" s="59"/>
      <c r="B114" s="59"/>
      <c r="C114" s="59"/>
    </row>
    <row r="115" ht="12.75" customHeight="1">
      <c r="A115" s="59"/>
      <c r="B115" s="59"/>
      <c r="C115" s="59"/>
    </row>
    <row r="116" ht="12.75" customHeight="1">
      <c r="A116" s="59"/>
      <c r="B116" s="59"/>
      <c r="C116" s="59"/>
    </row>
    <row r="117" ht="12.75" customHeight="1">
      <c r="A117" s="59"/>
      <c r="B117" s="59"/>
      <c r="C117" s="59"/>
    </row>
    <row r="118" ht="12.75" customHeight="1">
      <c r="A118" s="59"/>
      <c r="B118" s="59"/>
      <c r="C118" s="59"/>
    </row>
    <row r="119" ht="12.75" customHeight="1">
      <c r="A119" s="59"/>
      <c r="B119" s="59"/>
      <c r="C119" s="59"/>
    </row>
    <row r="120" ht="12.75" customHeight="1">
      <c r="A120" s="59"/>
      <c r="B120" s="59"/>
      <c r="C120" s="59"/>
    </row>
    <row r="121" ht="12.75" customHeight="1">
      <c r="A121" s="59"/>
      <c r="B121" s="59"/>
      <c r="C121" s="59"/>
    </row>
    <row r="122" ht="12.75" customHeight="1">
      <c r="A122" s="59"/>
      <c r="B122" s="59"/>
      <c r="C122" s="59"/>
    </row>
    <row r="123" ht="12.75" customHeight="1">
      <c r="A123" s="59"/>
      <c r="B123" s="59"/>
      <c r="C123" s="59"/>
    </row>
    <row r="124" ht="12.75" customHeight="1">
      <c r="A124" s="59"/>
      <c r="B124" s="59"/>
      <c r="C124" s="59"/>
    </row>
    <row r="125" ht="12.75" customHeight="1">
      <c r="A125" s="59"/>
      <c r="B125" s="59"/>
      <c r="C125" s="59"/>
    </row>
    <row r="126" ht="12.75" customHeight="1">
      <c r="A126" s="59"/>
      <c r="B126" s="59"/>
      <c r="C126" s="59"/>
    </row>
    <row r="127" ht="12.75" customHeight="1">
      <c r="A127" s="59"/>
      <c r="B127" s="59"/>
      <c r="C127" s="59"/>
    </row>
    <row r="128" ht="12.75" customHeight="1">
      <c r="A128" s="59"/>
      <c r="B128" s="59"/>
      <c r="C128" s="59"/>
    </row>
    <row r="129" ht="12.75" customHeight="1">
      <c r="A129" s="59"/>
      <c r="B129" s="59"/>
      <c r="C129" s="59"/>
    </row>
    <row r="130" ht="12.75" customHeight="1">
      <c r="A130" s="59"/>
      <c r="B130" s="59"/>
      <c r="C130" s="59"/>
    </row>
    <row r="131" ht="12.75" customHeight="1">
      <c r="A131" s="59"/>
      <c r="B131" s="59"/>
      <c r="C131" s="59"/>
    </row>
    <row r="132" ht="12.75" customHeight="1">
      <c r="A132" s="59"/>
      <c r="B132" s="59"/>
      <c r="C132" s="59"/>
    </row>
    <row r="133" ht="12.75" customHeight="1">
      <c r="A133" s="59"/>
      <c r="B133" s="59"/>
      <c r="C133" s="59"/>
    </row>
    <row r="134" ht="12.75" customHeight="1">
      <c r="A134" s="59"/>
      <c r="B134" s="59"/>
      <c r="C134" s="59"/>
    </row>
    <row r="135" ht="12.75" customHeight="1">
      <c r="A135" s="59"/>
      <c r="B135" s="59"/>
      <c r="C135" s="59"/>
    </row>
    <row r="136" ht="12.75" customHeight="1">
      <c r="A136" s="59"/>
      <c r="B136" s="59"/>
      <c r="C136" s="59"/>
    </row>
    <row r="137" ht="12.75" customHeight="1">
      <c r="A137" s="59"/>
      <c r="B137" s="59"/>
      <c r="C137" s="59"/>
    </row>
    <row r="138" ht="12.75" customHeight="1">
      <c r="A138" s="59"/>
      <c r="B138" s="59"/>
      <c r="C138" s="59"/>
    </row>
    <row r="139" ht="12.75" customHeight="1">
      <c r="A139" s="59"/>
      <c r="B139" s="59"/>
      <c r="C139" s="59"/>
    </row>
    <row r="140" ht="12.75" customHeight="1">
      <c r="A140" s="59"/>
      <c r="B140" s="59"/>
      <c r="C140" s="59"/>
    </row>
    <row r="141" ht="12.75" customHeight="1">
      <c r="A141" s="59"/>
      <c r="B141" s="59"/>
      <c r="C141" s="59"/>
    </row>
    <row r="142" ht="12.75" customHeight="1">
      <c r="A142" s="59"/>
      <c r="B142" s="59"/>
      <c r="C142" s="59"/>
    </row>
    <row r="143" ht="12.75" customHeight="1">
      <c r="A143" s="59"/>
      <c r="B143" s="59"/>
      <c r="C143" s="59"/>
    </row>
    <row r="144" ht="12.75" customHeight="1">
      <c r="A144" s="59"/>
      <c r="B144" s="59"/>
      <c r="C144" s="59"/>
    </row>
    <row r="145" ht="12.75" customHeight="1">
      <c r="A145" s="59"/>
      <c r="B145" s="59"/>
      <c r="C145" s="59"/>
    </row>
    <row r="146" ht="12.75" customHeight="1">
      <c r="A146" s="59"/>
      <c r="B146" s="59"/>
      <c r="C146" s="59"/>
    </row>
    <row r="147" ht="12.75" customHeight="1">
      <c r="A147" s="59"/>
      <c r="B147" s="59"/>
      <c r="C147" s="59"/>
    </row>
    <row r="148" ht="12.75" customHeight="1">
      <c r="A148" s="59"/>
      <c r="B148" s="59"/>
      <c r="C148" s="59"/>
    </row>
    <row r="149" ht="12.75" customHeight="1">
      <c r="A149" s="59"/>
      <c r="B149" s="59"/>
      <c r="C149" s="59"/>
    </row>
    <row r="150" ht="12.75" customHeight="1">
      <c r="A150" s="59"/>
      <c r="B150" s="59"/>
      <c r="C150" s="59"/>
    </row>
    <row r="151" ht="12.75" customHeight="1">
      <c r="A151" s="59"/>
      <c r="B151" s="59"/>
      <c r="C151" s="59"/>
    </row>
    <row r="152" ht="12.75" customHeight="1">
      <c r="A152" s="59"/>
      <c r="B152" s="59"/>
      <c r="C152" s="59"/>
    </row>
    <row r="153" ht="12.75" customHeight="1">
      <c r="A153" s="59"/>
      <c r="B153" s="59"/>
      <c r="C153" s="59"/>
    </row>
    <row r="154" ht="12.75" customHeight="1">
      <c r="A154" s="59"/>
      <c r="B154" s="59"/>
      <c r="C154" s="59"/>
    </row>
    <row r="155" ht="12.75" customHeight="1">
      <c r="A155" s="59"/>
      <c r="B155" s="59"/>
      <c r="C155" s="59"/>
    </row>
    <row r="156" ht="12.75" customHeight="1">
      <c r="A156" s="59"/>
      <c r="B156" s="59"/>
      <c r="C156" s="59"/>
    </row>
    <row r="157" ht="12.75" customHeight="1">
      <c r="A157" s="59"/>
      <c r="B157" s="59"/>
      <c r="C157" s="59"/>
    </row>
    <row r="158" ht="12.75" customHeight="1">
      <c r="A158" s="59"/>
      <c r="B158" s="59"/>
      <c r="C158" s="59"/>
    </row>
    <row r="159" ht="12.75" customHeight="1">
      <c r="A159" s="59"/>
      <c r="B159" s="59"/>
      <c r="C159" s="59"/>
    </row>
    <row r="160" ht="12.75" customHeight="1">
      <c r="A160" s="59"/>
      <c r="B160" s="59"/>
      <c r="C160" s="59"/>
    </row>
    <row r="161" ht="12.75" customHeight="1">
      <c r="A161" s="59"/>
      <c r="B161" s="59"/>
      <c r="C161" s="59"/>
    </row>
    <row r="162" ht="12.75" customHeight="1">
      <c r="A162" s="59"/>
      <c r="B162" s="59"/>
      <c r="C162" s="59"/>
    </row>
    <row r="163" ht="12.75" customHeight="1">
      <c r="A163" s="59"/>
      <c r="B163" s="59"/>
      <c r="C163" s="59"/>
    </row>
    <row r="164" ht="12.75" customHeight="1">
      <c r="A164" s="59"/>
      <c r="B164" s="59"/>
      <c r="C164" s="59"/>
    </row>
    <row r="165" ht="12.75" customHeight="1">
      <c r="A165" s="59"/>
      <c r="B165" s="59"/>
      <c r="C165" s="59"/>
    </row>
    <row r="166" ht="12.75" customHeight="1">
      <c r="A166" s="59"/>
      <c r="B166" s="59"/>
      <c r="C166" s="59"/>
    </row>
    <row r="167" ht="12.75" customHeight="1">
      <c r="A167" s="59"/>
      <c r="B167" s="59"/>
      <c r="C167" s="59"/>
    </row>
    <row r="168" ht="12.75" customHeight="1">
      <c r="A168" s="59"/>
      <c r="B168" s="59"/>
      <c r="C168" s="59"/>
    </row>
    <row r="169" ht="12.75" customHeight="1">
      <c r="A169" s="59"/>
      <c r="B169" s="59"/>
      <c r="C169" s="59"/>
    </row>
    <row r="170" ht="12.75" customHeight="1">
      <c r="A170" s="59"/>
      <c r="B170" s="59"/>
      <c r="C170" s="59"/>
    </row>
    <row r="171" ht="12.75" customHeight="1">
      <c r="A171" s="59"/>
      <c r="B171" s="59"/>
      <c r="C171" s="59"/>
    </row>
    <row r="172" ht="12.75" customHeight="1">
      <c r="A172" s="59"/>
      <c r="B172" s="59"/>
      <c r="C172" s="59"/>
    </row>
    <row r="173" ht="12.75" customHeight="1">
      <c r="A173" s="59"/>
      <c r="B173" s="59"/>
      <c r="C173" s="59"/>
    </row>
    <row r="174" ht="12.75" customHeight="1">
      <c r="A174" s="59"/>
      <c r="B174" s="59"/>
      <c r="C174" s="59"/>
    </row>
    <row r="175" ht="12.75" customHeight="1">
      <c r="A175" s="59"/>
      <c r="B175" s="59"/>
      <c r="C175" s="59"/>
    </row>
    <row r="176" ht="12.75" customHeight="1">
      <c r="A176" s="59"/>
      <c r="B176" s="59"/>
      <c r="C176" s="59"/>
    </row>
    <row r="177" ht="12.75" customHeight="1">
      <c r="A177" s="59"/>
      <c r="B177" s="59"/>
      <c r="C177" s="59"/>
    </row>
    <row r="178" ht="12.75" customHeight="1">
      <c r="A178" s="59"/>
      <c r="B178" s="59"/>
      <c r="C178" s="59"/>
    </row>
    <row r="179" ht="12.75" customHeight="1">
      <c r="A179" s="59"/>
      <c r="B179" s="59"/>
      <c r="C179" s="59"/>
    </row>
    <row r="180" ht="12.75" customHeight="1">
      <c r="A180" s="59"/>
      <c r="B180" s="59"/>
      <c r="C180" s="59"/>
    </row>
    <row r="181" ht="12.75" customHeight="1">
      <c r="A181" s="59"/>
      <c r="B181" s="59"/>
      <c r="C181" s="59"/>
    </row>
    <row r="182" ht="12.75" customHeight="1">
      <c r="A182" s="59"/>
      <c r="B182" s="59"/>
      <c r="C182" s="59"/>
    </row>
    <row r="183" ht="12.75" customHeight="1">
      <c r="A183" s="59"/>
      <c r="B183" s="59"/>
      <c r="C183" s="59"/>
    </row>
    <row r="184" ht="12.75" customHeight="1">
      <c r="A184" s="59"/>
      <c r="B184" s="59"/>
      <c r="C184" s="59"/>
    </row>
    <row r="185" ht="12.75" customHeight="1">
      <c r="A185" s="59"/>
      <c r="B185" s="59"/>
      <c r="C185" s="59"/>
    </row>
    <row r="186" ht="12.75" customHeight="1">
      <c r="A186" s="59"/>
      <c r="B186" s="59"/>
      <c r="C186" s="59"/>
    </row>
    <row r="187" ht="12.75" customHeight="1">
      <c r="A187" s="59"/>
      <c r="B187" s="59"/>
      <c r="C187" s="59"/>
    </row>
    <row r="188" ht="12.75" customHeight="1">
      <c r="A188" s="59"/>
      <c r="B188" s="59"/>
      <c r="C188" s="59"/>
    </row>
    <row r="189" ht="12.75" customHeight="1">
      <c r="A189" s="59"/>
      <c r="B189" s="59"/>
      <c r="C189" s="59"/>
    </row>
    <row r="190" ht="12.75" customHeight="1">
      <c r="A190" s="59"/>
      <c r="B190" s="59"/>
      <c r="C190" s="59"/>
    </row>
    <row r="191" ht="12.75" customHeight="1">
      <c r="A191" s="59"/>
      <c r="B191" s="59"/>
      <c r="C191" s="59"/>
    </row>
    <row r="192" ht="12.75" customHeight="1">
      <c r="A192" s="59"/>
      <c r="B192" s="59"/>
      <c r="C192" s="59"/>
    </row>
    <row r="193" ht="12.75" customHeight="1">
      <c r="A193" s="59"/>
      <c r="B193" s="59"/>
      <c r="C193" s="59"/>
    </row>
    <row r="194" ht="12.75" customHeight="1">
      <c r="A194" s="59"/>
      <c r="B194" s="59"/>
      <c r="C194" s="59"/>
    </row>
    <row r="195" ht="12.75" customHeight="1">
      <c r="A195" s="59"/>
      <c r="B195" s="59"/>
      <c r="C195" s="59"/>
    </row>
    <row r="196" ht="12.75" customHeight="1">
      <c r="A196" s="59"/>
      <c r="B196" s="59"/>
      <c r="C196" s="59"/>
    </row>
    <row r="197" ht="12.75" customHeight="1">
      <c r="A197" s="59"/>
      <c r="B197" s="59"/>
      <c r="C197" s="59"/>
    </row>
    <row r="198" ht="12.75" customHeight="1">
      <c r="A198" s="59"/>
      <c r="B198" s="59"/>
      <c r="C198" s="59"/>
    </row>
    <row r="199" ht="12.75" customHeight="1">
      <c r="A199" s="59"/>
      <c r="B199" s="59"/>
      <c r="C199" s="59"/>
    </row>
    <row r="200" ht="12.75" customHeight="1">
      <c r="A200" s="59"/>
      <c r="B200" s="59"/>
      <c r="C200" s="59"/>
    </row>
    <row r="201" ht="12.75" customHeight="1">
      <c r="A201" s="59"/>
      <c r="B201" s="59"/>
      <c r="C201" s="59"/>
    </row>
    <row r="202" ht="12.75" customHeight="1">
      <c r="A202" s="59"/>
      <c r="B202" s="59"/>
      <c r="C202" s="59"/>
    </row>
    <row r="203" ht="12.75" customHeight="1">
      <c r="A203" s="59"/>
      <c r="B203" s="59"/>
      <c r="C203" s="59"/>
    </row>
    <row r="204" ht="12.75" customHeight="1">
      <c r="A204" s="59"/>
      <c r="B204" s="59"/>
      <c r="C204" s="59"/>
    </row>
    <row r="205" ht="12.75" customHeight="1">
      <c r="A205" s="59"/>
      <c r="B205" s="59"/>
      <c r="C205" s="59"/>
    </row>
    <row r="206" ht="12.75" customHeight="1">
      <c r="A206" s="59"/>
      <c r="B206" s="59"/>
      <c r="C206" s="59"/>
    </row>
    <row r="207" ht="12.75" customHeight="1">
      <c r="A207" s="59"/>
      <c r="B207" s="59"/>
      <c r="C207" s="59"/>
    </row>
    <row r="208" ht="12.75" customHeight="1">
      <c r="A208" s="59"/>
      <c r="B208" s="59"/>
      <c r="C208" s="59"/>
    </row>
    <row r="209" ht="12.75" customHeight="1">
      <c r="A209" s="59"/>
      <c r="B209" s="59"/>
      <c r="C209" s="59"/>
    </row>
    <row r="210" ht="12.75" customHeight="1">
      <c r="A210" s="59"/>
      <c r="B210" s="59"/>
      <c r="C210" s="59"/>
    </row>
    <row r="211" ht="12.75" customHeight="1">
      <c r="A211" s="59"/>
      <c r="B211" s="59"/>
      <c r="C211" s="59"/>
    </row>
    <row r="212" ht="12.75" customHeight="1">
      <c r="A212" s="59"/>
      <c r="B212" s="59"/>
      <c r="C212" s="59"/>
    </row>
    <row r="213" ht="12.75" customHeight="1">
      <c r="A213" s="59"/>
      <c r="B213" s="59"/>
      <c r="C213" s="59"/>
    </row>
    <row r="214" ht="12.75" customHeight="1">
      <c r="A214" s="59"/>
      <c r="B214" s="59"/>
      <c r="C214" s="59"/>
    </row>
    <row r="215" ht="12.75" customHeight="1">
      <c r="A215" s="59"/>
      <c r="B215" s="59"/>
      <c r="C215" s="59"/>
    </row>
    <row r="216" ht="12.75" customHeight="1">
      <c r="A216" s="59"/>
      <c r="B216" s="59"/>
      <c r="C216" s="59"/>
    </row>
    <row r="217" ht="12.75" customHeight="1">
      <c r="A217" s="59"/>
      <c r="B217" s="59"/>
      <c r="C217" s="59"/>
    </row>
    <row r="218" ht="12.75" customHeight="1">
      <c r="A218" s="59"/>
      <c r="B218" s="59"/>
      <c r="C218" s="59"/>
    </row>
    <row r="219" ht="12.75" customHeight="1">
      <c r="A219" s="59"/>
      <c r="B219" s="59"/>
      <c r="C219" s="59"/>
    </row>
    <row r="220" ht="12.75" customHeight="1">
      <c r="A220" s="59"/>
      <c r="B220" s="59"/>
      <c r="C220" s="59"/>
    </row>
    <row r="221" ht="12.75" customHeight="1">
      <c r="A221" s="59"/>
      <c r="B221" s="59"/>
      <c r="C221" s="59"/>
    </row>
    <row r="222" ht="12.75" customHeight="1">
      <c r="A222" s="59"/>
      <c r="B222" s="59"/>
      <c r="C222" s="59"/>
    </row>
    <row r="223" ht="12.75" customHeight="1">
      <c r="A223" s="59"/>
      <c r="B223" s="59"/>
      <c r="C223" s="59"/>
    </row>
    <row r="224" ht="12.75" customHeight="1">
      <c r="A224" s="59"/>
      <c r="B224" s="59"/>
      <c r="C224" s="59"/>
    </row>
    <row r="225" ht="12.75" customHeight="1">
      <c r="A225" s="59"/>
      <c r="B225" s="59"/>
      <c r="C225" s="59"/>
    </row>
    <row r="226" ht="12.75" customHeight="1">
      <c r="A226" s="59"/>
      <c r="B226" s="59"/>
      <c r="C226" s="59"/>
    </row>
    <row r="227" ht="12.75" customHeight="1">
      <c r="A227" s="59"/>
      <c r="B227" s="59"/>
      <c r="C227" s="59"/>
    </row>
    <row r="228" ht="12.75" customHeight="1">
      <c r="A228" s="59"/>
      <c r="B228" s="59"/>
      <c r="C228" s="59"/>
    </row>
    <row r="229" ht="12.75" customHeight="1">
      <c r="A229" s="59"/>
      <c r="B229" s="59"/>
      <c r="C229" s="59"/>
    </row>
    <row r="230" ht="12.75" customHeight="1">
      <c r="A230" s="59"/>
      <c r="B230" s="59"/>
      <c r="C230" s="59"/>
    </row>
    <row r="231" ht="12.75" customHeight="1">
      <c r="A231" s="59"/>
      <c r="B231" s="59"/>
      <c r="C231" s="59"/>
    </row>
    <row r="232" ht="12.75" customHeight="1">
      <c r="A232" s="59"/>
      <c r="B232" s="59"/>
      <c r="C232" s="59"/>
    </row>
    <row r="233" ht="12.75" customHeight="1">
      <c r="A233" s="59"/>
      <c r="B233" s="59"/>
      <c r="C233" s="59"/>
    </row>
    <row r="234" ht="12.75" customHeight="1">
      <c r="A234" s="59"/>
      <c r="B234" s="59"/>
      <c r="C234" s="59"/>
    </row>
    <row r="235" ht="12.75" customHeight="1">
      <c r="A235" s="59"/>
      <c r="B235" s="59"/>
      <c r="C235" s="59"/>
    </row>
    <row r="236" ht="12.75" customHeight="1">
      <c r="A236" s="59"/>
      <c r="B236" s="59"/>
      <c r="C236" s="59"/>
    </row>
    <row r="237" ht="12.75" customHeight="1">
      <c r="A237" s="59"/>
      <c r="B237" s="59"/>
      <c r="C237" s="59"/>
    </row>
    <row r="238" ht="12.75" customHeight="1">
      <c r="A238" s="59"/>
      <c r="B238" s="59"/>
      <c r="C238" s="59"/>
    </row>
    <row r="239" ht="12.75" customHeight="1">
      <c r="A239" s="59"/>
      <c r="B239" s="59"/>
      <c r="C239" s="59"/>
    </row>
    <row r="240" ht="12.75" customHeight="1">
      <c r="A240" s="59"/>
      <c r="B240" s="59"/>
      <c r="C240" s="59"/>
    </row>
    <row r="241" ht="12.75" customHeight="1">
      <c r="A241" s="59"/>
      <c r="B241" s="59"/>
      <c r="C241" s="59"/>
    </row>
    <row r="242" ht="12.75" customHeight="1">
      <c r="A242" s="59"/>
      <c r="B242" s="59"/>
      <c r="C242" s="59"/>
    </row>
    <row r="243" ht="12.75" customHeight="1">
      <c r="A243" s="59"/>
      <c r="B243" s="59"/>
      <c r="C243" s="59"/>
    </row>
    <row r="244" ht="12.75" customHeight="1">
      <c r="A244" s="59"/>
      <c r="B244" s="59"/>
      <c r="C244" s="59"/>
    </row>
    <row r="245" ht="12.75" customHeight="1">
      <c r="A245" s="59"/>
      <c r="B245" s="59"/>
      <c r="C245" s="59"/>
    </row>
    <row r="246" ht="12.75" customHeight="1">
      <c r="A246" s="59"/>
      <c r="B246" s="59"/>
      <c r="C246" s="59"/>
    </row>
    <row r="247" ht="12.75" customHeight="1">
      <c r="A247" s="59"/>
      <c r="B247" s="59"/>
      <c r="C247" s="59"/>
    </row>
    <row r="248" ht="12.75" customHeight="1">
      <c r="A248" s="59"/>
      <c r="B248" s="59"/>
      <c r="C248" s="59"/>
    </row>
    <row r="249" ht="12.75" customHeight="1">
      <c r="A249" s="59"/>
      <c r="B249" s="59"/>
      <c r="C249" s="59"/>
    </row>
    <row r="250" ht="12.75" customHeight="1">
      <c r="A250" s="59"/>
      <c r="B250" s="59"/>
      <c r="C250" s="59"/>
    </row>
    <row r="251" ht="12.75" customHeight="1">
      <c r="A251" s="59"/>
      <c r="B251" s="59"/>
      <c r="C251" s="59"/>
    </row>
    <row r="252" ht="12.75" customHeight="1">
      <c r="A252" s="59"/>
      <c r="B252" s="59"/>
      <c r="C252" s="59"/>
    </row>
    <row r="253" ht="12.75" customHeight="1">
      <c r="A253" s="59"/>
      <c r="B253" s="59"/>
      <c r="C253" s="59"/>
    </row>
    <row r="254" ht="12.75" customHeight="1">
      <c r="A254" s="59"/>
      <c r="B254" s="59"/>
      <c r="C254" s="59"/>
    </row>
    <row r="255" ht="12.75" customHeight="1">
      <c r="A255" s="59"/>
      <c r="B255" s="59"/>
      <c r="C255" s="59"/>
    </row>
    <row r="256" ht="12.75" customHeight="1">
      <c r="A256" s="59"/>
      <c r="B256" s="59"/>
      <c r="C256" s="59"/>
    </row>
    <row r="257" ht="12.75" customHeight="1">
      <c r="A257" s="59"/>
      <c r="B257" s="59"/>
      <c r="C257" s="59"/>
    </row>
    <row r="258" ht="12.75" customHeight="1">
      <c r="A258" s="59"/>
      <c r="B258" s="59"/>
      <c r="C258" s="59"/>
    </row>
    <row r="259" ht="12.75" customHeight="1">
      <c r="A259" s="59"/>
      <c r="B259" s="59"/>
      <c r="C259" s="59"/>
    </row>
    <row r="260" ht="12.75" customHeight="1">
      <c r="A260" s="59"/>
      <c r="B260" s="59"/>
      <c r="C260" s="59"/>
    </row>
    <row r="261" ht="12.75" customHeight="1">
      <c r="A261" s="59"/>
      <c r="B261" s="59"/>
      <c r="C261" s="59"/>
    </row>
    <row r="262" ht="12.75" customHeight="1">
      <c r="A262" s="59"/>
      <c r="B262" s="59"/>
      <c r="C262" s="59"/>
    </row>
    <row r="263" ht="12.75" customHeight="1">
      <c r="A263" s="59"/>
      <c r="B263" s="59"/>
      <c r="C263" s="59"/>
    </row>
    <row r="264" ht="12.75" customHeight="1">
      <c r="A264" s="59"/>
      <c r="B264" s="59"/>
      <c r="C264" s="59"/>
    </row>
    <row r="265" ht="12.75" customHeight="1">
      <c r="A265" s="59"/>
      <c r="B265" s="59"/>
      <c r="C265" s="59"/>
    </row>
    <row r="266" ht="12.75" customHeight="1">
      <c r="A266" s="59"/>
      <c r="B266" s="59"/>
      <c r="C266" s="59"/>
    </row>
    <row r="267" ht="12.75" customHeight="1">
      <c r="A267" s="59"/>
      <c r="B267" s="59"/>
      <c r="C267" s="59"/>
    </row>
    <row r="268" ht="12.75" customHeight="1">
      <c r="A268" s="59"/>
      <c r="B268" s="59"/>
      <c r="C268" s="59"/>
    </row>
    <row r="269" ht="12.75" customHeight="1">
      <c r="A269" s="59"/>
      <c r="B269" s="59"/>
      <c r="C269" s="59"/>
    </row>
    <row r="270" ht="12.75" customHeight="1">
      <c r="A270" s="59"/>
      <c r="B270" s="59"/>
      <c r="C270" s="59"/>
    </row>
    <row r="271" ht="12.75" customHeight="1">
      <c r="A271" s="59"/>
      <c r="B271" s="59"/>
      <c r="C271" s="59"/>
    </row>
    <row r="272" ht="12.75" customHeight="1">
      <c r="A272" s="59"/>
      <c r="B272" s="59"/>
      <c r="C272" s="59"/>
    </row>
    <row r="273" ht="12.75" customHeight="1">
      <c r="A273" s="59"/>
      <c r="B273" s="59"/>
      <c r="C273" s="59"/>
    </row>
    <row r="274" ht="12.75" customHeight="1">
      <c r="A274" s="59"/>
      <c r="B274" s="59"/>
      <c r="C274" s="59"/>
    </row>
    <row r="275" ht="12.75" customHeight="1">
      <c r="A275" s="59"/>
      <c r="B275" s="59"/>
      <c r="C275" s="59"/>
    </row>
    <row r="276" ht="12.75" customHeight="1">
      <c r="A276" s="59"/>
      <c r="B276" s="59"/>
      <c r="C276" s="59"/>
    </row>
    <row r="277" ht="12.75" customHeight="1">
      <c r="A277" s="59"/>
      <c r="B277" s="59"/>
      <c r="C277" s="59"/>
    </row>
    <row r="278" ht="12.75" customHeight="1">
      <c r="A278" s="59"/>
      <c r="B278" s="59"/>
      <c r="C278" s="59"/>
    </row>
    <row r="279" ht="12.75" customHeight="1">
      <c r="A279" s="59"/>
      <c r="B279" s="59"/>
      <c r="C279" s="59"/>
    </row>
    <row r="280" ht="12.75" customHeight="1">
      <c r="A280" s="59"/>
      <c r="B280" s="59"/>
      <c r="C280" s="59"/>
    </row>
    <row r="281" ht="12.75" customHeight="1">
      <c r="A281" s="59"/>
      <c r="B281" s="59"/>
      <c r="C281" s="59"/>
    </row>
    <row r="282" ht="12.75" customHeight="1">
      <c r="A282" s="59"/>
      <c r="B282" s="59"/>
      <c r="C282" s="59"/>
    </row>
    <row r="283" ht="12.75" customHeight="1">
      <c r="A283" s="59"/>
      <c r="B283" s="59"/>
      <c r="C283" s="59"/>
    </row>
    <row r="284" ht="12.75" customHeight="1">
      <c r="A284" s="59"/>
      <c r="B284" s="59"/>
      <c r="C284" s="59"/>
    </row>
    <row r="285" ht="12.75" customHeight="1">
      <c r="A285" s="59"/>
      <c r="B285" s="59"/>
      <c r="C285" s="59"/>
    </row>
    <row r="286" ht="12.75" customHeight="1">
      <c r="A286" s="59"/>
      <c r="B286" s="59"/>
      <c r="C286" s="59"/>
    </row>
    <row r="287" ht="12.75" customHeight="1">
      <c r="A287" s="59"/>
      <c r="B287" s="59"/>
      <c r="C287" s="59"/>
    </row>
    <row r="288" ht="12.75" customHeight="1">
      <c r="A288" s="59"/>
      <c r="B288" s="59"/>
      <c r="C288" s="59"/>
    </row>
    <row r="289" ht="12.75" customHeight="1">
      <c r="A289" s="59"/>
      <c r="B289" s="59"/>
      <c r="C289" s="59"/>
    </row>
    <row r="290" ht="12.75" customHeight="1">
      <c r="A290" s="59"/>
      <c r="B290" s="59"/>
      <c r="C290" s="59"/>
    </row>
    <row r="291" ht="12.75" customHeight="1">
      <c r="A291" s="59"/>
      <c r="B291" s="59"/>
      <c r="C291" s="59"/>
    </row>
    <row r="292" ht="12.75" customHeight="1">
      <c r="A292" s="59"/>
      <c r="B292" s="59"/>
      <c r="C292" s="59"/>
    </row>
    <row r="293" ht="12.75" customHeight="1">
      <c r="A293" s="59"/>
      <c r="B293" s="59"/>
      <c r="C293" s="59"/>
    </row>
    <row r="294" ht="12.75" customHeight="1">
      <c r="A294" s="59"/>
      <c r="B294" s="59"/>
      <c r="C294" s="59"/>
    </row>
    <row r="295" ht="12.75" customHeight="1">
      <c r="A295" s="59"/>
      <c r="B295" s="59"/>
      <c r="C295" s="59"/>
    </row>
    <row r="296" ht="12.75" customHeight="1">
      <c r="A296" s="59"/>
      <c r="B296" s="59"/>
      <c r="C296" s="59"/>
    </row>
    <row r="297" ht="12.75" customHeight="1">
      <c r="A297" s="59"/>
      <c r="B297" s="59"/>
      <c r="C297" s="59"/>
    </row>
    <row r="298" ht="12.75" customHeight="1">
      <c r="A298" s="59"/>
      <c r="B298" s="59"/>
      <c r="C298" s="59"/>
    </row>
    <row r="299" ht="12.75" customHeight="1">
      <c r="A299" s="59"/>
      <c r="B299" s="59"/>
      <c r="C299" s="59"/>
    </row>
    <row r="300" ht="12.75" customHeight="1">
      <c r="A300" s="59"/>
      <c r="B300" s="59"/>
      <c r="C300" s="59"/>
    </row>
    <row r="301" ht="12.75" customHeight="1">
      <c r="A301" s="59"/>
      <c r="B301" s="59"/>
      <c r="C301" s="59"/>
    </row>
    <row r="302" ht="12.75" customHeight="1">
      <c r="A302" s="59"/>
      <c r="B302" s="59"/>
      <c r="C302" s="59"/>
    </row>
    <row r="303" ht="12.75" customHeight="1">
      <c r="A303" s="59"/>
      <c r="B303" s="59"/>
      <c r="C303" s="59"/>
    </row>
    <row r="304" ht="12.75" customHeight="1">
      <c r="A304" s="59"/>
      <c r="B304" s="59"/>
      <c r="C304" s="59"/>
    </row>
    <row r="305" ht="12.75" customHeight="1">
      <c r="A305" s="59"/>
      <c r="B305" s="59"/>
      <c r="C305" s="59"/>
    </row>
    <row r="306" ht="12.75" customHeight="1">
      <c r="A306" s="59"/>
      <c r="B306" s="59"/>
      <c r="C306" s="59"/>
    </row>
    <row r="307" ht="12.75" customHeight="1">
      <c r="A307" s="59"/>
      <c r="B307" s="59"/>
      <c r="C307" s="59"/>
    </row>
    <row r="308" ht="12.75" customHeight="1">
      <c r="A308" s="59"/>
      <c r="B308" s="59"/>
      <c r="C308" s="59"/>
    </row>
    <row r="309" ht="12.75" customHeight="1">
      <c r="A309" s="59"/>
      <c r="B309" s="59"/>
      <c r="C309" s="59"/>
    </row>
    <row r="310" ht="12.75" customHeight="1">
      <c r="A310" s="59"/>
      <c r="B310" s="59"/>
      <c r="C310" s="59"/>
    </row>
    <row r="311" ht="12.75" customHeight="1">
      <c r="A311" s="59"/>
      <c r="B311" s="59"/>
      <c r="C311" s="59"/>
    </row>
    <row r="312" ht="12.75" customHeight="1">
      <c r="A312" s="59"/>
      <c r="B312" s="59"/>
      <c r="C312" s="59"/>
    </row>
    <row r="313" ht="12.75" customHeight="1">
      <c r="A313" s="59"/>
      <c r="B313" s="59"/>
      <c r="C313" s="59"/>
    </row>
    <row r="314" ht="12.75" customHeight="1">
      <c r="A314" s="59"/>
      <c r="B314" s="59"/>
      <c r="C314" s="59"/>
    </row>
    <row r="315" ht="12.75" customHeight="1">
      <c r="A315" s="59"/>
      <c r="B315" s="59"/>
      <c r="C315" s="59"/>
    </row>
    <row r="316" ht="12.75" customHeight="1">
      <c r="A316" s="59"/>
      <c r="B316" s="59"/>
      <c r="C316" s="59"/>
    </row>
    <row r="317" ht="12.75" customHeight="1">
      <c r="A317" s="59"/>
      <c r="B317" s="59"/>
      <c r="C317" s="59"/>
    </row>
    <row r="318" ht="12.75" customHeight="1">
      <c r="A318" s="59"/>
      <c r="B318" s="59"/>
      <c r="C318" s="59"/>
    </row>
    <row r="319" ht="12.75" customHeight="1">
      <c r="A319" s="59"/>
      <c r="B319" s="59"/>
      <c r="C319" s="59"/>
    </row>
    <row r="320" ht="12.75" customHeight="1">
      <c r="A320" s="59"/>
      <c r="B320" s="59"/>
      <c r="C320" s="59"/>
    </row>
    <row r="321" ht="12.75" customHeight="1">
      <c r="A321" s="59"/>
      <c r="B321" s="59"/>
      <c r="C321" s="59"/>
    </row>
    <row r="322" ht="12.75" customHeight="1">
      <c r="A322" s="59"/>
      <c r="B322" s="59"/>
      <c r="C322" s="59"/>
    </row>
    <row r="323" ht="12.75" customHeight="1">
      <c r="A323" s="59"/>
      <c r="B323" s="59"/>
      <c r="C323" s="59"/>
    </row>
    <row r="324" ht="12.75" customHeight="1">
      <c r="A324" s="59"/>
      <c r="B324" s="59"/>
      <c r="C324" s="59"/>
    </row>
    <row r="325" ht="12.75" customHeight="1">
      <c r="A325" s="59"/>
      <c r="B325" s="59"/>
      <c r="C325" s="59"/>
    </row>
    <row r="326" ht="12.75" customHeight="1">
      <c r="A326" s="59"/>
      <c r="B326" s="59"/>
      <c r="C326" s="59"/>
    </row>
    <row r="327" ht="12.75" customHeight="1">
      <c r="A327" s="59"/>
      <c r="B327" s="59"/>
      <c r="C327" s="59"/>
    </row>
    <row r="328" ht="12.75" customHeight="1">
      <c r="A328" s="59"/>
      <c r="B328" s="59"/>
      <c r="C328" s="59"/>
    </row>
    <row r="329" ht="12.75" customHeight="1">
      <c r="A329" s="59"/>
      <c r="B329" s="59"/>
      <c r="C329" s="59"/>
    </row>
    <row r="330" ht="12.75" customHeight="1">
      <c r="A330" s="59"/>
      <c r="B330" s="59"/>
      <c r="C330" s="59"/>
    </row>
    <row r="331" ht="12.75" customHeight="1">
      <c r="A331" s="59"/>
      <c r="B331" s="59"/>
      <c r="C331" s="59"/>
    </row>
    <row r="332" ht="12.75" customHeight="1">
      <c r="A332" s="59"/>
      <c r="B332" s="59"/>
      <c r="C332" s="59"/>
    </row>
    <row r="333" ht="12.75" customHeight="1">
      <c r="A333" s="59"/>
      <c r="B333" s="59"/>
      <c r="C333" s="59"/>
    </row>
    <row r="334" ht="12.75" customHeight="1">
      <c r="A334" s="59"/>
      <c r="B334" s="59"/>
      <c r="C334" s="59"/>
    </row>
    <row r="335" ht="12.75" customHeight="1">
      <c r="A335" s="59"/>
      <c r="B335" s="59"/>
      <c r="C335" s="59"/>
    </row>
    <row r="336" ht="12.75" customHeight="1">
      <c r="A336" s="59"/>
      <c r="B336" s="59"/>
      <c r="C336" s="59"/>
    </row>
    <row r="337" ht="12.75" customHeight="1">
      <c r="A337" s="59"/>
      <c r="B337" s="59"/>
      <c r="C337" s="59"/>
    </row>
    <row r="338" ht="12.75" customHeight="1">
      <c r="A338" s="59"/>
      <c r="B338" s="59"/>
      <c r="C338" s="59"/>
    </row>
    <row r="339" ht="12.75" customHeight="1">
      <c r="A339" s="59"/>
      <c r="B339" s="59"/>
      <c r="C339" s="59"/>
    </row>
    <row r="340" ht="12.75" customHeight="1">
      <c r="A340" s="59"/>
      <c r="B340" s="59"/>
      <c r="C340" s="59"/>
    </row>
    <row r="341" ht="12.75" customHeight="1">
      <c r="A341" s="59"/>
      <c r="B341" s="59"/>
      <c r="C341" s="59"/>
    </row>
    <row r="342" ht="12.75" customHeight="1">
      <c r="A342" s="59"/>
      <c r="B342" s="59"/>
      <c r="C342" s="59"/>
    </row>
    <row r="343" ht="12.75" customHeight="1">
      <c r="A343" s="59"/>
      <c r="B343" s="59"/>
      <c r="C343" s="59"/>
    </row>
    <row r="344" ht="12.75" customHeight="1">
      <c r="A344" s="59"/>
      <c r="B344" s="59"/>
      <c r="C344" s="59"/>
    </row>
    <row r="345" ht="12.75" customHeight="1">
      <c r="A345" s="59"/>
      <c r="B345" s="59"/>
      <c r="C345" s="59"/>
    </row>
    <row r="346" ht="12.75" customHeight="1">
      <c r="A346" s="59"/>
      <c r="B346" s="59"/>
      <c r="C346" s="59"/>
    </row>
    <row r="347" ht="12.75" customHeight="1">
      <c r="A347" s="59"/>
      <c r="B347" s="59"/>
      <c r="C347" s="59"/>
    </row>
    <row r="348" ht="12.75" customHeight="1">
      <c r="A348" s="59"/>
      <c r="B348" s="59"/>
      <c r="C348" s="59"/>
    </row>
    <row r="349" ht="12.75" customHeight="1">
      <c r="A349" s="59"/>
      <c r="B349" s="59"/>
      <c r="C349" s="59"/>
    </row>
    <row r="350" ht="12.75" customHeight="1">
      <c r="A350" s="59"/>
      <c r="B350" s="59"/>
      <c r="C350" s="59"/>
    </row>
    <row r="351" ht="12.75" customHeight="1">
      <c r="A351" s="59"/>
      <c r="B351" s="59"/>
      <c r="C351" s="59"/>
    </row>
    <row r="352" ht="12.75" customHeight="1">
      <c r="A352" s="59"/>
      <c r="B352" s="59"/>
      <c r="C352" s="59"/>
    </row>
    <row r="353" ht="12.75" customHeight="1">
      <c r="A353" s="59"/>
      <c r="B353" s="59"/>
      <c r="C353" s="59"/>
    </row>
    <row r="354" ht="12.75" customHeight="1">
      <c r="A354" s="59"/>
      <c r="B354" s="59"/>
      <c r="C354" s="59"/>
    </row>
    <row r="355" ht="12.75" customHeight="1">
      <c r="A355" s="59"/>
      <c r="B355" s="59"/>
      <c r="C355" s="59"/>
    </row>
    <row r="356" ht="12.75" customHeight="1">
      <c r="A356" s="59"/>
      <c r="B356" s="59"/>
      <c r="C356" s="59"/>
    </row>
    <row r="357" ht="12.75" customHeight="1">
      <c r="A357" s="59"/>
      <c r="B357" s="59"/>
      <c r="C357" s="59"/>
    </row>
    <row r="358" ht="12.75" customHeight="1">
      <c r="A358" s="59"/>
      <c r="B358" s="59"/>
      <c r="C358" s="59"/>
    </row>
    <row r="359" ht="12.75" customHeight="1">
      <c r="A359" s="59"/>
      <c r="B359" s="59"/>
      <c r="C359" s="59"/>
    </row>
    <row r="360" ht="12.75" customHeight="1">
      <c r="A360" s="59"/>
      <c r="B360" s="59"/>
      <c r="C360" s="59"/>
    </row>
    <row r="361" ht="12.75" customHeight="1">
      <c r="A361" s="59"/>
      <c r="B361" s="59"/>
      <c r="C361" s="59"/>
    </row>
    <row r="362" ht="12.75" customHeight="1">
      <c r="A362" s="59"/>
      <c r="B362" s="59"/>
      <c r="C362" s="59"/>
    </row>
    <row r="363" ht="12.75" customHeight="1">
      <c r="A363" s="59"/>
      <c r="B363" s="59"/>
      <c r="C363" s="59"/>
    </row>
    <row r="364" ht="12.75" customHeight="1">
      <c r="A364" s="59"/>
      <c r="B364" s="59"/>
      <c r="C364" s="59"/>
    </row>
    <row r="365" ht="12.75" customHeight="1">
      <c r="A365" s="59"/>
      <c r="B365" s="59"/>
      <c r="C365" s="59"/>
    </row>
    <row r="366" ht="12.75" customHeight="1">
      <c r="A366" s="59"/>
      <c r="B366" s="59"/>
      <c r="C366" s="59"/>
    </row>
    <row r="367" ht="12.75" customHeight="1">
      <c r="A367" s="59"/>
      <c r="B367" s="59"/>
      <c r="C367" s="59"/>
    </row>
    <row r="368" ht="12.75" customHeight="1">
      <c r="A368" s="59"/>
      <c r="B368" s="59"/>
      <c r="C368" s="59"/>
    </row>
    <row r="369" ht="12.75" customHeight="1">
      <c r="A369" s="59"/>
      <c r="B369" s="59"/>
      <c r="C369" s="59"/>
    </row>
    <row r="370" ht="12.75" customHeight="1">
      <c r="A370" s="59"/>
      <c r="B370" s="59"/>
      <c r="C370" s="59"/>
    </row>
    <row r="371" ht="12.75" customHeight="1">
      <c r="A371" s="59"/>
      <c r="B371" s="59"/>
      <c r="C371" s="59"/>
    </row>
    <row r="372" ht="12.75" customHeight="1">
      <c r="A372" s="59"/>
      <c r="B372" s="59"/>
      <c r="C372" s="59"/>
    </row>
    <row r="373" ht="12.75" customHeight="1">
      <c r="A373" s="59"/>
      <c r="B373" s="59"/>
      <c r="C373" s="59"/>
    </row>
    <row r="374" ht="12.75" customHeight="1">
      <c r="A374" s="59"/>
      <c r="B374" s="59"/>
      <c r="C374" s="59"/>
    </row>
    <row r="375" ht="12.75" customHeight="1">
      <c r="A375" s="59"/>
      <c r="B375" s="59"/>
      <c r="C375" s="59"/>
    </row>
    <row r="376" ht="12.75" customHeight="1">
      <c r="A376" s="59"/>
      <c r="B376" s="59"/>
      <c r="C376" s="59"/>
    </row>
    <row r="377" ht="12.75" customHeight="1">
      <c r="A377" s="59"/>
      <c r="B377" s="59"/>
      <c r="C377" s="59"/>
    </row>
    <row r="378" ht="12.75" customHeight="1">
      <c r="A378" s="59"/>
      <c r="B378" s="59"/>
      <c r="C378" s="59"/>
    </row>
    <row r="379" ht="12.75" customHeight="1">
      <c r="A379" s="59"/>
      <c r="B379" s="59"/>
      <c r="C379" s="59"/>
    </row>
    <row r="380" ht="12.75" customHeight="1">
      <c r="A380" s="59"/>
      <c r="B380" s="59"/>
      <c r="C380" s="59"/>
    </row>
    <row r="381" ht="12.75" customHeight="1">
      <c r="A381" s="59"/>
      <c r="B381" s="59"/>
      <c r="C381" s="59"/>
    </row>
    <row r="382" ht="12.75" customHeight="1">
      <c r="A382" s="59"/>
      <c r="B382" s="59"/>
      <c r="C382" s="59"/>
    </row>
    <row r="383" ht="12.75" customHeight="1">
      <c r="A383" s="59"/>
      <c r="B383" s="59"/>
      <c r="C383" s="59"/>
    </row>
    <row r="384" ht="12.75" customHeight="1">
      <c r="A384" s="59"/>
      <c r="B384" s="59"/>
      <c r="C384" s="59"/>
    </row>
    <row r="385" ht="12.75" customHeight="1">
      <c r="A385" s="59"/>
      <c r="B385" s="59"/>
      <c r="C385" s="59"/>
    </row>
    <row r="386" ht="12.75" customHeight="1">
      <c r="A386" s="59"/>
      <c r="B386" s="59"/>
      <c r="C386" s="59"/>
    </row>
    <row r="387" ht="12.75" customHeight="1">
      <c r="A387" s="59"/>
      <c r="B387" s="59"/>
      <c r="C387" s="59"/>
    </row>
    <row r="388" ht="12.75" customHeight="1">
      <c r="A388" s="59"/>
      <c r="B388" s="59"/>
      <c r="C388" s="59"/>
    </row>
    <row r="389" ht="12.75" customHeight="1">
      <c r="A389" s="59"/>
      <c r="B389" s="59"/>
      <c r="C389" s="59"/>
    </row>
    <row r="390" ht="12.75" customHeight="1">
      <c r="A390" s="59"/>
      <c r="B390" s="59"/>
      <c r="C390" s="59"/>
    </row>
    <row r="391" ht="12.75" customHeight="1">
      <c r="A391" s="59"/>
      <c r="B391" s="59"/>
      <c r="C391" s="59"/>
    </row>
    <row r="392" ht="12.75" customHeight="1">
      <c r="A392" s="59"/>
      <c r="B392" s="59"/>
      <c r="C392" s="59"/>
    </row>
    <row r="393" ht="12.75" customHeight="1">
      <c r="A393" s="59"/>
      <c r="B393" s="59"/>
      <c r="C393" s="59"/>
    </row>
    <row r="394" ht="12.75" customHeight="1">
      <c r="A394" s="59"/>
      <c r="B394" s="59"/>
      <c r="C394" s="59"/>
    </row>
    <row r="395" ht="12.75" customHeight="1">
      <c r="A395" s="59"/>
      <c r="B395" s="59"/>
      <c r="C395" s="59"/>
    </row>
    <row r="396" ht="12.75" customHeight="1">
      <c r="A396" s="59"/>
      <c r="B396" s="59"/>
      <c r="C396" s="59"/>
    </row>
    <row r="397" ht="12.75" customHeight="1">
      <c r="A397" s="59"/>
      <c r="B397" s="59"/>
      <c r="C397" s="59"/>
    </row>
    <row r="398" ht="12.75" customHeight="1">
      <c r="A398" s="59"/>
      <c r="B398" s="59"/>
      <c r="C398" s="59"/>
    </row>
    <row r="399" ht="12.75" customHeight="1">
      <c r="A399" s="59"/>
      <c r="B399" s="59"/>
      <c r="C399" s="59"/>
    </row>
    <row r="400" ht="12.75" customHeight="1">
      <c r="A400" s="59"/>
      <c r="B400" s="59"/>
      <c r="C400" s="59"/>
    </row>
    <row r="401" ht="12.75" customHeight="1">
      <c r="A401" s="59"/>
      <c r="B401" s="59"/>
      <c r="C401" s="59"/>
    </row>
    <row r="402" ht="12.75" customHeight="1">
      <c r="A402" s="59"/>
      <c r="B402" s="59"/>
      <c r="C402" s="59"/>
    </row>
    <row r="403" ht="12.75" customHeight="1">
      <c r="A403" s="59"/>
      <c r="B403" s="59"/>
      <c r="C403" s="59"/>
    </row>
    <row r="404" ht="12.75" customHeight="1">
      <c r="A404" s="59"/>
      <c r="B404" s="59"/>
      <c r="C404" s="59"/>
    </row>
    <row r="405" ht="12.75" customHeight="1">
      <c r="A405" s="59"/>
      <c r="B405" s="59"/>
      <c r="C405" s="59"/>
    </row>
    <row r="406" ht="12.75" customHeight="1">
      <c r="A406" s="59"/>
      <c r="B406" s="59"/>
      <c r="C406" s="59"/>
    </row>
    <row r="407" ht="12.75" customHeight="1">
      <c r="A407" s="59"/>
      <c r="B407" s="59"/>
      <c r="C407" s="59"/>
    </row>
    <row r="408" ht="12.75" customHeight="1">
      <c r="A408" s="59"/>
      <c r="B408" s="59"/>
      <c r="C408" s="59"/>
    </row>
    <row r="409" ht="12.75" customHeight="1">
      <c r="A409" s="59"/>
      <c r="B409" s="59"/>
      <c r="C409" s="59"/>
    </row>
    <row r="410" ht="12.75" customHeight="1">
      <c r="A410" s="59"/>
      <c r="B410" s="59"/>
      <c r="C410" s="59"/>
    </row>
    <row r="411" ht="12.75" customHeight="1">
      <c r="A411" s="59"/>
      <c r="B411" s="59"/>
      <c r="C411" s="59"/>
    </row>
    <row r="412" ht="12.75" customHeight="1">
      <c r="A412" s="59"/>
      <c r="B412" s="59"/>
      <c r="C412" s="59"/>
    </row>
    <row r="413" ht="12.75" customHeight="1">
      <c r="A413" s="59"/>
      <c r="B413" s="59"/>
      <c r="C413" s="59"/>
    </row>
    <row r="414" ht="12.75" customHeight="1">
      <c r="A414" s="59"/>
      <c r="B414" s="59"/>
      <c r="C414" s="59"/>
    </row>
    <row r="415" ht="12.75" customHeight="1">
      <c r="A415" s="59"/>
      <c r="B415" s="59"/>
      <c r="C415" s="59"/>
    </row>
    <row r="416" ht="12.75" customHeight="1">
      <c r="A416" s="59"/>
      <c r="B416" s="59"/>
      <c r="C416" s="59"/>
    </row>
    <row r="417" ht="12.75" customHeight="1">
      <c r="A417" s="59"/>
      <c r="B417" s="59"/>
      <c r="C417" s="59"/>
    </row>
    <row r="418" ht="12.75" customHeight="1">
      <c r="A418" s="59"/>
      <c r="B418" s="59"/>
      <c r="C418" s="59"/>
    </row>
    <row r="419" ht="12.75" customHeight="1">
      <c r="A419" s="59"/>
      <c r="B419" s="59"/>
      <c r="C419" s="59"/>
    </row>
    <row r="420" ht="12.75" customHeight="1">
      <c r="A420" s="59"/>
      <c r="B420" s="59"/>
      <c r="C420" s="59"/>
    </row>
    <row r="421" ht="12.75" customHeight="1">
      <c r="A421" s="59"/>
      <c r="B421" s="59"/>
      <c r="C421" s="59"/>
    </row>
    <row r="422" ht="12.75" customHeight="1">
      <c r="A422" s="59"/>
      <c r="B422" s="59"/>
      <c r="C422" s="59"/>
    </row>
    <row r="423" ht="12.75" customHeight="1">
      <c r="A423" s="59"/>
      <c r="B423" s="59"/>
      <c r="C423" s="59"/>
    </row>
    <row r="424" ht="12.75" customHeight="1">
      <c r="A424" s="59"/>
      <c r="B424" s="59"/>
      <c r="C424" s="59"/>
    </row>
    <row r="425" ht="12.75" customHeight="1">
      <c r="A425" s="59"/>
      <c r="B425" s="59"/>
      <c r="C425" s="59"/>
    </row>
    <row r="426" ht="12.75" customHeight="1">
      <c r="A426" s="59"/>
      <c r="B426" s="59"/>
      <c r="C426" s="59"/>
    </row>
    <row r="427" ht="12.75" customHeight="1">
      <c r="A427" s="59"/>
      <c r="B427" s="59"/>
      <c r="C427" s="59"/>
    </row>
    <row r="428" ht="12.75" customHeight="1">
      <c r="A428" s="59"/>
      <c r="B428" s="59"/>
      <c r="C428" s="59"/>
    </row>
    <row r="429" ht="12.75" customHeight="1">
      <c r="A429" s="59"/>
      <c r="B429" s="59"/>
      <c r="C429" s="59"/>
    </row>
    <row r="430" ht="12.75" customHeight="1">
      <c r="A430" s="59"/>
      <c r="B430" s="59"/>
      <c r="C430" s="59"/>
    </row>
    <row r="431" ht="12.75" customHeight="1">
      <c r="A431" s="59"/>
      <c r="B431" s="59"/>
      <c r="C431" s="59"/>
    </row>
    <row r="432" ht="12.75" customHeight="1">
      <c r="A432" s="59"/>
      <c r="B432" s="59"/>
      <c r="C432" s="59"/>
    </row>
    <row r="433" ht="12.75" customHeight="1">
      <c r="A433" s="59"/>
      <c r="B433" s="59"/>
      <c r="C433" s="59"/>
    </row>
    <row r="434" ht="12.75" customHeight="1">
      <c r="A434" s="59"/>
      <c r="B434" s="59"/>
      <c r="C434" s="59"/>
    </row>
    <row r="435" ht="12.75" customHeight="1">
      <c r="A435" s="59"/>
      <c r="B435" s="59"/>
      <c r="C435" s="59"/>
    </row>
    <row r="436" ht="12.75" customHeight="1">
      <c r="A436" s="59"/>
      <c r="B436" s="59"/>
      <c r="C436" s="59"/>
    </row>
    <row r="437" ht="12.75" customHeight="1">
      <c r="A437" s="59"/>
      <c r="B437" s="59"/>
      <c r="C437" s="59"/>
    </row>
    <row r="438" ht="12.75" customHeight="1">
      <c r="A438" s="59"/>
      <c r="B438" s="59"/>
      <c r="C438" s="59"/>
    </row>
    <row r="439" ht="12.75" customHeight="1">
      <c r="A439" s="59"/>
      <c r="B439" s="59"/>
      <c r="C439" s="59"/>
    </row>
    <row r="440" ht="12.75" customHeight="1">
      <c r="A440" s="59"/>
      <c r="B440" s="59"/>
      <c r="C440" s="59"/>
    </row>
    <row r="441" ht="12.75" customHeight="1">
      <c r="A441" s="59"/>
      <c r="B441" s="59"/>
      <c r="C441" s="59"/>
    </row>
    <row r="442" ht="12.75" customHeight="1">
      <c r="A442" s="59"/>
      <c r="B442" s="59"/>
      <c r="C442" s="59"/>
    </row>
    <row r="443" ht="12.75" customHeight="1">
      <c r="A443" s="59"/>
      <c r="B443" s="59"/>
      <c r="C443" s="59"/>
    </row>
    <row r="444" ht="12.75" customHeight="1">
      <c r="A444" s="59"/>
      <c r="B444" s="59"/>
      <c r="C444" s="59"/>
    </row>
    <row r="445" ht="12.75" customHeight="1">
      <c r="A445" s="59"/>
      <c r="B445" s="59"/>
      <c r="C445" s="59"/>
    </row>
    <row r="446" ht="12.75" customHeight="1">
      <c r="A446" s="59"/>
      <c r="B446" s="59"/>
      <c r="C446" s="59"/>
    </row>
    <row r="447" ht="12.75" customHeight="1">
      <c r="A447" s="59"/>
      <c r="B447" s="59"/>
      <c r="C447" s="59"/>
    </row>
    <row r="448" ht="12.75" customHeight="1">
      <c r="A448" s="59"/>
      <c r="B448" s="59"/>
      <c r="C448" s="59"/>
    </row>
    <row r="449" ht="12.75" customHeight="1">
      <c r="A449" s="59"/>
      <c r="B449" s="59"/>
      <c r="C449" s="59"/>
    </row>
    <row r="450" ht="12.75" customHeight="1">
      <c r="A450" s="59"/>
      <c r="B450" s="59"/>
      <c r="C450" s="59"/>
    </row>
    <row r="451" ht="12.75" customHeight="1">
      <c r="A451" s="59"/>
      <c r="B451" s="59"/>
      <c r="C451" s="59"/>
    </row>
    <row r="452" ht="12.75" customHeight="1">
      <c r="A452" s="59"/>
      <c r="B452" s="59"/>
      <c r="C452" s="59"/>
    </row>
    <row r="453" ht="12.75" customHeight="1">
      <c r="A453" s="59"/>
      <c r="B453" s="59"/>
      <c r="C453" s="59"/>
    </row>
    <row r="454" ht="12.75" customHeight="1">
      <c r="A454" s="59"/>
      <c r="B454" s="59"/>
      <c r="C454" s="59"/>
    </row>
    <row r="455" ht="12.75" customHeight="1">
      <c r="A455" s="59"/>
      <c r="B455" s="59"/>
      <c r="C455" s="59"/>
    </row>
    <row r="456" ht="12.75" customHeight="1">
      <c r="A456" s="59"/>
      <c r="B456" s="59"/>
      <c r="C456" s="59"/>
    </row>
    <row r="457" ht="12.75" customHeight="1">
      <c r="A457" s="59"/>
      <c r="B457" s="59"/>
      <c r="C457" s="59"/>
    </row>
    <row r="458" ht="12.75" customHeight="1">
      <c r="A458" s="59"/>
      <c r="B458" s="59"/>
      <c r="C458" s="59"/>
    </row>
    <row r="459" ht="12.75" customHeight="1">
      <c r="A459" s="59"/>
      <c r="B459" s="59"/>
      <c r="C459" s="59"/>
    </row>
    <row r="460" ht="12.75" customHeight="1">
      <c r="A460" s="59"/>
      <c r="B460" s="59"/>
      <c r="C460" s="59"/>
    </row>
    <row r="461" ht="12.75" customHeight="1">
      <c r="A461" s="59"/>
      <c r="B461" s="59"/>
      <c r="C461" s="59"/>
    </row>
    <row r="462" ht="12.75" customHeight="1">
      <c r="A462" s="59"/>
      <c r="B462" s="59"/>
      <c r="C462" s="59"/>
    </row>
    <row r="463" ht="12.75" customHeight="1">
      <c r="A463" s="59"/>
      <c r="B463" s="59"/>
      <c r="C463" s="59"/>
    </row>
    <row r="464" ht="12.75" customHeight="1">
      <c r="A464" s="59"/>
      <c r="B464" s="59"/>
      <c r="C464" s="59"/>
    </row>
    <row r="465" ht="12.75" customHeight="1">
      <c r="A465" s="59"/>
      <c r="B465" s="59"/>
      <c r="C465" s="59"/>
    </row>
    <row r="466" ht="12.75" customHeight="1">
      <c r="A466" s="59"/>
      <c r="B466" s="59"/>
      <c r="C466" s="59"/>
    </row>
    <row r="467" ht="12.75" customHeight="1">
      <c r="A467" s="59"/>
      <c r="B467" s="59"/>
      <c r="C467" s="59"/>
    </row>
    <row r="468" ht="12.75" customHeight="1">
      <c r="A468" s="59"/>
      <c r="B468" s="59"/>
      <c r="C468" s="59"/>
    </row>
    <row r="469" ht="12.75" customHeight="1">
      <c r="A469" s="59"/>
      <c r="B469" s="59"/>
      <c r="C469" s="59"/>
    </row>
    <row r="470" ht="12.75" customHeight="1">
      <c r="A470" s="59"/>
      <c r="B470" s="59"/>
      <c r="C470" s="59"/>
    </row>
    <row r="471" ht="12.75" customHeight="1">
      <c r="A471" s="59"/>
      <c r="B471" s="59"/>
      <c r="C471" s="59"/>
    </row>
    <row r="472" ht="12.75" customHeight="1">
      <c r="A472" s="59"/>
      <c r="B472" s="59"/>
      <c r="C472" s="59"/>
    </row>
    <row r="473" ht="12.75" customHeight="1">
      <c r="A473" s="59"/>
      <c r="B473" s="59"/>
      <c r="C473" s="59"/>
    </row>
    <row r="474" ht="12.75" customHeight="1">
      <c r="A474" s="59"/>
      <c r="B474" s="59"/>
      <c r="C474" s="59"/>
    </row>
    <row r="475" ht="12.75" customHeight="1">
      <c r="A475" s="59"/>
      <c r="B475" s="59"/>
      <c r="C475" s="59"/>
    </row>
    <row r="476" ht="12.75" customHeight="1">
      <c r="A476" s="59"/>
      <c r="B476" s="59"/>
      <c r="C476" s="59"/>
    </row>
    <row r="477" ht="12.75" customHeight="1">
      <c r="A477" s="59"/>
      <c r="B477" s="59"/>
      <c r="C477" s="59"/>
    </row>
    <row r="478" ht="12.75" customHeight="1">
      <c r="A478" s="59"/>
      <c r="B478" s="59"/>
      <c r="C478" s="59"/>
    </row>
    <row r="479" ht="12.75" customHeight="1">
      <c r="A479" s="59"/>
      <c r="B479" s="59"/>
      <c r="C479" s="59"/>
    </row>
    <row r="480" ht="12.75" customHeight="1">
      <c r="A480" s="59"/>
      <c r="B480" s="59"/>
      <c r="C480" s="59"/>
    </row>
    <row r="481" ht="12.75" customHeight="1">
      <c r="A481" s="59"/>
      <c r="B481" s="59"/>
      <c r="C481" s="59"/>
    </row>
    <row r="482" ht="12.75" customHeight="1">
      <c r="A482" s="59"/>
      <c r="B482" s="59"/>
      <c r="C482" s="59"/>
    </row>
    <row r="483" ht="12.75" customHeight="1">
      <c r="A483" s="59"/>
      <c r="B483" s="59"/>
      <c r="C483" s="59"/>
    </row>
    <row r="484" ht="12.75" customHeight="1">
      <c r="A484" s="59"/>
      <c r="B484" s="59"/>
      <c r="C484" s="59"/>
    </row>
    <row r="485" ht="12.75" customHeight="1">
      <c r="A485" s="59"/>
      <c r="B485" s="59"/>
      <c r="C485" s="59"/>
    </row>
    <row r="486" ht="12.75" customHeight="1">
      <c r="A486" s="59"/>
      <c r="B486" s="59"/>
      <c r="C486" s="59"/>
    </row>
    <row r="487" ht="12.75" customHeight="1">
      <c r="A487" s="59"/>
      <c r="B487" s="59"/>
      <c r="C487" s="59"/>
    </row>
    <row r="488" ht="12.75" customHeight="1">
      <c r="A488" s="59"/>
      <c r="B488" s="59"/>
      <c r="C488" s="59"/>
    </row>
    <row r="489" ht="12.75" customHeight="1">
      <c r="A489" s="59"/>
      <c r="B489" s="59"/>
      <c r="C489" s="59"/>
    </row>
    <row r="490" ht="12.75" customHeight="1">
      <c r="A490" s="59"/>
      <c r="B490" s="59"/>
      <c r="C490" s="59"/>
    </row>
    <row r="491" ht="12.75" customHeight="1">
      <c r="A491" s="59"/>
      <c r="B491" s="59"/>
      <c r="C491" s="59"/>
    </row>
    <row r="492" ht="12.75" customHeight="1">
      <c r="A492" s="59"/>
      <c r="B492" s="59"/>
      <c r="C492" s="59"/>
    </row>
    <row r="493" ht="12.75" customHeight="1">
      <c r="A493" s="59"/>
      <c r="B493" s="59"/>
      <c r="C493" s="59"/>
    </row>
    <row r="494" ht="12.75" customHeight="1">
      <c r="A494" s="59"/>
      <c r="B494" s="59"/>
      <c r="C494" s="59"/>
    </row>
    <row r="495" ht="12.75" customHeight="1">
      <c r="A495" s="59"/>
      <c r="B495" s="59"/>
      <c r="C495" s="59"/>
    </row>
    <row r="496" ht="12.75" customHeight="1">
      <c r="A496" s="59"/>
      <c r="B496" s="59"/>
      <c r="C496" s="59"/>
    </row>
    <row r="497" ht="12.75" customHeight="1">
      <c r="A497" s="59"/>
      <c r="B497" s="59"/>
      <c r="C497" s="59"/>
    </row>
    <row r="498" ht="12.75" customHeight="1">
      <c r="A498" s="59"/>
      <c r="B498" s="59"/>
      <c r="C498" s="59"/>
    </row>
    <row r="499" ht="12.75" customHeight="1">
      <c r="A499" s="59"/>
      <c r="B499" s="59"/>
      <c r="C499" s="59"/>
    </row>
    <row r="500" ht="12.75" customHeight="1">
      <c r="A500" s="59"/>
      <c r="B500" s="59"/>
      <c r="C500" s="59"/>
    </row>
    <row r="501" ht="12.75" customHeight="1">
      <c r="A501" s="59"/>
      <c r="B501" s="59"/>
      <c r="C501" s="59"/>
    </row>
    <row r="502" ht="12.75" customHeight="1">
      <c r="A502" s="59"/>
      <c r="B502" s="59"/>
      <c r="C502" s="59"/>
    </row>
    <row r="503" ht="12.75" customHeight="1">
      <c r="A503" s="59"/>
      <c r="B503" s="59"/>
      <c r="C503" s="59"/>
    </row>
    <row r="504" ht="12.75" customHeight="1">
      <c r="A504" s="59"/>
      <c r="B504" s="59"/>
      <c r="C504" s="59"/>
    </row>
    <row r="505" ht="12.75" customHeight="1">
      <c r="A505" s="59"/>
      <c r="B505" s="59"/>
      <c r="C505" s="59"/>
    </row>
    <row r="506" ht="12.75" customHeight="1">
      <c r="A506" s="59"/>
      <c r="B506" s="59"/>
      <c r="C506" s="59"/>
    </row>
    <row r="507" ht="12.75" customHeight="1">
      <c r="A507" s="59"/>
      <c r="B507" s="59"/>
      <c r="C507" s="59"/>
    </row>
    <row r="508" ht="12.75" customHeight="1">
      <c r="A508" s="59"/>
      <c r="B508" s="59"/>
      <c r="C508" s="59"/>
    </row>
    <row r="509" ht="12.75" customHeight="1">
      <c r="A509" s="59"/>
      <c r="B509" s="59"/>
      <c r="C509" s="59"/>
    </row>
    <row r="510" ht="12.75" customHeight="1">
      <c r="A510" s="59"/>
      <c r="B510" s="59"/>
      <c r="C510" s="59"/>
    </row>
    <row r="511" ht="12.75" customHeight="1">
      <c r="A511" s="59"/>
      <c r="B511" s="59"/>
      <c r="C511" s="59"/>
    </row>
    <row r="512" ht="12.75" customHeight="1">
      <c r="A512" s="59"/>
      <c r="B512" s="59"/>
      <c r="C512" s="59"/>
    </row>
    <row r="513" ht="12.75" customHeight="1">
      <c r="A513" s="59"/>
      <c r="B513" s="59"/>
      <c r="C513" s="59"/>
    </row>
    <row r="514" ht="12.75" customHeight="1">
      <c r="A514" s="59"/>
      <c r="B514" s="59"/>
      <c r="C514" s="59"/>
    </row>
    <row r="515" ht="12.75" customHeight="1">
      <c r="A515" s="59"/>
      <c r="B515" s="59"/>
      <c r="C515" s="59"/>
    </row>
    <row r="516" ht="12.75" customHeight="1">
      <c r="A516" s="59"/>
      <c r="B516" s="59"/>
      <c r="C516" s="59"/>
    </row>
    <row r="517" ht="12.75" customHeight="1">
      <c r="A517" s="59"/>
      <c r="B517" s="59"/>
      <c r="C517" s="59"/>
    </row>
    <row r="518" ht="12.75" customHeight="1">
      <c r="A518" s="59"/>
      <c r="B518" s="59"/>
      <c r="C518" s="59"/>
    </row>
    <row r="519" ht="12.75" customHeight="1">
      <c r="A519" s="59"/>
      <c r="B519" s="59"/>
      <c r="C519" s="59"/>
    </row>
    <row r="520" ht="12.75" customHeight="1">
      <c r="A520" s="59"/>
      <c r="B520" s="59"/>
      <c r="C520" s="59"/>
    </row>
    <row r="521" ht="12.75" customHeight="1">
      <c r="A521" s="59"/>
      <c r="B521" s="59"/>
      <c r="C521" s="59"/>
    </row>
    <row r="522" ht="12.75" customHeight="1">
      <c r="A522" s="59"/>
      <c r="B522" s="59"/>
      <c r="C522" s="59"/>
    </row>
    <row r="523" ht="12.75" customHeight="1">
      <c r="A523" s="59"/>
      <c r="B523" s="59"/>
      <c r="C523" s="59"/>
    </row>
    <row r="524" ht="12.75" customHeight="1">
      <c r="A524" s="59"/>
      <c r="B524" s="59"/>
      <c r="C524" s="59"/>
    </row>
    <row r="525" ht="12.75" customHeight="1">
      <c r="A525" s="59"/>
      <c r="B525" s="59"/>
      <c r="C525" s="59"/>
    </row>
    <row r="526" ht="12.75" customHeight="1">
      <c r="A526" s="59"/>
      <c r="B526" s="59"/>
      <c r="C526" s="59"/>
    </row>
    <row r="527" ht="12.75" customHeight="1">
      <c r="A527" s="59"/>
      <c r="B527" s="59"/>
      <c r="C527" s="59"/>
    </row>
    <row r="528" ht="12.75" customHeight="1">
      <c r="A528" s="59"/>
      <c r="B528" s="59"/>
      <c r="C528" s="59"/>
    </row>
    <row r="529" ht="12.75" customHeight="1">
      <c r="A529" s="59"/>
      <c r="B529" s="59"/>
      <c r="C529" s="59"/>
    </row>
    <row r="530" ht="12.75" customHeight="1">
      <c r="A530" s="59"/>
      <c r="B530" s="59"/>
      <c r="C530" s="59"/>
    </row>
    <row r="531" ht="12.75" customHeight="1">
      <c r="A531" s="59"/>
      <c r="B531" s="59"/>
      <c r="C531" s="59"/>
    </row>
    <row r="532" ht="12.75" customHeight="1">
      <c r="A532" s="59"/>
      <c r="B532" s="59"/>
      <c r="C532" s="59"/>
    </row>
    <row r="533" ht="12.75" customHeight="1">
      <c r="A533" s="59"/>
      <c r="B533" s="59"/>
      <c r="C533" s="59"/>
    </row>
    <row r="534" ht="12.75" customHeight="1">
      <c r="A534" s="59"/>
      <c r="B534" s="59"/>
      <c r="C534" s="59"/>
    </row>
    <row r="535" ht="12.75" customHeight="1">
      <c r="A535" s="59"/>
      <c r="B535" s="59"/>
      <c r="C535" s="59"/>
    </row>
    <row r="536" ht="12.75" customHeight="1">
      <c r="A536" s="59"/>
      <c r="B536" s="59"/>
      <c r="C536" s="59"/>
    </row>
    <row r="537" ht="12.75" customHeight="1">
      <c r="A537" s="59"/>
      <c r="B537" s="59"/>
      <c r="C537" s="59"/>
    </row>
    <row r="538" ht="12.75" customHeight="1">
      <c r="A538" s="59"/>
      <c r="B538" s="59"/>
      <c r="C538" s="59"/>
    </row>
    <row r="539" ht="12.75" customHeight="1">
      <c r="A539" s="59"/>
      <c r="B539" s="59"/>
      <c r="C539" s="59"/>
    </row>
    <row r="540" ht="12.75" customHeight="1">
      <c r="A540" s="59"/>
      <c r="B540" s="59"/>
      <c r="C540" s="59"/>
    </row>
    <row r="541" ht="12.75" customHeight="1">
      <c r="A541" s="59"/>
      <c r="B541" s="59"/>
      <c r="C541" s="59"/>
    </row>
    <row r="542" ht="12.75" customHeight="1">
      <c r="A542" s="59"/>
      <c r="B542" s="59"/>
      <c r="C542" s="59"/>
    </row>
    <row r="543" ht="12.75" customHeight="1">
      <c r="A543" s="59"/>
      <c r="B543" s="59"/>
      <c r="C543" s="59"/>
    </row>
    <row r="544" ht="12.75" customHeight="1">
      <c r="A544" s="59"/>
      <c r="B544" s="59"/>
      <c r="C544" s="59"/>
    </row>
    <row r="545" ht="12.75" customHeight="1">
      <c r="A545" s="59"/>
      <c r="B545" s="59"/>
      <c r="C545" s="59"/>
    </row>
    <row r="546" ht="12.75" customHeight="1">
      <c r="A546" s="59"/>
      <c r="B546" s="59"/>
      <c r="C546" s="59"/>
    </row>
    <row r="547" ht="12.75" customHeight="1">
      <c r="A547" s="59"/>
      <c r="B547" s="59"/>
      <c r="C547" s="59"/>
    </row>
    <row r="548" ht="12.75" customHeight="1">
      <c r="A548" s="59"/>
      <c r="B548" s="59"/>
      <c r="C548" s="59"/>
    </row>
    <row r="549" ht="12.75" customHeight="1">
      <c r="A549" s="59"/>
      <c r="B549" s="59"/>
      <c r="C549" s="59"/>
    </row>
    <row r="550" ht="12.75" customHeight="1">
      <c r="A550" s="59"/>
      <c r="B550" s="59"/>
      <c r="C550" s="59"/>
    </row>
    <row r="551" ht="12.75" customHeight="1">
      <c r="A551" s="59"/>
      <c r="B551" s="59"/>
      <c r="C551" s="59"/>
    </row>
    <row r="552" ht="12.75" customHeight="1">
      <c r="A552" s="59"/>
      <c r="B552" s="59"/>
      <c r="C552" s="59"/>
    </row>
    <row r="553" ht="12.75" customHeight="1">
      <c r="A553" s="59"/>
      <c r="B553" s="59"/>
      <c r="C553" s="59"/>
    </row>
    <row r="554" ht="12.75" customHeight="1">
      <c r="A554" s="59"/>
      <c r="B554" s="59"/>
      <c r="C554" s="59"/>
    </row>
    <row r="555" ht="12.75" customHeight="1">
      <c r="A555" s="59"/>
      <c r="B555" s="59"/>
      <c r="C555" s="59"/>
    </row>
    <row r="556" ht="12.75" customHeight="1">
      <c r="A556" s="59"/>
      <c r="B556" s="59"/>
      <c r="C556" s="59"/>
    </row>
    <row r="557" ht="12.75" customHeight="1">
      <c r="A557" s="59"/>
      <c r="B557" s="59"/>
      <c r="C557" s="59"/>
    </row>
    <row r="558" ht="12.75" customHeight="1">
      <c r="A558" s="59"/>
      <c r="B558" s="59"/>
      <c r="C558" s="59"/>
    </row>
    <row r="559" ht="12.75" customHeight="1">
      <c r="A559" s="59"/>
      <c r="B559" s="59"/>
      <c r="C559" s="59"/>
    </row>
    <row r="560" ht="12.75" customHeight="1">
      <c r="A560" s="59"/>
      <c r="B560" s="59"/>
      <c r="C560" s="59"/>
    </row>
    <row r="561" ht="12.75" customHeight="1">
      <c r="A561" s="59"/>
      <c r="B561" s="59"/>
      <c r="C561" s="59"/>
    </row>
    <row r="562" ht="12.75" customHeight="1">
      <c r="A562" s="59"/>
      <c r="B562" s="59"/>
      <c r="C562" s="59"/>
    </row>
    <row r="563" ht="12.75" customHeight="1">
      <c r="A563" s="59"/>
      <c r="B563" s="59"/>
      <c r="C563" s="59"/>
    </row>
    <row r="564" ht="12.75" customHeight="1">
      <c r="A564" s="59"/>
      <c r="B564" s="59"/>
      <c r="C564" s="59"/>
    </row>
    <row r="565" ht="12.75" customHeight="1">
      <c r="A565" s="59"/>
      <c r="B565" s="59"/>
      <c r="C565" s="59"/>
    </row>
    <row r="566" ht="12.75" customHeight="1">
      <c r="A566" s="59"/>
      <c r="B566" s="59"/>
      <c r="C566" s="59"/>
    </row>
    <row r="567" ht="12.75" customHeight="1">
      <c r="A567" s="59"/>
      <c r="B567" s="59"/>
      <c r="C567" s="59"/>
    </row>
    <row r="568" ht="12.75" customHeight="1">
      <c r="A568" s="59"/>
      <c r="B568" s="59"/>
      <c r="C568" s="59"/>
    </row>
    <row r="569" ht="12.75" customHeight="1">
      <c r="A569" s="59"/>
      <c r="B569" s="59"/>
      <c r="C569" s="59"/>
    </row>
    <row r="570" ht="12.75" customHeight="1">
      <c r="A570" s="59"/>
      <c r="B570" s="59"/>
      <c r="C570" s="59"/>
    </row>
    <row r="571" ht="12.75" customHeight="1">
      <c r="A571" s="59"/>
      <c r="B571" s="59"/>
      <c r="C571" s="59"/>
    </row>
    <row r="572" ht="12.75" customHeight="1">
      <c r="A572" s="59"/>
      <c r="B572" s="59"/>
      <c r="C572" s="59"/>
    </row>
    <row r="573" ht="12.75" customHeight="1">
      <c r="A573" s="59"/>
      <c r="B573" s="59"/>
      <c r="C573" s="59"/>
    </row>
    <row r="574" ht="12.75" customHeight="1">
      <c r="A574" s="59"/>
      <c r="B574" s="59"/>
      <c r="C574" s="59"/>
    </row>
    <row r="575" ht="12.75" customHeight="1">
      <c r="A575" s="59"/>
      <c r="B575" s="59"/>
      <c r="C575" s="59"/>
    </row>
    <row r="576" ht="12.75" customHeight="1">
      <c r="A576" s="59"/>
      <c r="B576" s="59"/>
      <c r="C576" s="59"/>
    </row>
    <row r="577" ht="12.75" customHeight="1">
      <c r="A577" s="59"/>
      <c r="B577" s="59"/>
      <c r="C577" s="59"/>
    </row>
    <row r="578" ht="12.75" customHeight="1">
      <c r="A578" s="59"/>
      <c r="B578" s="59"/>
      <c r="C578" s="59"/>
    </row>
    <row r="579" ht="12.75" customHeight="1">
      <c r="A579" s="59"/>
      <c r="B579" s="59"/>
      <c r="C579" s="59"/>
    </row>
    <row r="580" ht="12.75" customHeight="1">
      <c r="A580" s="59"/>
      <c r="B580" s="59"/>
      <c r="C580" s="59"/>
    </row>
    <row r="581" ht="12.75" customHeight="1">
      <c r="A581" s="59"/>
      <c r="B581" s="59"/>
      <c r="C581" s="59"/>
    </row>
    <row r="582" ht="12.75" customHeight="1">
      <c r="A582" s="59"/>
      <c r="B582" s="59"/>
      <c r="C582" s="59"/>
    </row>
    <row r="583" ht="12.75" customHeight="1">
      <c r="A583" s="59"/>
      <c r="B583" s="59"/>
      <c r="C583" s="59"/>
    </row>
    <row r="584" ht="12.75" customHeight="1">
      <c r="A584" s="59"/>
      <c r="B584" s="59"/>
      <c r="C584" s="59"/>
    </row>
    <row r="585" ht="12.75" customHeight="1">
      <c r="A585" s="59"/>
      <c r="B585" s="59"/>
      <c r="C585" s="59"/>
    </row>
    <row r="586" ht="12.75" customHeight="1">
      <c r="A586" s="59"/>
      <c r="B586" s="59"/>
      <c r="C586" s="59"/>
    </row>
    <row r="587" ht="12.75" customHeight="1">
      <c r="A587" s="59"/>
      <c r="B587" s="59"/>
      <c r="C587" s="59"/>
    </row>
    <row r="588" ht="12.75" customHeight="1">
      <c r="A588" s="59"/>
      <c r="B588" s="59"/>
      <c r="C588" s="59"/>
    </row>
    <row r="589" ht="12.75" customHeight="1">
      <c r="A589" s="59"/>
      <c r="B589" s="59"/>
      <c r="C589" s="59"/>
    </row>
    <row r="590" ht="12.75" customHeight="1">
      <c r="A590" s="59"/>
      <c r="B590" s="59"/>
      <c r="C590" s="59"/>
    </row>
    <row r="591" ht="12.75" customHeight="1">
      <c r="A591" s="59"/>
      <c r="B591" s="59"/>
      <c r="C591" s="59"/>
    </row>
    <row r="592" ht="12.75" customHeight="1">
      <c r="A592" s="59"/>
      <c r="B592" s="59"/>
      <c r="C592" s="59"/>
    </row>
    <row r="593" ht="12.75" customHeight="1">
      <c r="A593" s="59"/>
      <c r="B593" s="59"/>
      <c r="C593" s="59"/>
    </row>
    <row r="594" ht="12.75" customHeight="1">
      <c r="A594" s="59"/>
      <c r="B594" s="59"/>
      <c r="C594" s="59"/>
    </row>
    <row r="595" ht="12.75" customHeight="1">
      <c r="A595" s="59"/>
      <c r="B595" s="59"/>
      <c r="C595" s="59"/>
    </row>
    <row r="596" ht="12.75" customHeight="1">
      <c r="A596" s="59"/>
      <c r="B596" s="59"/>
      <c r="C596" s="59"/>
    </row>
    <row r="597" ht="12.75" customHeight="1">
      <c r="A597" s="59"/>
      <c r="B597" s="59"/>
      <c r="C597" s="59"/>
    </row>
    <row r="598" ht="12.75" customHeight="1">
      <c r="A598" s="59"/>
      <c r="B598" s="59"/>
      <c r="C598" s="59"/>
    </row>
    <row r="599" ht="12.75" customHeight="1">
      <c r="A599" s="59"/>
      <c r="B599" s="59"/>
      <c r="C599" s="59"/>
    </row>
    <row r="600" ht="12.75" customHeight="1">
      <c r="A600" s="59"/>
      <c r="B600" s="59"/>
      <c r="C600" s="59"/>
    </row>
    <row r="601" ht="12.75" customHeight="1">
      <c r="A601" s="59"/>
      <c r="B601" s="59"/>
      <c r="C601" s="59"/>
    </row>
    <row r="602" ht="12.75" customHeight="1">
      <c r="A602" s="59"/>
      <c r="B602" s="59"/>
      <c r="C602" s="59"/>
    </row>
    <row r="603" ht="12.75" customHeight="1">
      <c r="A603" s="59"/>
      <c r="B603" s="59"/>
      <c r="C603" s="59"/>
    </row>
    <row r="604" ht="12.75" customHeight="1">
      <c r="A604" s="59"/>
      <c r="B604" s="59"/>
      <c r="C604" s="59"/>
    </row>
    <row r="605" ht="12.75" customHeight="1">
      <c r="A605" s="59"/>
      <c r="B605" s="59"/>
      <c r="C605" s="59"/>
    </row>
    <row r="606" ht="12.75" customHeight="1">
      <c r="A606" s="59"/>
      <c r="B606" s="59"/>
      <c r="C606" s="59"/>
    </row>
    <row r="607" ht="12.75" customHeight="1">
      <c r="A607" s="59"/>
      <c r="B607" s="59"/>
      <c r="C607" s="59"/>
    </row>
    <row r="608" ht="12.75" customHeight="1">
      <c r="A608" s="59"/>
      <c r="B608" s="59"/>
      <c r="C608" s="59"/>
    </row>
    <row r="609" ht="12.75" customHeight="1">
      <c r="A609" s="59"/>
      <c r="B609" s="59"/>
      <c r="C609" s="59"/>
    </row>
    <row r="610" ht="12.75" customHeight="1">
      <c r="A610" s="59"/>
      <c r="B610" s="59"/>
      <c r="C610" s="59"/>
    </row>
    <row r="611" ht="12.75" customHeight="1">
      <c r="A611" s="59"/>
      <c r="B611" s="59"/>
      <c r="C611" s="59"/>
    </row>
    <row r="612" ht="12.75" customHeight="1">
      <c r="A612" s="59"/>
      <c r="B612" s="59"/>
      <c r="C612" s="59"/>
    </row>
    <row r="613" ht="12.75" customHeight="1">
      <c r="A613" s="59"/>
      <c r="B613" s="59"/>
      <c r="C613" s="59"/>
    </row>
    <row r="614" ht="12.75" customHeight="1">
      <c r="A614" s="59"/>
      <c r="B614" s="59"/>
      <c r="C614" s="59"/>
    </row>
    <row r="615" ht="12.75" customHeight="1">
      <c r="A615" s="59"/>
      <c r="B615" s="59"/>
      <c r="C615" s="59"/>
    </row>
    <row r="616" ht="12.75" customHeight="1">
      <c r="A616" s="59"/>
      <c r="B616" s="59"/>
      <c r="C616" s="59"/>
    </row>
    <row r="617" ht="12.75" customHeight="1">
      <c r="A617" s="59"/>
      <c r="B617" s="59"/>
      <c r="C617" s="59"/>
    </row>
    <row r="618" ht="12.75" customHeight="1">
      <c r="A618" s="59"/>
      <c r="B618" s="59"/>
      <c r="C618" s="59"/>
    </row>
    <row r="619" ht="12.75" customHeight="1">
      <c r="A619" s="59"/>
      <c r="B619" s="59"/>
      <c r="C619" s="59"/>
    </row>
    <row r="620" ht="12.75" customHeight="1">
      <c r="A620" s="59"/>
      <c r="B620" s="59"/>
      <c r="C620" s="59"/>
    </row>
    <row r="621" ht="12.75" customHeight="1">
      <c r="A621" s="59"/>
      <c r="B621" s="59"/>
      <c r="C621" s="59"/>
    </row>
    <row r="622" ht="12.75" customHeight="1">
      <c r="A622" s="59"/>
      <c r="B622" s="59"/>
      <c r="C622" s="59"/>
    </row>
    <row r="623" ht="12.75" customHeight="1">
      <c r="A623" s="59"/>
      <c r="B623" s="59"/>
      <c r="C623" s="59"/>
    </row>
    <row r="624" ht="12.75" customHeight="1">
      <c r="A624" s="59"/>
      <c r="B624" s="59"/>
      <c r="C624" s="59"/>
    </row>
    <row r="625" ht="12.75" customHeight="1">
      <c r="A625" s="59"/>
      <c r="B625" s="59"/>
      <c r="C625" s="59"/>
    </row>
    <row r="626" ht="12.75" customHeight="1">
      <c r="A626" s="59"/>
      <c r="B626" s="59"/>
      <c r="C626" s="59"/>
    </row>
    <row r="627" ht="12.75" customHeight="1">
      <c r="A627" s="59"/>
      <c r="B627" s="59"/>
      <c r="C627" s="59"/>
    </row>
    <row r="628" ht="12.75" customHeight="1">
      <c r="A628" s="59"/>
      <c r="B628" s="59"/>
      <c r="C628" s="59"/>
    </row>
    <row r="629" ht="12.75" customHeight="1">
      <c r="A629" s="59"/>
      <c r="B629" s="59"/>
      <c r="C629" s="59"/>
    </row>
    <row r="630" ht="12.75" customHeight="1">
      <c r="A630" s="59"/>
      <c r="B630" s="59"/>
      <c r="C630" s="59"/>
    </row>
    <row r="631" ht="12.75" customHeight="1">
      <c r="A631" s="59"/>
      <c r="B631" s="59"/>
      <c r="C631" s="59"/>
    </row>
    <row r="632" ht="12.75" customHeight="1">
      <c r="A632" s="59"/>
      <c r="B632" s="59"/>
      <c r="C632" s="59"/>
    </row>
    <row r="633" ht="12.75" customHeight="1">
      <c r="A633" s="59"/>
      <c r="B633" s="59"/>
      <c r="C633" s="59"/>
    </row>
    <row r="634" ht="12.75" customHeight="1">
      <c r="A634" s="59"/>
      <c r="B634" s="59"/>
      <c r="C634" s="59"/>
    </row>
    <row r="635" ht="12.75" customHeight="1">
      <c r="A635" s="59"/>
      <c r="B635" s="59"/>
      <c r="C635" s="59"/>
    </row>
    <row r="636" ht="12.75" customHeight="1">
      <c r="A636" s="59"/>
      <c r="B636" s="59"/>
      <c r="C636" s="59"/>
    </row>
    <row r="637" ht="12.75" customHeight="1">
      <c r="A637" s="59"/>
      <c r="B637" s="59"/>
      <c r="C637" s="59"/>
    </row>
    <row r="638" ht="12.75" customHeight="1">
      <c r="A638" s="59"/>
      <c r="B638" s="59"/>
      <c r="C638" s="59"/>
    </row>
    <row r="639" ht="12.75" customHeight="1">
      <c r="A639" s="59"/>
      <c r="B639" s="59"/>
      <c r="C639" s="59"/>
    </row>
    <row r="640" ht="12.75" customHeight="1">
      <c r="A640" s="59"/>
      <c r="B640" s="59"/>
      <c r="C640" s="59"/>
    </row>
    <row r="641" ht="12.75" customHeight="1">
      <c r="A641" s="59"/>
      <c r="B641" s="59"/>
      <c r="C641" s="59"/>
    </row>
    <row r="642" ht="12.75" customHeight="1">
      <c r="A642" s="59"/>
      <c r="B642" s="59"/>
      <c r="C642" s="59"/>
    </row>
    <row r="643" ht="12.75" customHeight="1">
      <c r="A643" s="59"/>
      <c r="B643" s="59"/>
      <c r="C643" s="59"/>
    </row>
    <row r="644" ht="12.75" customHeight="1">
      <c r="A644" s="59"/>
      <c r="B644" s="59"/>
      <c r="C644" s="59"/>
    </row>
    <row r="645" ht="12.75" customHeight="1">
      <c r="A645" s="59"/>
      <c r="B645" s="59"/>
      <c r="C645" s="59"/>
    </row>
    <row r="646" ht="12.75" customHeight="1">
      <c r="A646" s="59"/>
      <c r="B646" s="59"/>
      <c r="C646" s="59"/>
    </row>
    <row r="647" ht="12.75" customHeight="1">
      <c r="A647" s="59"/>
      <c r="B647" s="59"/>
      <c r="C647" s="59"/>
    </row>
    <row r="648" ht="12.75" customHeight="1">
      <c r="A648" s="59"/>
      <c r="B648" s="59"/>
      <c r="C648" s="59"/>
    </row>
    <row r="649" ht="12.75" customHeight="1">
      <c r="A649" s="59"/>
      <c r="B649" s="59"/>
      <c r="C649" s="59"/>
    </row>
    <row r="650" ht="12.75" customHeight="1">
      <c r="A650" s="59"/>
      <c r="B650" s="59"/>
      <c r="C650" s="59"/>
    </row>
    <row r="651" ht="12.75" customHeight="1">
      <c r="A651" s="59"/>
      <c r="B651" s="59"/>
      <c r="C651" s="59"/>
    </row>
    <row r="652" ht="12.75" customHeight="1">
      <c r="A652" s="59"/>
      <c r="B652" s="59"/>
      <c r="C652" s="59"/>
    </row>
    <row r="653" ht="12.75" customHeight="1">
      <c r="A653" s="59"/>
      <c r="B653" s="59"/>
      <c r="C653" s="59"/>
    </row>
    <row r="654" ht="12.75" customHeight="1">
      <c r="A654" s="59"/>
      <c r="B654" s="59"/>
      <c r="C654" s="59"/>
    </row>
    <row r="655" ht="12.75" customHeight="1">
      <c r="A655" s="59"/>
      <c r="B655" s="59"/>
      <c r="C655" s="59"/>
    </row>
    <row r="656" ht="12.75" customHeight="1">
      <c r="A656" s="59"/>
      <c r="B656" s="59"/>
      <c r="C656" s="59"/>
    </row>
    <row r="657" ht="12.75" customHeight="1">
      <c r="A657" s="59"/>
      <c r="B657" s="59"/>
      <c r="C657" s="59"/>
    </row>
    <row r="658" ht="12.75" customHeight="1">
      <c r="A658" s="59"/>
      <c r="B658" s="59"/>
      <c r="C658" s="59"/>
    </row>
    <row r="659" ht="12.75" customHeight="1">
      <c r="A659" s="59"/>
      <c r="B659" s="59"/>
      <c r="C659" s="59"/>
    </row>
    <row r="660" ht="12.75" customHeight="1">
      <c r="A660" s="59"/>
      <c r="B660" s="59"/>
      <c r="C660" s="59"/>
    </row>
    <row r="661" ht="12.75" customHeight="1">
      <c r="A661" s="59"/>
      <c r="B661" s="59"/>
      <c r="C661" s="59"/>
    </row>
    <row r="662" ht="12.75" customHeight="1">
      <c r="A662" s="59"/>
      <c r="B662" s="59"/>
      <c r="C662" s="59"/>
    </row>
    <row r="663" ht="12.75" customHeight="1">
      <c r="A663" s="59"/>
      <c r="B663" s="59"/>
      <c r="C663" s="59"/>
    </row>
    <row r="664" ht="12.75" customHeight="1">
      <c r="A664" s="59"/>
      <c r="B664" s="59"/>
      <c r="C664" s="59"/>
    </row>
    <row r="665" ht="12.75" customHeight="1">
      <c r="A665" s="59"/>
      <c r="B665" s="59"/>
      <c r="C665" s="59"/>
    </row>
    <row r="666" ht="12.75" customHeight="1">
      <c r="A666" s="59"/>
      <c r="B666" s="59"/>
      <c r="C666" s="59"/>
    </row>
    <row r="667" ht="12.75" customHeight="1">
      <c r="A667" s="59"/>
      <c r="B667" s="59"/>
      <c r="C667" s="59"/>
    </row>
    <row r="668" ht="12.75" customHeight="1">
      <c r="A668" s="59"/>
      <c r="B668" s="59"/>
      <c r="C668" s="59"/>
    </row>
    <row r="669" ht="12.75" customHeight="1">
      <c r="A669" s="59"/>
      <c r="B669" s="59"/>
      <c r="C669" s="59"/>
    </row>
    <row r="670" ht="12.75" customHeight="1">
      <c r="A670" s="59"/>
      <c r="B670" s="59"/>
      <c r="C670" s="59"/>
    </row>
    <row r="671" ht="12.75" customHeight="1">
      <c r="A671" s="59"/>
      <c r="B671" s="59"/>
      <c r="C671" s="59"/>
    </row>
    <row r="672" ht="12.75" customHeight="1">
      <c r="A672" s="59"/>
      <c r="B672" s="59"/>
      <c r="C672" s="59"/>
    </row>
    <row r="673" ht="12.75" customHeight="1">
      <c r="A673" s="59"/>
      <c r="B673" s="59"/>
      <c r="C673" s="59"/>
    </row>
    <row r="674" ht="12.75" customHeight="1">
      <c r="A674" s="59"/>
      <c r="B674" s="59"/>
      <c r="C674" s="59"/>
    </row>
    <row r="675" ht="12.75" customHeight="1">
      <c r="A675" s="59"/>
      <c r="B675" s="59"/>
      <c r="C675" s="59"/>
    </row>
    <row r="676" ht="12.75" customHeight="1">
      <c r="A676" s="59"/>
      <c r="B676" s="59"/>
      <c r="C676" s="59"/>
    </row>
    <row r="677" ht="12.75" customHeight="1">
      <c r="A677" s="59"/>
      <c r="B677" s="59"/>
      <c r="C677" s="59"/>
    </row>
    <row r="678" ht="12.75" customHeight="1">
      <c r="A678" s="59"/>
      <c r="B678" s="59"/>
      <c r="C678" s="59"/>
    </row>
    <row r="679" ht="12.75" customHeight="1">
      <c r="A679" s="59"/>
      <c r="B679" s="59"/>
      <c r="C679" s="59"/>
    </row>
    <row r="680" ht="12.75" customHeight="1">
      <c r="A680" s="59"/>
      <c r="B680" s="59"/>
      <c r="C680" s="59"/>
    </row>
    <row r="681" ht="12.75" customHeight="1">
      <c r="A681" s="59"/>
      <c r="B681" s="59"/>
      <c r="C681" s="59"/>
    </row>
    <row r="682" ht="12.75" customHeight="1">
      <c r="A682" s="59"/>
      <c r="B682" s="59"/>
      <c r="C682" s="59"/>
    </row>
    <row r="683" ht="12.75" customHeight="1">
      <c r="A683" s="59"/>
      <c r="B683" s="59"/>
      <c r="C683" s="59"/>
    </row>
    <row r="684" ht="12.75" customHeight="1">
      <c r="A684" s="59"/>
      <c r="B684" s="59"/>
      <c r="C684" s="59"/>
    </row>
    <row r="685" ht="12.75" customHeight="1">
      <c r="A685" s="59"/>
      <c r="B685" s="59"/>
      <c r="C685" s="59"/>
    </row>
    <row r="686" ht="12.75" customHeight="1">
      <c r="A686" s="59"/>
      <c r="B686" s="59"/>
      <c r="C686" s="59"/>
    </row>
    <row r="687" ht="12.75" customHeight="1">
      <c r="A687" s="59"/>
      <c r="B687" s="59"/>
      <c r="C687" s="59"/>
    </row>
    <row r="688" ht="12.75" customHeight="1">
      <c r="A688" s="59"/>
      <c r="B688" s="59"/>
      <c r="C688" s="59"/>
    </row>
    <row r="689" ht="12.75" customHeight="1">
      <c r="A689" s="59"/>
      <c r="B689" s="59"/>
      <c r="C689" s="59"/>
    </row>
    <row r="690" ht="12.75" customHeight="1">
      <c r="A690" s="59"/>
      <c r="B690" s="59"/>
      <c r="C690" s="59"/>
    </row>
    <row r="691" ht="12.75" customHeight="1">
      <c r="A691" s="59"/>
      <c r="B691" s="59"/>
      <c r="C691" s="59"/>
    </row>
    <row r="692" ht="12.75" customHeight="1">
      <c r="A692" s="59"/>
      <c r="B692" s="59"/>
      <c r="C692" s="59"/>
    </row>
    <row r="693" ht="12.75" customHeight="1">
      <c r="A693" s="59"/>
      <c r="B693" s="59"/>
      <c r="C693" s="59"/>
    </row>
    <row r="694" ht="12.75" customHeight="1">
      <c r="A694" s="59"/>
      <c r="B694" s="59"/>
      <c r="C694" s="59"/>
    </row>
    <row r="695" ht="12.75" customHeight="1">
      <c r="A695" s="59"/>
      <c r="B695" s="59"/>
      <c r="C695" s="59"/>
    </row>
    <row r="696" ht="12.75" customHeight="1">
      <c r="A696" s="59"/>
      <c r="B696" s="59"/>
      <c r="C696" s="59"/>
    </row>
    <row r="697" ht="12.75" customHeight="1">
      <c r="A697" s="59"/>
      <c r="B697" s="59"/>
      <c r="C697" s="59"/>
    </row>
    <row r="698" ht="12.75" customHeight="1">
      <c r="A698" s="59"/>
      <c r="B698" s="59"/>
      <c r="C698" s="59"/>
    </row>
    <row r="699" ht="12.75" customHeight="1">
      <c r="A699" s="59"/>
      <c r="B699" s="59"/>
      <c r="C699" s="59"/>
    </row>
    <row r="700" ht="12.75" customHeight="1">
      <c r="A700" s="59"/>
      <c r="B700" s="59"/>
      <c r="C700" s="59"/>
    </row>
    <row r="701" ht="12.75" customHeight="1">
      <c r="A701" s="59"/>
      <c r="B701" s="59"/>
      <c r="C701" s="59"/>
    </row>
    <row r="702" ht="12.75" customHeight="1">
      <c r="A702" s="59"/>
      <c r="B702" s="59"/>
      <c r="C702" s="59"/>
    </row>
    <row r="703" ht="12.75" customHeight="1">
      <c r="A703" s="59"/>
      <c r="B703" s="59"/>
      <c r="C703" s="59"/>
    </row>
    <row r="704" ht="12.75" customHeight="1">
      <c r="A704" s="59"/>
      <c r="B704" s="59"/>
      <c r="C704" s="59"/>
    </row>
    <row r="705" ht="12.75" customHeight="1">
      <c r="A705" s="59"/>
      <c r="B705" s="59"/>
      <c r="C705" s="59"/>
    </row>
    <row r="706" ht="12.75" customHeight="1">
      <c r="A706" s="59"/>
      <c r="B706" s="59"/>
      <c r="C706" s="59"/>
    </row>
    <row r="707" ht="12.75" customHeight="1">
      <c r="A707" s="59"/>
      <c r="B707" s="59"/>
      <c r="C707" s="59"/>
    </row>
    <row r="708" ht="12.75" customHeight="1">
      <c r="A708" s="59"/>
      <c r="B708" s="59"/>
      <c r="C708" s="59"/>
    </row>
    <row r="709" ht="12.75" customHeight="1">
      <c r="A709" s="59"/>
      <c r="B709" s="59"/>
      <c r="C709" s="59"/>
    </row>
    <row r="710" ht="12.75" customHeight="1">
      <c r="A710" s="59"/>
      <c r="B710" s="59"/>
      <c r="C710" s="59"/>
    </row>
    <row r="711" ht="12.75" customHeight="1">
      <c r="A711" s="59"/>
      <c r="B711" s="59"/>
      <c r="C711" s="59"/>
    </row>
    <row r="712" ht="12.75" customHeight="1">
      <c r="A712" s="59"/>
      <c r="B712" s="59"/>
      <c r="C712" s="59"/>
    </row>
    <row r="713" ht="12.75" customHeight="1">
      <c r="A713" s="59"/>
      <c r="B713" s="59"/>
      <c r="C713" s="59"/>
    </row>
    <row r="714" ht="12.75" customHeight="1">
      <c r="A714" s="59"/>
      <c r="B714" s="59"/>
      <c r="C714" s="59"/>
    </row>
    <row r="715" ht="12.75" customHeight="1">
      <c r="A715" s="59"/>
      <c r="B715" s="59"/>
      <c r="C715" s="59"/>
    </row>
    <row r="716" ht="12.75" customHeight="1">
      <c r="A716" s="59"/>
      <c r="B716" s="59"/>
      <c r="C716" s="59"/>
    </row>
    <row r="717" ht="12.75" customHeight="1">
      <c r="A717" s="59"/>
      <c r="B717" s="59"/>
      <c r="C717" s="59"/>
    </row>
    <row r="718" ht="12.75" customHeight="1">
      <c r="A718" s="59"/>
      <c r="B718" s="59"/>
      <c r="C718" s="59"/>
    </row>
    <row r="719" ht="12.75" customHeight="1">
      <c r="A719" s="59"/>
      <c r="B719" s="59"/>
      <c r="C719" s="59"/>
    </row>
    <row r="720" ht="12.75" customHeight="1">
      <c r="A720" s="59"/>
      <c r="B720" s="59"/>
      <c r="C720" s="59"/>
    </row>
    <row r="721" ht="12.75" customHeight="1">
      <c r="A721" s="59"/>
      <c r="B721" s="59"/>
      <c r="C721" s="59"/>
    </row>
    <row r="722" ht="12.75" customHeight="1">
      <c r="A722" s="59"/>
      <c r="B722" s="59"/>
      <c r="C722" s="59"/>
    </row>
    <row r="723" ht="12.75" customHeight="1">
      <c r="A723" s="59"/>
      <c r="B723" s="59"/>
      <c r="C723" s="59"/>
    </row>
    <row r="724" ht="12.75" customHeight="1">
      <c r="A724" s="59"/>
      <c r="B724" s="59"/>
      <c r="C724" s="59"/>
    </row>
    <row r="725" ht="12.75" customHeight="1">
      <c r="A725" s="59"/>
      <c r="B725" s="59"/>
      <c r="C725" s="59"/>
    </row>
    <row r="726" ht="12.75" customHeight="1">
      <c r="A726" s="59"/>
      <c r="B726" s="59"/>
      <c r="C726" s="59"/>
    </row>
    <row r="727" ht="12.75" customHeight="1">
      <c r="A727" s="59"/>
      <c r="B727" s="59"/>
      <c r="C727" s="59"/>
    </row>
    <row r="728" ht="12.75" customHeight="1">
      <c r="A728" s="59"/>
      <c r="B728" s="59"/>
      <c r="C728" s="59"/>
    </row>
    <row r="729" ht="12.75" customHeight="1">
      <c r="A729" s="59"/>
      <c r="B729" s="59"/>
      <c r="C729" s="59"/>
    </row>
    <row r="730" ht="12.75" customHeight="1">
      <c r="A730" s="59"/>
      <c r="B730" s="59"/>
      <c r="C730" s="59"/>
    </row>
    <row r="731" ht="12.75" customHeight="1">
      <c r="A731" s="59"/>
      <c r="B731" s="59"/>
      <c r="C731" s="59"/>
    </row>
    <row r="732" ht="12.75" customHeight="1">
      <c r="A732" s="59"/>
      <c r="B732" s="59"/>
      <c r="C732" s="59"/>
    </row>
    <row r="733" ht="12.75" customHeight="1">
      <c r="A733" s="59"/>
      <c r="B733" s="59"/>
      <c r="C733" s="59"/>
    </row>
    <row r="734" ht="12.75" customHeight="1">
      <c r="A734" s="59"/>
      <c r="B734" s="59"/>
      <c r="C734" s="59"/>
    </row>
    <row r="735" ht="12.75" customHeight="1">
      <c r="A735" s="59"/>
      <c r="B735" s="59"/>
      <c r="C735" s="59"/>
    </row>
    <row r="736" ht="12.75" customHeight="1">
      <c r="A736" s="59"/>
      <c r="B736" s="59"/>
      <c r="C736" s="59"/>
    </row>
    <row r="737" ht="12.75" customHeight="1">
      <c r="A737" s="59"/>
      <c r="B737" s="59"/>
      <c r="C737" s="59"/>
    </row>
    <row r="738" ht="12.75" customHeight="1">
      <c r="A738" s="59"/>
      <c r="B738" s="59"/>
      <c r="C738" s="59"/>
    </row>
    <row r="739" ht="12.75" customHeight="1">
      <c r="A739" s="59"/>
      <c r="B739" s="59"/>
      <c r="C739" s="59"/>
    </row>
    <row r="740" ht="12.75" customHeight="1">
      <c r="A740" s="59"/>
      <c r="B740" s="59"/>
      <c r="C740" s="59"/>
    </row>
    <row r="741" ht="12.75" customHeight="1">
      <c r="A741" s="59"/>
      <c r="B741" s="59"/>
      <c r="C741" s="59"/>
    </row>
    <row r="742" ht="12.75" customHeight="1">
      <c r="A742" s="59"/>
      <c r="B742" s="59"/>
      <c r="C742" s="59"/>
    </row>
    <row r="743" ht="12.75" customHeight="1">
      <c r="A743" s="59"/>
      <c r="B743" s="59"/>
      <c r="C743" s="59"/>
    </row>
    <row r="744" ht="12.75" customHeight="1">
      <c r="A744" s="59"/>
      <c r="B744" s="59"/>
      <c r="C744" s="59"/>
    </row>
    <row r="745" ht="12.75" customHeight="1">
      <c r="A745" s="59"/>
      <c r="B745" s="59"/>
      <c r="C745" s="59"/>
    </row>
    <row r="746" ht="12.75" customHeight="1">
      <c r="A746" s="59"/>
      <c r="B746" s="59"/>
      <c r="C746" s="59"/>
    </row>
    <row r="747" ht="12.75" customHeight="1">
      <c r="A747" s="59"/>
      <c r="B747" s="59"/>
      <c r="C747" s="59"/>
    </row>
    <row r="748" ht="12.75" customHeight="1">
      <c r="A748" s="59"/>
      <c r="B748" s="59"/>
      <c r="C748" s="59"/>
    </row>
    <row r="749" ht="12.75" customHeight="1">
      <c r="A749" s="59"/>
      <c r="B749" s="59"/>
      <c r="C749" s="59"/>
    </row>
    <row r="750" ht="12.75" customHeight="1">
      <c r="A750" s="59"/>
      <c r="B750" s="59"/>
      <c r="C750" s="59"/>
    </row>
    <row r="751" ht="12.75" customHeight="1">
      <c r="A751" s="59"/>
      <c r="B751" s="59"/>
      <c r="C751" s="59"/>
    </row>
    <row r="752" ht="12.75" customHeight="1">
      <c r="A752" s="59"/>
      <c r="B752" s="59"/>
      <c r="C752" s="59"/>
    </row>
    <row r="753" ht="12.75" customHeight="1">
      <c r="A753" s="59"/>
      <c r="B753" s="59"/>
      <c r="C753" s="59"/>
    </row>
    <row r="754" ht="12.75" customHeight="1">
      <c r="A754" s="59"/>
      <c r="B754" s="59"/>
      <c r="C754" s="59"/>
    </row>
    <row r="755" ht="12.75" customHeight="1">
      <c r="A755" s="59"/>
      <c r="B755" s="59"/>
      <c r="C755" s="59"/>
    </row>
    <row r="756" ht="12.75" customHeight="1">
      <c r="A756" s="59"/>
      <c r="B756" s="59"/>
      <c r="C756" s="59"/>
    </row>
    <row r="757" ht="12.75" customHeight="1">
      <c r="A757" s="59"/>
      <c r="B757" s="59"/>
      <c r="C757" s="59"/>
    </row>
    <row r="758" ht="12.75" customHeight="1">
      <c r="A758" s="59"/>
      <c r="B758" s="59"/>
      <c r="C758" s="59"/>
    </row>
    <row r="759" ht="12.75" customHeight="1">
      <c r="A759" s="59"/>
      <c r="B759" s="59"/>
      <c r="C759" s="59"/>
    </row>
    <row r="760" ht="12.75" customHeight="1">
      <c r="A760" s="59"/>
      <c r="B760" s="59"/>
      <c r="C760" s="59"/>
    </row>
    <row r="761" ht="12.75" customHeight="1">
      <c r="A761" s="59"/>
      <c r="B761" s="59"/>
      <c r="C761" s="59"/>
    </row>
    <row r="762" ht="12.75" customHeight="1">
      <c r="A762" s="59"/>
      <c r="B762" s="59"/>
      <c r="C762" s="59"/>
    </row>
    <row r="763" ht="12.75" customHeight="1">
      <c r="A763" s="59"/>
      <c r="B763" s="59"/>
      <c r="C763" s="59"/>
    </row>
    <row r="764" ht="12.75" customHeight="1">
      <c r="A764" s="59"/>
      <c r="B764" s="59"/>
      <c r="C764" s="59"/>
    </row>
    <row r="765" ht="12.75" customHeight="1">
      <c r="A765" s="59"/>
      <c r="B765" s="59"/>
      <c r="C765" s="59"/>
    </row>
    <row r="766" ht="12.75" customHeight="1">
      <c r="A766" s="59"/>
      <c r="B766" s="59"/>
      <c r="C766" s="59"/>
    </row>
    <row r="767" ht="12.75" customHeight="1">
      <c r="A767" s="59"/>
      <c r="B767" s="59"/>
      <c r="C767" s="59"/>
    </row>
    <row r="768" ht="12.75" customHeight="1">
      <c r="A768" s="59"/>
      <c r="B768" s="59"/>
      <c r="C768" s="59"/>
    </row>
    <row r="769" ht="12.75" customHeight="1">
      <c r="A769" s="59"/>
      <c r="B769" s="59"/>
      <c r="C769" s="59"/>
    </row>
    <row r="770" ht="12.75" customHeight="1">
      <c r="A770" s="59"/>
      <c r="B770" s="59"/>
      <c r="C770" s="59"/>
    </row>
    <row r="771" ht="12.75" customHeight="1">
      <c r="A771" s="59"/>
      <c r="B771" s="59"/>
      <c r="C771" s="59"/>
    </row>
    <row r="772" ht="12.75" customHeight="1">
      <c r="A772" s="59"/>
      <c r="B772" s="59"/>
      <c r="C772" s="59"/>
    </row>
    <row r="773" ht="12.75" customHeight="1">
      <c r="A773" s="59"/>
      <c r="B773" s="59"/>
      <c r="C773" s="59"/>
    </row>
    <row r="774" ht="12.75" customHeight="1">
      <c r="A774" s="59"/>
      <c r="B774" s="59"/>
      <c r="C774" s="59"/>
    </row>
    <row r="775" ht="12.75" customHeight="1">
      <c r="A775" s="59"/>
      <c r="B775" s="59"/>
      <c r="C775" s="59"/>
    </row>
    <row r="776" ht="12.75" customHeight="1">
      <c r="A776" s="59"/>
      <c r="B776" s="59"/>
      <c r="C776" s="59"/>
    </row>
    <row r="777" ht="12.75" customHeight="1">
      <c r="A777" s="59"/>
      <c r="B777" s="59"/>
      <c r="C777" s="59"/>
    </row>
    <row r="778" ht="12.75" customHeight="1">
      <c r="A778" s="59"/>
      <c r="B778" s="59"/>
      <c r="C778" s="59"/>
    </row>
    <row r="779" ht="12.75" customHeight="1">
      <c r="A779" s="59"/>
      <c r="B779" s="59"/>
      <c r="C779" s="59"/>
    </row>
    <row r="780" ht="12.75" customHeight="1">
      <c r="A780" s="59"/>
      <c r="B780" s="59"/>
      <c r="C780" s="59"/>
    </row>
    <row r="781" ht="12.75" customHeight="1">
      <c r="A781" s="59"/>
      <c r="B781" s="59"/>
      <c r="C781" s="59"/>
    </row>
    <row r="782" ht="12.75" customHeight="1">
      <c r="A782" s="59"/>
      <c r="B782" s="59"/>
      <c r="C782" s="59"/>
    </row>
    <row r="783" ht="12.75" customHeight="1">
      <c r="A783" s="59"/>
      <c r="B783" s="59"/>
      <c r="C783" s="59"/>
    </row>
    <row r="784" ht="12.75" customHeight="1">
      <c r="A784" s="59"/>
      <c r="B784" s="59"/>
      <c r="C784" s="59"/>
    </row>
    <row r="785" ht="12.75" customHeight="1">
      <c r="A785" s="59"/>
      <c r="B785" s="59"/>
      <c r="C785" s="59"/>
    </row>
    <row r="786" ht="12.75" customHeight="1">
      <c r="A786" s="59"/>
      <c r="B786" s="59"/>
      <c r="C786" s="59"/>
    </row>
    <row r="787" ht="12.75" customHeight="1">
      <c r="A787" s="59"/>
      <c r="B787" s="59"/>
      <c r="C787" s="59"/>
    </row>
    <row r="788" ht="12.75" customHeight="1">
      <c r="A788" s="59"/>
      <c r="B788" s="59"/>
      <c r="C788" s="59"/>
    </row>
    <row r="789" ht="12.75" customHeight="1">
      <c r="A789" s="59"/>
      <c r="B789" s="59"/>
      <c r="C789" s="59"/>
    </row>
    <row r="790" ht="12.75" customHeight="1">
      <c r="A790" s="59"/>
      <c r="B790" s="59"/>
      <c r="C790" s="59"/>
    </row>
    <row r="791" ht="12.75" customHeight="1">
      <c r="A791" s="59"/>
      <c r="B791" s="59"/>
      <c r="C791" s="59"/>
    </row>
    <row r="792" ht="12.75" customHeight="1">
      <c r="A792" s="59"/>
      <c r="B792" s="59"/>
      <c r="C792" s="59"/>
    </row>
    <row r="793" ht="12.75" customHeight="1">
      <c r="A793" s="59"/>
      <c r="B793" s="59"/>
      <c r="C793" s="59"/>
    </row>
    <row r="794" ht="12.75" customHeight="1">
      <c r="A794" s="59"/>
      <c r="B794" s="59"/>
      <c r="C794" s="59"/>
    </row>
    <row r="795" ht="12.75" customHeight="1">
      <c r="A795" s="59"/>
      <c r="B795" s="59"/>
      <c r="C795" s="59"/>
    </row>
    <row r="796" ht="12.75" customHeight="1">
      <c r="A796" s="59"/>
      <c r="B796" s="59"/>
      <c r="C796" s="59"/>
    </row>
    <row r="797" ht="12.75" customHeight="1">
      <c r="A797" s="59"/>
      <c r="B797" s="59"/>
      <c r="C797" s="59"/>
    </row>
    <row r="798" ht="12.75" customHeight="1">
      <c r="A798" s="59"/>
      <c r="B798" s="59"/>
      <c r="C798" s="59"/>
    </row>
    <row r="799" ht="12.75" customHeight="1">
      <c r="A799" s="59"/>
      <c r="B799" s="59"/>
      <c r="C799" s="59"/>
    </row>
    <row r="800" ht="12.75" customHeight="1">
      <c r="A800" s="59"/>
      <c r="B800" s="59"/>
      <c r="C800" s="59"/>
    </row>
    <row r="801" ht="12.75" customHeight="1">
      <c r="A801" s="59"/>
      <c r="B801" s="59"/>
      <c r="C801" s="59"/>
    </row>
    <row r="802" ht="12.75" customHeight="1">
      <c r="A802" s="59"/>
      <c r="B802" s="59"/>
      <c r="C802" s="59"/>
    </row>
    <row r="803" ht="12.75" customHeight="1">
      <c r="A803" s="59"/>
      <c r="B803" s="59"/>
      <c r="C803" s="59"/>
    </row>
    <row r="804" ht="12.75" customHeight="1">
      <c r="A804" s="59"/>
      <c r="B804" s="59"/>
      <c r="C804" s="59"/>
    </row>
    <row r="805" ht="12.75" customHeight="1">
      <c r="A805" s="59"/>
      <c r="B805" s="59"/>
      <c r="C805" s="59"/>
    </row>
    <row r="806" ht="12.75" customHeight="1">
      <c r="A806" s="59"/>
      <c r="B806" s="59"/>
      <c r="C806" s="59"/>
    </row>
    <row r="807" ht="12.75" customHeight="1">
      <c r="A807" s="59"/>
      <c r="B807" s="59"/>
      <c r="C807" s="59"/>
    </row>
    <row r="808" ht="12.75" customHeight="1">
      <c r="A808" s="59"/>
      <c r="B808" s="59"/>
      <c r="C808" s="59"/>
    </row>
    <row r="809" ht="12.75" customHeight="1">
      <c r="A809" s="59"/>
      <c r="B809" s="59"/>
      <c r="C809" s="59"/>
    </row>
    <row r="810" ht="12.75" customHeight="1">
      <c r="A810" s="59"/>
      <c r="B810" s="59"/>
      <c r="C810" s="59"/>
    </row>
    <row r="811" ht="12.75" customHeight="1">
      <c r="A811" s="59"/>
      <c r="B811" s="59"/>
      <c r="C811" s="59"/>
    </row>
    <row r="812" ht="12.75" customHeight="1">
      <c r="A812" s="59"/>
      <c r="B812" s="59"/>
      <c r="C812" s="59"/>
    </row>
    <row r="813" ht="12.75" customHeight="1">
      <c r="A813" s="59"/>
      <c r="B813" s="59"/>
      <c r="C813" s="59"/>
    </row>
    <row r="814" ht="12.75" customHeight="1">
      <c r="A814" s="59"/>
      <c r="B814" s="59"/>
      <c r="C814" s="59"/>
    </row>
    <row r="815" ht="12.75" customHeight="1">
      <c r="A815" s="59"/>
      <c r="B815" s="59"/>
      <c r="C815" s="59"/>
    </row>
    <row r="816" ht="12.75" customHeight="1">
      <c r="A816" s="59"/>
      <c r="B816" s="59"/>
      <c r="C816" s="59"/>
    </row>
    <row r="817" ht="12.75" customHeight="1">
      <c r="A817" s="59"/>
      <c r="B817" s="59"/>
      <c r="C817" s="59"/>
    </row>
    <row r="818" ht="12.75" customHeight="1">
      <c r="A818" s="59"/>
      <c r="B818" s="59"/>
      <c r="C818" s="59"/>
    </row>
    <row r="819" ht="12.75" customHeight="1">
      <c r="A819" s="59"/>
      <c r="B819" s="59"/>
      <c r="C819" s="59"/>
    </row>
    <row r="820" ht="12.75" customHeight="1">
      <c r="A820" s="59"/>
      <c r="B820" s="59"/>
      <c r="C820" s="59"/>
    </row>
    <row r="821" ht="12.75" customHeight="1">
      <c r="A821" s="59"/>
      <c r="B821" s="59"/>
      <c r="C821" s="59"/>
    </row>
    <row r="822" ht="12.75" customHeight="1">
      <c r="A822" s="59"/>
      <c r="B822" s="59"/>
      <c r="C822" s="59"/>
    </row>
    <row r="823" ht="12.75" customHeight="1">
      <c r="A823" s="59"/>
      <c r="B823" s="59"/>
      <c r="C823" s="59"/>
    </row>
    <row r="824" ht="12.75" customHeight="1">
      <c r="A824" s="59"/>
      <c r="B824" s="59"/>
      <c r="C824" s="59"/>
    </row>
    <row r="825" ht="12.75" customHeight="1">
      <c r="A825" s="59"/>
      <c r="B825" s="59"/>
      <c r="C825" s="59"/>
    </row>
    <row r="826" ht="12.75" customHeight="1">
      <c r="A826" s="59"/>
      <c r="B826" s="59"/>
      <c r="C826" s="59"/>
    </row>
    <row r="827" ht="12.75" customHeight="1">
      <c r="A827" s="59"/>
      <c r="B827" s="59"/>
      <c r="C827" s="59"/>
    </row>
    <row r="828" ht="12.75" customHeight="1">
      <c r="A828" s="59"/>
      <c r="B828" s="59"/>
      <c r="C828" s="59"/>
    </row>
    <row r="829" ht="12.75" customHeight="1">
      <c r="A829" s="59"/>
      <c r="B829" s="59"/>
      <c r="C829" s="59"/>
    </row>
    <row r="830" ht="12.75" customHeight="1">
      <c r="A830" s="59"/>
      <c r="B830" s="59"/>
      <c r="C830" s="59"/>
    </row>
    <row r="831" ht="12.75" customHeight="1">
      <c r="A831" s="59"/>
      <c r="B831" s="59"/>
      <c r="C831" s="59"/>
    </row>
    <row r="832" ht="12.75" customHeight="1">
      <c r="A832" s="59"/>
      <c r="B832" s="59"/>
      <c r="C832" s="59"/>
    </row>
    <row r="833" ht="12.75" customHeight="1">
      <c r="A833" s="59"/>
      <c r="B833" s="59"/>
      <c r="C833" s="59"/>
    </row>
    <row r="834" ht="12.75" customHeight="1">
      <c r="A834" s="59"/>
      <c r="B834" s="59"/>
      <c r="C834" s="59"/>
    </row>
    <row r="835" ht="12.75" customHeight="1">
      <c r="A835" s="59"/>
      <c r="B835" s="59"/>
      <c r="C835" s="59"/>
    </row>
    <row r="836" ht="12.75" customHeight="1">
      <c r="A836" s="59"/>
      <c r="B836" s="59"/>
      <c r="C836" s="59"/>
    </row>
    <row r="837" ht="12.75" customHeight="1">
      <c r="A837" s="59"/>
      <c r="B837" s="59"/>
      <c r="C837" s="59"/>
    </row>
    <row r="838" ht="12.75" customHeight="1">
      <c r="A838" s="59"/>
      <c r="B838" s="59"/>
      <c r="C838" s="59"/>
    </row>
    <row r="839" ht="12.75" customHeight="1">
      <c r="A839" s="59"/>
      <c r="B839" s="59"/>
      <c r="C839" s="59"/>
    </row>
    <row r="840" ht="12.75" customHeight="1">
      <c r="A840" s="59"/>
      <c r="B840" s="59"/>
      <c r="C840" s="59"/>
    </row>
    <row r="841" ht="12.75" customHeight="1">
      <c r="A841" s="59"/>
      <c r="B841" s="59"/>
      <c r="C841" s="59"/>
    </row>
    <row r="842" ht="12.75" customHeight="1">
      <c r="A842" s="59"/>
      <c r="B842" s="59"/>
      <c r="C842" s="59"/>
    </row>
    <row r="843" ht="12.75" customHeight="1">
      <c r="A843" s="59"/>
      <c r="B843" s="59"/>
      <c r="C843" s="59"/>
    </row>
    <row r="844" ht="12.75" customHeight="1">
      <c r="A844" s="59"/>
      <c r="B844" s="59"/>
      <c r="C844" s="59"/>
    </row>
    <row r="845" ht="12.75" customHeight="1">
      <c r="A845" s="59"/>
      <c r="B845" s="59"/>
      <c r="C845" s="59"/>
    </row>
    <row r="846" ht="12.75" customHeight="1">
      <c r="A846" s="59"/>
      <c r="B846" s="59"/>
      <c r="C846" s="59"/>
    </row>
    <row r="847" ht="12.75" customHeight="1">
      <c r="A847" s="59"/>
      <c r="B847" s="59"/>
      <c r="C847" s="59"/>
    </row>
    <row r="848" ht="12.75" customHeight="1">
      <c r="A848" s="59"/>
      <c r="B848" s="59"/>
      <c r="C848" s="59"/>
    </row>
    <row r="849" ht="12.75" customHeight="1">
      <c r="A849" s="59"/>
      <c r="B849" s="59"/>
      <c r="C849" s="59"/>
    </row>
    <row r="850" ht="12.75" customHeight="1">
      <c r="A850" s="59"/>
      <c r="B850" s="59"/>
      <c r="C850" s="59"/>
    </row>
    <row r="851" ht="12.75" customHeight="1">
      <c r="A851" s="59"/>
      <c r="B851" s="59"/>
      <c r="C851" s="59"/>
    </row>
    <row r="852" ht="12.75" customHeight="1">
      <c r="A852" s="59"/>
      <c r="B852" s="59"/>
      <c r="C852" s="59"/>
    </row>
    <row r="853" ht="12.75" customHeight="1">
      <c r="A853" s="59"/>
      <c r="B853" s="59"/>
      <c r="C853" s="59"/>
    </row>
    <row r="854" ht="12.75" customHeight="1">
      <c r="A854" s="59"/>
      <c r="B854" s="59"/>
      <c r="C854" s="59"/>
    </row>
    <row r="855" ht="12.75" customHeight="1">
      <c r="A855" s="59"/>
      <c r="B855" s="59"/>
      <c r="C855" s="59"/>
    </row>
    <row r="856" ht="12.75" customHeight="1">
      <c r="A856" s="59"/>
      <c r="B856" s="59"/>
      <c r="C856" s="59"/>
    </row>
    <row r="857" ht="12.75" customHeight="1">
      <c r="A857" s="59"/>
      <c r="B857" s="59"/>
      <c r="C857" s="59"/>
    </row>
    <row r="858" ht="12.75" customHeight="1">
      <c r="A858" s="59"/>
      <c r="B858" s="59"/>
      <c r="C858" s="59"/>
    </row>
    <row r="859" ht="12.75" customHeight="1">
      <c r="A859" s="59"/>
      <c r="B859" s="59"/>
      <c r="C859" s="59"/>
    </row>
    <row r="860" ht="12.75" customHeight="1">
      <c r="A860" s="59"/>
      <c r="B860" s="59"/>
      <c r="C860" s="59"/>
    </row>
    <row r="861" ht="12.75" customHeight="1">
      <c r="A861" s="59"/>
      <c r="B861" s="59"/>
      <c r="C861" s="59"/>
    </row>
    <row r="862" ht="12.75" customHeight="1">
      <c r="A862" s="59"/>
      <c r="B862" s="59"/>
      <c r="C862" s="59"/>
    </row>
    <row r="863" ht="12.75" customHeight="1">
      <c r="A863" s="59"/>
      <c r="B863" s="59"/>
      <c r="C863" s="59"/>
    </row>
    <row r="864" ht="12.75" customHeight="1">
      <c r="A864" s="59"/>
      <c r="B864" s="59"/>
      <c r="C864" s="59"/>
    </row>
    <row r="865" ht="12.75" customHeight="1">
      <c r="A865" s="59"/>
      <c r="B865" s="59"/>
      <c r="C865" s="59"/>
    </row>
    <row r="866" ht="12.75" customHeight="1">
      <c r="A866" s="59"/>
      <c r="B866" s="59"/>
      <c r="C866" s="59"/>
    </row>
    <row r="867" ht="12.75" customHeight="1">
      <c r="A867" s="59"/>
      <c r="B867" s="59"/>
      <c r="C867" s="59"/>
    </row>
    <row r="868" ht="12.75" customHeight="1">
      <c r="A868" s="59"/>
      <c r="B868" s="59"/>
      <c r="C868" s="59"/>
    </row>
    <row r="869" ht="12.75" customHeight="1">
      <c r="A869" s="59"/>
      <c r="B869" s="59"/>
      <c r="C869" s="59"/>
    </row>
    <row r="870" ht="12.75" customHeight="1">
      <c r="A870" s="59"/>
      <c r="B870" s="59"/>
      <c r="C870" s="59"/>
    </row>
    <row r="871" ht="12.75" customHeight="1">
      <c r="A871" s="59"/>
      <c r="B871" s="59"/>
      <c r="C871" s="59"/>
    </row>
    <row r="872" ht="12.75" customHeight="1">
      <c r="A872" s="59"/>
      <c r="B872" s="59"/>
      <c r="C872" s="59"/>
    </row>
    <row r="873" ht="12.75" customHeight="1">
      <c r="A873" s="59"/>
      <c r="B873" s="59"/>
      <c r="C873" s="59"/>
    </row>
    <row r="874" ht="12.75" customHeight="1">
      <c r="A874" s="59"/>
      <c r="B874" s="59"/>
      <c r="C874" s="59"/>
    </row>
    <row r="875" ht="12.75" customHeight="1">
      <c r="A875" s="59"/>
      <c r="B875" s="59"/>
      <c r="C875" s="59"/>
    </row>
    <row r="876" ht="12.75" customHeight="1">
      <c r="A876" s="59"/>
      <c r="B876" s="59"/>
      <c r="C876" s="59"/>
    </row>
    <row r="877" ht="12.75" customHeight="1">
      <c r="A877" s="59"/>
      <c r="B877" s="59"/>
      <c r="C877" s="59"/>
    </row>
    <row r="878" ht="12.75" customHeight="1">
      <c r="A878" s="59"/>
      <c r="B878" s="59"/>
      <c r="C878" s="59"/>
    </row>
    <row r="879" ht="12.75" customHeight="1">
      <c r="A879" s="59"/>
      <c r="B879" s="59"/>
      <c r="C879" s="59"/>
    </row>
    <row r="880" ht="12.75" customHeight="1">
      <c r="A880" s="59"/>
      <c r="B880" s="59"/>
      <c r="C880" s="59"/>
    </row>
    <row r="881" ht="12.75" customHeight="1">
      <c r="A881" s="59"/>
      <c r="B881" s="59"/>
      <c r="C881" s="59"/>
    </row>
    <row r="882" ht="12.75" customHeight="1">
      <c r="A882" s="59"/>
      <c r="B882" s="59"/>
      <c r="C882" s="59"/>
    </row>
    <row r="883" ht="12.75" customHeight="1">
      <c r="A883" s="59"/>
      <c r="B883" s="59"/>
      <c r="C883" s="59"/>
    </row>
    <row r="884" ht="12.75" customHeight="1">
      <c r="A884" s="59"/>
      <c r="B884" s="59"/>
      <c r="C884" s="59"/>
    </row>
    <row r="885" ht="12.75" customHeight="1">
      <c r="A885" s="59"/>
      <c r="B885" s="59"/>
      <c r="C885" s="59"/>
    </row>
    <row r="886" ht="12.75" customHeight="1">
      <c r="A886" s="59"/>
      <c r="B886" s="59"/>
      <c r="C886" s="59"/>
    </row>
    <row r="887" ht="12.75" customHeight="1">
      <c r="A887" s="59"/>
      <c r="B887" s="59"/>
      <c r="C887" s="59"/>
    </row>
    <row r="888" ht="12.75" customHeight="1">
      <c r="A888" s="59"/>
      <c r="B888" s="59"/>
      <c r="C888" s="59"/>
    </row>
    <row r="889" ht="12.75" customHeight="1">
      <c r="A889" s="59"/>
      <c r="B889" s="59"/>
      <c r="C889" s="59"/>
    </row>
    <row r="890" ht="12.75" customHeight="1">
      <c r="A890" s="59"/>
      <c r="B890" s="59"/>
      <c r="C890" s="59"/>
    </row>
    <row r="891" ht="12.75" customHeight="1">
      <c r="A891" s="59"/>
      <c r="B891" s="59"/>
      <c r="C891" s="59"/>
    </row>
    <row r="892" ht="12.75" customHeight="1">
      <c r="A892" s="59"/>
      <c r="B892" s="59"/>
      <c r="C892" s="59"/>
    </row>
    <row r="893" ht="12.75" customHeight="1">
      <c r="A893" s="59"/>
      <c r="B893" s="59"/>
      <c r="C893" s="59"/>
    </row>
    <row r="894" ht="12.75" customHeight="1">
      <c r="A894" s="59"/>
      <c r="B894" s="59"/>
      <c r="C894" s="59"/>
    </row>
    <row r="895" ht="12.75" customHeight="1">
      <c r="A895" s="59"/>
      <c r="B895" s="59"/>
      <c r="C895" s="59"/>
    </row>
    <row r="896" ht="12.75" customHeight="1">
      <c r="A896" s="59"/>
      <c r="B896" s="59"/>
      <c r="C896" s="59"/>
    </row>
    <row r="897" ht="12.75" customHeight="1">
      <c r="A897" s="59"/>
      <c r="B897" s="59"/>
      <c r="C897" s="59"/>
    </row>
    <row r="898" ht="12.75" customHeight="1">
      <c r="A898" s="59"/>
      <c r="B898" s="59"/>
      <c r="C898" s="59"/>
    </row>
    <row r="899" ht="12.75" customHeight="1">
      <c r="A899" s="59"/>
      <c r="B899" s="59"/>
      <c r="C899" s="59"/>
    </row>
    <row r="900" ht="12.75" customHeight="1">
      <c r="A900" s="59"/>
      <c r="B900" s="59"/>
      <c r="C900" s="59"/>
    </row>
    <row r="901" ht="12.75" customHeight="1">
      <c r="A901" s="59"/>
      <c r="B901" s="59"/>
      <c r="C901" s="59"/>
    </row>
    <row r="902" ht="12.75" customHeight="1">
      <c r="A902" s="59"/>
      <c r="B902" s="59"/>
      <c r="C902" s="59"/>
    </row>
    <row r="903" ht="12.75" customHeight="1">
      <c r="A903" s="59"/>
      <c r="B903" s="59"/>
      <c r="C903" s="59"/>
    </row>
    <row r="904" ht="12.75" customHeight="1">
      <c r="A904" s="59"/>
      <c r="B904" s="59"/>
      <c r="C904" s="59"/>
    </row>
    <row r="905" ht="12.75" customHeight="1">
      <c r="A905" s="59"/>
      <c r="B905" s="59"/>
      <c r="C905" s="59"/>
    </row>
    <row r="906" ht="12.75" customHeight="1">
      <c r="A906" s="59"/>
      <c r="B906" s="59"/>
      <c r="C906" s="59"/>
    </row>
    <row r="907" ht="12.75" customHeight="1">
      <c r="A907" s="59"/>
      <c r="B907" s="59"/>
      <c r="C907" s="59"/>
    </row>
    <row r="908" ht="12.75" customHeight="1">
      <c r="A908" s="59"/>
      <c r="B908" s="59"/>
      <c r="C908" s="59"/>
    </row>
    <row r="909" ht="12.75" customHeight="1">
      <c r="A909" s="59"/>
      <c r="B909" s="59"/>
      <c r="C909" s="59"/>
    </row>
    <row r="910" ht="12.75" customHeight="1">
      <c r="A910" s="59"/>
      <c r="B910" s="59"/>
      <c r="C910" s="59"/>
    </row>
    <row r="911" ht="12.75" customHeight="1">
      <c r="A911" s="59"/>
      <c r="B911" s="59"/>
      <c r="C911" s="59"/>
    </row>
    <row r="912" ht="12.75" customHeight="1">
      <c r="A912" s="59"/>
      <c r="B912" s="59"/>
      <c r="C912" s="59"/>
    </row>
    <row r="913" ht="12.75" customHeight="1">
      <c r="A913" s="59"/>
      <c r="B913" s="59"/>
      <c r="C913" s="59"/>
    </row>
    <row r="914" ht="12.75" customHeight="1">
      <c r="A914" s="59"/>
      <c r="B914" s="59"/>
      <c r="C914" s="59"/>
    </row>
    <row r="915" ht="12.75" customHeight="1">
      <c r="A915" s="59"/>
      <c r="B915" s="59"/>
      <c r="C915" s="59"/>
    </row>
    <row r="916" ht="12.75" customHeight="1">
      <c r="A916" s="59"/>
      <c r="B916" s="59"/>
      <c r="C916" s="59"/>
    </row>
    <row r="917" ht="12.75" customHeight="1">
      <c r="A917" s="59"/>
      <c r="B917" s="59"/>
      <c r="C917" s="59"/>
    </row>
    <row r="918" ht="12.75" customHeight="1">
      <c r="A918" s="59"/>
      <c r="B918" s="59"/>
      <c r="C918" s="59"/>
    </row>
    <row r="919" ht="12.75" customHeight="1">
      <c r="A919" s="59"/>
      <c r="B919" s="59"/>
      <c r="C919" s="59"/>
    </row>
    <row r="920" ht="12.75" customHeight="1">
      <c r="A920" s="59"/>
      <c r="B920" s="59"/>
      <c r="C920" s="59"/>
    </row>
    <row r="921" ht="12.75" customHeight="1">
      <c r="A921" s="59"/>
      <c r="B921" s="59"/>
      <c r="C921" s="59"/>
    </row>
    <row r="922" ht="12.75" customHeight="1">
      <c r="A922" s="59"/>
      <c r="B922" s="59"/>
      <c r="C922" s="59"/>
    </row>
    <row r="923" ht="12.75" customHeight="1">
      <c r="A923" s="59"/>
      <c r="B923" s="59"/>
      <c r="C923" s="59"/>
    </row>
    <row r="924" ht="12.75" customHeight="1">
      <c r="A924" s="59"/>
      <c r="B924" s="59"/>
      <c r="C924" s="59"/>
    </row>
    <row r="925" ht="12.75" customHeight="1">
      <c r="A925" s="59"/>
      <c r="B925" s="59"/>
      <c r="C925" s="59"/>
    </row>
    <row r="926" ht="12.75" customHeight="1">
      <c r="A926" s="59"/>
      <c r="B926" s="59"/>
      <c r="C926" s="59"/>
    </row>
    <row r="927" ht="12.75" customHeight="1">
      <c r="A927" s="59"/>
      <c r="B927" s="59"/>
      <c r="C927" s="59"/>
    </row>
    <row r="928" ht="12.75" customHeight="1">
      <c r="A928" s="59"/>
      <c r="B928" s="59"/>
      <c r="C928" s="59"/>
    </row>
    <row r="929" ht="12.75" customHeight="1">
      <c r="A929" s="59"/>
      <c r="B929" s="59"/>
      <c r="C929" s="59"/>
    </row>
    <row r="930" ht="12.75" customHeight="1">
      <c r="A930" s="59"/>
      <c r="B930" s="59"/>
      <c r="C930" s="59"/>
    </row>
    <row r="931" ht="12.75" customHeight="1">
      <c r="A931" s="59"/>
      <c r="B931" s="59"/>
      <c r="C931" s="59"/>
    </row>
    <row r="932" ht="12.75" customHeight="1">
      <c r="A932" s="59"/>
      <c r="B932" s="59"/>
      <c r="C932" s="59"/>
    </row>
    <row r="933" ht="12.75" customHeight="1">
      <c r="A933" s="59"/>
      <c r="B933" s="59"/>
      <c r="C933" s="59"/>
    </row>
    <row r="934" ht="12.75" customHeight="1">
      <c r="A934" s="59"/>
      <c r="B934" s="59"/>
      <c r="C934" s="59"/>
    </row>
    <row r="935" ht="12.75" customHeight="1">
      <c r="A935" s="59"/>
      <c r="B935" s="59"/>
      <c r="C935" s="59"/>
    </row>
    <row r="936" ht="12.75" customHeight="1">
      <c r="A936" s="59"/>
      <c r="B936" s="59"/>
      <c r="C936" s="59"/>
    </row>
    <row r="937" ht="12.75" customHeight="1">
      <c r="A937" s="59"/>
      <c r="B937" s="59"/>
      <c r="C937" s="59"/>
    </row>
    <row r="938" ht="12.75" customHeight="1">
      <c r="A938" s="59"/>
      <c r="B938" s="59"/>
      <c r="C938" s="59"/>
    </row>
    <row r="939" ht="12.75" customHeight="1">
      <c r="A939" s="59"/>
      <c r="B939" s="59"/>
      <c r="C939" s="59"/>
    </row>
    <row r="940" ht="12.75" customHeight="1">
      <c r="A940" s="59"/>
      <c r="B940" s="59"/>
      <c r="C940" s="59"/>
    </row>
    <row r="941" ht="12.75" customHeight="1">
      <c r="A941" s="59"/>
      <c r="B941" s="59"/>
      <c r="C941" s="59"/>
    </row>
    <row r="942" ht="12.75" customHeight="1">
      <c r="A942" s="59"/>
      <c r="B942" s="59"/>
      <c r="C942" s="59"/>
    </row>
    <row r="943" ht="12.75" customHeight="1">
      <c r="A943" s="59"/>
      <c r="B943" s="59"/>
      <c r="C943" s="59"/>
    </row>
    <row r="944" ht="12.75" customHeight="1">
      <c r="A944" s="59"/>
      <c r="B944" s="59"/>
      <c r="C944" s="59"/>
    </row>
    <row r="945" ht="12.75" customHeight="1">
      <c r="A945" s="59"/>
      <c r="B945" s="59"/>
      <c r="C945" s="59"/>
    </row>
    <row r="946" ht="12.75" customHeight="1">
      <c r="A946" s="59"/>
      <c r="B946" s="59"/>
      <c r="C946" s="59"/>
    </row>
    <row r="947" ht="12.75" customHeight="1">
      <c r="A947" s="59"/>
      <c r="B947" s="59"/>
      <c r="C947" s="59"/>
    </row>
    <row r="948" ht="12.75" customHeight="1">
      <c r="A948" s="59"/>
      <c r="B948" s="59"/>
      <c r="C948" s="59"/>
    </row>
    <row r="949" ht="12.75" customHeight="1">
      <c r="A949" s="59"/>
      <c r="B949" s="59"/>
      <c r="C949" s="59"/>
    </row>
    <row r="950" ht="12.75" customHeight="1">
      <c r="A950" s="59"/>
      <c r="B950" s="59"/>
      <c r="C950" s="59"/>
    </row>
    <row r="951" ht="12.75" customHeight="1">
      <c r="A951" s="59"/>
      <c r="B951" s="59"/>
      <c r="C951" s="59"/>
    </row>
    <row r="952" ht="12.75" customHeight="1">
      <c r="A952" s="59"/>
      <c r="B952" s="59"/>
      <c r="C952" s="59"/>
    </row>
    <row r="953" ht="12.75" customHeight="1">
      <c r="A953" s="59"/>
      <c r="B953" s="59"/>
      <c r="C953" s="59"/>
    </row>
    <row r="954" ht="12.75" customHeight="1">
      <c r="A954" s="59"/>
      <c r="B954" s="59"/>
      <c r="C954" s="59"/>
    </row>
    <row r="955" ht="12.75" customHeight="1">
      <c r="A955" s="59"/>
      <c r="B955" s="59"/>
      <c r="C955" s="59"/>
    </row>
    <row r="956" ht="12.75" customHeight="1">
      <c r="A956" s="59"/>
      <c r="B956" s="59"/>
      <c r="C956" s="59"/>
    </row>
    <row r="957" ht="12.75" customHeight="1">
      <c r="A957" s="59"/>
      <c r="B957" s="59"/>
      <c r="C957" s="59"/>
    </row>
    <row r="958" ht="12.75" customHeight="1">
      <c r="A958" s="59"/>
      <c r="B958" s="59"/>
      <c r="C958" s="59"/>
    </row>
    <row r="959" ht="12.75" customHeight="1">
      <c r="A959" s="59"/>
      <c r="B959" s="59"/>
      <c r="C959" s="59"/>
    </row>
    <row r="960" ht="12.75" customHeight="1">
      <c r="A960" s="59"/>
      <c r="B960" s="59"/>
      <c r="C960" s="59"/>
    </row>
    <row r="961" ht="12.75" customHeight="1">
      <c r="A961" s="59"/>
      <c r="B961" s="59"/>
      <c r="C961" s="59"/>
    </row>
    <row r="962" ht="12.75" customHeight="1">
      <c r="A962" s="59"/>
      <c r="B962" s="59"/>
      <c r="C962" s="59"/>
    </row>
    <row r="963" ht="12.75" customHeight="1">
      <c r="A963" s="59"/>
      <c r="B963" s="59"/>
      <c r="C963" s="59"/>
    </row>
    <row r="964" ht="12.75" customHeight="1">
      <c r="A964" s="59"/>
      <c r="B964" s="59"/>
      <c r="C964" s="59"/>
    </row>
    <row r="965" ht="12.75" customHeight="1">
      <c r="A965" s="59"/>
      <c r="B965" s="59"/>
      <c r="C965" s="59"/>
    </row>
    <row r="966" ht="12.75" customHeight="1">
      <c r="A966" s="59"/>
      <c r="B966" s="59"/>
      <c r="C966" s="59"/>
    </row>
    <row r="967" ht="12.75" customHeight="1">
      <c r="A967" s="59"/>
      <c r="B967" s="59"/>
      <c r="C967" s="59"/>
    </row>
    <row r="968" ht="12.75" customHeight="1">
      <c r="A968" s="59"/>
      <c r="B968" s="59"/>
      <c r="C968" s="59"/>
    </row>
    <row r="969" ht="12.75" customHeight="1">
      <c r="A969" s="59"/>
      <c r="B969" s="59"/>
      <c r="C969" s="59"/>
    </row>
    <row r="970" ht="12.75" customHeight="1">
      <c r="A970" s="59"/>
      <c r="B970" s="59"/>
      <c r="C970" s="59"/>
    </row>
    <row r="971" ht="12.75" customHeight="1">
      <c r="A971" s="59"/>
      <c r="B971" s="59"/>
      <c r="C971" s="59"/>
    </row>
    <row r="972" ht="12.75" customHeight="1">
      <c r="A972" s="59"/>
      <c r="B972" s="59"/>
      <c r="C972" s="59"/>
    </row>
    <row r="973" ht="12.75" customHeight="1">
      <c r="A973" s="59"/>
      <c r="B973" s="59"/>
      <c r="C973" s="59"/>
    </row>
    <row r="974" ht="12.75" customHeight="1">
      <c r="A974" s="59"/>
      <c r="B974" s="59"/>
      <c r="C974" s="59"/>
    </row>
    <row r="975" ht="12.75" customHeight="1">
      <c r="A975" s="59"/>
      <c r="B975" s="59"/>
      <c r="C975" s="59"/>
    </row>
    <row r="976" ht="12.75" customHeight="1">
      <c r="A976" s="59"/>
      <c r="B976" s="59"/>
      <c r="C976" s="59"/>
    </row>
    <row r="977" ht="12.75" customHeight="1">
      <c r="A977" s="59"/>
      <c r="B977" s="59"/>
      <c r="C977" s="59"/>
    </row>
    <row r="978" ht="12.75" customHeight="1">
      <c r="A978" s="59"/>
      <c r="B978" s="59"/>
      <c r="C978" s="59"/>
    </row>
    <row r="979" ht="12.75" customHeight="1">
      <c r="A979" s="59"/>
      <c r="B979" s="59"/>
      <c r="C979" s="59"/>
    </row>
    <row r="980" ht="12.75" customHeight="1">
      <c r="A980" s="59"/>
      <c r="B980" s="59"/>
      <c r="C980" s="59"/>
    </row>
    <row r="981" ht="12.75" customHeight="1">
      <c r="A981" s="59"/>
      <c r="B981" s="59"/>
      <c r="C981" s="59"/>
    </row>
    <row r="982" ht="12.75" customHeight="1">
      <c r="A982" s="59"/>
      <c r="B982" s="59"/>
      <c r="C982" s="59"/>
    </row>
    <row r="983" ht="12.75" customHeight="1">
      <c r="A983" s="59"/>
      <c r="B983" s="59"/>
      <c r="C983" s="59"/>
    </row>
    <row r="984" ht="12.75" customHeight="1">
      <c r="A984" s="59"/>
      <c r="B984" s="59"/>
      <c r="C984" s="59"/>
    </row>
    <row r="985" ht="12.75" customHeight="1">
      <c r="A985" s="59"/>
      <c r="B985" s="59"/>
      <c r="C985" s="59"/>
    </row>
    <row r="986" ht="12.75" customHeight="1">
      <c r="A986" s="59"/>
      <c r="B986" s="59"/>
      <c r="C986" s="59"/>
    </row>
    <row r="987" ht="12.75" customHeight="1">
      <c r="A987" s="59"/>
      <c r="B987" s="59"/>
      <c r="C987" s="59"/>
    </row>
    <row r="988" ht="12.75" customHeight="1">
      <c r="A988" s="59"/>
      <c r="B988" s="59"/>
      <c r="C988" s="59"/>
    </row>
    <row r="989" ht="12.75" customHeight="1">
      <c r="A989" s="59"/>
      <c r="B989" s="59"/>
      <c r="C989" s="59"/>
    </row>
    <row r="990" ht="12.75" customHeight="1">
      <c r="A990" s="59"/>
      <c r="B990" s="59"/>
      <c r="C990" s="59"/>
    </row>
    <row r="991" ht="12.75" customHeight="1">
      <c r="A991" s="59"/>
      <c r="B991" s="59"/>
      <c r="C991" s="59"/>
    </row>
    <row r="992" ht="12.75" customHeight="1">
      <c r="A992" s="59"/>
      <c r="B992" s="59"/>
      <c r="C992" s="59"/>
    </row>
    <row r="993" ht="12.75" customHeight="1">
      <c r="A993" s="59"/>
      <c r="B993" s="59"/>
      <c r="C993" s="59"/>
    </row>
    <row r="994" ht="12.75" customHeight="1">
      <c r="A994" s="59"/>
      <c r="B994" s="59"/>
      <c r="C994" s="59"/>
    </row>
    <row r="995" ht="12.75" customHeight="1">
      <c r="A995" s="59"/>
      <c r="B995" s="59"/>
      <c r="C995" s="59"/>
    </row>
    <row r="996" ht="12.75" customHeight="1">
      <c r="A996" s="59"/>
      <c r="B996" s="59"/>
      <c r="C996" s="59"/>
    </row>
    <row r="997" ht="12.75" customHeight="1">
      <c r="A997" s="59"/>
      <c r="B997" s="59"/>
      <c r="C997" s="59"/>
    </row>
    <row r="998" ht="12.75" customHeight="1">
      <c r="A998" s="59"/>
      <c r="B998" s="59"/>
      <c r="C998" s="59"/>
    </row>
    <row r="999" ht="12.75" customHeight="1">
      <c r="A999" s="59"/>
      <c r="B999" s="59"/>
      <c r="C999" s="59"/>
    </row>
    <row r="1000" ht="12.75" customHeight="1">
      <c r="A1000" s="59"/>
      <c r="B1000" s="59"/>
      <c r="C1000" s="59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75"/>
    <col customWidth="1" min="3" max="3" width="11.38"/>
    <col customWidth="1" min="4" max="4" width="10.63"/>
    <col customWidth="1" min="5" max="6" width="11.38"/>
    <col customWidth="1" min="7" max="26" width="10.63"/>
  </cols>
  <sheetData>
    <row r="1" ht="12.75" customHeight="1">
      <c r="A1" s="89">
        <f t="shared" ref="A1:A30" si="1">C1-B1</f>
        <v>7564</v>
      </c>
      <c r="B1" s="89">
        <v>1436.0</v>
      </c>
      <c r="C1" s="89">
        <v>9000.0</v>
      </c>
      <c r="E1" s="89"/>
      <c r="F1" s="89"/>
    </row>
    <row r="2" ht="12.75" customHeight="1">
      <c r="A2" s="89">
        <f t="shared" si="1"/>
        <v>11808</v>
      </c>
      <c r="B2" s="89">
        <f>2067+175</f>
        <v>2242</v>
      </c>
      <c r="C2" s="89">
        <f>12950+1100</f>
        <v>14050</v>
      </c>
      <c r="E2" s="89"/>
      <c r="F2" s="89"/>
    </row>
    <row r="3" ht="12.75" customHeight="1">
      <c r="A3" s="89">
        <f t="shared" si="1"/>
        <v>7481</v>
      </c>
      <c r="B3" s="89">
        <f>239+431+183+111+455</f>
        <v>1419</v>
      </c>
      <c r="C3" s="89">
        <f>1500+2700+1150+700+2850</f>
        <v>8900</v>
      </c>
      <c r="E3" s="89"/>
      <c r="F3" s="89"/>
    </row>
    <row r="4" ht="12.75" customHeight="1">
      <c r="A4" s="89">
        <f t="shared" si="1"/>
        <v>0</v>
      </c>
      <c r="B4" s="89">
        <v>0.0</v>
      </c>
      <c r="C4" s="89">
        <v>0.0</v>
      </c>
      <c r="E4" s="89"/>
      <c r="F4" s="89"/>
    </row>
    <row r="5" ht="12.75" customHeight="1">
      <c r="A5" s="89">
        <f t="shared" si="1"/>
        <v>7144</v>
      </c>
      <c r="B5" s="89">
        <f>287+1069</f>
        <v>1356</v>
      </c>
      <c r="C5" s="89">
        <f>1800+6700</f>
        <v>8500</v>
      </c>
      <c r="E5" s="89"/>
      <c r="F5" s="89"/>
    </row>
    <row r="6" ht="12.75" customHeight="1">
      <c r="A6" s="89">
        <f t="shared" si="1"/>
        <v>5715</v>
      </c>
      <c r="B6" s="89">
        <f>798+287</f>
        <v>1085</v>
      </c>
      <c r="C6" s="89">
        <f>5000+1800</f>
        <v>6800</v>
      </c>
      <c r="E6" s="89"/>
      <c r="F6" s="89"/>
    </row>
    <row r="7" ht="12.75" customHeight="1">
      <c r="A7" s="89">
        <f t="shared" si="1"/>
        <v>0</v>
      </c>
      <c r="B7" s="89">
        <v>0.0</v>
      </c>
      <c r="C7" s="89">
        <v>0.0</v>
      </c>
      <c r="E7" s="89"/>
      <c r="F7" s="89"/>
    </row>
    <row r="8" ht="12.75" customHeight="1">
      <c r="A8" s="89">
        <f t="shared" si="1"/>
        <v>1429</v>
      </c>
      <c r="B8" s="89">
        <v>271.0</v>
      </c>
      <c r="C8" s="89">
        <v>1700.0</v>
      </c>
      <c r="E8" s="89"/>
      <c r="F8" s="89"/>
    </row>
    <row r="9" ht="12.75" customHeight="1">
      <c r="A9" s="89">
        <f t="shared" si="1"/>
        <v>379</v>
      </c>
      <c r="B9" s="89">
        <v>71.0</v>
      </c>
      <c r="C9" s="89">
        <v>450.0</v>
      </c>
      <c r="E9" s="89"/>
      <c r="F9" s="89"/>
    </row>
    <row r="10" ht="12.75" customHeight="1">
      <c r="A10" s="89">
        <f t="shared" si="1"/>
        <v>1681</v>
      </c>
      <c r="B10" s="89">
        <v>319.0</v>
      </c>
      <c r="C10" s="89">
        <v>2000.0</v>
      </c>
      <c r="E10" s="89"/>
      <c r="F10" s="89"/>
    </row>
    <row r="11" ht="12.75" customHeight="1">
      <c r="A11" s="89">
        <f t="shared" si="1"/>
        <v>36977</v>
      </c>
      <c r="B11" s="89">
        <f>2075+143+894+878+3033</f>
        <v>7023</v>
      </c>
      <c r="C11" s="89">
        <f>13000+900+5600+5500+19000</f>
        <v>44000</v>
      </c>
      <c r="E11" s="89"/>
      <c r="F11" s="89"/>
    </row>
    <row r="12" ht="12.75" customHeight="1">
      <c r="A12" s="89">
        <f t="shared" si="1"/>
        <v>63280</v>
      </c>
      <c r="B12" s="89">
        <f>5747+5747+287+239</f>
        <v>12020</v>
      </c>
      <c r="C12" s="89">
        <f>36000+36000+1800+1500</f>
        <v>75300</v>
      </c>
      <c r="E12" s="89"/>
      <c r="F12" s="89"/>
    </row>
    <row r="13" ht="12.75" customHeight="1">
      <c r="A13" s="89">
        <f t="shared" si="1"/>
        <v>0</v>
      </c>
      <c r="B13" s="89">
        <v>0.0</v>
      </c>
      <c r="C13" s="89">
        <v>0.0</v>
      </c>
      <c r="E13" s="89"/>
      <c r="F13" s="89"/>
    </row>
    <row r="14" ht="12.75" customHeight="1">
      <c r="A14" s="89">
        <f t="shared" si="1"/>
        <v>20464</v>
      </c>
      <c r="B14" s="89">
        <f>159+2554+1173</f>
        <v>3886</v>
      </c>
      <c r="C14" s="89">
        <f>1000+16000+7350</f>
        <v>24350</v>
      </c>
      <c r="E14" s="89"/>
      <c r="F14" s="89"/>
    </row>
    <row r="15" ht="12.75" customHeight="1">
      <c r="A15" s="89">
        <f t="shared" si="1"/>
        <v>0</v>
      </c>
      <c r="B15" s="89">
        <v>0.0</v>
      </c>
      <c r="C15" s="89">
        <v>0.0</v>
      </c>
      <c r="E15" s="89"/>
      <c r="F15" s="89"/>
    </row>
    <row r="16" ht="12.75" customHeight="1">
      <c r="A16" s="89">
        <f t="shared" si="1"/>
        <v>44538</v>
      </c>
      <c r="B16" s="89">
        <v>8462.0</v>
      </c>
      <c r="C16" s="89">
        <v>53000.0</v>
      </c>
      <c r="E16" s="89"/>
      <c r="F16" s="89"/>
    </row>
    <row r="17" ht="12.75" customHeight="1">
      <c r="A17" s="89">
        <f t="shared" si="1"/>
        <v>3993</v>
      </c>
      <c r="B17" s="89">
        <f>143+614</f>
        <v>757</v>
      </c>
      <c r="C17" s="89">
        <f>900+3850</f>
        <v>4750</v>
      </c>
      <c r="E17" s="89"/>
      <c r="F17" s="89"/>
    </row>
    <row r="18" ht="12.75" customHeight="1">
      <c r="A18" s="89">
        <f t="shared" si="1"/>
        <v>16808</v>
      </c>
      <c r="B18" s="89">
        <f>1915+1277</f>
        <v>3192</v>
      </c>
      <c r="C18" s="89">
        <f>12000+8000</f>
        <v>20000</v>
      </c>
      <c r="E18" s="89"/>
      <c r="F18" s="89"/>
    </row>
    <row r="19" ht="12.75" customHeight="1">
      <c r="A19" s="89">
        <f t="shared" si="1"/>
        <v>0</v>
      </c>
      <c r="B19" s="89">
        <v>0.0</v>
      </c>
      <c r="C19" s="89">
        <v>0.0</v>
      </c>
      <c r="E19" s="89"/>
      <c r="F19" s="89"/>
    </row>
    <row r="20" ht="12.75" customHeight="1">
      <c r="A20" s="89">
        <f t="shared" si="1"/>
        <v>0</v>
      </c>
      <c r="B20" s="89">
        <v>0.0</v>
      </c>
      <c r="C20" s="89">
        <v>0.0</v>
      </c>
      <c r="E20" s="89"/>
      <c r="F20" s="89"/>
    </row>
    <row r="21" ht="12.75" customHeight="1">
      <c r="A21" s="89">
        <f t="shared" si="1"/>
        <v>0</v>
      </c>
      <c r="B21" s="89">
        <v>0.0</v>
      </c>
      <c r="C21" s="89">
        <v>0.0</v>
      </c>
      <c r="E21" s="89"/>
      <c r="F21" s="89"/>
    </row>
    <row r="22" ht="12.75" customHeight="1">
      <c r="A22" s="89">
        <f t="shared" si="1"/>
        <v>1051</v>
      </c>
      <c r="B22" s="89">
        <v>199.0</v>
      </c>
      <c r="C22" s="89">
        <v>1250.0</v>
      </c>
      <c r="E22" s="89"/>
      <c r="F22" s="89"/>
    </row>
    <row r="23" ht="12.75" customHeight="1">
      <c r="A23" s="89">
        <f t="shared" si="1"/>
        <v>0</v>
      </c>
      <c r="B23" s="89">
        <v>0.0</v>
      </c>
      <c r="C23" s="89">
        <v>0.0</v>
      </c>
      <c r="E23" s="89"/>
      <c r="F23" s="89"/>
    </row>
    <row r="24" ht="12.75" customHeight="1">
      <c r="A24" s="89">
        <f t="shared" si="1"/>
        <v>16807</v>
      </c>
      <c r="B24" s="89">
        <v>3193.0</v>
      </c>
      <c r="C24" s="89">
        <v>20000.0</v>
      </c>
      <c r="E24" s="89"/>
      <c r="F24" s="89"/>
    </row>
    <row r="25" ht="12.75" customHeight="1">
      <c r="A25" s="89">
        <f t="shared" si="1"/>
        <v>0</v>
      </c>
      <c r="B25" s="89">
        <v>0.0</v>
      </c>
      <c r="C25" s="89">
        <v>0.0</v>
      </c>
      <c r="E25" s="89"/>
      <c r="F25" s="89"/>
    </row>
    <row r="26" ht="12.75" customHeight="1">
      <c r="A26" s="89">
        <f t="shared" si="1"/>
        <v>5128</v>
      </c>
      <c r="B26" s="89">
        <f>335+159+478</f>
        <v>972</v>
      </c>
      <c r="C26" s="89">
        <f>2100+1000+3000</f>
        <v>6100</v>
      </c>
      <c r="E26" s="89"/>
      <c r="F26" s="89"/>
    </row>
    <row r="27" ht="12.75" customHeight="1">
      <c r="A27" s="89">
        <f t="shared" si="1"/>
        <v>0</v>
      </c>
      <c r="B27" s="89">
        <v>0.0</v>
      </c>
      <c r="C27" s="89">
        <v>0.0</v>
      </c>
      <c r="E27" s="87" t="s">
        <v>1</v>
      </c>
      <c r="F27" s="87" t="s">
        <v>3386</v>
      </c>
      <c r="G27" s="88"/>
      <c r="H27" s="88" t="s">
        <v>3381</v>
      </c>
    </row>
    <row r="28" ht="12.75" customHeight="1">
      <c r="A28" s="89">
        <f t="shared" si="1"/>
        <v>0</v>
      </c>
      <c r="B28" s="89">
        <v>0.0</v>
      </c>
      <c r="C28" s="89">
        <v>0.0</v>
      </c>
      <c r="E28" s="89"/>
      <c r="F28" s="89"/>
    </row>
    <row r="29" ht="12.75" customHeight="1">
      <c r="A29" s="89">
        <f t="shared" si="1"/>
        <v>16136</v>
      </c>
      <c r="B29" s="89">
        <f>1596+319+351+399+399</f>
        <v>3064</v>
      </c>
      <c r="C29" s="89">
        <f>10000+2000+2200+2500+2500</f>
        <v>19200</v>
      </c>
      <c r="E29" s="89">
        <v>124134.0</v>
      </c>
      <c r="F29" s="89">
        <v>-6332.0</v>
      </c>
      <c r="H29" s="90">
        <f>B31-E30</f>
        <v>36999</v>
      </c>
      <c r="I29" s="65"/>
    </row>
    <row r="30" ht="12.75" customHeight="1">
      <c r="A30" s="89">
        <f t="shared" si="1"/>
        <v>50633</v>
      </c>
      <c r="B30" s="89">
        <f>1915+1261+3911+790+1357+383</f>
        <v>9617</v>
      </c>
      <c r="C30" s="89">
        <f>12000+7900+24500+4950+8500+2400</f>
        <v>60250</v>
      </c>
      <c r="E30" s="89">
        <v>23585.0</v>
      </c>
      <c r="F30" s="89">
        <v>-1203.0</v>
      </c>
      <c r="H30" s="90">
        <f>H29+F30</f>
        <v>35796</v>
      </c>
      <c r="I30" s="85" t="s">
        <v>3389</v>
      </c>
    </row>
    <row r="31" ht="12.75" customHeight="1">
      <c r="A31" s="90">
        <f t="shared" ref="A31:C31" si="2">SUM(A1:A30)</f>
        <v>319016</v>
      </c>
      <c r="B31" s="90">
        <f t="shared" si="2"/>
        <v>60584</v>
      </c>
      <c r="C31" s="90">
        <f t="shared" si="2"/>
        <v>379600</v>
      </c>
      <c r="E31" s="89">
        <v>147719.0</v>
      </c>
      <c r="F31" s="89">
        <v>-7536.0</v>
      </c>
    </row>
    <row r="32" ht="12.75" customHeight="1">
      <c r="A32" s="89"/>
      <c r="B32" s="89"/>
      <c r="C32" s="89"/>
      <c r="E32" s="89"/>
      <c r="F32" s="89"/>
    </row>
    <row r="33" ht="12.75" customHeight="1">
      <c r="A33" s="89"/>
      <c r="B33" s="78" t="s">
        <v>3218</v>
      </c>
      <c r="C33" s="78">
        <f>C31*2.3681%</f>
        <v>8989.3076</v>
      </c>
      <c r="D33" s="59">
        <v>8995.0</v>
      </c>
      <c r="E33" s="89">
        <f>D33-C33</f>
        <v>5.6924</v>
      </c>
      <c r="F33" s="89"/>
    </row>
    <row r="34" ht="12.75" customHeight="1">
      <c r="A34" s="89"/>
      <c r="B34" s="89"/>
      <c r="C34" s="89"/>
      <c r="E34" s="89"/>
      <c r="F34" s="89"/>
    </row>
    <row r="35" ht="12.75" customHeight="1">
      <c r="A35" s="89">
        <v>318992.0</v>
      </c>
      <c r="B35" s="89">
        <v>60608.0</v>
      </c>
      <c r="C35" s="89">
        <v>379600.0</v>
      </c>
      <c r="E35" s="89"/>
      <c r="F35" s="89"/>
    </row>
    <row r="36" ht="12.75" customHeight="1">
      <c r="A36" s="89">
        <f t="shared" ref="A36:C36" si="3">A35-A31</f>
        <v>-24</v>
      </c>
      <c r="B36" s="89">
        <f t="shared" si="3"/>
        <v>24</v>
      </c>
      <c r="C36" s="89">
        <f t="shared" si="3"/>
        <v>0</v>
      </c>
      <c r="E36" s="89"/>
      <c r="F36" s="89"/>
    </row>
    <row r="37" ht="12.75" customHeight="1">
      <c r="A37" s="89"/>
      <c r="B37" s="89"/>
      <c r="C37" s="89"/>
      <c r="E37" s="89"/>
      <c r="F37" s="89"/>
    </row>
    <row r="38" ht="12.75" customHeight="1">
      <c r="A38" s="89"/>
      <c r="B38" s="89"/>
      <c r="C38" s="89"/>
      <c r="E38" s="89"/>
      <c r="F38" s="89"/>
    </row>
    <row r="39" ht="12.75" customHeight="1">
      <c r="A39" s="89"/>
      <c r="B39" s="89"/>
      <c r="C39" s="89"/>
      <c r="E39" s="89"/>
      <c r="F39" s="89"/>
    </row>
    <row r="40" ht="12.75" customHeight="1">
      <c r="A40" s="89"/>
      <c r="B40" s="89"/>
      <c r="C40" s="89"/>
      <c r="E40" s="89"/>
      <c r="F40" s="89"/>
    </row>
    <row r="41" ht="12.75" customHeight="1">
      <c r="A41" s="89"/>
      <c r="B41" s="89"/>
      <c r="C41" s="89"/>
      <c r="E41" s="89"/>
      <c r="F41" s="89"/>
    </row>
    <row r="42" ht="12.75" customHeight="1">
      <c r="A42" s="89"/>
      <c r="B42" s="89"/>
      <c r="C42" s="89"/>
      <c r="E42" s="89"/>
      <c r="F42" s="89"/>
    </row>
    <row r="43" ht="12.75" customHeight="1">
      <c r="A43" s="89"/>
      <c r="B43" s="89"/>
      <c r="C43" s="89"/>
      <c r="E43" s="89"/>
      <c r="F43" s="89"/>
    </row>
    <row r="44" ht="12.75" customHeight="1">
      <c r="A44" s="89"/>
      <c r="B44" s="89"/>
      <c r="C44" s="89"/>
      <c r="E44" s="89"/>
      <c r="F44" s="89"/>
    </row>
    <row r="45" ht="12.75" customHeight="1">
      <c r="A45" s="89"/>
      <c r="B45" s="89"/>
      <c r="C45" s="89"/>
      <c r="E45" s="89"/>
      <c r="F45" s="89"/>
    </row>
    <row r="46" ht="12.75" customHeight="1">
      <c r="A46" s="89"/>
      <c r="B46" s="89"/>
      <c r="C46" s="89"/>
      <c r="E46" s="89"/>
      <c r="F46" s="89"/>
    </row>
    <row r="47" ht="12.75" customHeight="1">
      <c r="A47" s="89"/>
      <c r="B47" s="89"/>
      <c r="C47" s="89"/>
      <c r="E47" s="89"/>
      <c r="F47" s="89"/>
    </row>
    <row r="48" ht="12.75" customHeight="1">
      <c r="A48" s="89"/>
      <c r="B48" s="89"/>
      <c r="C48" s="89"/>
      <c r="E48" s="89"/>
      <c r="F48" s="89"/>
    </row>
    <row r="49" ht="12.75" customHeight="1">
      <c r="A49" s="89"/>
      <c r="B49" s="89"/>
      <c r="C49" s="89"/>
      <c r="E49" s="89"/>
      <c r="F49" s="89"/>
    </row>
    <row r="50" ht="12.75" customHeight="1">
      <c r="A50" s="89"/>
      <c r="B50" s="89"/>
      <c r="C50" s="89"/>
      <c r="E50" s="89"/>
      <c r="F50" s="89"/>
    </row>
    <row r="51" ht="12.75" customHeight="1">
      <c r="A51" s="89"/>
      <c r="B51" s="89"/>
      <c r="C51" s="89"/>
      <c r="E51" s="89"/>
      <c r="F51" s="89"/>
    </row>
    <row r="52" ht="12.75" customHeight="1">
      <c r="A52" s="89"/>
      <c r="B52" s="89"/>
      <c r="C52" s="89"/>
      <c r="E52" s="89"/>
      <c r="F52" s="89"/>
    </row>
    <row r="53" ht="12.75" customHeight="1">
      <c r="A53" s="89"/>
      <c r="B53" s="89"/>
      <c r="C53" s="89"/>
      <c r="E53" s="89"/>
      <c r="F53" s="89"/>
    </row>
    <row r="54" ht="12.75" customHeight="1">
      <c r="A54" s="89"/>
      <c r="B54" s="89"/>
      <c r="C54" s="89"/>
      <c r="E54" s="89"/>
      <c r="F54" s="89"/>
    </row>
    <row r="55" ht="12.75" customHeight="1">
      <c r="A55" s="89"/>
      <c r="B55" s="89"/>
      <c r="C55" s="89"/>
      <c r="E55" s="89"/>
      <c r="F55" s="89"/>
    </row>
    <row r="56" ht="12.75" customHeight="1">
      <c r="A56" s="89"/>
      <c r="B56" s="89"/>
      <c r="C56" s="89"/>
      <c r="E56" s="89"/>
      <c r="F56" s="89"/>
    </row>
    <row r="57" ht="12.75" customHeight="1">
      <c r="A57" s="89"/>
      <c r="B57" s="89"/>
      <c r="C57" s="89"/>
      <c r="E57" s="89"/>
      <c r="F57" s="89"/>
    </row>
    <row r="58" ht="12.75" customHeight="1">
      <c r="A58" s="89"/>
      <c r="B58" s="89"/>
      <c r="C58" s="89"/>
      <c r="E58" s="89"/>
      <c r="F58" s="89"/>
    </row>
    <row r="59" ht="12.75" customHeight="1">
      <c r="A59" s="89"/>
      <c r="B59" s="89"/>
      <c r="C59" s="89"/>
      <c r="E59" s="89"/>
      <c r="F59" s="89"/>
    </row>
    <row r="60" ht="12.75" customHeight="1">
      <c r="A60" s="89"/>
      <c r="B60" s="89"/>
      <c r="C60" s="89"/>
      <c r="E60" s="89"/>
      <c r="F60" s="89"/>
    </row>
    <row r="61" ht="12.75" customHeight="1">
      <c r="A61" s="89"/>
      <c r="B61" s="89"/>
      <c r="C61" s="89"/>
      <c r="E61" s="89"/>
      <c r="F61" s="89"/>
    </row>
    <row r="62" ht="12.75" customHeight="1">
      <c r="A62" s="89"/>
      <c r="B62" s="89"/>
      <c r="C62" s="89"/>
      <c r="E62" s="89"/>
      <c r="F62" s="89"/>
    </row>
    <row r="63" ht="12.75" customHeight="1">
      <c r="A63" s="89"/>
      <c r="B63" s="89"/>
      <c r="C63" s="89"/>
      <c r="E63" s="89"/>
      <c r="F63" s="89"/>
    </row>
    <row r="64" ht="12.75" customHeight="1">
      <c r="A64" s="89"/>
      <c r="B64" s="89"/>
      <c r="C64" s="89"/>
      <c r="E64" s="89"/>
      <c r="F64" s="89"/>
    </row>
    <row r="65" ht="12.75" customHeight="1">
      <c r="A65" s="89"/>
      <c r="B65" s="89"/>
      <c r="C65" s="89"/>
      <c r="E65" s="89"/>
      <c r="F65" s="89"/>
    </row>
    <row r="66" ht="12.75" customHeight="1">
      <c r="A66" s="89"/>
      <c r="B66" s="89"/>
      <c r="C66" s="89"/>
      <c r="E66" s="89"/>
      <c r="F66" s="89"/>
    </row>
    <row r="67" ht="12.75" customHeight="1">
      <c r="A67" s="89"/>
      <c r="B67" s="89"/>
      <c r="C67" s="89"/>
      <c r="E67" s="89"/>
      <c r="F67" s="89"/>
    </row>
    <row r="68" ht="12.75" customHeight="1">
      <c r="A68" s="89"/>
      <c r="B68" s="89"/>
      <c r="C68" s="89"/>
      <c r="E68" s="89"/>
      <c r="F68" s="89"/>
    </row>
    <row r="69" ht="12.75" customHeight="1">
      <c r="A69" s="89"/>
      <c r="B69" s="89"/>
      <c r="C69" s="89"/>
      <c r="E69" s="89"/>
      <c r="F69" s="89"/>
    </row>
    <row r="70" ht="12.75" customHeight="1">
      <c r="A70" s="89"/>
      <c r="B70" s="89"/>
      <c r="C70" s="89"/>
      <c r="E70" s="89"/>
      <c r="F70" s="89"/>
    </row>
    <row r="71" ht="12.75" customHeight="1">
      <c r="A71" s="89"/>
      <c r="B71" s="89"/>
      <c r="C71" s="89"/>
      <c r="E71" s="89"/>
      <c r="F71" s="89"/>
    </row>
    <row r="72" ht="12.75" customHeight="1">
      <c r="A72" s="89"/>
      <c r="B72" s="89"/>
      <c r="C72" s="89"/>
      <c r="E72" s="89"/>
      <c r="F72" s="89"/>
    </row>
    <row r="73" ht="12.75" customHeight="1">
      <c r="A73" s="89"/>
      <c r="B73" s="89"/>
      <c r="C73" s="89"/>
      <c r="E73" s="89"/>
      <c r="F73" s="89"/>
    </row>
    <row r="74" ht="12.75" customHeight="1">
      <c r="A74" s="89"/>
      <c r="B74" s="89"/>
      <c r="C74" s="89"/>
      <c r="E74" s="89"/>
      <c r="F74" s="89"/>
    </row>
    <row r="75" ht="12.75" customHeight="1">
      <c r="A75" s="89"/>
      <c r="B75" s="89"/>
      <c r="C75" s="89"/>
      <c r="E75" s="89"/>
      <c r="F75" s="89"/>
    </row>
    <row r="76" ht="12.75" customHeight="1">
      <c r="A76" s="89"/>
      <c r="B76" s="89"/>
      <c r="C76" s="89"/>
      <c r="E76" s="89"/>
      <c r="F76" s="89"/>
    </row>
    <row r="77" ht="12.75" customHeight="1">
      <c r="A77" s="89"/>
      <c r="B77" s="89"/>
      <c r="C77" s="89"/>
      <c r="E77" s="89"/>
      <c r="F77" s="89"/>
    </row>
    <row r="78" ht="12.75" customHeight="1">
      <c r="A78" s="89"/>
      <c r="B78" s="89"/>
      <c r="C78" s="89"/>
      <c r="E78" s="89"/>
      <c r="F78" s="89"/>
    </row>
    <row r="79" ht="12.75" customHeight="1">
      <c r="A79" s="89"/>
      <c r="B79" s="89"/>
      <c r="C79" s="89"/>
      <c r="E79" s="89"/>
      <c r="F79" s="89"/>
    </row>
    <row r="80" ht="12.75" customHeight="1">
      <c r="A80" s="89"/>
      <c r="B80" s="89"/>
      <c r="C80" s="89"/>
      <c r="E80" s="89"/>
      <c r="F80" s="89"/>
    </row>
    <row r="81" ht="12.75" customHeight="1">
      <c r="A81" s="89"/>
      <c r="B81" s="89"/>
      <c r="C81" s="89"/>
      <c r="E81" s="89"/>
      <c r="F81" s="89"/>
    </row>
    <row r="82" ht="12.75" customHeight="1">
      <c r="A82" s="89"/>
      <c r="B82" s="89"/>
      <c r="C82" s="89"/>
      <c r="E82" s="89"/>
      <c r="F82" s="89"/>
    </row>
    <row r="83" ht="12.75" customHeight="1">
      <c r="A83" s="89"/>
      <c r="B83" s="89"/>
      <c r="C83" s="89"/>
      <c r="E83" s="89"/>
      <c r="F83" s="89"/>
    </row>
    <row r="84" ht="12.75" customHeight="1">
      <c r="A84" s="89"/>
      <c r="B84" s="89"/>
      <c r="C84" s="89"/>
      <c r="E84" s="89"/>
      <c r="F84" s="89"/>
    </row>
    <row r="85" ht="12.75" customHeight="1">
      <c r="A85" s="89"/>
      <c r="B85" s="89"/>
      <c r="C85" s="89"/>
      <c r="E85" s="89"/>
      <c r="F85" s="89"/>
    </row>
    <row r="86" ht="12.75" customHeight="1">
      <c r="A86" s="89"/>
      <c r="B86" s="89"/>
      <c r="C86" s="89"/>
      <c r="E86" s="89"/>
      <c r="F86" s="89"/>
    </row>
    <row r="87" ht="12.75" customHeight="1">
      <c r="A87" s="89"/>
      <c r="B87" s="89"/>
      <c r="C87" s="89"/>
      <c r="E87" s="89"/>
      <c r="F87" s="89"/>
    </row>
    <row r="88" ht="12.75" customHeight="1">
      <c r="A88" s="89"/>
      <c r="B88" s="89"/>
      <c r="C88" s="89"/>
      <c r="E88" s="89"/>
      <c r="F88" s="89"/>
    </row>
    <row r="89" ht="12.75" customHeight="1">
      <c r="A89" s="89"/>
      <c r="B89" s="89"/>
      <c r="C89" s="89"/>
      <c r="E89" s="89"/>
      <c r="F89" s="89"/>
    </row>
    <row r="90" ht="12.75" customHeight="1">
      <c r="A90" s="89"/>
      <c r="B90" s="89"/>
      <c r="C90" s="89"/>
      <c r="E90" s="89"/>
      <c r="F90" s="89"/>
    </row>
    <row r="91" ht="12.75" customHeight="1">
      <c r="A91" s="89"/>
      <c r="B91" s="89"/>
      <c r="C91" s="89"/>
      <c r="E91" s="89"/>
      <c r="F91" s="89"/>
    </row>
    <row r="92" ht="12.75" customHeight="1">
      <c r="A92" s="89"/>
      <c r="B92" s="89"/>
      <c r="C92" s="89"/>
      <c r="E92" s="89"/>
      <c r="F92" s="89"/>
    </row>
    <row r="93" ht="12.75" customHeight="1">
      <c r="A93" s="89"/>
      <c r="B93" s="89"/>
      <c r="C93" s="89"/>
      <c r="E93" s="89"/>
      <c r="F93" s="89"/>
    </row>
    <row r="94" ht="12.75" customHeight="1">
      <c r="A94" s="89"/>
      <c r="B94" s="89"/>
      <c r="C94" s="89"/>
      <c r="E94" s="89"/>
      <c r="F94" s="89"/>
    </row>
    <row r="95" ht="12.75" customHeight="1">
      <c r="A95" s="89"/>
      <c r="B95" s="89"/>
      <c r="C95" s="89"/>
      <c r="E95" s="89"/>
      <c r="F95" s="89"/>
    </row>
    <row r="96" ht="12.75" customHeight="1">
      <c r="A96" s="89"/>
      <c r="B96" s="89"/>
      <c r="C96" s="89"/>
      <c r="E96" s="89"/>
      <c r="F96" s="89"/>
    </row>
    <row r="97" ht="12.75" customHeight="1">
      <c r="A97" s="89"/>
      <c r="B97" s="89"/>
      <c r="C97" s="89"/>
      <c r="E97" s="89"/>
      <c r="F97" s="89"/>
    </row>
    <row r="98" ht="12.75" customHeight="1">
      <c r="A98" s="89"/>
      <c r="B98" s="89"/>
      <c r="C98" s="89"/>
      <c r="E98" s="89"/>
      <c r="F98" s="89"/>
    </row>
    <row r="99" ht="12.75" customHeight="1">
      <c r="A99" s="89"/>
      <c r="B99" s="89"/>
      <c r="C99" s="89"/>
      <c r="E99" s="89"/>
      <c r="F99" s="89"/>
    </row>
    <row r="100" ht="12.75" customHeight="1">
      <c r="A100" s="89"/>
      <c r="B100" s="89"/>
      <c r="C100" s="89"/>
      <c r="E100" s="89"/>
      <c r="F100" s="89"/>
    </row>
    <row r="101" ht="12.75" customHeight="1">
      <c r="A101" s="89"/>
      <c r="B101" s="89"/>
      <c r="C101" s="89"/>
      <c r="E101" s="89"/>
      <c r="F101" s="89"/>
    </row>
    <row r="102" ht="12.75" customHeight="1">
      <c r="A102" s="89"/>
      <c r="B102" s="89"/>
      <c r="C102" s="89"/>
      <c r="E102" s="89"/>
      <c r="F102" s="89"/>
    </row>
    <row r="103" ht="12.75" customHeight="1">
      <c r="A103" s="89"/>
      <c r="B103" s="89"/>
      <c r="C103" s="89"/>
      <c r="E103" s="89"/>
      <c r="F103" s="89"/>
    </row>
    <row r="104" ht="12.75" customHeight="1">
      <c r="A104" s="89"/>
      <c r="B104" s="89"/>
      <c r="C104" s="89"/>
      <c r="E104" s="89"/>
      <c r="F104" s="89"/>
    </row>
    <row r="105" ht="12.75" customHeight="1">
      <c r="A105" s="89"/>
      <c r="B105" s="89"/>
      <c r="C105" s="89"/>
      <c r="E105" s="89"/>
      <c r="F105" s="89"/>
    </row>
    <row r="106" ht="12.75" customHeight="1">
      <c r="A106" s="89"/>
      <c r="B106" s="89"/>
      <c r="C106" s="89"/>
      <c r="E106" s="89"/>
      <c r="F106" s="89"/>
    </row>
    <row r="107" ht="12.75" customHeight="1">
      <c r="A107" s="89"/>
      <c r="B107" s="89"/>
      <c r="C107" s="89"/>
      <c r="E107" s="89"/>
      <c r="F107" s="89"/>
    </row>
    <row r="108" ht="12.75" customHeight="1">
      <c r="A108" s="89"/>
      <c r="B108" s="89"/>
      <c r="C108" s="89"/>
      <c r="E108" s="89"/>
      <c r="F108" s="89"/>
    </row>
    <row r="109" ht="12.75" customHeight="1">
      <c r="A109" s="89"/>
      <c r="B109" s="89"/>
      <c r="C109" s="89"/>
      <c r="E109" s="89"/>
      <c r="F109" s="89"/>
    </row>
    <row r="110" ht="12.75" customHeight="1">
      <c r="A110" s="89"/>
      <c r="B110" s="89"/>
      <c r="C110" s="89"/>
      <c r="E110" s="89"/>
      <c r="F110" s="89"/>
    </row>
    <row r="111" ht="12.75" customHeight="1">
      <c r="A111" s="89"/>
      <c r="B111" s="89"/>
      <c r="C111" s="89"/>
      <c r="E111" s="89"/>
      <c r="F111" s="89"/>
    </row>
    <row r="112" ht="12.75" customHeight="1">
      <c r="A112" s="89"/>
      <c r="B112" s="89"/>
      <c r="C112" s="89"/>
      <c r="E112" s="89"/>
      <c r="F112" s="89"/>
    </row>
    <row r="113" ht="12.75" customHeight="1">
      <c r="A113" s="89"/>
      <c r="B113" s="89"/>
      <c r="C113" s="89"/>
      <c r="E113" s="89"/>
      <c r="F113" s="89"/>
    </row>
    <row r="114" ht="12.75" customHeight="1">
      <c r="A114" s="89"/>
      <c r="B114" s="89"/>
      <c r="C114" s="89"/>
      <c r="E114" s="89"/>
      <c r="F114" s="89"/>
    </row>
    <row r="115" ht="12.75" customHeight="1">
      <c r="A115" s="89"/>
      <c r="B115" s="89"/>
      <c r="C115" s="89"/>
      <c r="E115" s="89"/>
      <c r="F115" s="89"/>
    </row>
    <row r="116" ht="12.75" customHeight="1">
      <c r="A116" s="89"/>
      <c r="B116" s="89"/>
      <c r="C116" s="89"/>
      <c r="E116" s="89"/>
      <c r="F116" s="89"/>
    </row>
    <row r="117" ht="12.75" customHeight="1">
      <c r="A117" s="89"/>
      <c r="B117" s="89"/>
      <c r="C117" s="89"/>
      <c r="E117" s="89"/>
      <c r="F117" s="89"/>
    </row>
    <row r="118" ht="12.75" customHeight="1">
      <c r="A118" s="89"/>
      <c r="B118" s="89"/>
      <c r="C118" s="89"/>
      <c r="E118" s="89"/>
      <c r="F118" s="89"/>
    </row>
    <row r="119" ht="12.75" customHeight="1">
      <c r="A119" s="89"/>
      <c r="B119" s="89"/>
      <c r="C119" s="89"/>
      <c r="E119" s="89"/>
      <c r="F119" s="89"/>
    </row>
    <row r="120" ht="12.75" customHeight="1">
      <c r="A120" s="89"/>
      <c r="B120" s="89"/>
      <c r="C120" s="89"/>
      <c r="E120" s="89"/>
      <c r="F120" s="89"/>
    </row>
    <row r="121" ht="12.75" customHeight="1">
      <c r="A121" s="89"/>
      <c r="B121" s="89"/>
      <c r="C121" s="89"/>
      <c r="E121" s="89"/>
      <c r="F121" s="89"/>
    </row>
    <row r="122" ht="12.75" customHeight="1">
      <c r="A122" s="89"/>
      <c r="B122" s="89"/>
      <c r="C122" s="89"/>
      <c r="E122" s="89"/>
      <c r="F122" s="89"/>
    </row>
    <row r="123" ht="12.75" customHeight="1">
      <c r="A123" s="89"/>
      <c r="B123" s="89"/>
      <c r="C123" s="89"/>
      <c r="E123" s="89"/>
      <c r="F123" s="89"/>
    </row>
    <row r="124" ht="12.75" customHeight="1">
      <c r="A124" s="89"/>
      <c r="B124" s="89"/>
      <c r="C124" s="89"/>
      <c r="E124" s="89"/>
      <c r="F124" s="89"/>
    </row>
    <row r="125" ht="12.75" customHeight="1">
      <c r="A125" s="89"/>
      <c r="B125" s="89"/>
      <c r="C125" s="89"/>
      <c r="E125" s="89"/>
      <c r="F125" s="89"/>
    </row>
    <row r="126" ht="12.75" customHeight="1">
      <c r="A126" s="89"/>
      <c r="B126" s="89"/>
      <c r="C126" s="89"/>
      <c r="E126" s="89"/>
      <c r="F126" s="89"/>
    </row>
    <row r="127" ht="12.75" customHeight="1">
      <c r="A127" s="89"/>
      <c r="B127" s="89"/>
      <c r="C127" s="89"/>
      <c r="E127" s="89"/>
      <c r="F127" s="89"/>
    </row>
    <row r="128" ht="12.75" customHeight="1">
      <c r="A128" s="89"/>
      <c r="B128" s="89"/>
      <c r="C128" s="89"/>
      <c r="E128" s="89"/>
      <c r="F128" s="89"/>
    </row>
    <row r="129" ht="12.75" customHeight="1">
      <c r="A129" s="89"/>
      <c r="B129" s="89"/>
      <c r="C129" s="89"/>
      <c r="E129" s="89"/>
      <c r="F129" s="89"/>
    </row>
    <row r="130" ht="12.75" customHeight="1">
      <c r="A130" s="89"/>
      <c r="B130" s="89"/>
      <c r="C130" s="89"/>
      <c r="E130" s="89"/>
      <c r="F130" s="89"/>
    </row>
    <row r="131" ht="12.75" customHeight="1">
      <c r="A131" s="89"/>
      <c r="B131" s="89"/>
      <c r="C131" s="89"/>
      <c r="E131" s="89"/>
      <c r="F131" s="89"/>
    </row>
    <row r="132" ht="12.75" customHeight="1">
      <c r="A132" s="89"/>
      <c r="B132" s="89"/>
      <c r="C132" s="89"/>
      <c r="E132" s="89"/>
      <c r="F132" s="89"/>
    </row>
    <row r="133" ht="12.75" customHeight="1">
      <c r="A133" s="89"/>
      <c r="B133" s="89"/>
      <c r="C133" s="89"/>
      <c r="E133" s="89"/>
      <c r="F133" s="89"/>
    </row>
    <row r="134" ht="12.75" customHeight="1">
      <c r="A134" s="89"/>
      <c r="B134" s="89"/>
      <c r="C134" s="89"/>
      <c r="E134" s="89"/>
      <c r="F134" s="89"/>
    </row>
    <row r="135" ht="12.75" customHeight="1">
      <c r="A135" s="89"/>
      <c r="B135" s="89"/>
      <c r="C135" s="89"/>
      <c r="E135" s="89"/>
      <c r="F135" s="89"/>
    </row>
    <row r="136" ht="12.75" customHeight="1">
      <c r="A136" s="89"/>
      <c r="B136" s="89"/>
      <c r="C136" s="89"/>
      <c r="E136" s="89"/>
      <c r="F136" s="89"/>
    </row>
    <row r="137" ht="12.75" customHeight="1">
      <c r="A137" s="89"/>
      <c r="B137" s="89"/>
      <c r="C137" s="89"/>
      <c r="E137" s="89"/>
      <c r="F137" s="89"/>
    </row>
    <row r="138" ht="12.75" customHeight="1">
      <c r="A138" s="89"/>
      <c r="B138" s="89"/>
      <c r="C138" s="89"/>
      <c r="E138" s="89"/>
      <c r="F138" s="89"/>
    </row>
    <row r="139" ht="12.75" customHeight="1">
      <c r="A139" s="89"/>
      <c r="B139" s="89"/>
      <c r="C139" s="89"/>
      <c r="E139" s="89"/>
      <c r="F139" s="89"/>
    </row>
    <row r="140" ht="12.75" customHeight="1">
      <c r="A140" s="89"/>
      <c r="B140" s="89"/>
      <c r="C140" s="89"/>
      <c r="E140" s="89"/>
      <c r="F140" s="89"/>
    </row>
    <row r="141" ht="12.75" customHeight="1">
      <c r="A141" s="89"/>
      <c r="B141" s="89"/>
      <c r="C141" s="89"/>
      <c r="E141" s="89"/>
      <c r="F141" s="89"/>
    </row>
    <row r="142" ht="12.75" customHeight="1">
      <c r="A142" s="89"/>
      <c r="B142" s="89"/>
      <c r="C142" s="89"/>
      <c r="E142" s="89"/>
      <c r="F142" s="89"/>
    </row>
    <row r="143" ht="12.75" customHeight="1">
      <c r="A143" s="89"/>
      <c r="B143" s="89"/>
      <c r="C143" s="89"/>
      <c r="E143" s="89"/>
      <c r="F143" s="89"/>
    </row>
    <row r="144" ht="12.75" customHeight="1">
      <c r="A144" s="89"/>
      <c r="B144" s="89"/>
      <c r="C144" s="89"/>
      <c r="E144" s="89"/>
      <c r="F144" s="89"/>
    </row>
    <row r="145" ht="12.75" customHeight="1">
      <c r="A145" s="89"/>
      <c r="B145" s="89"/>
      <c r="C145" s="89"/>
      <c r="E145" s="89"/>
      <c r="F145" s="89"/>
    </row>
    <row r="146" ht="12.75" customHeight="1">
      <c r="A146" s="89"/>
      <c r="B146" s="89"/>
      <c r="C146" s="89"/>
      <c r="E146" s="89"/>
      <c r="F146" s="89"/>
    </row>
    <row r="147" ht="12.75" customHeight="1">
      <c r="A147" s="89"/>
      <c r="B147" s="89"/>
      <c r="C147" s="89"/>
      <c r="E147" s="89"/>
      <c r="F147" s="89"/>
    </row>
    <row r="148" ht="12.75" customHeight="1">
      <c r="A148" s="89"/>
      <c r="B148" s="89"/>
      <c r="C148" s="89"/>
      <c r="E148" s="89"/>
      <c r="F148" s="89"/>
    </row>
    <row r="149" ht="12.75" customHeight="1">
      <c r="A149" s="89"/>
      <c r="B149" s="89"/>
      <c r="C149" s="89"/>
      <c r="E149" s="89"/>
      <c r="F149" s="89"/>
    </row>
    <row r="150" ht="12.75" customHeight="1">
      <c r="A150" s="89"/>
      <c r="B150" s="89"/>
      <c r="C150" s="89"/>
      <c r="E150" s="89"/>
      <c r="F150" s="89"/>
    </row>
    <row r="151" ht="12.75" customHeight="1">
      <c r="A151" s="89"/>
      <c r="B151" s="89"/>
      <c r="C151" s="89"/>
      <c r="E151" s="89"/>
      <c r="F151" s="89"/>
    </row>
    <row r="152" ht="12.75" customHeight="1">
      <c r="A152" s="89"/>
      <c r="B152" s="89"/>
      <c r="C152" s="89"/>
      <c r="E152" s="89"/>
      <c r="F152" s="89"/>
    </row>
    <row r="153" ht="12.75" customHeight="1">
      <c r="A153" s="89"/>
      <c r="B153" s="89"/>
      <c r="C153" s="89"/>
      <c r="E153" s="89"/>
      <c r="F153" s="89"/>
    </row>
    <row r="154" ht="12.75" customHeight="1">
      <c r="A154" s="89"/>
      <c r="B154" s="89"/>
      <c r="C154" s="89"/>
      <c r="E154" s="89"/>
      <c r="F154" s="89"/>
    </row>
    <row r="155" ht="12.75" customHeight="1">
      <c r="A155" s="89"/>
      <c r="B155" s="89"/>
      <c r="C155" s="89"/>
      <c r="E155" s="89"/>
      <c r="F155" s="89"/>
    </row>
    <row r="156" ht="12.75" customHeight="1">
      <c r="A156" s="89"/>
      <c r="B156" s="89"/>
      <c r="C156" s="89"/>
      <c r="E156" s="89"/>
      <c r="F156" s="89"/>
    </row>
    <row r="157" ht="12.75" customHeight="1">
      <c r="A157" s="89"/>
      <c r="B157" s="89"/>
      <c r="C157" s="89"/>
      <c r="E157" s="89"/>
      <c r="F157" s="89"/>
    </row>
    <row r="158" ht="12.75" customHeight="1">
      <c r="A158" s="89"/>
      <c r="B158" s="89"/>
      <c r="C158" s="89"/>
      <c r="E158" s="89"/>
      <c r="F158" s="89"/>
    </row>
    <row r="159" ht="12.75" customHeight="1">
      <c r="A159" s="89"/>
      <c r="B159" s="89"/>
      <c r="C159" s="89"/>
      <c r="E159" s="89"/>
      <c r="F159" s="89"/>
    </row>
    <row r="160" ht="12.75" customHeight="1">
      <c r="A160" s="89"/>
      <c r="B160" s="89"/>
      <c r="C160" s="89"/>
      <c r="E160" s="89"/>
      <c r="F160" s="89"/>
    </row>
    <row r="161" ht="12.75" customHeight="1">
      <c r="A161" s="89"/>
      <c r="B161" s="89"/>
      <c r="C161" s="89"/>
      <c r="E161" s="89"/>
      <c r="F161" s="89"/>
    </row>
    <row r="162" ht="12.75" customHeight="1">
      <c r="A162" s="89"/>
      <c r="B162" s="89"/>
      <c r="C162" s="89"/>
      <c r="E162" s="89"/>
      <c r="F162" s="89"/>
    </row>
    <row r="163" ht="12.75" customHeight="1">
      <c r="A163" s="89"/>
      <c r="B163" s="89"/>
      <c r="C163" s="89"/>
      <c r="E163" s="89"/>
      <c r="F163" s="89"/>
    </row>
    <row r="164" ht="12.75" customHeight="1">
      <c r="A164" s="89"/>
      <c r="B164" s="89"/>
      <c r="C164" s="89"/>
      <c r="E164" s="89"/>
      <c r="F164" s="89"/>
    </row>
    <row r="165" ht="12.75" customHeight="1">
      <c r="A165" s="89"/>
      <c r="B165" s="89"/>
      <c r="C165" s="89"/>
      <c r="E165" s="89"/>
      <c r="F165" s="89"/>
    </row>
    <row r="166" ht="12.75" customHeight="1">
      <c r="A166" s="89"/>
      <c r="B166" s="89"/>
      <c r="C166" s="89"/>
      <c r="E166" s="89"/>
      <c r="F166" s="89"/>
    </row>
    <row r="167" ht="12.75" customHeight="1">
      <c r="A167" s="89"/>
      <c r="B167" s="89"/>
      <c r="C167" s="89"/>
      <c r="E167" s="89"/>
      <c r="F167" s="89"/>
    </row>
    <row r="168" ht="12.75" customHeight="1">
      <c r="A168" s="89"/>
      <c r="B168" s="89"/>
      <c r="C168" s="89"/>
      <c r="E168" s="89"/>
      <c r="F168" s="89"/>
    </row>
    <row r="169" ht="12.75" customHeight="1">
      <c r="A169" s="89"/>
      <c r="B169" s="89"/>
      <c r="C169" s="89"/>
      <c r="E169" s="89"/>
      <c r="F169" s="89"/>
    </row>
    <row r="170" ht="12.75" customHeight="1">
      <c r="A170" s="89"/>
      <c r="B170" s="89"/>
      <c r="C170" s="89"/>
      <c r="E170" s="89"/>
      <c r="F170" s="89"/>
    </row>
    <row r="171" ht="12.75" customHeight="1">
      <c r="A171" s="89"/>
      <c r="B171" s="89"/>
      <c r="C171" s="89"/>
      <c r="E171" s="89"/>
      <c r="F171" s="89"/>
    </row>
    <row r="172" ht="12.75" customHeight="1">
      <c r="A172" s="89"/>
      <c r="B172" s="89"/>
      <c r="C172" s="89"/>
      <c r="E172" s="89"/>
      <c r="F172" s="89"/>
    </row>
    <row r="173" ht="12.75" customHeight="1">
      <c r="A173" s="89"/>
      <c r="B173" s="89"/>
      <c r="C173" s="89"/>
      <c r="E173" s="89"/>
      <c r="F173" s="89"/>
    </row>
    <row r="174" ht="12.75" customHeight="1">
      <c r="A174" s="89"/>
      <c r="B174" s="89"/>
      <c r="C174" s="89"/>
      <c r="E174" s="89"/>
      <c r="F174" s="89"/>
    </row>
    <row r="175" ht="12.75" customHeight="1">
      <c r="A175" s="89"/>
      <c r="B175" s="89"/>
      <c r="C175" s="89"/>
      <c r="E175" s="89"/>
      <c r="F175" s="89"/>
    </row>
    <row r="176" ht="12.75" customHeight="1">
      <c r="A176" s="89"/>
      <c r="B176" s="89"/>
      <c r="C176" s="89"/>
      <c r="E176" s="89"/>
      <c r="F176" s="89"/>
    </row>
    <row r="177" ht="12.75" customHeight="1">
      <c r="A177" s="89"/>
      <c r="B177" s="89"/>
      <c r="C177" s="89"/>
      <c r="E177" s="89"/>
      <c r="F177" s="89"/>
    </row>
    <row r="178" ht="12.75" customHeight="1">
      <c r="A178" s="89"/>
      <c r="B178" s="89"/>
      <c r="C178" s="89"/>
      <c r="E178" s="89"/>
      <c r="F178" s="89"/>
    </row>
    <row r="179" ht="12.75" customHeight="1">
      <c r="A179" s="89"/>
      <c r="B179" s="89"/>
      <c r="C179" s="89"/>
      <c r="E179" s="89"/>
      <c r="F179" s="89"/>
    </row>
    <row r="180" ht="12.75" customHeight="1">
      <c r="A180" s="89"/>
      <c r="B180" s="89"/>
      <c r="C180" s="89"/>
      <c r="E180" s="89"/>
      <c r="F180" s="89"/>
    </row>
    <row r="181" ht="12.75" customHeight="1">
      <c r="A181" s="89"/>
      <c r="B181" s="89"/>
      <c r="C181" s="89"/>
      <c r="E181" s="89"/>
      <c r="F181" s="89"/>
    </row>
    <row r="182" ht="12.75" customHeight="1">
      <c r="A182" s="89"/>
      <c r="B182" s="89"/>
      <c r="C182" s="89"/>
      <c r="E182" s="89"/>
      <c r="F182" s="89"/>
    </row>
    <row r="183" ht="12.75" customHeight="1">
      <c r="A183" s="89"/>
      <c r="B183" s="89"/>
      <c r="C183" s="89"/>
      <c r="E183" s="89"/>
      <c r="F183" s="89"/>
    </row>
    <row r="184" ht="12.75" customHeight="1">
      <c r="A184" s="89"/>
      <c r="B184" s="89"/>
      <c r="C184" s="89"/>
      <c r="E184" s="89"/>
      <c r="F184" s="89"/>
    </row>
    <row r="185" ht="12.75" customHeight="1">
      <c r="A185" s="89"/>
      <c r="B185" s="89"/>
      <c r="C185" s="89"/>
      <c r="E185" s="89"/>
      <c r="F185" s="89"/>
    </row>
    <row r="186" ht="12.75" customHeight="1">
      <c r="A186" s="89"/>
      <c r="B186" s="89"/>
      <c r="C186" s="89"/>
      <c r="E186" s="89"/>
      <c r="F186" s="89"/>
    </row>
    <row r="187" ht="12.75" customHeight="1">
      <c r="A187" s="89"/>
      <c r="B187" s="89"/>
      <c r="C187" s="89"/>
      <c r="E187" s="89"/>
      <c r="F187" s="89"/>
    </row>
    <row r="188" ht="12.75" customHeight="1">
      <c r="A188" s="89"/>
      <c r="B188" s="89"/>
      <c r="C188" s="89"/>
      <c r="E188" s="89"/>
      <c r="F188" s="89"/>
    </row>
    <row r="189" ht="12.75" customHeight="1">
      <c r="A189" s="89"/>
      <c r="B189" s="89"/>
      <c r="C189" s="89"/>
      <c r="E189" s="89"/>
      <c r="F189" s="89"/>
    </row>
    <row r="190" ht="12.75" customHeight="1">
      <c r="A190" s="89"/>
      <c r="B190" s="89"/>
      <c r="C190" s="89"/>
      <c r="E190" s="89"/>
      <c r="F190" s="89"/>
    </row>
    <row r="191" ht="12.75" customHeight="1">
      <c r="A191" s="89"/>
      <c r="B191" s="89"/>
      <c r="C191" s="89"/>
      <c r="E191" s="89"/>
      <c r="F191" s="89"/>
    </row>
    <row r="192" ht="12.75" customHeight="1">
      <c r="A192" s="89"/>
      <c r="B192" s="89"/>
      <c r="C192" s="89"/>
      <c r="E192" s="89"/>
      <c r="F192" s="89"/>
    </row>
    <row r="193" ht="12.75" customHeight="1">
      <c r="A193" s="89"/>
      <c r="B193" s="89"/>
      <c r="C193" s="89"/>
      <c r="E193" s="89"/>
      <c r="F193" s="89"/>
    </row>
    <row r="194" ht="12.75" customHeight="1">
      <c r="A194" s="89"/>
      <c r="B194" s="89"/>
      <c r="C194" s="89"/>
      <c r="E194" s="89"/>
      <c r="F194" s="89"/>
    </row>
    <row r="195" ht="12.75" customHeight="1">
      <c r="A195" s="89"/>
      <c r="B195" s="89"/>
      <c r="C195" s="89"/>
      <c r="E195" s="89"/>
      <c r="F195" s="89"/>
    </row>
    <row r="196" ht="12.75" customHeight="1">
      <c r="A196" s="89"/>
      <c r="B196" s="89"/>
      <c r="C196" s="89"/>
      <c r="E196" s="89"/>
      <c r="F196" s="89"/>
    </row>
    <row r="197" ht="12.75" customHeight="1">
      <c r="A197" s="89"/>
      <c r="B197" s="89"/>
      <c r="C197" s="89"/>
      <c r="E197" s="89"/>
      <c r="F197" s="89"/>
    </row>
    <row r="198" ht="12.75" customHeight="1">
      <c r="A198" s="89"/>
      <c r="B198" s="89"/>
      <c r="C198" s="89"/>
      <c r="E198" s="89"/>
      <c r="F198" s="89"/>
    </row>
    <row r="199" ht="12.75" customHeight="1">
      <c r="A199" s="89"/>
      <c r="B199" s="89"/>
      <c r="C199" s="89"/>
      <c r="E199" s="89"/>
      <c r="F199" s="89"/>
    </row>
    <row r="200" ht="12.75" customHeight="1">
      <c r="A200" s="89"/>
      <c r="B200" s="89"/>
      <c r="C200" s="89"/>
      <c r="E200" s="89"/>
      <c r="F200" s="89"/>
    </row>
    <row r="201" ht="12.75" customHeight="1">
      <c r="A201" s="89"/>
      <c r="B201" s="89"/>
      <c r="C201" s="89"/>
      <c r="E201" s="89"/>
      <c r="F201" s="89"/>
    </row>
    <row r="202" ht="12.75" customHeight="1">
      <c r="A202" s="89"/>
      <c r="B202" s="89"/>
      <c r="C202" s="89"/>
      <c r="E202" s="89"/>
      <c r="F202" s="89"/>
    </row>
    <row r="203" ht="12.75" customHeight="1">
      <c r="A203" s="89"/>
      <c r="B203" s="89"/>
      <c r="C203" s="89"/>
      <c r="E203" s="89"/>
      <c r="F203" s="89"/>
    </row>
    <row r="204" ht="12.75" customHeight="1">
      <c r="A204" s="89"/>
      <c r="B204" s="89"/>
      <c r="C204" s="89"/>
      <c r="E204" s="89"/>
      <c r="F204" s="89"/>
    </row>
    <row r="205" ht="12.75" customHeight="1">
      <c r="A205" s="89"/>
      <c r="B205" s="89"/>
      <c r="C205" s="89"/>
      <c r="E205" s="89"/>
      <c r="F205" s="89"/>
    </row>
    <row r="206" ht="12.75" customHeight="1">
      <c r="A206" s="89"/>
      <c r="B206" s="89"/>
      <c r="C206" s="89"/>
      <c r="E206" s="89"/>
      <c r="F206" s="89"/>
    </row>
    <row r="207" ht="12.75" customHeight="1">
      <c r="A207" s="89"/>
      <c r="B207" s="89"/>
      <c r="C207" s="89"/>
      <c r="E207" s="89"/>
      <c r="F207" s="89"/>
    </row>
    <row r="208" ht="12.75" customHeight="1">
      <c r="A208" s="89"/>
      <c r="B208" s="89"/>
      <c r="C208" s="89"/>
      <c r="E208" s="89"/>
      <c r="F208" s="89"/>
    </row>
    <row r="209" ht="12.75" customHeight="1">
      <c r="A209" s="89"/>
      <c r="B209" s="89"/>
      <c r="C209" s="89"/>
      <c r="E209" s="89"/>
      <c r="F209" s="89"/>
    </row>
    <row r="210" ht="12.75" customHeight="1">
      <c r="A210" s="89"/>
      <c r="B210" s="89"/>
      <c r="C210" s="89"/>
      <c r="E210" s="89"/>
      <c r="F210" s="89"/>
    </row>
    <row r="211" ht="12.75" customHeight="1">
      <c r="A211" s="89"/>
      <c r="B211" s="89"/>
      <c r="C211" s="89"/>
      <c r="E211" s="89"/>
      <c r="F211" s="89"/>
    </row>
    <row r="212" ht="12.75" customHeight="1">
      <c r="A212" s="89"/>
      <c r="B212" s="89"/>
      <c r="C212" s="89"/>
      <c r="E212" s="89"/>
      <c r="F212" s="89"/>
    </row>
    <row r="213" ht="12.75" customHeight="1">
      <c r="A213" s="89"/>
      <c r="B213" s="89"/>
      <c r="C213" s="89"/>
      <c r="E213" s="89"/>
      <c r="F213" s="89"/>
    </row>
    <row r="214" ht="12.75" customHeight="1">
      <c r="A214" s="89"/>
      <c r="B214" s="89"/>
      <c r="C214" s="89"/>
      <c r="E214" s="89"/>
      <c r="F214" s="89"/>
    </row>
    <row r="215" ht="12.75" customHeight="1">
      <c r="A215" s="89"/>
      <c r="B215" s="89"/>
      <c r="C215" s="89"/>
      <c r="E215" s="89"/>
      <c r="F215" s="89"/>
    </row>
    <row r="216" ht="12.75" customHeight="1">
      <c r="A216" s="89"/>
      <c r="B216" s="89"/>
      <c r="C216" s="89"/>
      <c r="E216" s="89"/>
      <c r="F216" s="89"/>
    </row>
    <row r="217" ht="12.75" customHeight="1">
      <c r="A217" s="89"/>
      <c r="B217" s="89"/>
      <c r="C217" s="89"/>
      <c r="E217" s="89"/>
      <c r="F217" s="89"/>
    </row>
    <row r="218" ht="12.75" customHeight="1">
      <c r="A218" s="89"/>
      <c r="B218" s="89"/>
      <c r="C218" s="89"/>
      <c r="E218" s="89"/>
      <c r="F218" s="89"/>
    </row>
    <row r="219" ht="12.75" customHeight="1">
      <c r="A219" s="89"/>
      <c r="B219" s="89"/>
      <c r="C219" s="89"/>
      <c r="E219" s="89"/>
      <c r="F219" s="89"/>
    </row>
    <row r="220" ht="12.75" customHeight="1">
      <c r="A220" s="89"/>
      <c r="B220" s="89"/>
      <c r="C220" s="89"/>
      <c r="E220" s="89"/>
      <c r="F220" s="89"/>
    </row>
    <row r="221" ht="12.75" customHeight="1">
      <c r="A221" s="89"/>
      <c r="B221" s="89"/>
      <c r="C221" s="89"/>
      <c r="E221" s="89"/>
      <c r="F221" s="89"/>
    </row>
    <row r="222" ht="12.75" customHeight="1">
      <c r="A222" s="89"/>
      <c r="B222" s="89"/>
      <c r="C222" s="89"/>
      <c r="E222" s="89"/>
      <c r="F222" s="89"/>
    </row>
    <row r="223" ht="12.75" customHeight="1">
      <c r="A223" s="89"/>
      <c r="B223" s="89"/>
      <c r="C223" s="89"/>
      <c r="E223" s="89"/>
      <c r="F223" s="89"/>
    </row>
    <row r="224" ht="12.75" customHeight="1">
      <c r="A224" s="89"/>
      <c r="B224" s="89"/>
      <c r="C224" s="89"/>
      <c r="E224" s="89"/>
      <c r="F224" s="89"/>
    </row>
    <row r="225" ht="12.75" customHeight="1">
      <c r="A225" s="89"/>
      <c r="B225" s="89"/>
      <c r="C225" s="89"/>
      <c r="E225" s="89"/>
      <c r="F225" s="89"/>
    </row>
    <row r="226" ht="12.75" customHeight="1">
      <c r="A226" s="89"/>
      <c r="B226" s="89"/>
      <c r="C226" s="89"/>
      <c r="E226" s="89"/>
      <c r="F226" s="89"/>
    </row>
    <row r="227" ht="12.75" customHeight="1">
      <c r="A227" s="89"/>
      <c r="B227" s="89"/>
      <c r="C227" s="89"/>
      <c r="E227" s="89"/>
      <c r="F227" s="89"/>
    </row>
    <row r="228" ht="12.75" customHeight="1">
      <c r="A228" s="89"/>
      <c r="B228" s="89"/>
      <c r="C228" s="89"/>
      <c r="E228" s="89"/>
      <c r="F228" s="89"/>
    </row>
    <row r="229" ht="12.75" customHeight="1">
      <c r="A229" s="89"/>
      <c r="B229" s="89"/>
      <c r="C229" s="89"/>
      <c r="E229" s="89"/>
      <c r="F229" s="89"/>
    </row>
    <row r="230" ht="12.75" customHeight="1">
      <c r="A230" s="89"/>
      <c r="B230" s="89"/>
      <c r="C230" s="89"/>
      <c r="E230" s="89"/>
      <c r="F230" s="89"/>
    </row>
    <row r="231" ht="12.75" customHeight="1">
      <c r="A231" s="89"/>
      <c r="B231" s="89"/>
      <c r="C231" s="89"/>
      <c r="E231" s="89"/>
      <c r="F231" s="89"/>
    </row>
    <row r="232" ht="12.75" customHeight="1">
      <c r="A232" s="89"/>
      <c r="B232" s="89"/>
      <c r="C232" s="89"/>
      <c r="E232" s="89"/>
      <c r="F232" s="89"/>
    </row>
    <row r="233" ht="12.75" customHeight="1">
      <c r="A233" s="89"/>
      <c r="B233" s="89"/>
      <c r="C233" s="89"/>
      <c r="E233" s="89"/>
      <c r="F233" s="89"/>
    </row>
    <row r="234" ht="12.75" customHeight="1">
      <c r="A234" s="89"/>
      <c r="B234" s="89"/>
      <c r="C234" s="89"/>
      <c r="E234" s="89"/>
      <c r="F234" s="89"/>
    </row>
    <row r="235" ht="12.75" customHeight="1">
      <c r="A235" s="89"/>
      <c r="B235" s="89"/>
      <c r="C235" s="89"/>
      <c r="E235" s="89"/>
      <c r="F235" s="89"/>
    </row>
    <row r="236" ht="12.75" customHeight="1">
      <c r="A236" s="89"/>
      <c r="B236" s="89"/>
      <c r="C236" s="89"/>
      <c r="E236" s="89"/>
      <c r="F236" s="89"/>
    </row>
    <row r="237" ht="12.75" customHeight="1">
      <c r="A237" s="89"/>
      <c r="B237" s="89"/>
      <c r="C237" s="89"/>
      <c r="E237" s="89"/>
      <c r="F237" s="89"/>
    </row>
    <row r="238" ht="12.75" customHeight="1">
      <c r="A238" s="89"/>
      <c r="B238" s="89"/>
      <c r="C238" s="89"/>
      <c r="E238" s="89"/>
      <c r="F238" s="89"/>
    </row>
    <row r="239" ht="12.75" customHeight="1">
      <c r="A239" s="89"/>
      <c r="B239" s="89"/>
      <c r="C239" s="89"/>
      <c r="E239" s="89"/>
      <c r="F239" s="89"/>
    </row>
    <row r="240" ht="12.75" customHeight="1">
      <c r="A240" s="89"/>
      <c r="B240" s="89"/>
      <c r="C240" s="89"/>
      <c r="E240" s="89"/>
      <c r="F240" s="89"/>
    </row>
    <row r="241" ht="12.75" customHeight="1">
      <c r="A241" s="89"/>
      <c r="B241" s="89"/>
      <c r="C241" s="89"/>
      <c r="E241" s="89"/>
      <c r="F241" s="89"/>
    </row>
    <row r="242" ht="12.75" customHeight="1">
      <c r="A242" s="89"/>
      <c r="B242" s="89"/>
      <c r="C242" s="89"/>
      <c r="E242" s="89"/>
      <c r="F242" s="89"/>
    </row>
    <row r="243" ht="12.75" customHeight="1">
      <c r="A243" s="89"/>
      <c r="B243" s="89"/>
      <c r="C243" s="89"/>
      <c r="E243" s="89"/>
      <c r="F243" s="89"/>
    </row>
    <row r="244" ht="12.75" customHeight="1">
      <c r="A244" s="89"/>
      <c r="B244" s="89"/>
      <c r="C244" s="89"/>
      <c r="E244" s="89"/>
      <c r="F244" s="89"/>
    </row>
    <row r="245" ht="12.75" customHeight="1">
      <c r="A245" s="89"/>
      <c r="B245" s="89"/>
      <c r="C245" s="89"/>
      <c r="E245" s="89"/>
      <c r="F245" s="89"/>
    </row>
    <row r="246" ht="12.75" customHeight="1">
      <c r="A246" s="89"/>
      <c r="B246" s="89"/>
      <c r="C246" s="89"/>
      <c r="E246" s="89"/>
      <c r="F246" s="89"/>
    </row>
    <row r="247" ht="12.75" customHeight="1">
      <c r="A247" s="89"/>
      <c r="B247" s="89"/>
      <c r="C247" s="89"/>
      <c r="E247" s="89"/>
      <c r="F247" s="89"/>
    </row>
    <row r="248" ht="12.75" customHeight="1">
      <c r="A248" s="89"/>
      <c r="B248" s="89"/>
      <c r="C248" s="89"/>
      <c r="E248" s="89"/>
      <c r="F248" s="89"/>
    </row>
    <row r="249" ht="12.75" customHeight="1">
      <c r="A249" s="89"/>
      <c r="B249" s="89"/>
      <c r="C249" s="89"/>
      <c r="E249" s="89"/>
      <c r="F249" s="89"/>
    </row>
    <row r="250" ht="12.75" customHeight="1">
      <c r="A250" s="89"/>
      <c r="B250" s="89"/>
      <c r="C250" s="89"/>
      <c r="E250" s="89"/>
      <c r="F250" s="89"/>
    </row>
    <row r="251" ht="12.75" customHeight="1">
      <c r="A251" s="89"/>
      <c r="B251" s="89"/>
      <c r="C251" s="89"/>
      <c r="E251" s="89"/>
      <c r="F251" s="89"/>
    </row>
    <row r="252" ht="12.75" customHeight="1">
      <c r="A252" s="89"/>
      <c r="B252" s="89"/>
      <c r="C252" s="89"/>
      <c r="E252" s="89"/>
      <c r="F252" s="89"/>
    </row>
    <row r="253" ht="12.75" customHeight="1">
      <c r="A253" s="89"/>
      <c r="B253" s="89"/>
      <c r="C253" s="89"/>
      <c r="E253" s="89"/>
      <c r="F253" s="89"/>
    </row>
    <row r="254" ht="12.75" customHeight="1">
      <c r="A254" s="89"/>
      <c r="B254" s="89"/>
      <c r="C254" s="89"/>
      <c r="E254" s="89"/>
      <c r="F254" s="89"/>
    </row>
    <row r="255" ht="12.75" customHeight="1">
      <c r="A255" s="89"/>
      <c r="B255" s="89"/>
      <c r="C255" s="89"/>
      <c r="E255" s="89"/>
      <c r="F255" s="89"/>
    </row>
    <row r="256" ht="12.75" customHeight="1">
      <c r="A256" s="89"/>
      <c r="B256" s="89"/>
      <c r="C256" s="89"/>
      <c r="E256" s="89"/>
      <c r="F256" s="89"/>
    </row>
    <row r="257" ht="12.75" customHeight="1">
      <c r="A257" s="89"/>
      <c r="B257" s="89"/>
      <c r="C257" s="89"/>
      <c r="E257" s="89"/>
      <c r="F257" s="89"/>
    </row>
    <row r="258" ht="12.75" customHeight="1">
      <c r="A258" s="89"/>
      <c r="B258" s="89"/>
      <c r="C258" s="89"/>
      <c r="E258" s="89"/>
      <c r="F258" s="89"/>
    </row>
    <row r="259" ht="12.75" customHeight="1">
      <c r="A259" s="89"/>
      <c r="B259" s="89"/>
      <c r="C259" s="89"/>
      <c r="E259" s="89"/>
      <c r="F259" s="89"/>
    </row>
    <row r="260" ht="12.75" customHeight="1">
      <c r="A260" s="89"/>
      <c r="B260" s="89"/>
      <c r="C260" s="89"/>
      <c r="E260" s="89"/>
      <c r="F260" s="89"/>
    </row>
    <row r="261" ht="12.75" customHeight="1">
      <c r="A261" s="89"/>
      <c r="B261" s="89"/>
      <c r="C261" s="89"/>
      <c r="E261" s="89"/>
      <c r="F261" s="89"/>
    </row>
    <row r="262" ht="12.75" customHeight="1">
      <c r="A262" s="89"/>
      <c r="B262" s="89"/>
      <c r="C262" s="89"/>
      <c r="E262" s="89"/>
      <c r="F262" s="89"/>
    </row>
    <row r="263" ht="12.75" customHeight="1">
      <c r="A263" s="89"/>
      <c r="B263" s="89"/>
      <c r="C263" s="89"/>
      <c r="E263" s="89"/>
      <c r="F263" s="89"/>
    </row>
    <row r="264" ht="12.75" customHeight="1">
      <c r="A264" s="89"/>
      <c r="B264" s="89"/>
      <c r="C264" s="89"/>
      <c r="E264" s="89"/>
      <c r="F264" s="89"/>
    </row>
    <row r="265" ht="12.75" customHeight="1">
      <c r="A265" s="89"/>
      <c r="B265" s="89"/>
      <c r="C265" s="89"/>
      <c r="E265" s="89"/>
      <c r="F265" s="89"/>
    </row>
    <row r="266" ht="12.75" customHeight="1">
      <c r="A266" s="89"/>
      <c r="B266" s="89"/>
      <c r="C266" s="89"/>
      <c r="E266" s="89"/>
      <c r="F266" s="89"/>
    </row>
    <row r="267" ht="12.75" customHeight="1">
      <c r="A267" s="89"/>
      <c r="B267" s="89"/>
      <c r="C267" s="89"/>
      <c r="E267" s="89"/>
      <c r="F267" s="89"/>
    </row>
    <row r="268" ht="12.75" customHeight="1">
      <c r="A268" s="89"/>
      <c r="B268" s="89"/>
      <c r="C268" s="89"/>
      <c r="E268" s="89"/>
      <c r="F268" s="89"/>
    </row>
    <row r="269" ht="12.75" customHeight="1">
      <c r="A269" s="89"/>
      <c r="B269" s="89"/>
      <c r="C269" s="89"/>
      <c r="E269" s="89"/>
      <c r="F269" s="89"/>
    </row>
    <row r="270" ht="12.75" customHeight="1">
      <c r="A270" s="89"/>
      <c r="B270" s="89"/>
      <c r="C270" s="89"/>
      <c r="E270" s="89"/>
      <c r="F270" s="89"/>
    </row>
    <row r="271" ht="12.75" customHeight="1">
      <c r="A271" s="89"/>
      <c r="B271" s="89"/>
      <c r="C271" s="89"/>
      <c r="E271" s="89"/>
      <c r="F271" s="89"/>
    </row>
    <row r="272" ht="12.75" customHeight="1">
      <c r="A272" s="89"/>
      <c r="B272" s="89"/>
      <c r="C272" s="89"/>
      <c r="E272" s="89"/>
      <c r="F272" s="89"/>
    </row>
    <row r="273" ht="12.75" customHeight="1">
      <c r="A273" s="89"/>
      <c r="B273" s="89"/>
      <c r="C273" s="89"/>
      <c r="E273" s="89"/>
      <c r="F273" s="89"/>
    </row>
    <row r="274" ht="12.75" customHeight="1">
      <c r="A274" s="89"/>
      <c r="B274" s="89"/>
      <c r="C274" s="89"/>
      <c r="E274" s="89"/>
      <c r="F274" s="89"/>
    </row>
    <row r="275" ht="12.75" customHeight="1">
      <c r="A275" s="89"/>
      <c r="B275" s="89"/>
      <c r="C275" s="89"/>
      <c r="E275" s="89"/>
      <c r="F275" s="89"/>
    </row>
    <row r="276" ht="12.75" customHeight="1">
      <c r="A276" s="89"/>
      <c r="B276" s="89"/>
      <c r="C276" s="89"/>
      <c r="E276" s="89"/>
      <c r="F276" s="89"/>
    </row>
    <row r="277" ht="12.75" customHeight="1">
      <c r="A277" s="89"/>
      <c r="B277" s="89"/>
      <c r="C277" s="89"/>
      <c r="E277" s="89"/>
      <c r="F277" s="89"/>
    </row>
    <row r="278" ht="12.75" customHeight="1">
      <c r="A278" s="89"/>
      <c r="B278" s="89"/>
      <c r="C278" s="89"/>
      <c r="E278" s="89"/>
      <c r="F278" s="89"/>
    </row>
    <row r="279" ht="12.75" customHeight="1">
      <c r="A279" s="89"/>
      <c r="B279" s="89"/>
      <c r="C279" s="89"/>
      <c r="E279" s="89"/>
      <c r="F279" s="89"/>
    </row>
    <row r="280" ht="12.75" customHeight="1">
      <c r="A280" s="89"/>
      <c r="B280" s="89"/>
      <c r="C280" s="89"/>
      <c r="E280" s="89"/>
      <c r="F280" s="89"/>
    </row>
    <row r="281" ht="12.75" customHeight="1">
      <c r="A281" s="89"/>
      <c r="B281" s="89"/>
      <c r="C281" s="89"/>
      <c r="E281" s="89"/>
      <c r="F281" s="89"/>
    </row>
    <row r="282" ht="12.75" customHeight="1">
      <c r="A282" s="89"/>
      <c r="B282" s="89"/>
      <c r="C282" s="89"/>
      <c r="E282" s="89"/>
      <c r="F282" s="89"/>
    </row>
    <row r="283" ht="12.75" customHeight="1">
      <c r="A283" s="89"/>
      <c r="B283" s="89"/>
      <c r="C283" s="89"/>
      <c r="E283" s="89"/>
      <c r="F283" s="89"/>
    </row>
    <row r="284" ht="12.75" customHeight="1">
      <c r="A284" s="89"/>
      <c r="B284" s="89"/>
      <c r="C284" s="89"/>
      <c r="E284" s="89"/>
      <c r="F284" s="89"/>
    </row>
    <row r="285" ht="12.75" customHeight="1">
      <c r="A285" s="89"/>
      <c r="B285" s="89"/>
      <c r="C285" s="89"/>
      <c r="E285" s="89"/>
      <c r="F285" s="89"/>
    </row>
    <row r="286" ht="12.75" customHeight="1">
      <c r="A286" s="89"/>
      <c r="B286" s="89"/>
      <c r="C286" s="89"/>
      <c r="E286" s="89"/>
      <c r="F286" s="89"/>
    </row>
    <row r="287" ht="12.75" customHeight="1">
      <c r="A287" s="89"/>
      <c r="B287" s="89"/>
      <c r="C287" s="89"/>
      <c r="E287" s="89"/>
      <c r="F287" s="89"/>
    </row>
    <row r="288" ht="12.75" customHeight="1">
      <c r="A288" s="89"/>
      <c r="B288" s="89"/>
      <c r="C288" s="89"/>
      <c r="E288" s="89"/>
      <c r="F288" s="89"/>
    </row>
    <row r="289" ht="12.75" customHeight="1">
      <c r="A289" s="89"/>
      <c r="B289" s="89"/>
      <c r="C289" s="89"/>
      <c r="E289" s="89"/>
      <c r="F289" s="89"/>
    </row>
    <row r="290" ht="12.75" customHeight="1">
      <c r="A290" s="89"/>
      <c r="B290" s="89"/>
      <c r="C290" s="89"/>
      <c r="E290" s="89"/>
      <c r="F290" s="89"/>
    </row>
    <row r="291" ht="12.75" customHeight="1">
      <c r="A291" s="89"/>
      <c r="B291" s="89"/>
      <c r="C291" s="89"/>
      <c r="E291" s="89"/>
      <c r="F291" s="89"/>
    </row>
    <row r="292" ht="12.75" customHeight="1">
      <c r="A292" s="89"/>
      <c r="B292" s="89"/>
      <c r="C292" s="89"/>
      <c r="E292" s="89"/>
      <c r="F292" s="89"/>
    </row>
    <row r="293" ht="12.75" customHeight="1">
      <c r="A293" s="89"/>
      <c r="B293" s="89"/>
      <c r="C293" s="89"/>
      <c r="E293" s="89"/>
      <c r="F293" s="89"/>
    </row>
    <row r="294" ht="12.75" customHeight="1">
      <c r="A294" s="89"/>
      <c r="B294" s="89"/>
      <c r="C294" s="89"/>
      <c r="E294" s="89"/>
      <c r="F294" s="89"/>
    </row>
    <row r="295" ht="12.75" customHeight="1">
      <c r="A295" s="89"/>
      <c r="B295" s="89"/>
      <c r="C295" s="89"/>
      <c r="E295" s="89"/>
      <c r="F295" s="89"/>
    </row>
    <row r="296" ht="12.75" customHeight="1">
      <c r="A296" s="89"/>
      <c r="B296" s="89"/>
      <c r="C296" s="89"/>
      <c r="E296" s="89"/>
      <c r="F296" s="89"/>
    </row>
    <row r="297" ht="12.75" customHeight="1">
      <c r="A297" s="89"/>
      <c r="B297" s="89"/>
      <c r="C297" s="89"/>
      <c r="E297" s="89"/>
      <c r="F297" s="89"/>
    </row>
    <row r="298" ht="12.75" customHeight="1">
      <c r="A298" s="89"/>
      <c r="B298" s="89"/>
      <c r="C298" s="89"/>
      <c r="E298" s="89"/>
      <c r="F298" s="89"/>
    </row>
    <row r="299" ht="12.75" customHeight="1">
      <c r="A299" s="89"/>
      <c r="B299" s="89"/>
      <c r="C299" s="89"/>
      <c r="E299" s="89"/>
      <c r="F299" s="89"/>
    </row>
    <row r="300" ht="12.75" customHeight="1">
      <c r="A300" s="89"/>
      <c r="B300" s="89"/>
      <c r="C300" s="89"/>
      <c r="E300" s="89"/>
      <c r="F300" s="89"/>
    </row>
    <row r="301" ht="12.75" customHeight="1">
      <c r="A301" s="89"/>
      <c r="B301" s="89"/>
      <c r="C301" s="89"/>
      <c r="E301" s="89"/>
      <c r="F301" s="89"/>
    </row>
    <row r="302" ht="12.75" customHeight="1">
      <c r="A302" s="89"/>
      <c r="B302" s="89"/>
      <c r="C302" s="89"/>
      <c r="E302" s="89"/>
      <c r="F302" s="89"/>
    </row>
    <row r="303" ht="12.75" customHeight="1">
      <c r="A303" s="89"/>
      <c r="B303" s="89"/>
      <c r="C303" s="89"/>
      <c r="E303" s="89"/>
      <c r="F303" s="89"/>
    </row>
    <row r="304" ht="12.75" customHeight="1">
      <c r="A304" s="89"/>
      <c r="B304" s="89"/>
      <c r="C304" s="89"/>
      <c r="E304" s="89"/>
      <c r="F304" s="89"/>
    </row>
    <row r="305" ht="12.75" customHeight="1">
      <c r="A305" s="89"/>
      <c r="B305" s="89"/>
      <c r="C305" s="89"/>
      <c r="E305" s="89"/>
      <c r="F305" s="89"/>
    </row>
    <row r="306" ht="12.75" customHeight="1">
      <c r="A306" s="89"/>
      <c r="B306" s="89"/>
      <c r="C306" s="89"/>
      <c r="E306" s="89"/>
      <c r="F306" s="89"/>
    </row>
    <row r="307" ht="12.75" customHeight="1">
      <c r="A307" s="89"/>
      <c r="B307" s="89"/>
      <c r="C307" s="89"/>
      <c r="E307" s="89"/>
      <c r="F307" s="89"/>
    </row>
    <row r="308" ht="12.75" customHeight="1">
      <c r="A308" s="89"/>
      <c r="B308" s="89"/>
      <c r="C308" s="89"/>
      <c r="E308" s="89"/>
      <c r="F308" s="89"/>
    </row>
    <row r="309" ht="12.75" customHeight="1">
      <c r="A309" s="89"/>
      <c r="B309" s="89"/>
      <c r="C309" s="89"/>
      <c r="E309" s="89"/>
      <c r="F309" s="89"/>
    </row>
    <row r="310" ht="12.75" customHeight="1">
      <c r="A310" s="89"/>
      <c r="B310" s="89"/>
      <c r="C310" s="89"/>
      <c r="E310" s="89"/>
      <c r="F310" s="89"/>
    </row>
    <row r="311" ht="12.75" customHeight="1">
      <c r="A311" s="89"/>
      <c r="B311" s="89"/>
      <c r="C311" s="89"/>
      <c r="E311" s="89"/>
      <c r="F311" s="89"/>
    </row>
    <row r="312" ht="12.75" customHeight="1">
      <c r="A312" s="89"/>
      <c r="B312" s="89"/>
      <c r="C312" s="89"/>
      <c r="E312" s="89"/>
      <c r="F312" s="89"/>
    </row>
    <row r="313" ht="12.75" customHeight="1">
      <c r="A313" s="89"/>
      <c r="B313" s="89"/>
      <c r="C313" s="89"/>
      <c r="E313" s="89"/>
      <c r="F313" s="89"/>
    </row>
    <row r="314" ht="12.75" customHeight="1">
      <c r="A314" s="89"/>
      <c r="B314" s="89"/>
      <c r="C314" s="89"/>
      <c r="E314" s="89"/>
      <c r="F314" s="89"/>
    </row>
    <row r="315" ht="12.75" customHeight="1">
      <c r="A315" s="89"/>
      <c r="B315" s="89"/>
      <c r="C315" s="89"/>
      <c r="E315" s="89"/>
      <c r="F315" s="89"/>
    </row>
    <row r="316" ht="12.75" customHeight="1">
      <c r="A316" s="89"/>
      <c r="B316" s="89"/>
      <c r="C316" s="89"/>
      <c r="E316" s="89"/>
      <c r="F316" s="89"/>
    </row>
    <row r="317" ht="12.75" customHeight="1">
      <c r="A317" s="89"/>
      <c r="B317" s="89"/>
      <c r="C317" s="89"/>
      <c r="E317" s="89"/>
      <c r="F317" s="89"/>
    </row>
    <row r="318" ht="12.75" customHeight="1">
      <c r="A318" s="89"/>
      <c r="B318" s="89"/>
      <c r="C318" s="89"/>
      <c r="E318" s="89"/>
      <c r="F318" s="89"/>
    </row>
    <row r="319" ht="12.75" customHeight="1">
      <c r="A319" s="89"/>
      <c r="B319" s="89"/>
      <c r="C319" s="89"/>
      <c r="E319" s="89"/>
      <c r="F319" s="89"/>
    </row>
    <row r="320" ht="12.75" customHeight="1">
      <c r="A320" s="89"/>
      <c r="B320" s="89"/>
      <c r="C320" s="89"/>
      <c r="E320" s="89"/>
      <c r="F320" s="89"/>
    </row>
    <row r="321" ht="12.75" customHeight="1">
      <c r="A321" s="89"/>
      <c r="B321" s="89"/>
      <c r="C321" s="89"/>
      <c r="E321" s="89"/>
      <c r="F321" s="89"/>
    </row>
    <row r="322" ht="12.75" customHeight="1">
      <c r="A322" s="89"/>
      <c r="B322" s="89"/>
      <c r="C322" s="89"/>
      <c r="E322" s="89"/>
      <c r="F322" s="89"/>
    </row>
    <row r="323" ht="12.75" customHeight="1">
      <c r="A323" s="89"/>
      <c r="B323" s="89"/>
      <c r="C323" s="89"/>
      <c r="E323" s="89"/>
      <c r="F323" s="89"/>
    </row>
    <row r="324" ht="12.75" customHeight="1">
      <c r="A324" s="89"/>
      <c r="B324" s="89"/>
      <c r="C324" s="89"/>
      <c r="E324" s="89"/>
      <c r="F324" s="89"/>
    </row>
    <row r="325" ht="12.75" customHeight="1">
      <c r="A325" s="89"/>
      <c r="B325" s="89"/>
      <c r="C325" s="89"/>
      <c r="E325" s="89"/>
      <c r="F325" s="89"/>
    </row>
    <row r="326" ht="12.75" customHeight="1">
      <c r="A326" s="89"/>
      <c r="B326" s="89"/>
      <c r="C326" s="89"/>
      <c r="E326" s="89"/>
      <c r="F326" s="89"/>
    </row>
    <row r="327" ht="12.75" customHeight="1">
      <c r="A327" s="89"/>
      <c r="B327" s="89"/>
      <c r="C327" s="89"/>
      <c r="E327" s="89"/>
      <c r="F327" s="89"/>
    </row>
    <row r="328" ht="12.75" customHeight="1">
      <c r="A328" s="89"/>
      <c r="B328" s="89"/>
      <c r="C328" s="89"/>
      <c r="E328" s="89"/>
      <c r="F328" s="89"/>
    </row>
    <row r="329" ht="12.75" customHeight="1">
      <c r="A329" s="89"/>
      <c r="B329" s="89"/>
      <c r="C329" s="89"/>
      <c r="E329" s="89"/>
      <c r="F329" s="89"/>
    </row>
    <row r="330" ht="12.75" customHeight="1">
      <c r="A330" s="89"/>
      <c r="B330" s="89"/>
      <c r="C330" s="89"/>
      <c r="E330" s="89"/>
      <c r="F330" s="89"/>
    </row>
    <row r="331" ht="12.75" customHeight="1">
      <c r="A331" s="89"/>
      <c r="B331" s="89"/>
      <c r="C331" s="89"/>
      <c r="E331" s="89"/>
      <c r="F331" s="89"/>
    </row>
    <row r="332" ht="12.75" customHeight="1">
      <c r="A332" s="89"/>
      <c r="B332" s="89"/>
      <c r="C332" s="89"/>
      <c r="E332" s="89"/>
      <c r="F332" s="89"/>
    </row>
    <row r="333" ht="12.75" customHeight="1">
      <c r="A333" s="89"/>
      <c r="B333" s="89"/>
      <c r="C333" s="89"/>
      <c r="E333" s="89"/>
      <c r="F333" s="89"/>
    </row>
    <row r="334" ht="12.75" customHeight="1">
      <c r="A334" s="89"/>
      <c r="B334" s="89"/>
      <c r="C334" s="89"/>
      <c r="E334" s="89"/>
      <c r="F334" s="89"/>
    </row>
    <row r="335" ht="12.75" customHeight="1">
      <c r="A335" s="89"/>
      <c r="B335" s="89"/>
      <c r="C335" s="89"/>
      <c r="E335" s="89"/>
      <c r="F335" s="89"/>
    </row>
    <row r="336" ht="12.75" customHeight="1">
      <c r="A336" s="89"/>
      <c r="B336" s="89"/>
      <c r="C336" s="89"/>
      <c r="E336" s="89"/>
      <c r="F336" s="89"/>
    </row>
    <row r="337" ht="12.75" customHeight="1">
      <c r="A337" s="89"/>
      <c r="B337" s="89"/>
      <c r="C337" s="89"/>
      <c r="E337" s="89"/>
      <c r="F337" s="89"/>
    </row>
    <row r="338" ht="12.75" customHeight="1">
      <c r="A338" s="89"/>
      <c r="B338" s="89"/>
      <c r="C338" s="89"/>
      <c r="E338" s="89"/>
      <c r="F338" s="89"/>
    </row>
    <row r="339" ht="12.75" customHeight="1">
      <c r="A339" s="89"/>
      <c r="B339" s="89"/>
      <c r="C339" s="89"/>
      <c r="E339" s="89"/>
      <c r="F339" s="89"/>
    </row>
    <row r="340" ht="12.75" customHeight="1">
      <c r="A340" s="89"/>
      <c r="B340" s="89"/>
      <c r="C340" s="89"/>
      <c r="E340" s="89"/>
      <c r="F340" s="89"/>
    </row>
    <row r="341" ht="12.75" customHeight="1">
      <c r="A341" s="89"/>
      <c r="B341" s="89"/>
      <c r="C341" s="89"/>
      <c r="E341" s="89"/>
      <c r="F341" s="89"/>
    </row>
    <row r="342" ht="12.75" customHeight="1">
      <c r="A342" s="89"/>
      <c r="B342" s="89"/>
      <c r="C342" s="89"/>
      <c r="E342" s="89"/>
      <c r="F342" s="89"/>
    </row>
    <row r="343" ht="12.75" customHeight="1">
      <c r="A343" s="89"/>
      <c r="B343" s="89"/>
      <c r="C343" s="89"/>
      <c r="E343" s="89"/>
      <c r="F343" s="89"/>
    </row>
    <row r="344" ht="12.75" customHeight="1">
      <c r="A344" s="89"/>
      <c r="B344" s="89"/>
      <c r="C344" s="89"/>
      <c r="E344" s="89"/>
      <c r="F344" s="89"/>
    </row>
    <row r="345" ht="12.75" customHeight="1">
      <c r="A345" s="89"/>
      <c r="B345" s="89"/>
      <c r="C345" s="89"/>
      <c r="E345" s="89"/>
      <c r="F345" s="89"/>
    </row>
    <row r="346" ht="12.75" customHeight="1">
      <c r="A346" s="89"/>
      <c r="B346" s="89"/>
      <c r="C346" s="89"/>
      <c r="E346" s="89"/>
      <c r="F346" s="89"/>
    </row>
    <row r="347" ht="12.75" customHeight="1">
      <c r="A347" s="89"/>
      <c r="B347" s="89"/>
      <c r="C347" s="89"/>
      <c r="E347" s="89"/>
      <c r="F347" s="89"/>
    </row>
    <row r="348" ht="12.75" customHeight="1">
      <c r="A348" s="89"/>
      <c r="B348" s="89"/>
      <c r="C348" s="89"/>
      <c r="E348" s="89"/>
      <c r="F348" s="89"/>
    </row>
    <row r="349" ht="12.75" customHeight="1">
      <c r="A349" s="89"/>
      <c r="B349" s="89"/>
      <c r="C349" s="89"/>
      <c r="E349" s="89"/>
      <c r="F349" s="89"/>
    </row>
    <row r="350" ht="12.75" customHeight="1">
      <c r="A350" s="89"/>
      <c r="B350" s="89"/>
      <c r="C350" s="89"/>
      <c r="E350" s="89"/>
      <c r="F350" s="89"/>
    </row>
    <row r="351" ht="12.75" customHeight="1">
      <c r="A351" s="89"/>
      <c r="B351" s="89"/>
      <c r="C351" s="89"/>
      <c r="E351" s="89"/>
      <c r="F351" s="89"/>
    </row>
    <row r="352" ht="12.75" customHeight="1">
      <c r="A352" s="89"/>
      <c r="B352" s="89"/>
      <c r="C352" s="89"/>
      <c r="E352" s="89"/>
      <c r="F352" s="89"/>
    </row>
    <row r="353" ht="12.75" customHeight="1">
      <c r="A353" s="89"/>
      <c r="B353" s="89"/>
      <c r="C353" s="89"/>
      <c r="E353" s="89"/>
      <c r="F353" s="89"/>
    </row>
    <row r="354" ht="12.75" customHeight="1">
      <c r="A354" s="89"/>
      <c r="B354" s="89"/>
      <c r="C354" s="89"/>
      <c r="E354" s="89"/>
      <c r="F354" s="89"/>
    </row>
    <row r="355" ht="12.75" customHeight="1">
      <c r="A355" s="89"/>
      <c r="B355" s="89"/>
      <c r="C355" s="89"/>
      <c r="E355" s="89"/>
      <c r="F355" s="89"/>
    </row>
    <row r="356" ht="12.75" customHeight="1">
      <c r="A356" s="89"/>
      <c r="B356" s="89"/>
      <c r="C356" s="89"/>
      <c r="E356" s="89"/>
      <c r="F356" s="89"/>
    </row>
    <row r="357" ht="12.75" customHeight="1">
      <c r="A357" s="89"/>
      <c r="B357" s="89"/>
      <c r="C357" s="89"/>
      <c r="E357" s="89"/>
      <c r="F357" s="89"/>
    </row>
    <row r="358" ht="12.75" customHeight="1">
      <c r="A358" s="89"/>
      <c r="B358" s="89"/>
      <c r="C358" s="89"/>
      <c r="E358" s="89"/>
      <c r="F358" s="89"/>
    </row>
    <row r="359" ht="12.75" customHeight="1">
      <c r="A359" s="89"/>
      <c r="B359" s="89"/>
      <c r="C359" s="89"/>
      <c r="E359" s="89"/>
      <c r="F359" s="89"/>
    </row>
    <row r="360" ht="12.75" customHeight="1">
      <c r="A360" s="89"/>
      <c r="B360" s="89"/>
      <c r="C360" s="89"/>
      <c r="E360" s="89"/>
      <c r="F360" s="89"/>
    </row>
    <row r="361" ht="12.75" customHeight="1">
      <c r="A361" s="89"/>
      <c r="B361" s="89"/>
      <c r="C361" s="89"/>
      <c r="E361" s="89"/>
      <c r="F361" s="89"/>
    </row>
    <row r="362" ht="12.75" customHeight="1">
      <c r="A362" s="89"/>
      <c r="B362" s="89"/>
      <c r="C362" s="89"/>
      <c r="E362" s="89"/>
      <c r="F362" s="89"/>
    </row>
    <row r="363" ht="12.75" customHeight="1">
      <c r="A363" s="89"/>
      <c r="B363" s="89"/>
      <c r="C363" s="89"/>
      <c r="E363" s="89"/>
      <c r="F363" s="89"/>
    </row>
    <row r="364" ht="12.75" customHeight="1">
      <c r="A364" s="89"/>
      <c r="B364" s="89"/>
      <c r="C364" s="89"/>
      <c r="E364" s="89"/>
      <c r="F364" s="89"/>
    </row>
    <row r="365" ht="12.75" customHeight="1">
      <c r="A365" s="89"/>
      <c r="B365" s="89"/>
      <c r="C365" s="89"/>
      <c r="E365" s="89"/>
      <c r="F365" s="89"/>
    </row>
    <row r="366" ht="12.75" customHeight="1">
      <c r="A366" s="89"/>
      <c r="B366" s="89"/>
      <c r="C366" s="89"/>
      <c r="E366" s="89"/>
      <c r="F366" s="89"/>
    </row>
    <row r="367" ht="12.75" customHeight="1">
      <c r="A367" s="89"/>
      <c r="B367" s="89"/>
      <c r="C367" s="89"/>
      <c r="E367" s="89"/>
      <c r="F367" s="89"/>
    </row>
    <row r="368" ht="12.75" customHeight="1">
      <c r="A368" s="89"/>
      <c r="B368" s="89"/>
      <c r="C368" s="89"/>
      <c r="E368" s="89"/>
      <c r="F368" s="89"/>
    </row>
    <row r="369" ht="12.75" customHeight="1">
      <c r="A369" s="89"/>
      <c r="B369" s="89"/>
      <c r="C369" s="89"/>
      <c r="E369" s="89"/>
      <c r="F369" s="89"/>
    </row>
    <row r="370" ht="12.75" customHeight="1">
      <c r="A370" s="89"/>
      <c r="B370" s="89"/>
      <c r="C370" s="89"/>
      <c r="E370" s="89"/>
      <c r="F370" s="89"/>
    </row>
    <row r="371" ht="12.75" customHeight="1">
      <c r="A371" s="89"/>
      <c r="B371" s="89"/>
      <c r="C371" s="89"/>
      <c r="E371" s="89"/>
      <c r="F371" s="89"/>
    </row>
    <row r="372" ht="12.75" customHeight="1">
      <c r="A372" s="89"/>
      <c r="B372" s="89"/>
      <c r="C372" s="89"/>
      <c r="E372" s="89"/>
      <c r="F372" s="89"/>
    </row>
    <row r="373" ht="12.75" customHeight="1">
      <c r="A373" s="89"/>
      <c r="B373" s="89"/>
      <c r="C373" s="89"/>
      <c r="E373" s="89"/>
      <c r="F373" s="89"/>
    </row>
    <row r="374" ht="12.75" customHeight="1">
      <c r="A374" s="89"/>
      <c r="B374" s="89"/>
      <c r="C374" s="89"/>
      <c r="E374" s="89"/>
      <c r="F374" s="89"/>
    </row>
    <row r="375" ht="12.75" customHeight="1">
      <c r="A375" s="89"/>
      <c r="B375" s="89"/>
      <c r="C375" s="89"/>
      <c r="E375" s="89"/>
      <c r="F375" s="89"/>
    </row>
    <row r="376" ht="12.75" customHeight="1">
      <c r="A376" s="89"/>
      <c r="B376" s="89"/>
      <c r="C376" s="89"/>
      <c r="E376" s="89"/>
      <c r="F376" s="89"/>
    </row>
    <row r="377" ht="12.75" customHeight="1">
      <c r="A377" s="89"/>
      <c r="B377" s="89"/>
      <c r="C377" s="89"/>
      <c r="E377" s="89"/>
      <c r="F377" s="89"/>
    </row>
    <row r="378" ht="12.75" customHeight="1">
      <c r="A378" s="89"/>
      <c r="B378" s="89"/>
      <c r="C378" s="89"/>
      <c r="E378" s="89"/>
      <c r="F378" s="89"/>
    </row>
    <row r="379" ht="12.75" customHeight="1">
      <c r="A379" s="89"/>
      <c r="B379" s="89"/>
      <c r="C379" s="89"/>
      <c r="E379" s="89"/>
      <c r="F379" s="89"/>
    </row>
    <row r="380" ht="12.75" customHeight="1">
      <c r="A380" s="89"/>
      <c r="B380" s="89"/>
      <c r="C380" s="89"/>
      <c r="E380" s="89"/>
      <c r="F380" s="89"/>
    </row>
    <row r="381" ht="12.75" customHeight="1">
      <c r="A381" s="89"/>
      <c r="B381" s="89"/>
      <c r="C381" s="89"/>
      <c r="E381" s="89"/>
      <c r="F381" s="89"/>
    </row>
    <row r="382" ht="12.75" customHeight="1">
      <c r="A382" s="89"/>
      <c r="B382" s="89"/>
      <c r="C382" s="89"/>
      <c r="E382" s="89"/>
      <c r="F382" s="89"/>
    </row>
    <row r="383" ht="12.75" customHeight="1">
      <c r="A383" s="89"/>
      <c r="B383" s="89"/>
      <c r="C383" s="89"/>
      <c r="E383" s="89"/>
      <c r="F383" s="89"/>
    </row>
    <row r="384" ht="12.75" customHeight="1">
      <c r="A384" s="89"/>
      <c r="B384" s="89"/>
      <c r="C384" s="89"/>
      <c r="E384" s="89"/>
      <c r="F384" s="89"/>
    </row>
    <row r="385" ht="12.75" customHeight="1">
      <c r="A385" s="89"/>
      <c r="B385" s="89"/>
      <c r="C385" s="89"/>
      <c r="E385" s="89"/>
      <c r="F385" s="89"/>
    </row>
    <row r="386" ht="12.75" customHeight="1">
      <c r="A386" s="89"/>
      <c r="B386" s="89"/>
      <c r="C386" s="89"/>
      <c r="E386" s="89"/>
      <c r="F386" s="89"/>
    </row>
    <row r="387" ht="12.75" customHeight="1">
      <c r="A387" s="89"/>
      <c r="B387" s="89"/>
      <c r="C387" s="89"/>
      <c r="E387" s="89"/>
      <c r="F387" s="89"/>
    </row>
    <row r="388" ht="12.75" customHeight="1">
      <c r="A388" s="89"/>
      <c r="B388" s="89"/>
      <c r="C388" s="89"/>
      <c r="E388" s="89"/>
      <c r="F388" s="89"/>
    </row>
    <row r="389" ht="12.75" customHeight="1">
      <c r="A389" s="89"/>
      <c r="B389" s="89"/>
      <c r="C389" s="89"/>
      <c r="E389" s="89"/>
      <c r="F389" s="89"/>
    </row>
    <row r="390" ht="12.75" customHeight="1">
      <c r="A390" s="89"/>
      <c r="B390" s="89"/>
      <c r="C390" s="89"/>
      <c r="E390" s="89"/>
      <c r="F390" s="89"/>
    </row>
    <row r="391" ht="12.75" customHeight="1">
      <c r="A391" s="89"/>
      <c r="B391" s="89"/>
      <c r="C391" s="89"/>
      <c r="E391" s="89"/>
      <c r="F391" s="89"/>
    </row>
    <row r="392" ht="12.75" customHeight="1">
      <c r="A392" s="89"/>
      <c r="B392" s="89"/>
      <c r="C392" s="89"/>
      <c r="E392" s="89"/>
      <c r="F392" s="89"/>
    </row>
    <row r="393" ht="12.75" customHeight="1">
      <c r="A393" s="89"/>
      <c r="B393" s="89"/>
      <c r="C393" s="89"/>
      <c r="E393" s="89"/>
      <c r="F393" s="89"/>
    </row>
    <row r="394" ht="12.75" customHeight="1">
      <c r="A394" s="89"/>
      <c r="B394" s="89"/>
      <c r="C394" s="89"/>
      <c r="E394" s="89"/>
      <c r="F394" s="89"/>
    </row>
    <row r="395" ht="12.75" customHeight="1">
      <c r="A395" s="89"/>
      <c r="B395" s="89"/>
      <c r="C395" s="89"/>
      <c r="E395" s="89"/>
      <c r="F395" s="89"/>
    </row>
    <row r="396" ht="12.75" customHeight="1">
      <c r="A396" s="89"/>
      <c r="B396" s="89"/>
      <c r="C396" s="89"/>
      <c r="E396" s="89"/>
      <c r="F396" s="89"/>
    </row>
    <row r="397" ht="12.75" customHeight="1">
      <c r="A397" s="89"/>
      <c r="B397" s="89"/>
      <c r="C397" s="89"/>
      <c r="E397" s="89"/>
      <c r="F397" s="89"/>
    </row>
    <row r="398" ht="12.75" customHeight="1">
      <c r="A398" s="89"/>
      <c r="B398" s="89"/>
      <c r="C398" s="89"/>
      <c r="E398" s="89"/>
      <c r="F398" s="89"/>
    </row>
    <row r="399" ht="12.75" customHeight="1">
      <c r="A399" s="89"/>
      <c r="B399" s="89"/>
      <c r="C399" s="89"/>
      <c r="E399" s="89"/>
      <c r="F399" s="89"/>
    </row>
    <row r="400" ht="12.75" customHeight="1">
      <c r="A400" s="89"/>
      <c r="B400" s="89"/>
      <c r="C400" s="89"/>
      <c r="E400" s="89"/>
      <c r="F400" s="89"/>
    </row>
    <row r="401" ht="12.75" customHeight="1">
      <c r="A401" s="89"/>
      <c r="B401" s="89"/>
      <c r="C401" s="89"/>
      <c r="E401" s="89"/>
      <c r="F401" s="89"/>
    </row>
    <row r="402" ht="12.75" customHeight="1">
      <c r="A402" s="89"/>
      <c r="B402" s="89"/>
      <c r="C402" s="89"/>
      <c r="E402" s="89"/>
      <c r="F402" s="89"/>
    </row>
    <row r="403" ht="12.75" customHeight="1">
      <c r="A403" s="89"/>
      <c r="B403" s="89"/>
      <c r="C403" s="89"/>
      <c r="E403" s="89"/>
      <c r="F403" s="89"/>
    </row>
    <row r="404" ht="12.75" customHeight="1">
      <c r="A404" s="89"/>
      <c r="B404" s="89"/>
      <c r="C404" s="89"/>
      <c r="E404" s="89"/>
      <c r="F404" s="89"/>
    </row>
    <row r="405" ht="12.75" customHeight="1">
      <c r="A405" s="89"/>
      <c r="B405" s="89"/>
      <c r="C405" s="89"/>
      <c r="E405" s="89"/>
      <c r="F405" s="89"/>
    </row>
    <row r="406" ht="12.75" customHeight="1">
      <c r="A406" s="89"/>
      <c r="B406" s="89"/>
      <c r="C406" s="89"/>
      <c r="E406" s="89"/>
      <c r="F406" s="89"/>
    </row>
    <row r="407" ht="12.75" customHeight="1">
      <c r="A407" s="89"/>
      <c r="B407" s="89"/>
      <c r="C407" s="89"/>
      <c r="E407" s="89"/>
      <c r="F407" s="89"/>
    </row>
    <row r="408" ht="12.75" customHeight="1">
      <c r="A408" s="89"/>
      <c r="B408" s="89"/>
      <c r="C408" s="89"/>
      <c r="E408" s="89"/>
      <c r="F408" s="89"/>
    </row>
    <row r="409" ht="12.75" customHeight="1">
      <c r="A409" s="89"/>
      <c r="B409" s="89"/>
      <c r="C409" s="89"/>
      <c r="E409" s="89"/>
      <c r="F409" s="89"/>
    </row>
    <row r="410" ht="12.75" customHeight="1">
      <c r="A410" s="89"/>
      <c r="B410" s="89"/>
      <c r="C410" s="89"/>
      <c r="E410" s="89"/>
      <c r="F410" s="89"/>
    </row>
    <row r="411" ht="12.75" customHeight="1">
      <c r="A411" s="89"/>
      <c r="B411" s="89"/>
      <c r="C411" s="89"/>
      <c r="E411" s="89"/>
      <c r="F411" s="89"/>
    </row>
    <row r="412" ht="12.75" customHeight="1">
      <c r="A412" s="89"/>
      <c r="B412" s="89"/>
      <c r="C412" s="89"/>
      <c r="E412" s="89"/>
      <c r="F412" s="89"/>
    </row>
    <row r="413" ht="12.75" customHeight="1">
      <c r="A413" s="89"/>
      <c r="B413" s="89"/>
      <c r="C413" s="89"/>
      <c r="E413" s="89"/>
      <c r="F413" s="89"/>
    </row>
    <row r="414" ht="12.75" customHeight="1">
      <c r="A414" s="89"/>
      <c r="B414" s="89"/>
      <c r="C414" s="89"/>
      <c r="E414" s="89"/>
      <c r="F414" s="89"/>
    </row>
    <row r="415" ht="12.75" customHeight="1">
      <c r="A415" s="89"/>
      <c r="B415" s="89"/>
      <c r="C415" s="89"/>
      <c r="E415" s="89"/>
      <c r="F415" s="89"/>
    </row>
    <row r="416" ht="12.75" customHeight="1">
      <c r="A416" s="89"/>
      <c r="B416" s="89"/>
      <c r="C416" s="89"/>
      <c r="E416" s="89"/>
      <c r="F416" s="89"/>
    </row>
    <row r="417" ht="12.75" customHeight="1">
      <c r="A417" s="89"/>
      <c r="B417" s="89"/>
      <c r="C417" s="89"/>
      <c r="E417" s="89"/>
      <c r="F417" s="89"/>
    </row>
    <row r="418" ht="12.75" customHeight="1">
      <c r="A418" s="89"/>
      <c r="B418" s="89"/>
      <c r="C418" s="89"/>
      <c r="E418" s="89"/>
      <c r="F418" s="89"/>
    </row>
    <row r="419" ht="12.75" customHeight="1">
      <c r="A419" s="89"/>
      <c r="B419" s="89"/>
      <c r="C419" s="89"/>
      <c r="E419" s="89"/>
      <c r="F419" s="89"/>
    </row>
    <row r="420" ht="12.75" customHeight="1">
      <c r="A420" s="89"/>
      <c r="B420" s="89"/>
      <c r="C420" s="89"/>
      <c r="E420" s="89"/>
      <c r="F420" s="89"/>
    </row>
    <row r="421" ht="12.75" customHeight="1">
      <c r="A421" s="89"/>
      <c r="B421" s="89"/>
      <c r="C421" s="89"/>
      <c r="E421" s="89"/>
      <c r="F421" s="89"/>
    </row>
    <row r="422" ht="12.75" customHeight="1">
      <c r="A422" s="89"/>
      <c r="B422" s="89"/>
      <c r="C422" s="89"/>
      <c r="E422" s="89"/>
      <c r="F422" s="89"/>
    </row>
    <row r="423" ht="12.75" customHeight="1">
      <c r="A423" s="89"/>
      <c r="B423" s="89"/>
      <c r="C423" s="89"/>
      <c r="E423" s="89"/>
      <c r="F423" s="89"/>
    </row>
    <row r="424" ht="12.75" customHeight="1">
      <c r="A424" s="89"/>
      <c r="B424" s="89"/>
      <c r="C424" s="89"/>
      <c r="E424" s="89"/>
      <c r="F424" s="89"/>
    </row>
    <row r="425" ht="12.75" customHeight="1">
      <c r="A425" s="89"/>
      <c r="B425" s="89"/>
      <c r="C425" s="89"/>
      <c r="E425" s="89"/>
      <c r="F425" s="89"/>
    </row>
    <row r="426" ht="12.75" customHeight="1">
      <c r="A426" s="89"/>
      <c r="B426" s="89"/>
      <c r="C426" s="89"/>
      <c r="E426" s="89"/>
      <c r="F426" s="89"/>
    </row>
    <row r="427" ht="12.75" customHeight="1">
      <c r="A427" s="89"/>
      <c r="B427" s="89"/>
      <c r="C427" s="89"/>
      <c r="E427" s="89"/>
      <c r="F427" s="89"/>
    </row>
    <row r="428" ht="12.75" customHeight="1">
      <c r="A428" s="89"/>
      <c r="B428" s="89"/>
      <c r="C428" s="89"/>
      <c r="E428" s="89"/>
      <c r="F428" s="89"/>
    </row>
    <row r="429" ht="12.75" customHeight="1">
      <c r="A429" s="89"/>
      <c r="B429" s="89"/>
      <c r="C429" s="89"/>
      <c r="E429" s="89"/>
      <c r="F429" s="89"/>
    </row>
    <row r="430" ht="12.75" customHeight="1">
      <c r="A430" s="89"/>
      <c r="B430" s="89"/>
      <c r="C430" s="89"/>
      <c r="E430" s="89"/>
      <c r="F430" s="89"/>
    </row>
    <row r="431" ht="12.75" customHeight="1">
      <c r="A431" s="89"/>
      <c r="B431" s="89"/>
      <c r="C431" s="89"/>
      <c r="E431" s="89"/>
      <c r="F431" s="89"/>
    </row>
    <row r="432" ht="12.75" customHeight="1">
      <c r="A432" s="89"/>
      <c r="B432" s="89"/>
      <c r="C432" s="89"/>
      <c r="E432" s="89"/>
      <c r="F432" s="89"/>
    </row>
    <row r="433" ht="12.75" customHeight="1">
      <c r="A433" s="89"/>
      <c r="B433" s="89"/>
      <c r="C433" s="89"/>
      <c r="E433" s="89"/>
      <c r="F433" s="89"/>
    </row>
    <row r="434" ht="12.75" customHeight="1">
      <c r="A434" s="89"/>
      <c r="B434" s="89"/>
      <c r="C434" s="89"/>
      <c r="E434" s="89"/>
      <c r="F434" s="89"/>
    </row>
    <row r="435" ht="12.75" customHeight="1">
      <c r="A435" s="89"/>
      <c r="B435" s="89"/>
      <c r="C435" s="89"/>
      <c r="E435" s="89"/>
      <c r="F435" s="89"/>
    </row>
    <row r="436" ht="12.75" customHeight="1">
      <c r="A436" s="89"/>
      <c r="B436" s="89"/>
      <c r="C436" s="89"/>
      <c r="E436" s="89"/>
      <c r="F436" s="89"/>
    </row>
    <row r="437" ht="12.75" customHeight="1">
      <c r="A437" s="89"/>
      <c r="B437" s="89"/>
      <c r="C437" s="89"/>
      <c r="E437" s="89"/>
      <c r="F437" s="89"/>
    </row>
    <row r="438" ht="12.75" customHeight="1">
      <c r="A438" s="89"/>
      <c r="B438" s="89"/>
      <c r="C438" s="89"/>
      <c r="E438" s="89"/>
      <c r="F438" s="89"/>
    </row>
    <row r="439" ht="12.75" customHeight="1">
      <c r="A439" s="89"/>
      <c r="B439" s="89"/>
      <c r="C439" s="89"/>
      <c r="E439" s="89"/>
      <c r="F439" s="89"/>
    </row>
    <row r="440" ht="12.75" customHeight="1">
      <c r="A440" s="89"/>
      <c r="B440" s="89"/>
      <c r="C440" s="89"/>
      <c r="E440" s="89"/>
      <c r="F440" s="89"/>
    </row>
    <row r="441" ht="12.75" customHeight="1">
      <c r="A441" s="89"/>
      <c r="B441" s="89"/>
      <c r="C441" s="89"/>
      <c r="E441" s="89"/>
      <c r="F441" s="89"/>
    </row>
    <row r="442" ht="12.75" customHeight="1">
      <c r="A442" s="89"/>
      <c r="B442" s="89"/>
      <c r="C442" s="89"/>
      <c r="E442" s="89"/>
      <c r="F442" s="89"/>
    </row>
    <row r="443" ht="12.75" customHeight="1">
      <c r="A443" s="89"/>
      <c r="B443" s="89"/>
      <c r="C443" s="89"/>
      <c r="E443" s="89"/>
      <c r="F443" s="89"/>
    </row>
    <row r="444" ht="12.75" customHeight="1">
      <c r="A444" s="89"/>
      <c r="B444" s="89"/>
      <c r="C444" s="89"/>
      <c r="E444" s="89"/>
      <c r="F444" s="89"/>
    </row>
    <row r="445" ht="12.75" customHeight="1">
      <c r="A445" s="89"/>
      <c r="B445" s="89"/>
      <c r="C445" s="89"/>
      <c r="E445" s="89"/>
      <c r="F445" s="89"/>
    </row>
    <row r="446" ht="12.75" customHeight="1">
      <c r="A446" s="89"/>
      <c r="B446" s="89"/>
      <c r="C446" s="89"/>
      <c r="E446" s="89"/>
      <c r="F446" s="89"/>
    </row>
    <row r="447" ht="12.75" customHeight="1">
      <c r="A447" s="89"/>
      <c r="B447" s="89"/>
      <c r="C447" s="89"/>
      <c r="E447" s="89"/>
      <c r="F447" s="89"/>
    </row>
    <row r="448" ht="12.75" customHeight="1">
      <c r="A448" s="89"/>
      <c r="B448" s="89"/>
      <c r="C448" s="89"/>
      <c r="E448" s="89"/>
      <c r="F448" s="89"/>
    </row>
    <row r="449" ht="12.75" customHeight="1">
      <c r="A449" s="89"/>
      <c r="B449" s="89"/>
      <c r="C449" s="89"/>
      <c r="E449" s="89"/>
      <c r="F449" s="89"/>
    </row>
    <row r="450" ht="12.75" customHeight="1">
      <c r="A450" s="89"/>
      <c r="B450" s="89"/>
      <c r="C450" s="89"/>
      <c r="E450" s="89"/>
      <c r="F450" s="89"/>
    </row>
    <row r="451" ht="12.75" customHeight="1">
      <c r="A451" s="89"/>
      <c r="B451" s="89"/>
      <c r="C451" s="89"/>
      <c r="E451" s="89"/>
      <c r="F451" s="89"/>
    </row>
    <row r="452" ht="12.75" customHeight="1">
      <c r="A452" s="89"/>
      <c r="B452" s="89"/>
      <c r="C452" s="89"/>
      <c r="E452" s="89"/>
      <c r="F452" s="89"/>
    </row>
    <row r="453" ht="12.75" customHeight="1">
      <c r="A453" s="89"/>
      <c r="B453" s="89"/>
      <c r="C453" s="89"/>
      <c r="E453" s="89"/>
      <c r="F453" s="89"/>
    </row>
    <row r="454" ht="12.75" customHeight="1">
      <c r="A454" s="89"/>
      <c r="B454" s="89"/>
      <c r="C454" s="89"/>
      <c r="E454" s="89"/>
      <c r="F454" s="89"/>
    </row>
    <row r="455" ht="12.75" customHeight="1">
      <c r="A455" s="89"/>
      <c r="B455" s="89"/>
      <c r="C455" s="89"/>
      <c r="E455" s="89"/>
      <c r="F455" s="89"/>
    </row>
    <row r="456" ht="12.75" customHeight="1">
      <c r="A456" s="89"/>
      <c r="B456" s="89"/>
      <c r="C456" s="89"/>
      <c r="E456" s="89"/>
      <c r="F456" s="89"/>
    </row>
    <row r="457" ht="12.75" customHeight="1">
      <c r="A457" s="89"/>
      <c r="B457" s="89"/>
      <c r="C457" s="89"/>
      <c r="E457" s="89"/>
      <c r="F457" s="89"/>
    </row>
    <row r="458" ht="12.75" customHeight="1">
      <c r="A458" s="89"/>
      <c r="B458" s="89"/>
      <c r="C458" s="89"/>
      <c r="E458" s="89"/>
      <c r="F458" s="89"/>
    </row>
    <row r="459" ht="12.75" customHeight="1">
      <c r="A459" s="89"/>
      <c r="B459" s="89"/>
      <c r="C459" s="89"/>
      <c r="E459" s="89"/>
      <c r="F459" s="89"/>
    </row>
    <row r="460" ht="12.75" customHeight="1">
      <c r="A460" s="89"/>
      <c r="B460" s="89"/>
      <c r="C460" s="89"/>
      <c r="E460" s="89"/>
      <c r="F460" s="89"/>
    </row>
    <row r="461" ht="12.75" customHeight="1">
      <c r="A461" s="89"/>
      <c r="B461" s="89"/>
      <c r="C461" s="89"/>
      <c r="E461" s="89"/>
      <c r="F461" s="89"/>
    </row>
    <row r="462" ht="12.75" customHeight="1">
      <c r="A462" s="89"/>
      <c r="B462" s="89"/>
      <c r="C462" s="89"/>
      <c r="E462" s="89"/>
      <c r="F462" s="89"/>
    </row>
    <row r="463" ht="12.75" customHeight="1">
      <c r="A463" s="89"/>
      <c r="B463" s="89"/>
      <c r="C463" s="89"/>
      <c r="E463" s="89"/>
      <c r="F463" s="89"/>
    </row>
    <row r="464" ht="12.75" customHeight="1">
      <c r="A464" s="89"/>
      <c r="B464" s="89"/>
      <c r="C464" s="89"/>
      <c r="E464" s="89"/>
      <c r="F464" s="89"/>
    </row>
    <row r="465" ht="12.75" customHeight="1">
      <c r="A465" s="89"/>
      <c r="B465" s="89"/>
      <c r="C465" s="89"/>
      <c r="E465" s="89"/>
      <c r="F465" s="89"/>
    </row>
    <row r="466" ht="12.75" customHeight="1">
      <c r="A466" s="89"/>
      <c r="B466" s="89"/>
      <c r="C466" s="89"/>
      <c r="E466" s="89"/>
      <c r="F466" s="89"/>
    </row>
    <row r="467" ht="12.75" customHeight="1">
      <c r="A467" s="89"/>
      <c r="B467" s="89"/>
      <c r="C467" s="89"/>
      <c r="E467" s="89"/>
      <c r="F467" s="89"/>
    </row>
    <row r="468" ht="12.75" customHeight="1">
      <c r="A468" s="89"/>
      <c r="B468" s="89"/>
      <c r="C468" s="89"/>
      <c r="E468" s="89"/>
      <c r="F468" s="89"/>
    </row>
    <row r="469" ht="12.75" customHeight="1">
      <c r="A469" s="89"/>
      <c r="B469" s="89"/>
      <c r="C469" s="89"/>
      <c r="E469" s="89"/>
      <c r="F469" s="89"/>
    </row>
    <row r="470" ht="12.75" customHeight="1">
      <c r="A470" s="89"/>
      <c r="B470" s="89"/>
      <c r="C470" s="89"/>
      <c r="E470" s="89"/>
      <c r="F470" s="89"/>
    </row>
    <row r="471" ht="12.75" customHeight="1">
      <c r="A471" s="89"/>
      <c r="B471" s="89"/>
      <c r="C471" s="89"/>
      <c r="E471" s="89"/>
      <c r="F471" s="89"/>
    </row>
    <row r="472" ht="12.75" customHeight="1">
      <c r="A472" s="89"/>
      <c r="B472" s="89"/>
      <c r="C472" s="89"/>
      <c r="E472" s="89"/>
      <c r="F472" s="89"/>
    </row>
    <row r="473" ht="12.75" customHeight="1">
      <c r="A473" s="89"/>
      <c r="B473" s="89"/>
      <c r="C473" s="89"/>
      <c r="E473" s="89"/>
      <c r="F473" s="89"/>
    </row>
    <row r="474" ht="12.75" customHeight="1">
      <c r="A474" s="89"/>
      <c r="B474" s="89"/>
      <c r="C474" s="89"/>
      <c r="E474" s="89"/>
      <c r="F474" s="89"/>
    </row>
    <row r="475" ht="12.75" customHeight="1">
      <c r="A475" s="89"/>
      <c r="B475" s="89"/>
      <c r="C475" s="89"/>
      <c r="E475" s="89"/>
      <c r="F475" s="89"/>
    </row>
    <row r="476" ht="12.75" customHeight="1">
      <c r="A476" s="89"/>
      <c r="B476" s="89"/>
      <c r="C476" s="89"/>
      <c r="E476" s="89"/>
      <c r="F476" s="89"/>
    </row>
    <row r="477" ht="12.75" customHeight="1">
      <c r="A477" s="89"/>
      <c r="B477" s="89"/>
      <c r="C477" s="89"/>
      <c r="E477" s="89"/>
      <c r="F477" s="89"/>
    </row>
    <row r="478" ht="12.75" customHeight="1">
      <c r="A478" s="89"/>
      <c r="B478" s="89"/>
      <c r="C478" s="89"/>
      <c r="E478" s="89"/>
      <c r="F478" s="89"/>
    </row>
    <row r="479" ht="12.75" customHeight="1">
      <c r="A479" s="89"/>
      <c r="B479" s="89"/>
      <c r="C479" s="89"/>
      <c r="E479" s="89"/>
      <c r="F479" s="89"/>
    </row>
    <row r="480" ht="12.75" customHeight="1">
      <c r="A480" s="89"/>
      <c r="B480" s="89"/>
      <c r="C480" s="89"/>
      <c r="E480" s="89"/>
      <c r="F480" s="89"/>
    </row>
    <row r="481" ht="12.75" customHeight="1">
      <c r="A481" s="89"/>
      <c r="B481" s="89"/>
      <c r="C481" s="89"/>
      <c r="E481" s="89"/>
      <c r="F481" s="89"/>
    </row>
    <row r="482" ht="12.75" customHeight="1">
      <c r="A482" s="89"/>
      <c r="B482" s="89"/>
      <c r="C482" s="89"/>
      <c r="E482" s="89"/>
      <c r="F482" s="89"/>
    </row>
    <row r="483" ht="12.75" customHeight="1">
      <c r="A483" s="89"/>
      <c r="B483" s="89"/>
      <c r="C483" s="89"/>
      <c r="E483" s="89"/>
      <c r="F483" s="89"/>
    </row>
    <row r="484" ht="12.75" customHeight="1">
      <c r="A484" s="89"/>
      <c r="B484" s="89"/>
      <c r="C484" s="89"/>
      <c r="E484" s="89"/>
      <c r="F484" s="89"/>
    </row>
    <row r="485" ht="12.75" customHeight="1">
      <c r="A485" s="89"/>
      <c r="B485" s="89"/>
      <c r="C485" s="89"/>
      <c r="E485" s="89"/>
      <c r="F485" s="89"/>
    </row>
    <row r="486" ht="12.75" customHeight="1">
      <c r="A486" s="89"/>
      <c r="B486" s="89"/>
      <c r="C486" s="89"/>
      <c r="E486" s="89"/>
      <c r="F486" s="89"/>
    </row>
    <row r="487" ht="12.75" customHeight="1">
      <c r="A487" s="89"/>
      <c r="B487" s="89"/>
      <c r="C487" s="89"/>
      <c r="E487" s="89"/>
      <c r="F487" s="89"/>
    </row>
    <row r="488" ht="12.75" customHeight="1">
      <c r="A488" s="89"/>
      <c r="B488" s="89"/>
      <c r="C488" s="89"/>
      <c r="E488" s="89"/>
      <c r="F488" s="89"/>
    </row>
    <row r="489" ht="12.75" customHeight="1">
      <c r="A489" s="89"/>
      <c r="B489" s="89"/>
      <c r="C489" s="89"/>
      <c r="E489" s="89"/>
      <c r="F489" s="89"/>
    </row>
    <row r="490" ht="12.75" customHeight="1">
      <c r="A490" s="89"/>
      <c r="B490" s="89"/>
      <c r="C490" s="89"/>
      <c r="E490" s="89"/>
      <c r="F490" s="89"/>
    </row>
    <row r="491" ht="12.75" customHeight="1">
      <c r="A491" s="89"/>
      <c r="B491" s="89"/>
      <c r="C491" s="89"/>
      <c r="E491" s="89"/>
      <c r="F491" s="89"/>
    </row>
    <row r="492" ht="12.75" customHeight="1">
      <c r="A492" s="89"/>
      <c r="B492" s="89"/>
      <c r="C492" s="89"/>
      <c r="E492" s="89"/>
      <c r="F492" s="89"/>
    </row>
    <row r="493" ht="12.75" customHeight="1">
      <c r="A493" s="89"/>
      <c r="B493" s="89"/>
      <c r="C493" s="89"/>
      <c r="E493" s="89"/>
      <c r="F493" s="89"/>
    </row>
    <row r="494" ht="12.75" customHeight="1">
      <c r="A494" s="89"/>
      <c r="B494" s="89"/>
      <c r="C494" s="89"/>
      <c r="E494" s="89"/>
      <c r="F494" s="89"/>
    </row>
    <row r="495" ht="12.75" customHeight="1">
      <c r="A495" s="89"/>
      <c r="B495" s="89"/>
      <c r="C495" s="89"/>
      <c r="E495" s="89"/>
      <c r="F495" s="89"/>
    </row>
    <row r="496" ht="12.75" customHeight="1">
      <c r="A496" s="89"/>
      <c r="B496" s="89"/>
      <c r="C496" s="89"/>
      <c r="E496" s="89"/>
      <c r="F496" s="89"/>
    </row>
    <row r="497" ht="12.75" customHeight="1">
      <c r="A497" s="89"/>
      <c r="B497" s="89"/>
      <c r="C497" s="89"/>
      <c r="E497" s="89"/>
      <c r="F497" s="89"/>
    </row>
    <row r="498" ht="12.75" customHeight="1">
      <c r="A498" s="89"/>
      <c r="B498" s="89"/>
      <c r="C498" s="89"/>
      <c r="E498" s="89"/>
      <c r="F498" s="89"/>
    </row>
    <row r="499" ht="12.75" customHeight="1">
      <c r="A499" s="89"/>
      <c r="B499" s="89"/>
      <c r="C499" s="89"/>
      <c r="E499" s="89"/>
      <c r="F499" s="89"/>
    </row>
    <row r="500" ht="12.75" customHeight="1">
      <c r="A500" s="89"/>
      <c r="B500" s="89"/>
      <c r="C500" s="89"/>
      <c r="E500" s="89"/>
      <c r="F500" s="89"/>
    </row>
    <row r="501" ht="12.75" customHeight="1">
      <c r="A501" s="89"/>
      <c r="B501" s="89"/>
      <c r="C501" s="89"/>
      <c r="E501" s="89"/>
      <c r="F501" s="89"/>
    </row>
    <row r="502" ht="12.75" customHeight="1">
      <c r="A502" s="89"/>
      <c r="B502" s="89"/>
      <c r="C502" s="89"/>
      <c r="E502" s="89"/>
      <c r="F502" s="89"/>
    </row>
    <row r="503" ht="12.75" customHeight="1">
      <c r="A503" s="89"/>
      <c r="B503" s="89"/>
      <c r="C503" s="89"/>
      <c r="E503" s="89"/>
      <c r="F503" s="89"/>
    </row>
    <row r="504" ht="12.75" customHeight="1">
      <c r="A504" s="89"/>
      <c r="B504" s="89"/>
      <c r="C504" s="89"/>
      <c r="E504" s="89"/>
      <c r="F504" s="89"/>
    </row>
    <row r="505" ht="12.75" customHeight="1">
      <c r="A505" s="89"/>
      <c r="B505" s="89"/>
      <c r="C505" s="89"/>
      <c r="E505" s="89"/>
      <c r="F505" s="89"/>
    </row>
    <row r="506" ht="12.75" customHeight="1">
      <c r="A506" s="89"/>
      <c r="B506" s="89"/>
      <c r="C506" s="89"/>
      <c r="E506" s="89"/>
      <c r="F506" s="89"/>
    </row>
    <row r="507" ht="12.75" customHeight="1">
      <c r="A507" s="89"/>
      <c r="B507" s="89"/>
      <c r="C507" s="89"/>
      <c r="E507" s="89"/>
      <c r="F507" s="89"/>
    </row>
    <row r="508" ht="12.75" customHeight="1">
      <c r="A508" s="89"/>
      <c r="B508" s="89"/>
      <c r="C508" s="89"/>
      <c r="E508" s="89"/>
      <c r="F508" s="89"/>
    </row>
    <row r="509" ht="12.75" customHeight="1">
      <c r="A509" s="89"/>
      <c r="B509" s="89"/>
      <c r="C509" s="89"/>
      <c r="E509" s="89"/>
      <c r="F509" s="89"/>
    </row>
    <row r="510" ht="12.75" customHeight="1">
      <c r="A510" s="89"/>
      <c r="B510" s="89"/>
      <c r="C510" s="89"/>
      <c r="E510" s="89"/>
      <c r="F510" s="89"/>
    </row>
    <row r="511" ht="12.75" customHeight="1">
      <c r="A511" s="89"/>
      <c r="B511" s="89"/>
      <c r="C511" s="89"/>
      <c r="E511" s="89"/>
      <c r="F511" s="89"/>
    </row>
    <row r="512" ht="12.75" customHeight="1">
      <c r="A512" s="89"/>
      <c r="B512" s="89"/>
      <c r="C512" s="89"/>
      <c r="E512" s="89"/>
      <c r="F512" s="89"/>
    </row>
    <row r="513" ht="12.75" customHeight="1">
      <c r="A513" s="89"/>
      <c r="B513" s="89"/>
      <c r="C513" s="89"/>
      <c r="E513" s="89"/>
      <c r="F513" s="89"/>
    </row>
    <row r="514" ht="12.75" customHeight="1">
      <c r="A514" s="89"/>
      <c r="B514" s="89"/>
      <c r="C514" s="89"/>
      <c r="E514" s="89"/>
      <c r="F514" s="89"/>
    </row>
    <row r="515" ht="12.75" customHeight="1">
      <c r="A515" s="89"/>
      <c r="B515" s="89"/>
      <c r="C515" s="89"/>
      <c r="E515" s="89"/>
      <c r="F515" s="89"/>
    </row>
    <row r="516" ht="12.75" customHeight="1">
      <c r="A516" s="89"/>
      <c r="B516" s="89"/>
      <c r="C516" s="89"/>
      <c r="E516" s="89"/>
      <c r="F516" s="89"/>
    </row>
    <row r="517" ht="12.75" customHeight="1">
      <c r="A517" s="89"/>
      <c r="B517" s="89"/>
      <c r="C517" s="89"/>
      <c r="E517" s="89"/>
      <c r="F517" s="89"/>
    </row>
    <row r="518" ht="12.75" customHeight="1">
      <c r="A518" s="89"/>
      <c r="B518" s="89"/>
      <c r="C518" s="89"/>
      <c r="E518" s="89"/>
      <c r="F518" s="89"/>
    </row>
    <row r="519" ht="12.75" customHeight="1">
      <c r="A519" s="89"/>
      <c r="B519" s="89"/>
      <c r="C519" s="89"/>
      <c r="E519" s="89"/>
      <c r="F519" s="89"/>
    </row>
    <row r="520" ht="12.75" customHeight="1">
      <c r="A520" s="89"/>
      <c r="B520" s="89"/>
      <c r="C520" s="89"/>
      <c r="E520" s="89"/>
      <c r="F520" s="89"/>
    </row>
    <row r="521" ht="12.75" customHeight="1">
      <c r="A521" s="89"/>
      <c r="B521" s="89"/>
      <c r="C521" s="89"/>
      <c r="E521" s="89"/>
      <c r="F521" s="89"/>
    </row>
    <row r="522" ht="12.75" customHeight="1">
      <c r="A522" s="89"/>
      <c r="B522" s="89"/>
      <c r="C522" s="89"/>
      <c r="E522" s="89"/>
      <c r="F522" s="89"/>
    </row>
    <row r="523" ht="12.75" customHeight="1">
      <c r="A523" s="89"/>
      <c r="B523" s="89"/>
      <c r="C523" s="89"/>
      <c r="E523" s="89"/>
      <c r="F523" s="89"/>
    </row>
    <row r="524" ht="12.75" customHeight="1">
      <c r="A524" s="89"/>
      <c r="B524" s="89"/>
      <c r="C524" s="89"/>
      <c r="E524" s="89"/>
      <c r="F524" s="89"/>
    </row>
    <row r="525" ht="12.75" customHeight="1">
      <c r="A525" s="89"/>
      <c r="B525" s="89"/>
      <c r="C525" s="89"/>
      <c r="E525" s="89"/>
      <c r="F525" s="89"/>
    </row>
    <row r="526" ht="12.75" customHeight="1">
      <c r="A526" s="89"/>
      <c r="B526" s="89"/>
      <c r="C526" s="89"/>
      <c r="E526" s="89"/>
      <c r="F526" s="89"/>
    </row>
    <row r="527" ht="12.75" customHeight="1">
      <c r="A527" s="89"/>
      <c r="B527" s="89"/>
      <c r="C527" s="89"/>
      <c r="E527" s="89"/>
      <c r="F527" s="89"/>
    </row>
    <row r="528" ht="12.75" customHeight="1">
      <c r="A528" s="89"/>
      <c r="B528" s="89"/>
      <c r="C528" s="89"/>
      <c r="E528" s="89"/>
      <c r="F528" s="89"/>
    </row>
    <row r="529" ht="12.75" customHeight="1">
      <c r="A529" s="89"/>
      <c r="B529" s="89"/>
      <c r="C529" s="89"/>
      <c r="E529" s="89"/>
      <c r="F529" s="89"/>
    </row>
    <row r="530" ht="12.75" customHeight="1">
      <c r="A530" s="89"/>
      <c r="B530" s="89"/>
      <c r="C530" s="89"/>
      <c r="E530" s="89"/>
      <c r="F530" s="89"/>
    </row>
    <row r="531" ht="12.75" customHeight="1">
      <c r="A531" s="89"/>
      <c r="B531" s="89"/>
      <c r="C531" s="89"/>
      <c r="E531" s="89"/>
      <c r="F531" s="89"/>
    </row>
    <row r="532" ht="12.75" customHeight="1">
      <c r="A532" s="89"/>
      <c r="B532" s="89"/>
      <c r="C532" s="89"/>
      <c r="E532" s="89"/>
      <c r="F532" s="89"/>
    </row>
    <row r="533" ht="12.75" customHeight="1">
      <c r="A533" s="89"/>
      <c r="B533" s="89"/>
      <c r="C533" s="89"/>
      <c r="E533" s="89"/>
      <c r="F533" s="89"/>
    </row>
    <row r="534" ht="12.75" customHeight="1">
      <c r="A534" s="89"/>
      <c r="B534" s="89"/>
      <c r="C534" s="89"/>
      <c r="E534" s="89"/>
      <c r="F534" s="89"/>
    </row>
    <row r="535" ht="12.75" customHeight="1">
      <c r="A535" s="89"/>
      <c r="B535" s="89"/>
      <c r="C535" s="89"/>
      <c r="E535" s="89"/>
      <c r="F535" s="89"/>
    </row>
    <row r="536" ht="12.75" customHeight="1">
      <c r="A536" s="89"/>
      <c r="B536" s="89"/>
      <c r="C536" s="89"/>
      <c r="E536" s="89"/>
      <c r="F536" s="89"/>
    </row>
    <row r="537" ht="12.75" customHeight="1">
      <c r="A537" s="89"/>
      <c r="B537" s="89"/>
      <c r="C537" s="89"/>
      <c r="E537" s="89"/>
      <c r="F537" s="89"/>
    </row>
    <row r="538" ht="12.75" customHeight="1">
      <c r="A538" s="89"/>
      <c r="B538" s="89"/>
      <c r="C538" s="89"/>
      <c r="E538" s="89"/>
      <c r="F538" s="89"/>
    </row>
    <row r="539" ht="12.75" customHeight="1">
      <c r="A539" s="89"/>
      <c r="B539" s="89"/>
      <c r="C539" s="89"/>
      <c r="E539" s="89"/>
      <c r="F539" s="89"/>
    </row>
    <row r="540" ht="12.75" customHeight="1">
      <c r="A540" s="89"/>
      <c r="B540" s="89"/>
      <c r="C540" s="89"/>
      <c r="E540" s="89"/>
      <c r="F540" s="89"/>
    </row>
    <row r="541" ht="12.75" customHeight="1">
      <c r="A541" s="89"/>
      <c r="B541" s="89"/>
      <c r="C541" s="89"/>
      <c r="E541" s="89"/>
      <c r="F541" s="89"/>
    </row>
    <row r="542" ht="12.75" customHeight="1">
      <c r="A542" s="89"/>
      <c r="B542" s="89"/>
      <c r="C542" s="89"/>
      <c r="E542" s="89"/>
      <c r="F542" s="89"/>
    </row>
    <row r="543" ht="12.75" customHeight="1">
      <c r="A543" s="89"/>
      <c r="B543" s="89"/>
      <c r="C543" s="89"/>
      <c r="E543" s="89"/>
      <c r="F543" s="89"/>
    </row>
    <row r="544" ht="12.75" customHeight="1">
      <c r="A544" s="89"/>
      <c r="B544" s="89"/>
      <c r="C544" s="89"/>
      <c r="E544" s="89"/>
      <c r="F544" s="89"/>
    </row>
    <row r="545" ht="12.75" customHeight="1">
      <c r="A545" s="89"/>
      <c r="B545" s="89"/>
      <c r="C545" s="89"/>
      <c r="E545" s="89"/>
      <c r="F545" s="89"/>
    </row>
    <row r="546" ht="12.75" customHeight="1">
      <c r="A546" s="89"/>
      <c r="B546" s="89"/>
      <c r="C546" s="89"/>
      <c r="E546" s="89"/>
      <c r="F546" s="89"/>
    </row>
    <row r="547" ht="12.75" customHeight="1">
      <c r="A547" s="89"/>
      <c r="B547" s="89"/>
      <c r="C547" s="89"/>
      <c r="E547" s="89"/>
      <c r="F547" s="89"/>
    </row>
    <row r="548" ht="12.75" customHeight="1">
      <c r="A548" s="89"/>
      <c r="B548" s="89"/>
      <c r="C548" s="89"/>
      <c r="E548" s="89"/>
      <c r="F548" s="89"/>
    </row>
    <row r="549" ht="12.75" customHeight="1">
      <c r="A549" s="89"/>
      <c r="B549" s="89"/>
      <c r="C549" s="89"/>
      <c r="E549" s="89"/>
      <c r="F549" s="89"/>
    </row>
    <row r="550" ht="12.75" customHeight="1">
      <c r="A550" s="89"/>
      <c r="B550" s="89"/>
      <c r="C550" s="89"/>
      <c r="E550" s="89"/>
      <c r="F550" s="89"/>
    </row>
    <row r="551" ht="12.75" customHeight="1">
      <c r="A551" s="89"/>
      <c r="B551" s="89"/>
      <c r="C551" s="89"/>
      <c r="E551" s="89"/>
      <c r="F551" s="89"/>
    </row>
    <row r="552" ht="12.75" customHeight="1">
      <c r="A552" s="89"/>
      <c r="B552" s="89"/>
      <c r="C552" s="89"/>
      <c r="E552" s="89"/>
      <c r="F552" s="89"/>
    </row>
    <row r="553" ht="12.75" customHeight="1">
      <c r="A553" s="89"/>
      <c r="B553" s="89"/>
      <c r="C553" s="89"/>
      <c r="E553" s="89"/>
      <c r="F553" s="89"/>
    </row>
    <row r="554" ht="12.75" customHeight="1">
      <c r="A554" s="89"/>
      <c r="B554" s="89"/>
      <c r="C554" s="89"/>
      <c r="E554" s="89"/>
      <c r="F554" s="89"/>
    </row>
    <row r="555" ht="12.75" customHeight="1">
      <c r="A555" s="89"/>
      <c r="B555" s="89"/>
      <c r="C555" s="89"/>
      <c r="E555" s="89"/>
      <c r="F555" s="89"/>
    </row>
    <row r="556" ht="12.75" customHeight="1">
      <c r="A556" s="89"/>
      <c r="B556" s="89"/>
      <c r="C556" s="89"/>
      <c r="E556" s="89"/>
      <c r="F556" s="89"/>
    </row>
    <row r="557" ht="12.75" customHeight="1">
      <c r="A557" s="89"/>
      <c r="B557" s="89"/>
      <c r="C557" s="89"/>
      <c r="E557" s="89"/>
      <c r="F557" s="89"/>
    </row>
    <row r="558" ht="12.75" customHeight="1">
      <c r="A558" s="89"/>
      <c r="B558" s="89"/>
      <c r="C558" s="89"/>
      <c r="E558" s="89"/>
      <c r="F558" s="89"/>
    </row>
    <row r="559" ht="12.75" customHeight="1">
      <c r="A559" s="89"/>
      <c r="B559" s="89"/>
      <c r="C559" s="89"/>
      <c r="E559" s="89"/>
      <c r="F559" s="89"/>
    </row>
    <row r="560" ht="12.75" customHeight="1">
      <c r="A560" s="89"/>
      <c r="B560" s="89"/>
      <c r="C560" s="89"/>
      <c r="E560" s="89"/>
      <c r="F560" s="89"/>
    </row>
    <row r="561" ht="12.75" customHeight="1">
      <c r="A561" s="89"/>
      <c r="B561" s="89"/>
      <c r="C561" s="89"/>
      <c r="E561" s="89"/>
      <c r="F561" s="89"/>
    </row>
    <row r="562" ht="12.75" customHeight="1">
      <c r="A562" s="89"/>
      <c r="B562" s="89"/>
      <c r="C562" s="89"/>
      <c r="E562" s="89"/>
      <c r="F562" s="89"/>
    </row>
    <row r="563" ht="12.75" customHeight="1">
      <c r="A563" s="89"/>
      <c r="B563" s="89"/>
      <c r="C563" s="89"/>
      <c r="E563" s="89"/>
      <c r="F563" s="89"/>
    </row>
    <row r="564" ht="12.75" customHeight="1">
      <c r="A564" s="89"/>
      <c r="B564" s="89"/>
      <c r="C564" s="89"/>
      <c r="E564" s="89"/>
      <c r="F564" s="89"/>
    </row>
    <row r="565" ht="12.75" customHeight="1">
      <c r="A565" s="89"/>
      <c r="B565" s="89"/>
      <c r="C565" s="89"/>
      <c r="E565" s="89"/>
      <c r="F565" s="89"/>
    </row>
    <row r="566" ht="12.75" customHeight="1">
      <c r="A566" s="89"/>
      <c r="B566" s="89"/>
      <c r="C566" s="89"/>
      <c r="E566" s="89"/>
      <c r="F566" s="89"/>
    </row>
    <row r="567" ht="12.75" customHeight="1">
      <c r="A567" s="89"/>
      <c r="B567" s="89"/>
      <c r="C567" s="89"/>
      <c r="E567" s="89"/>
      <c r="F567" s="89"/>
    </row>
    <row r="568" ht="12.75" customHeight="1">
      <c r="A568" s="89"/>
      <c r="B568" s="89"/>
      <c r="C568" s="89"/>
      <c r="E568" s="89"/>
      <c r="F568" s="89"/>
    </row>
    <row r="569" ht="12.75" customHeight="1">
      <c r="A569" s="89"/>
      <c r="B569" s="89"/>
      <c r="C569" s="89"/>
      <c r="E569" s="89"/>
      <c r="F569" s="89"/>
    </row>
    <row r="570" ht="12.75" customHeight="1">
      <c r="A570" s="89"/>
      <c r="B570" s="89"/>
      <c r="C570" s="89"/>
      <c r="E570" s="89"/>
      <c r="F570" s="89"/>
    </row>
    <row r="571" ht="12.75" customHeight="1">
      <c r="A571" s="89"/>
      <c r="B571" s="89"/>
      <c r="C571" s="89"/>
      <c r="E571" s="89"/>
      <c r="F571" s="89"/>
    </row>
    <row r="572" ht="12.75" customHeight="1">
      <c r="A572" s="89"/>
      <c r="B572" s="89"/>
      <c r="C572" s="89"/>
      <c r="E572" s="89"/>
      <c r="F572" s="89"/>
    </row>
    <row r="573" ht="12.75" customHeight="1">
      <c r="A573" s="89"/>
      <c r="B573" s="89"/>
      <c r="C573" s="89"/>
      <c r="E573" s="89"/>
      <c r="F573" s="89"/>
    </row>
    <row r="574" ht="12.75" customHeight="1">
      <c r="A574" s="89"/>
      <c r="B574" s="89"/>
      <c r="C574" s="89"/>
      <c r="E574" s="89"/>
      <c r="F574" s="89"/>
    </row>
    <row r="575" ht="12.75" customHeight="1">
      <c r="A575" s="89"/>
      <c r="B575" s="89"/>
      <c r="C575" s="89"/>
      <c r="E575" s="89"/>
      <c r="F575" s="89"/>
    </row>
    <row r="576" ht="12.75" customHeight="1">
      <c r="A576" s="89"/>
      <c r="B576" s="89"/>
      <c r="C576" s="89"/>
      <c r="E576" s="89"/>
      <c r="F576" s="89"/>
    </row>
    <row r="577" ht="12.75" customHeight="1">
      <c r="A577" s="89"/>
      <c r="B577" s="89"/>
      <c r="C577" s="89"/>
      <c r="E577" s="89"/>
      <c r="F577" s="89"/>
    </row>
    <row r="578" ht="12.75" customHeight="1">
      <c r="A578" s="89"/>
      <c r="B578" s="89"/>
      <c r="C578" s="89"/>
      <c r="E578" s="89"/>
      <c r="F578" s="89"/>
    </row>
    <row r="579" ht="12.75" customHeight="1">
      <c r="A579" s="89"/>
      <c r="B579" s="89"/>
      <c r="C579" s="89"/>
      <c r="E579" s="89"/>
      <c r="F579" s="89"/>
    </row>
    <row r="580" ht="12.75" customHeight="1">
      <c r="A580" s="89"/>
      <c r="B580" s="89"/>
      <c r="C580" s="89"/>
      <c r="E580" s="89"/>
      <c r="F580" s="89"/>
    </row>
    <row r="581" ht="12.75" customHeight="1">
      <c r="A581" s="89"/>
      <c r="B581" s="89"/>
      <c r="C581" s="89"/>
      <c r="E581" s="89"/>
      <c r="F581" s="89"/>
    </row>
    <row r="582" ht="12.75" customHeight="1">
      <c r="A582" s="89"/>
      <c r="B582" s="89"/>
      <c r="C582" s="89"/>
      <c r="E582" s="89"/>
      <c r="F582" s="89"/>
    </row>
    <row r="583" ht="12.75" customHeight="1">
      <c r="A583" s="89"/>
      <c r="B583" s="89"/>
      <c r="C583" s="89"/>
      <c r="E583" s="89"/>
      <c r="F583" s="89"/>
    </row>
    <row r="584" ht="12.75" customHeight="1">
      <c r="A584" s="89"/>
      <c r="B584" s="89"/>
      <c r="C584" s="89"/>
      <c r="E584" s="89"/>
      <c r="F584" s="89"/>
    </row>
    <row r="585" ht="12.75" customHeight="1">
      <c r="A585" s="89"/>
      <c r="B585" s="89"/>
      <c r="C585" s="89"/>
      <c r="E585" s="89"/>
      <c r="F585" s="89"/>
    </row>
    <row r="586" ht="12.75" customHeight="1">
      <c r="A586" s="89"/>
      <c r="B586" s="89"/>
      <c r="C586" s="89"/>
      <c r="E586" s="89"/>
      <c r="F586" s="89"/>
    </row>
    <row r="587" ht="12.75" customHeight="1">
      <c r="A587" s="89"/>
      <c r="B587" s="89"/>
      <c r="C587" s="89"/>
      <c r="E587" s="89"/>
      <c r="F587" s="89"/>
    </row>
    <row r="588" ht="12.75" customHeight="1">
      <c r="A588" s="89"/>
      <c r="B588" s="89"/>
      <c r="C588" s="89"/>
      <c r="E588" s="89"/>
      <c r="F588" s="89"/>
    </row>
    <row r="589" ht="12.75" customHeight="1">
      <c r="A589" s="89"/>
      <c r="B589" s="89"/>
      <c r="C589" s="89"/>
      <c r="E589" s="89"/>
      <c r="F589" s="89"/>
    </row>
    <row r="590" ht="12.75" customHeight="1">
      <c r="A590" s="89"/>
      <c r="B590" s="89"/>
      <c r="C590" s="89"/>
      <c r="E590" s="89"/>
      <c r="F590" s="89"/>
    </row>
    <row r="591" ht="12.75" customHeight="1">
      <c r="A591" s="89"/>
      <c r="B591" s="89"/>
      <c r="C591" s="89"/>
      <c r="E591" s="89"/>
      <c r="F591" s="89"/>
    </row>
    <row r="592" ht="12.75" customHeight="1">
      <c r="A592" s="89"/>
      <c r="B592" s="89"/>
      <c r="C592" s="89"/>
      <c r="E592" s="89"/>
      <c r="F592" s="89"/>
    </row>
    <row r="593" ht="12.75" customHeight="1">
      <c r="A593" s="89"/>
      <c r="B593" s="89"/>
      <c r="C593" s="89"/>
      <c r="E593" s="89"/>
      <c r="F593" s="89"/>
    </row>
    <row r="594" ht="12.75" customHeight="1">
      <c r="A594" s="89"/>
      <c r="B594" s="89"/>
      <c r="C594" s="89"/>
      <c r="E594" s="89"/>
      <c r="F594" s="89"/>
    </row>
    <row r="595" ht="12.75" customHeight="1">
      <c r="A595" s="89"/>
      <c r="B595" s="89"/>
      <c r="C595" s="89"/>
      <c r="E595" s="89"/>
      <c r="F595" s="89"/>
    </row>
    <row r="596" ht="12.75" customHeight="1">
      <c r="A596" s="89"/>
      <c r="B596" s="89"/>
      <c r="C596" s="89"/>
      <c r="E596" s="89"/>
      <c r="F596" s="89"/>
    </row>
    <row r="597" ht="12.75" customHeight="1">
      <c r="A597" s="89"/>
      <c r="B597" s="89"/>
      <c r="C597" s="89"/>
      <c r="E597" s="89"/>
      <c r="F597" s="89"/>
    </row>
    <row r="598" ht="12.75" customHeight="1">
      <c r="A598" s="89"/>
      <c r="B598" s="89"/>
      <c r="C598" s="89"/>
      <c r="E598" s="89"/>
      <c r="F598" s="89"/>
    </row>
    <row r="599" ht="12.75" customHeight="1">
      <c r="A599" s="89"/>
      <c r="B599" s="89"/>
      <c r="C599" s="89"/>
      <c r="E599" s="89"/>
      <c r="F599" s="89"/>
    </row>
    <row r="600" ht="12.75" customHeight="1">
      <c r="A600" s="89"/>
      <c r="B600" s="89"/>
      <c r="C600" s="89"/>
      <c r="E600" s="89"/>
      <c r="F600" s="89"/>
    </row>
    <row r="601" ht="12.75" customHeight="1">
      <c r="A601" s="89"/>
      <c r="B601" s="89"/>
      <c r="C601" s="89"/>
      <c r="E601" s="89"/>
      <c r="F601" s="89"/>
    </row>
    <row r="602" ht="12.75" customHeight="1">
      <c r="A602" s="89"/>
      <c r="B602" s="89"/>
      <c r="C602" s="89"/>
      <c r="E602" s="89"/>
      <c r="F602" s="89"/>
    </row>
    <row r="603" ht="12.75" customHeight="1">
      <c r="A603" s="89"/>
      <c r="B603" s="89"/>
      <c r="C603" s="89"/>
      <c r="E603" s="89"/>
      <c r="F603" s="89"/>
    </row>
    <row r="604" ht="12.75" customHeight="1">
      <c r="A604" s="89"/>
      <c r="B604" s="89"/>
      <c r="C604" s="89"/>
      <c r="E604" s="89"/>
      <c r="F604" s="89"/>
    </row>
    <row r="605" ht="12.75" customHeight="1">
      <c r="A605" s="89"/>
      <c r="B605" s="89"/>
      <c r="C605" s="89"/>
      <c r="E605" s="89"/>
      <c r="F605" s="89"/>
    </row>
    <row r="606" ht="12.75" customHeight="1">
      <c r="A606" s="89"/>
      <c r="B606" s="89"/>
      <c r="C606" s="89"/>
      <c r="E606" s="89"/>
      <c r="F606" s="89"/>
    </row>
    <row r="607" ht="12.75" customHeight="1">
      <c r="A607" s="89"/>
      <c r="B607" s="89"/>
      <c r="C607" s="89"/>
      <c r="E607" s="89"/>
      <c r="F607" s="89"/>
    </row>
    <row r="608" ht="12.75" customHeight="1">
      <c r="A608" s="89"/>
      <c r="B608" s="89"/>
      <c r="C608" s="89"/>
      <c r="E608" s="89"/>
      <c r="F608" s="89"/>
    </row>
    <row r="609" ht="12.75" customHeight="1">
      <c r="A609" s="89"/>
      <c r="B609" s="89"/>
      <c r="C609" s="89"/>
      <c r="E609" s="89"/>
      <c r="F609" s="89"/>
    </row>
    <row r="610" ht="12.75" customHeight="1">
      <c r="A610" s="89"/>
      <c r="B610" s="89"/>
      <c r="C610" s="89"/>
      <c r="E610" s="89"/>
      <c r="F610" s="89"/>
    </row>
    <row r="611" ht="12.75" customHeight="1">
      <c r="A611" s="89"/>
      <c r="B611" s="89"/>
      <c r="C611" s="89"/>
      <c r="E611" s="89"/>
      <c r="F611" s="89"/>
    </row>
    <row r="612" ht="12.75" customHeight="1">
      <c r="A612" s="89"/>
      <c r="B612" s="89"/>
      <c r="C612" s="89"/>
      <c r="E612" s="89"/>
      <c r="F612" s="89"/>
    </row>
    <row r="613" ht="12.75" customHeight="1">
      <c r="A613" s="89"/>
      <c r="B613" s="89"/>
      <c r="C613" s="89"/>
      <c r="E613" s="89"/>
      <c r="F613" s="89"/>
    </row>
    <row r="614" ht="12.75" customHeight="1">
      <c r="A614" s="89"/>
      <c r="B614" s="89"/>
      <c r="C614" s="89"/>
      <c r="E614" s="89"/>
      <c r="F614" s="89"/>
    </row>
    <row r="615" ht="12.75" customHeight="1">
      <c r="A615" s="89"/>
      <c r="B615" s="89"/>
      <c r="C615" s="89"/>
      <c r="E615" s="89"/>
      <c r="F615" s="89"/>
    </row>
    <row r="616" ht="12.75" customHeight="1">
      <c r="A616" s="89"/>
      <c r="B616" s="89"/>
      <c r="C616" s="89"/>
      <c r="E616" s="89"/>
      <c r="F616" s="89"/>
    </row>
    <row r="617" ht="12.75" customHeight="1">
      <c r="A617" s="89"/>
      <c r="B617" s="89"/>
      <c r="C617" s="89"/>
      <c r="E617" s="89"/>
      <c r="F617" s="89"/>
    </row>
    <row r="618" ht="12.75" customHeight="1">
      <c r="A618" s="89"/>
      <c r="B618" s="89"/>
      <c r="C618" s="89"/>
      <c r="E618" s="89"/>
      <c r="F618" s="89"/>
    </row>
    <row r="619" ht="12.75" customHeight="1">
      <c r="A619" s="89"/>
      <c r="B619" s="89"/>
      <c r="C619" s="89"/>
      <c r="E619" s="89"/>
      <c r="F619" s="89"/>
    </row>
    <row r="620" ht="12.75" customHeight="1">
      <c r="A620" s="89"/>
      <c r="B620" s="89"/>
      <c r="C620" s="89"/>
      <c r="E620" s="89"/>
      <c r="F620" s="89"/>
    </row>
    <row r="621" ht="12.75" customHeight="1">
      <c r="A621" s="89"/>
      <c r="B621" s="89"/>
      <c r="C621" s="89"/>
      <c r="E621" s="89"/>
      <c r="F621" s="89"/>
    </row>
    <row r="622" ht="12.75" customHeight="1">
      <c r="A622" s="89"/>
      <c r="B622" s="89"/>
      <c r="C622" s="89"/>
      <c r="E622" s="89"/>
      <c r="F622" s="89"/>
    </row>
    <row r="623" ht="12.75" customHeight="1">
      <c r="A623" s="89"/>
      <c r="B623" s="89"/>
      <c r="C623" s="89"/>
      <c r="E623" s="89"/>
      <c r="F623" s="89"/>
    </row>
    <row r="624" ht="12.75" customHeight="1">
      <c r="A624" s="89"/>
      <c r="B624" s="89"/>
      <c r="C624" s="89"/>
      <c r="E624" s="89"/>
      <c r="F624" s="89"/>
    </row>
    <row r="625" ht="12.75" customHeight="1">
      <c r="A625" s="89"/>
      <c r="B625" s="89"/>
      <c r="C625" s="89"/>
      <c r="E625" s="89"/>
      <c r="F625" s="89"/>
    </row>
    <row r="626" ht="12.75" customHeight="1">
      <c r="A626" s="89"/>
      <c r="B626" s="89"/>
      <c r="C626" s="89"/>
      <c r="E626" s="89"/>
      <c r="F626" s="89"/>
    </row>
    <row r="627" ht="12.75" customHeight="1">
      <c r="A627" s="89"/>
      <c r="B627" s="89"/>
      <c r="C627" s="89"/>
      <c r="E627" s="89"/>
      <c r="F627" s="89"/>
    </row>
    <row r="628" ht="12.75" customHeight="1">
      <c r="A628" s="89"/>
      <c r="B628" s="89"/>
      <c r="C628" s="89"/>
      <c r="E628" s="89"/>
      <c r="F628" s="89"/>
    </row>
    <row r="629" ht="12.75" customHeight="1">
      <c r="A629" s="89"/>
      <c r="B629" s="89"/>
      <c r="C629" s="89"/>
      <c r="E629" s="89"/>
      <c r="F629" s="89"/>
    </row>
    <row r="630" ht="12.75" customHeight="1">
      <c r="A630" s="89"/>
      <c r="B630" s="89"/>
      <c r="C630" s="89"/>
      <c r="E630" s="89"/>
      <c r="F630" s="89"/>
    </row>
    <row r="631" ht="12.75" customHeight="1">
      <c r="A631" s="89"/>
      <c r="B631" s="89"/>
      <c r="C631" s="89"/>
      <c r="E631" s="89"/>
      <c r="F631" s="89"/>
    </row>
    <row r="632" ht="12.75" customHeight="1">
      <c r="A632" s="89"/>
      <c r="B632" s="89"/>
      <c r="C632" s="89"/>
      <c r="E632" s="89"/>
      <c r="F632" s="89"/>
    </row>
    <row r="633" ht="12.75" customHeight="1">
      <c r="A633" s="89"/>
      <c r="B633" s="89"/>
      <c r="C633" s="89"/>
      <c r="E633" s="89"/>
      <c r="F633" s="89"/>
    </row>
    <row r="634" ht="12.75" customHeight="1">
      <c r="A634" s="89"/>
      <c r="B634" s="89"/>
      <c r="C634" s="89"/>
      <c r="E634" s="89"/>
      <c r="F634" s="89"/>
    </row>
    <row r="635" ht="12.75" customHeight="1">
      <c r="A635" s="89"/>
      <c r="B635" s="89"/>
      <c r="C635" s="89"/>
      <c r="E635" s="89"/>
      <c r="F635" s="89"/>
    </row>
    <row r="636" ht="12.75" customHeight="1">
      <c r="A636" s="89"/>
      <c r="B636" s="89"/>
      <c r="C636" s="89"/>
      <c r="E636" s="89"/>
      <c r="F636" s="89"/>
    </row>
    <row r="637" ht="12.75" customHeight="1">
      <c r="A637" s="89"/>
      <c r="B637" s="89"/>
      <c r="C637" s="89"/>
      <c r="E637" s="89"/>
      <c r="F637" s="89"/>
    </row>
    <row r="638" ht="12.75" customHeight="1">
      <c r="A638" s="89"/>
      <c r="B638" s="89"/>
      <c r="C638" s="89"/>
      <c r="E638" s="89"/>
      <c r="F638" s="89"/>
    </row>
    <row r="639" ht="12.75" customHeight="1">
      <c r="A639" s="89"/>
      <c r="B639" s="89"/>
      <c r="C639" s="89"/>
      <c r="E639" s="89"/>
      <c r="F639" s="89"/>
    </row>
    <row r="640" ht="12.75" customHeight="1">
      <c r="A640" s="89"/>
      <c r="B640" s="89"/>
      <c r="C640" s="89"/>
      <c r="E640" s="89"/>
      <c r="F640" s="89"/>
    </row>
    <row r="641" ht="12.75" customHeight="1">
      <c r="A641" s="89"/>
      <c r="B641" s="89"/>
      <c r="C641" s="89"/>
      <c r="E641" s="89"/>
      <c r="F641" s="89"/>
    </row>
    <row r="642" ht="12.75" customHeight="1">
      <c r="A642" s="89"/>
      <c r="B642" s="89"/>
      <c r="C642" s="89"/>
      <c r="E642" s="89"/>
      <c r="F642" s="89"/>
    </row>
    <row r="643" ht="12.75" customHeight="1">
      <c r="A643" s="89"/>
      <c r="B643" s="89"/>
      <c r="C643" s="89"/>
      <c r="E643" s="89"/>
      <c r="F643" s="89"/>
    </row>
    <row r="644" ht="12.75" customHeight="1">
      <c r="A644" s="89"/>
      <c r="B644" s="89"/>
      <c r="C644" s="89"/>
      <c r="E644" s="89"/>
      <c r="F644" s="89"/>
    </row>
    <row r="645" ht="12.75" customHeight="1">
      <c r="A645" s="89"/>
      <c r="B645" s="89"/>
      <c r="C645" s="89"/>
      <c r="E645" s="89"/>
      <c r="F645" s="89"/>
    </row>
    <row r="646" ht="12.75" customHeight="1">
      <c r="A646" s="89"/>
      <c r="B646" s="89"/>
      <c r="C646" s="89"/>
      <c r="E646" s="89"/>
      <c r="F646" s="89"/>
    </row>
    <row r="647" ht="12.75" customHeight="1">
      <c r="A647" s="89"/>
      <c r="B647" s="89"/>
      <c r="C647" s="89"/>
      <c r="E647" s="89"/>
      <c r="F647" s="89"/>
    </row>
    <row r="648" ht="12.75" customHeight="1">
      <c r="A648" s="89"/>
      <c r="B648" s="89"/>
      <c r="C648" s="89"/>
      <c r="E648" s="89"/>
      <c r="F648" s="89"/>
    </row>
    <row r="649" ht="12.75" customHeight="1">
      <c r="A649" s="89"/>
      <c r="B649" s="89"/>
      <c r="C649" s="89"/>
      <c r="E649" s="89"/>
      <c r="F649" s="89"/>
    </row>
    <row r="650" ht="12.75" customHeight="1">
      <c r="A650" s="89"/>
      <c r="B650" s="89"/>
      <c r="C650" s="89"/>
      <c r="E650" s="89"/>
      <c r="F650" s="89"/>
    </row>
    <row r="651" ht="12.75" customHeight="1">
      <c r="A651" s="89"/>
      <c r="B651" s="89"/>
      <c r="C651" s="89"/>
      <c r="E651" s="89"/>
      <c r="F651" s="89"/>
    </row>
    <row r="652" ht="12.75" customHeight="1">
      <c r="A652" s="89"/>
      <c r="B652" s="89"/>
      <c r="C652" s="89"/>
      <c r="E652" s="89"/>
      <c r="F652" s="89"/>
    </row>
    <row r="653" ht="12.75" customHeight="1">
      <c r="A653" s="89"/>
      <c r="B653" s="89"/>
      <c r="C653" s="89"/>
      <c r="E653" s="89"/>
      <c r="F653" s="89"/>
    </row>
    <row r="654" ht="12.75" customHeight="1">
      <c r="A654" s="89"/>
      <c r="B654" s="89"/>
      <c r="C654" s="89"/>
      <c r="E654" s="89"/>
      <c r="F654" s="89"/>
    </row>
    <row r="655" ht="12.75" customHeight="1">
      <c r="A655" s="89"/>
      <c r="B655" s="89"/>
      <c r="C655" s="89"/>
      <c r="E655" s="89"/>
      <c r="F655" s="89"/>
    </row>
    <row r="656" ht="12.75" customHeight="1">
      <c r="A656" s="89"/>
      <c r="B656" s="89"/>
      <c r="C656" s="89"/>
      <c r="E656" s="89"/>
      <c r="F656" s="89"/>
    </row>
    <row r="657" ht="12.75" customHeight="1">
      <c r="A657" s="89"/>
      <c r="B657" s="89"/>
      <c r="C657" s="89"/>
      <c r="E657" s="89"/>
      <c r="F657" s="89"/>
    </row>
    <row r="658" ht="12.75" customHeight="1">
      <c r="A658" s="89"/>
      <c r="B658" s="89"/>
      <c r="C658" s="89"/>
      <c r="E658" s="89"/>
      <c r="F658" s="89"/>
    </row>
    <row r="659" ht="12.75" customHeight="1">
      <c r="A659" s="89"/>
      <c r="B659" s="89"/>
      <c r="C659" s="89"/>
      <c r="E659" s="89"/>
      <c r="F659" s="89"/>
    </row>
    <row r="660" ht="12.75" customHeight="1">
      <c r="A660" s="89"/>
      <c r="B660" s="89"/>
      <c r="C660" s="89"/>
      <c r="E660" s="89"/>
      <c r="F660" s="89"/>
    </row>
    <row r="661" ht="12.75" customHeight="1">
      <c r="A661" s="89"/>
      <c r="B661" s="89"/>
      <c r="C661" s="89"/>
      <c r="E661" s="89"/>
      <c r="F661" s="89"/>
    </row>
    <row r="662" ht="12.75" customHeight="1">
      <c r="A662" s="89"/>
      <c r="B662" s="89"/>
      <c r="C662" s="89"/>
      <c r="E662" s="89"/>
      <c r="F662" s="89"/>
    </row>
    <row r="663" ht="12.75" customHeight="1">
      <c r="A663" s="89"/>
      <c r="B663" s="89"/>
      <c r="C663" s="89"/>
      <c r="E663" s="89"/>
      <c r="F663" s="89"/>
    </row>
    <row r="664" ht="12.75" customHeight="1">
      <c r="A664" s="89"/>
      <c r="B664" s="89"/>
      <c r="C664" s="89"/>
      <c r="E664" s="89"/>
      <c r="F664" s="89"/>
    </row>
    <row r="665" ht="12.75" customHeight="1">
      <c r="A665" s="89"/>
      <c r="B665" s="89"/>
      <c r="C665" s="89"/>
      <c r="E665" s="89"/>
      <c r="F665" s="89"/>
    </row>
    <row r="666" ht="12.75" customHeight="1">
      <c r="A666" s="89"/>
      <c r="B666" s="89"/>
      <c r="C666" s="89"/>
      <c r="E666" s="89"/>
      <c r="F666" s="89"/>
    </row>
    <row r="667" ht="12.75" customHeight="1">
      <c r="A667" s="89"/>
      <c r="B667" s="89"/>
      <c r="C667" s="89"/>
      <c r="E667" s="89"/>
      <c r="F667" s="89"/>
    </row>
    <row r="668" ht="12.75" customHeight="1">
      <c r="A668" s="89"/>
      <c r="B668" s="89"/>
      <c r="C668" s="89"/>
      <c r="E668" s="89"/>
      <c r="F668" s="89"/>
    </row>
    <row r="669" ht="12.75" customHeight="1">
      <c r="A669" s="89"/>
      <c r="B669" s="89"/>
      <c r="C669" s="89"/>
      <c r="E669" s="89"/>
      <c r="F669" s="89"/>
    </row>
    <row r="670" ht="12.75" customHeight="1">
      <c r="A670" s="89"/>
      <c r="B670" s="89"/>
      <c r="C670" s="89"/>
      <c r="E670" s="89"/>
      <c r="F670" s="89"/>
    </row>
    <row r="671" ht="12.75" customHeight="1">
      <c r="A671" s="89"/>
      <c r="B671" s="89"/>
      <c r="C671" s="89"/>
      <c r="E671" s="89"/>
      <c r="F671" s="89"/>
    </row>
    <row r="672" ht="12.75" customHeight="1">
      <c r="A672" s="89"/>
      <c r="B672" s="89"/>
      <c r="C672" s="89"/>
      <c r="E672" s="89"/>
      <c r="F672" s="89"/>
    </row>
    <row r="673" ht="12.75" customHeight="1">
      <c r="A673" s="89"/>
      <c r="B673" s="89"/>
      <c r="C673" s="89"/>
      <c r="E673" s="89"/>
      <c r="F673" s="89"/>
    </row>
    <row r="674" ht="12.75" customHeight="1">
      <c r="A674" s="89"/>
      <c r="B674" s="89"/>
      <c r="C674" s="89"/>
      <c r="E674" s="89"/>
      <c r="F674" s="89"/>
    </row>
    <row r="675" ht="12.75" customHeight="1">
      <c r="A675" s="89"/>
      <c r="B675" s="89"/>
      <c r="C675" s="89"/>
      <c r="E675" s="89"/>
      <c r="F675" s="89"/>
    </row>
    <row r="676" ht="12.75" customHeight="1">
      <c r="A676" s="89"/>
      <c r="B676" s="89"/>
      <c r="C676" s="89"/>
      <c r="E676" s="89"/>
      <c r="F676" s="89"/>
    </row>
    <row r="677" ht="12.75" customHeight="1">
      <c r="A677" s="89"/>
      <c r="B677" s="89"/>
      <c r="C677" s="89"/>
      <c r="E677" s="89"/>
      <c r="F677" s="89"/>
    </row>
    <row r="678" ht="12.75" customHeight="1">
      <c r="A678" s="89"/>
      <c r="B678" s="89"/>
      <c r="C678" s="89"/>
      <c r="E678" s="89"/>
      <c r="F678" s="89"/>
    </row>
    <row r="679" ht="12.75" customHeight="1">
      <c r="A679" s="89"/>
      <c r="B679" s="89"/>
      <c r="C679" s="89"/>
      <c r="E679" s="89"/>
      <c r="F679" s="89"/>
    </row>
    <row r="680" ht="12.75" customHeight="1">
      <c r="A680" s="89"/>
      <c r="B680" s="89"/>
      <c r="C680" s="89"/>
      <c r="E680" s="89"/>
      <c r="F680" s="89"/>
    </row>
    <row r="681" ht="12.75" customHeight="1">
      <c r="A681" s="89"/>
      <c r="B681" s="89"/>
      <c r="C681" s="89"/>
      <c r="E681" s="89"/>
      <c r="F681" s="89"/>
    </row>
    <row r="682" ht="12.75" customHeight="1">
      <c r="A682" s="89"/>
      <c r="B682" s="89"/>
      <c r="C682" s="89"/>
      <c r="E682" s="89"/>
      <c r="F682" s="89"/>
    </row>
    <row r="683" ht="12.75" customHeight="1">
      <c r="A683" s="89"/>
      <c r="B683" s="89"/>
      <c r="C683" s="89"/>
      <c r="E683" s="89"/>
      <c r="F683" s="89"/>
    </row>
    <row r="684" ht="12.75" customHeight="1">
      <c r="A684" s="89"/>
      <c r="B684" s="89"/>
      <c r="C684" s="89"/>
      <c r="E684" s="89"/>
      <c r="F684" s="89"/>
    </row>
    <row r="685" ht="12.75" customHeight="1">
      <c r="A685" s="89"/>
      <c r="B685" s="89"/>
      <c r="C685" s="89"/>
      <c r="E685" s="89"/>
      <c r="F685" s="89"/>
    </row>
    <row r="686" ht="12.75" customHeight="1">
      <c r="A686" s="89"/>
      <c r="B686" s="89"/>
      <c r="C686" s="89"/>
      <c r="E686" s="89"/>
      <c r="F686" s="89"/>
    </row>
    <row r="687" ht="12.75" customHeight="1">
      <c r="A687" s="89"/>
      <c r="B687" s="89"/>
      <c r="C687" s="89"/>
      <c r="E687" s="89"/>
      <c r="F687" s="89"/>
    </row>
    <row r="688" ht="12.75" customHeight="1">
      <c r="A688" s="89"/>
      <c r="B688" s="89"/>
      <c r="C688" s="89"/>
      <c r="E688" s="89"/>
      <c r="F688" s="89"/>
    </row>
    <row r="689" ht="12.75" customHeight="1">
      <c r="A689" s="89"/>
      <c r="B689" s="89"/>
      <c r="C689" s="89"/>
      <c r="E689" s="89"/>
      <c r="F689" s="89"/>
    </row>
    <row r="690" ht="12.75" customHeight="1">
      <c r="A690" s="89"/>
      <c r="B690" s="89"/>
      <c r="C690" s="89"/>
      <c r="E690" s="89"/>
      <c r="F690" s="89"/>
    </row>
    <row r="691" ht="12.75" customHeight="1">
      <c r="A691" s="89"/>
      <c r="B691" s="89"/>
      <c r="C691" s="89"/>
      <c r="E691" s="89"/>
      <c r="F691" s="89"/>
    </row>
    <row r="692" ht="12.75" customHeight="1">
      <c r="A692" s="89"/>
      <c r="B692" s="89"/>
      <c r="C692" s="89"/>
      <c r="E692" s="89"/>
      <c r="F692" s="89"/>
    </row>
    <row r="693" ht="12.75" customHeight="1">
      <c r="A693" s="89"/>
      <c r="B693" s="89"/>
      <c r="C693" s="89"/>
      <c r="E693" s="89"/>
      <c r="F693" s="89"/>
    </row>
    <row r="694" ht="12.75" customHeight="1">
      <c r="A694" s="89"/>
      <c r="B694" s="89"/>
      <c r="C694" s="89"/>
      <c r="E694" s="89"/>
      <c r="F694" s="89"/>
    </row>
    <row r="695" ht="12.75" customHeight="1">
      <c r="A695" s="89"/>
      <c r="B695" s="89"/>
      <c r="C695" s="89"/>
      <c r="E695" s="89"/>
      <c r="F695" s="89"/>
    </row>
    <row r="696" ht="12.75" customHeight="1">
      <c r="A696" s="89"/>
      <c r="B696" s="89"/>
      <c r="C696" s="89"/>
      <c r="E696" s="89"/>
      <c r="F696" s="89"/>
    </row>
    <row r="697" ht="12.75" customHeight="1">
      <c r="A697" s="89"/>
      <c r="B697" s="89"/>
      <c r="C697" s="89"/>
      <c r="E697" s="89"/>
      <c r="F697" s="89"/>
    </row>
    <row r="698" ht="12.75" customHeight="1">
      <c r="A698" s="89"/>
      <c r="B698" s="89"/>
      <c r="C698" s="89"/>
      <c r="E698" s="89"/>
      <c r="F698" s="89"/>
    </row>
    <row r="699" ht="12.75" customHeight="1">
      <c r="A699" s="89"/>
      <c r="B699" s="89"/>
      <c r="C699" s="89"/>
      <c r="E699" s="89"/>
      <c r="F699" s="89"/>
    </row>
    <row r="700" ht="12.75" customHeight="1">
      <c r="A700" s="89"/>
      <c r="B700" s="89"/>
      <c r="C700" s="89"/>
      <c r="E700" s="89"/>
      <c r="F700" s="89"/>
    </row>
    <row r="701" ht="12.75" customHeight="1">
      <c r="A701" s="89"/>
      <c r="B701" s="89"/>
      <c r="C701" s="89"/>
      <c r="E701" s="89"/>
      <c r="F701" s="89"/>
    </row>
    <row r="702" ht="12.75" customHeight="1">
      <c r="A702" s="89"/>
      <c r="B702" s="89"/>
      <c r="C702" s="89"/>
      <c r="E702" s="89"/>
      <c r="F702" s="89"/>
    </row>
    <row r="703" ht="12.75" customHeight="1">
      <c r="A703" s="89"/>
      <c r="B703" s="89"/>
      <c r="C703" s="89"/>
      <c r="E703" s="89"/>
      <c r="F703" s="89"/>
    </row>
    <row r="704" ht="12.75" customHeight="1">
      <c r="A704" s="89"/>
      <c r="B704" s="89"/>
      <c r="C704" s="89"/>
      <c r="E704" s="89"/>
      <c r="F704" s="89"/>
    </row>
    <row r="705" ht="12.75" customHeight="1">
      <c r="A705" s="89"/>
      <c r="B705" s="89"/>
      <c r="C705" s="89"/>
      <c r="E705" s="89"/>
      <c r="F705" s="89"/>
    </row>
    <row r="706" ht="12.75" customHeight="1">
      <c r="A706" s="89"/>
      <c r="B706" s="89"/>
      <c r="C706" s="89"/>
      <c r="E706" s="89"/>
      <c r="F706" s="89"/>
    </row>
    <row r="707" ht="12.75" customHeight="1">
      <c r="A707" s="89"/>
      <c r="B707" s="89"/>
      <c r="C707" s="89"/>
      <c r="E707" s="89"/>
      <c r="F707" s="89"/>
    </row>
    <row r="708" ht="12.75" customHeight="1">
      <c r="A708" s="89"/>
      <c r="B708" s="89"/>
      <c r="C708" s="89"/>
      <c r="E708" s="89"/>
      <c r="F708" s="89"/>
    </row>
    <row r="709" ht="12.75" customHeight="1">
      <c r="A709" s="89"/>
      <c r="B709" s="89"/>
      <c r="C709" s="89"/>
      <c r="E709" s="89"/>
      <c r="F709" s="89"/>
    </row>
    <row r="710" ht="12.75" customHeight="1">
      <c r="A710" s="89"/>
      <c r="B710" s="89"/>
      <c r="C710" s="89"/>
      <c r="E710" s="89"/>
      <c r="F710" s="89"/>
    </row>
    <row r="711" ht="12.75" customHeight="1">
      <c r="A711" s="89"/>
      <c r="B711" s="89"/>
      <c r="C711" s="89"/>
      <c r="E711" s="89"/>
      <c r="F711" s="89"/>
    </row>
    <row r="712" ht="12.75" customHeight="1">
      <c r="A712" s="89"/>
      <c r="B712" s="89"/>
      <c r="C712" s="89"/>
      <c r="E712" s="89"/>
      <c r="F712" s="89"/>
    </row>
    <row r="713" ht="12.75" customHeight="1">
      <c r="A713" s="89"/>
      <c r="B713" s="89"/>
      <c r="C713" s="89"/>
      <c r="E713" s="89"/>
      <c r="F713" s="89"/>
    </row>
    <row r="714" ht="12.75" customHeight="1">
      <c r="A714" s="89"/>
      <c r="B714" s="89"/>
      <c r="C714" s="89"/>
      <c r="E714" s="89"/>
      <c r="F714" s="89"/>
    </row>
    <row r="715" ht="12.75" customHeight="1">
      <c r="A715" s="89"/>
      <c r="B715" s="89"/>
      <c r="C715" s="89"/>
      <c r="E715" s="89"/>
      <c r="F715" s="89"/>
    </row>
    <row r="716" ht="12.75" customHeight="1">
      <c r="A716" s="89"/>
      <c r="B716" s="89"/>
      <c r="C716" s="89"/>
      <c r="E716" s="89"/>
      <c r="F716" s="89"/>
    </row>
    <row r="717" ht="12.75" customHeight="1">
      <c r="A717" s="89"/>
      <c r="B717" s="89"/>
      <c r="C717" s="89"/>
      <c r="E717" s="89"/>
      <c r="F717" s="89"/>
    </row>
    <row r="718" ht="12.75" customHeight="1">
      <c r="A718" s="89"/>
      <c r="B718" s="89"/>
      <c r="C718" s="89"/>
      <c r="E718" s="89"/>
      <c r="F718" s="89"/>
    </row>
    <row r="719" ht="12.75" customHeight="1">
      <c r="A719" s="89"/>
      <c r="B719" s="89"/>
      <c r="C719" s="89"/>
      <c r="E719" s="89"/>
      <c r="F719" s="89"/>
    </row>
    <row r="720" ht="12.75" customHeight="1">
      <c r="A720" s="89"/>
      <c r="B720" s="89"/>
      <c r="C720" s="89"/>
      <c r="E720" s="89"/>
      <c r="F720" s="89"/>
    </row>
    <row r="721" ht="12.75" customHeight="1">
      <c r="A721" s="89"/>
      <c r="B721" s="89"/>
      <c r="C721" s="89"/>
      <c r="E721" s="89"/>
      <c r="F721" s="89"/>
    </row>
    <row r="722" ht="12.75" customHeight="1">
      <c r="A722" s="89"/>
      <c r="B722" s="89"/>
      <c r="C722" s="89"/>
      <c r="E722" s="89"/>
      <c r="F722" s="89"/>
    </row>
    <row r="723" ht="12.75" customHeight="1">
      <c r="A723" s="89"/>
      <c r="B723" s="89"/>
      <c r="C723" s="89"/>
      <c r="E723" s="89"/>
      <c r="F723" s="89"/>
    </row>
    <row r="724" ht="12.75" customHeight="1">
      <c r="A724" s="89"/>
      <c r="B724" s="89"/>
      <c r="C724" s="89"/>
      <c r="E724" s="89"/>
      <c r="F724" s="89"/>
    </row>
    <row r="725" ht="12.75" customHeight="1">
      <c r="A725" s="89"/>
      <c r="B725" s="89"/>
      <c r="C725" s="89"/>
      <c r="E725" s="89"/>
      <c r="F725" s="89"/>
    </row>
    <row r="726" ht="12.75" customHeight="1">
      <c r="A726" s="89"/>
      <c r="B726" s="89"/>
      <c r="C726" s="89"/>
      <c r="E726" s="89"/>
      <c r="F726" s="89"/>
    </row>
    <row r="727" ht="12.75" customHeight="1">
      <c r="A727" s="89"/>
      <c r="B727" s="89"/>
      <c r="C727" s="89"/>
      <c r="E727" s="89"/>
      <c r="F727" s="89"/>
    </row>
    <row r="728" ht="12.75" customHeight="1">
      <c r="A728" s="89"/>
      <c r="B728" s="89"/>
      <c r="C728" s="89"/>
      <c r="E728" s="89"/>
      <c r="F728" s="89"/>
    </row>
    <row r="729" ht="12.75" customHeight="1">
      <c r="A729" s="89"/>
      <c r="B729" s="89"/>
      <c r="C729" s="89"/>
      <c r="E729" s="89"/>
      <c r="F729" s="89"/>
    </row>
    <row r="730" ht="12.75" customHeight="1">
      <c r="A730" s="89"/>
      <c r="B730" s="89"/>
      <c r="C730" s="89"/>
      <c r="E730" s="89"/>
      <c r="F730" s="89"/>
    </row>
    <row r="731" ht="12.75" customHeight="1">
      <c r="A731" s="89"/>
      <c r="B731" s="89"/>
      <c r="C731" s="89"/>
      <c r="E731" s="89"/>
      <c r="F731" s="89"/>
    </row>
    <row r="732" ht="12.75" customHeight="1">
      <c r="A732" s="89"/>
      <c r="B732" s="89"/>
      <c r="C732" s="89"/>
      <c r="E732" s="89"/>
      <c r="F732" s="89"/>
    </row>
    <row r="733" ht="12.75" customHeight="1">
      <c r="A733" s="89"/>
      <c r="B733" s="89"/>
      <c r="C733" s="89"/>
      <c r="E733" s="89"/>
      <c r="F733" s="89"/>
    </row>
    <row r="734" ht="12.75" customHeight="1">
      <c r="A734" s="89"/>
      <c r="B734" s="89"/>
      <c r="C734" s="89"/>
      <c r="E734" s="89"/>
      <c r="F734" s="89"/>
    </row>
    <row r="735" ht="12.75" customHeight="1">
      <c r="A735" s="89"/>
      <c r="B735" s="89"/>
      <c r="C735" s="89"/>
      <c r="E735" s="89"/>
      <c r="F735" s="89"/>
    </row>
    <row r="736" ht="12.75" customHeight="1">
      <c r="A736" s="89"/>
      <c r="B736" s="89"/>
      <c r="C736" s="89"/>
      <c r="E736" s="89"/>
      <c r="F736" s="89"/>
    </row>
    <row r="737" ht="12.75" customHeight="1">
      <c r="A737" s="89"/>
      <c r="B737" s="89"/>
      <c r="C737" s="89"/>
      <c r="E737" s="89"/>
      <c r="F737" s="89"/>
    </row>
    <row r="738" ht="12.75" customHeight="1">
      <c r="A738" s="89"/>
      <c r="B738" s="89"/>
      <c r="C738" s="89"/>
      <c r="E738" s="89"/>
      <c r="F738" s="89"/>
    </row>
    <row r="739" ht="12.75" customHeight="1">
      <c r="A739" s="89"/>
      <c r="B739" s="89"/>
      <c r="C739" s="89"/>
      <c r="E739" s="89"/>
      <c r="F739" s="89"/>
    </row>
    <row r="740" ht="12.75" customHeight="1">
      <c r="A740" s="89"/>
      <c r="B740" s="89"/>
      <c r="C740" s="89"/>
      <c r="E740" s="89"/>
      <c r="F740" s="89"/>
    </row>
    <row r="741" ht="12.75" customHeight="1">
      <c r="A741" s="89"/>
      <c r="B741" s="89"/>
      <c r="C741" s="89"/>
      <c r="E741" s="89"/>
      <c r="F741" s="89"/>
    </row>
    <row r="742" ht="12.75" customHeight="1">
      <c r="A742" s="89"/>
      <c r="B742" s="89"/>
      <c r="C742" s="89"/>
      <c r="E742" s="89"/>
      <c r="F742" s="89"/>
    </row>
    <row r="743" ht="12.75" customHeight="1">
      <c r="A743" s="89"/>
      <c r="B743" s="89"/>
      <c r="C743" s="89"/>
      <c r="E743" s="89"/>
      <c r="F743" s="89"/>
    </row>
    <row r="744" ht="12.75" customHeight="1">
      <c r="A744" s="89"/>
      <c r="B744" s="89"/>
      <c r="C744" s="89"/>
      <c r="E744" s="89"/>
      <c r="F744" s="89"/>
    </row>
    <row r="745" ht="12.75" customHeight="1">
      <c r="A745" s="89"/>
      <c r="B745" s="89"/>
      <c r="C745" s="89"/>
      <c r="E745" s="89"/>
      <c r="F745" s="89"/>
    </row>
    <row r="746" ht="12.75" customHeight="1">
      <c r="A746" s="89"/>
      <c r="B746" s="89"/>
      <c r="C746" s="89"/>
      <c r="E746" s="89"/>
      <c r="F746" s="89"/>
    </row>
    <row r="747" ht="12.75" customHeight="1">
      <c r="A747" s="89"/>
      <c r="B747" s="89"/>
      <c r="C747" s="89"/>
      <c r="E747" s="89"/>
      <c r="F747" s="89"/>
    </row>
    <row r="748" ht="12.75" customHeight="1">
      <c r="A748" s="89"/>
      <c r="B748" s="89"/>
      <c r="C748" s="89"/>
      <c r="E748" s="89"/>
      <c r="F748" s="89"/>
    </row>
    <row r="749" ht="12.75" customHeight="1">
      <c r="A749" s="89"/>
      <c r="B749" s="89"/>
      <c r="C749" s="89"/>
      <c r="E749" s="89"/>
      <c r="F749" s="89"/>
    </row>
    <row r="750" ht="12.75" customHeight="1">
      <c r="A750" s="89"/>
      <c r="B750" s="89"/>
      <c r="C750" s="89"/>
      <c r="E750" s="89"/>
      <c r="F750" s="89"/>
    </row>
    <row r="751" ht="12.75" customHeight="1">
      <c r="A751" s="89"/>
      <c r="B751" s="89"/>
      <c r="C751" s="89"/>
      <c r="E751" s="89"/>
      <c r="F751" s="89"/>
    </row>
    <row r="752" ht="12.75" customHeight="1">
      <c r="A752" s="89"/>
      <c r="B752" s="89"/>
      <c r="C752" s="89"/>
      <c r="E752" s="89"/>
      <c r="F752" s="89"/>
    </row>
    <row r="753" ht="12.75" customHeight="1">
      <c r="A753" s="89"/>
      <c r="B753" s="89"/>
      <c r="C753" s="89"/>
      <c r="E753" s="89"/>
      <c r="F753" s="89"/>
    </row>
    <row r="754" ht="12.75" customHeight="1">
      <c r="A754" s="89"/>
      <c r="B754" s="89"/>
      <c r="C754" s="89"/>
      <c r="E754" s="89"/>
      <c r="F754" s="89"/>
    </row>
    <row r="755" ht="12.75" customHeight="1">
      <c r="A755" s="89"/>
      <c r="B755" s="89"/>
      <c r="C755" s="89"/>
      <c r="E755" s="89"/>
      <c r="F755" s="89"/>
    </row>
    <row r="756" ht="12.75" customHeight="1">
      <c r="A756" s="89"/>
      <c r="B756" s="89"/>
      <c r="C756" s="89"/>
      <c r="E756" s="89"/>
      <c r="F756" s="89"/>
    </row>
    <row r="757" ht="12.75" customHeight="1">
      <c r="A757" s="89"/>
      <c r="B757" s="89"/>
      <c r="C757" s="89"/>
      <c r="E757" s="89"/>
      <c r="F757" s="89"/>
    </row>
    <row r="758" ht="12.75" customHeight="1">
      <c r="A758" s="89"/>
      <c r="B758" s="89"/>
      <c r="C758" s="89"/>
      <c r="E758" s="89"/>
      <c r="F758" s="89"/>
    </row>
    <row r="759" ht="12.75" customHeight="1">
      <c r="A759" s="89"/>
      <c r="B759" s="89"/>
      <c r="C759" s="89"/>
      <c r="E759" s="89"/>
      <c r="F759" s="89"/>
    </row>
    <row r="760" ht="12.75" customHeight="1">
      <c r="A760" s="89"/>
      <c r="B760" s="89"/>
      <c r="C760" s="89"/>
      <c r="E760" s="89"/>
      <c r="F760" s="89"/>
    </row>
    <row r="761" ht="12.75" customHeight="1">
      <c r="A761" s="89"/>
      <c r="B761" s="89"/>
      <c r="C761" s="89"/>
      <c r="E761" s="89"/>
      <c r="F761" s="89"/>
    </row>
    <row r="762" ht="12.75" customHeight="1">
      <c r="A762" s="89"/>
      <c r="B762" s="89"/>
      <c r="C762" s="89"/>
      <c r="E762" s="89"/>
      <c r="F762" s="89"/>
    </row>
    <row r="763" ht="12.75" customHeight="1">
      <c r="A763" s="89"/>
      <c r="B763" s="89"/>
      <c r="C763" s="89"/>
      <c r="E763" s="89"/>
      <c r="F763" s="89"/>
    </row>
    <row r="764" ht="12.75" customHeight="1">
      <c r="A764" s="89"/>
      <c r="B764" s="89"/>
      <c r="C764" s="89"/>
      <c r="E764" s="89"/>
      <c r="F764" s="89"/>
    </row>
    <row r="765" ht="12.75" customHeight="1">
      <c r="A765" s="89"/>
      <c r="B765" s="89"/>
      <c r="C765" s="89"/>
      <c r="E765" s="89"/>
      <c r="F765" s="89"/>
    </row>
    <row r="766" ht="12.75" customHeight="1">
      <c r="A766" s="89"/>
      <c r="B766" s="89"/>
      <c r="C766" s="89"/>
      <c r="E766" s="89"/>
      <c r="F766" s="89"/>
    </row>
    <row r="767" ht="12.75" customHeight="1">
      <c r="A767" s="89"/>
      <c r="B767" s="89"/>
      <c r="C767" s="89"/>
      <c r="E767" s="89"/>
      <c r="F767" s="89"/>
    </row>
    <row r="768" ht="12.75" customHeight="1">
      <c r="A768" s="89"/>
      <c r="B768" s="89"/>
      <c r="C768" s="89"/>
      <c r="E768" s="89"/>
      <c r="F768" s="89"/>
    </row>
    <row r="769" ht="12.75" customHeight="1">
      <c r="A769" s="89"/>
      <c r="B769" s="89"/>
      <c r="C769" s="89"/>
      <c r="E769" s="89"/>
      <c r="F769" s="89"/>
    </row>
    <row r="770" ht="12.75" customHeight="1">
      <c r="A770" s="89"/>
      <c r="B770" s="89"/>
      <c r="C770" s="89"/>
      <c r="E770" s="89"/>
      <c r="F770" s="89"/>
    </row>
    <row r="771" ht="12.75" customHeight="1">
      <c r="A771" s="89"/>
      <c r="B771" s="89"/>
      <c r="C771" s="89"/>
      <c r="E771" s="89"/>
      <c r="F771" s="89"/>
    </row>
    <row r="772" ht="12.75" customHeight="1">
      <c r="A772" s="89"/>
      <c r="B772" s="89"/>
      <c r="C772" s="89"/>
      <c r="E772" s="89"/>
      <c r="F772" s="89"/>
    </row>
    <row r="773" ht="12.75" customHeight="1">
      <c r="A773" s="89"/>
      <c r="B773" s="89"/>
      <c r="C773" s="89"/>
      <c r="E773" s="89"/>
      <c r="F773" s="89"/>
    </row>
    <row r="774" ht="12.75" customHeight="1">
      <c r="A774" s="89"/>
      <c r="B774" s="89"/>
      <c r="C774" s="89"/>
      <c r="E774" s="89"/>
      <c r="F774" s="89"/>
    </row>
    <row r="775" ht="12.75" customHeight="1">
      <c r="A775" s="89"/>
      <c r="B775" s="89"/>
      <c r="C775" s="89"/>
      <c r="E775" s="89"/>
      <c r="F775" s="89"/>
    </row>
    <row r="776" ht="12.75" customHeight="1">
      <c r="A776" s="89"/>
      <c r="B776" s="89"/>
      <c r="C776" s="89"/>
      <c r="E776" s="89"/>
      <c r="F776" s="89"/>
    </row>
    <row r="777" ht="12.75" customHeight="1">
      <c r="A777" s="89"/>
      <c r="B777" s="89"/>
      <c r="C777" s="89"/>
      <c r="E777" s="89"/>
      <c r="F777" s="89"/>
    </row>
    <row r="778" ht="12.75" customHeight="1">
      <c r="A778" s="89"/>
      <c r="B778" s="89"/>
      <c r="C778" s="89"/>
      <c r="E778" s="89"/>
      <c r="F778" s="89"/>
    </row>
    <row r="779" ht="12.75" customHeight="1">
      <c r="A779" s="89"/>
      <c r="B779" s="89"/>
      <c r="C779" s="89"/>
      <c r="E779" s="89"/>
      <c r="F779" s="89"/>
    </row>
    <row r="780" ht="12.75" customHeight="1">
      <c r="A780" s="89"/>
      <c r="B780" s="89"/>
      <c r="C780" s="89"/>
      <c r="E780" s="89"/>
      <c r="F780" s="89"/>
    </row>
    <row r="781" ht="12.75" customHeight="1">
      <c r="A781" s="89"/>
      <c r="B781" s="89"/>
      <c r="C781" s="89"/>
      <c r="E781" s="89"/>
      <c r="F781" s="89"/>
    </row>
    <row r="782" ht="12.75" customHeight="1">
      <c r="A782" s="89"/>
      <c r="B782" s="89"/>
      <c r="C782" s="89"/>
      <c r="E782" s="89"/>
      <c r="F782" s="89"/>
    </row>
    <row r="783" ht="12.75" customHeight="1">
      <c r="A783" s="89"/>
      <c r="B783" s="89"/>
      <c r="C783" s="89"/>
      <c r="E783" s="89"/>
      <c r="F783" s="89"/>
    </row>
    <row r="784" ht="12.75" customHeight="1">
      <c r="A784" s="89"/>
      <c r="B784" s="89"/>
      <c r="C784" s="89"/>
      <c r="E784" s="89"/>
      <c r="F784" s="89"/>
    </row>
    <row r="785" ht="12.75" customHeight="1">
      <c r="A785" s="89"/>
      <c r="B785" s="89"/>
      <c r="C785" s="89"/>
      <c r="E785" s="89"/>
      <c r="F785" s="89"/>
    </row>
    <row r="786" ht="12.75" customHeight="1">
      <c r="A786" s="89"/>
      <c r="B786" s="89"/>
      <c r="C786" s="89"/>
      <c r="E786" s="89"/>
      <c r="F786" s="89"/>
    </row>
    <row r="787" ht="12.75" customHeight="1">
      <c r="A787" s="89"/>
      <c r="B787" s="89"/>
      <c r="C787" s="89"/>
      <c r="E787" s="89"/>
      <c r="F787" s="89"/>
    </row>
    <row r="788" ht="12.75" customHeight="1">
      <c r="A788" s="89"/>
      <c r="B788" s="89"/>
      <c r="C788" s="89"/>
      <c r="E788" s="89"/>
      <c r="F788" s="89"/>
    </row>
    <row r="789" ht="12.75" customHeight="1">
      <c r="A789" s="89"/>
      <c r="B789" s="89"/>
      <c r="C789" s="89"/>
      <c r="E789" s="89"/>
      <c r="F789" s="89"/>
    </row>
    <row r="790" ht="12.75" customHeight="1">
      <c r="A790" s="89"/>
      <c r="B790" s="89"/>
      <c r="C790" s="89"/>
      <c r="E790" s="89"/>
      <c r="F790" s="89"/>
    </row>
    <row r="791" ht="12.75" customHeight="1">
      <c r="A791" s="89"/>
      <c r="B791" s="89"/>
      <c r="C791" s="89"/>
      <c r="E791" s="89"/>
      <c r="F791" s="89"/>
    </row>
    <row r="792" ht="12.75" customHeight="1">
      <c r="A792" s="89"/>
      <c r="B792" s="89"/>
      <c r="C792" s="89"/>
      <c r="E792" s="89"/>
      <c r="F792" s="89"/>
    </row>
    <row r="793" ht="12.75" customHeight="1">
      <c r="A793" s="89"/>
      <c r="B793" s="89"/>
      <c r="C793" s="89"/>
      <c r="E793" s="89"/>
      <c r="F793" s="89"/>
    </row>
    <row r="794" ht="12.75" customHeight="1">
      <c r="A794" s="89"/>
      <c r="B794" s="89"/>
      <c r="C794" s="89"/>
      <c r="E794" s="89"/>
      <c r="F794" s="89"/>
    </row>
    <row r="795" ht="12.75" customHeight="1">
      <c r="A795" s="89"/>
      <c r="B795" s="89"/>
      <c r="C795" s="89"/>
      <c r="E795" s="89"/>
      <c r="F795" s="89"/>
    </row>
    <row r="796" ht="12.75" customHeight="1">
      <c r="A796" s="89"/>
      <c r="B796" s="89"/>
      <c r="C796" s="89"/>
      <c r="E796" s="89"/>
      <c r="F796" s="89"/>
    </row>
    <row r="797" ht="12.75" customHeight="1">
      <c r="A797" s="89"/>
      <c r="B797" s="89"/>
      <c r="C797" s="89"/>
      <c r="E797" s="89"/>
      <c r="F797" s="89"/>
    </row>
    <row r="798" ht="12.75" customHeight="1">
      <c r="A798" s="89"/>
      <c r="B798" s="89"/>
      <c r="C798" s="89"/>
      <c r="E798" s="89"/>
      <c r="F798" s="89"/>
    </row>
    <row r="799" ht="12.75" customHeight="1">
      <c r="A799" s="89"/>
      <c r="B799" s="89"/>
      <c r="C799" s="89"/>
      <c r="E799" s="89"/>
      <c r="F799" s="89"/>
    </row>
    <row r="800" ht="12.75" customHeight="1">
      <c r="A800" s="89"/>
      <c r="B800" s="89"/>
      <c r="C800" s="89"/>
      <c r="E800" s="89"/>
      <c r="F800" s="89"/>
    </row>
    <row r="801" ht="12.75" customHeight="1">
      <c r="A801" s="89"/>
      <c r="B801" s="89"/>
      <c r="C801" s="89"/>
      <c r="E801" s="89"/>
      <c r="F801" s="89"/>
    </row>
    <row r="802" ht="12.75" customHeight="1">
      <c r="A802" s="89"/>
      <c r="B802" s="89"/>
      <c r="C802" s="89"/>
      <c r="E802" s="89"/>
      <c r="F802" s="89"/>
    </row>
    <row r="803" ht="12.75" customHeight="1">
      <c r="A803" s="89"/>
      <c r="B803" s="89"/>
      <c r="C803" s="89"/>
      <c r="E803" s="89"/>
      <c r="F803" s="89"/>
    </row>
    <row r="804" ht="12.75" customHeight="1">
      <c r="A804" s="89"/>
      <c r="B804" s="89"/>
      <c r="C804" s="89"/>
      <c r="E804" s="89"/>
      <c r="F804" s="89"/>
    </row>
    <row r="805" ht="12.75" customHeight="1">
      <c r="A805" s="89"/>
      <c r="B805" s="89"/>
      <c r="C805" s="89"/>
      <c r="E805" s="89"/>
      <c r="F805" s="89"/>
    </row>
    <row r="806" ht="12.75" customHeight="1">
      <c r="A806" s="89"/>
      <c r="B806" s="89"/>
      <c r="C806" s="89"/>
      <c r="E806" s="89"/>
      <c r="F806" s="89"/>
    </row>
    <row r="807" ht="12.75" customHeight="1">
      <c r="A807" s="89"/>
      <c r="B807" s="89"/>
      <c r="C807" s="89"/>
      <c r="E807" s="89"/>
      <c r="F807" s="89"/>
    </row>
    <row r="808" ht="12.75" customHeight="1">
      <c r="A808" s="89"/>
      <c r="B808" s="89"/>
      <c r="C808" s="89"/>
      <c r="E808" s="89"/>
      <c r="F808" s="89"/>
    </row>
    <row r="809" ht="12.75" customHeight="1">
      <c r="A809" s="89"/>
      <c r="B809" s="89"/>
      <c r="C809" s="89"/>
      <c r="E809" s="89"/>
      <c r="F809" s="89"/>
    </row>
    <row r="810" ht="12.75" customHeight="1">
      <c r="A810" s="89"/>
      <c r="B810" s="89"/>
      <c r="C810" s="89"/>
      <c r="E810" s="89"/>
      <c r="F810" s="89"/>
    </row>
    <row r="811" ht="12.75" customHeight="1">
      <c r="A811" s="89"/>
      <c r="B811" s="89"/>
      <c r="C811" s="89"/>
      <c r="E811" s="89"/>
      <c r="F811" s="89"/>
    </row>
    <row r="812" ht="12.75" customHeight="1">
      <c r="A812" s="89"/>
      <c r="B812" s="89"/>
      <c r="C812" s="89"/>
      <c r="E812" s="89"/>
      <c r="F812" s="89"/>
    </row>
    <row r="813" ht="12.75" customHeight="1">
      <c r="A813" s="89"/>
      <c r="B813" s="89"/>
      <c r="C813" s="89"/>
      <c r="E813" s="89"/>
      <c r="F813" s="89"/>
    </row>
    <row r="814" ht="12.75" customHeight="1">
      <c r="A814" s="89"/>
      <c r="B814" s="89"/>
      <c r="C814" s="89"/>
      <c r="E814" s="89"/>
      <c r="F814" s="89"/>
    </row>
    <row r="815" ht="12.75" customHeight="1">
      <c r="A815" s="89"/>
      <c r="B815" s="89"/>
      <c r="C815" s="89"/>
      <c r="E815" s="89"/>
      <c r="F815" s="89"/>
    </row>
    <row r="816" ht="12.75" customHeight="1">
      <c r="A816" s="89"/>
      <c r="B816" s="89"/>
      <c r="C816" s="89"/>
      <c r="E816" s="89"/>
      <c r="F816" s="89"/>
    </row>
    <row r="817" ht="12.75" customHeight="1">
      <c r="A817" s="89"/>
      <c r="B817" s="89"/>
      <c r="C817" s="89"/>
      <c r="E817" s="89"/>
      <c r="F817" s="89"/>
    </row>
    <row r="818" ht="12.75" customHeight="1">
      <c r="A818" s="89"/>
      <c r="B818" s="89"/>
      <c r="C818" s="89"/>
      <c r="E818" s="89"/>
      <c r="F818" s="89"/>
    </row>
    <row r="819" ht="12.75" customHeight="1">
      <c r="A819" s="89"/>
      <c r="B819" s="89"/>
      <c r="C819" s="89"/>
      <c r="E819" s="89"/>
      <c r="F819" s="89"/>
    </row>
    <row r="820" ht="12.75" customHeight="1">
      <c r="A820" s="89"/>
      <c r="B820" s="89"/>
      <c r="C820" s="89"/>
      <c r="E820" s="89"/>
      <c r="F820" s="89"/>
    </row>
    <row r="821" ht="12.75" customHeight="1">
      <c r="A821" s="89"/>
      <c r="B821" s="89"/>
      <c r="C821" s="89"/>
      <c r="E821" s="89"/>
      <c r="F821" s="89"/>
    </row>
    <row r="822" ht="12.75" customHeight="1">
      <c r="A822" s="89"/>
      <c r="B822" s="89"/>
      <c r="C822" s="89"/>
      <c r="E822" s="89"/>
      <c r="F822" s="89"/>
    </row>
    <row r="823" ht="12.75" customHeight="1">
      <c r="A823" s="89"/>
      <c r="B823" s="89"/>
      <c r="C823" s="89"/>
      <c r="E823" s="89"/>
      <c r="F823" s="89"/>
    </row>
    <row r="824" ht="12.75" customHeight="1">
      <c r="A824" s="89"/>
      <c r="B824" s="89"/>
      <c r="C824" s="89"/>
      <c r="E824" s="89"/>
      <c r="F824" s="89"/>
    </row>
    <row r="825" ht="12.75" customHeight="1">
      <c r="A825" s="89"/>
      <c r="B825" s="89"/>
      <c r="C825" s="89"/>
      <c r="E825" s="89"/>
      <c r="F825" s="89"/>
    </row>
    <row r="826" ht="12.75" customHeight="1">
      <c r="A826" s="89"/>
      <c r="B826" s="89"/>
      <c r="C826" s="89"/>
      <c r="E826" s="89"/>
      <c r="F826" s="89"/>
    </row>
    <row r="827" ht="12.75" customHeight="1">
      <c r="A827" s="89"/>
      <c r="B827" s="89"/>
      <c r="C827" s="89"/>
      <c r="E827" s="89"/>
      <c r="F827" s="89"/>
    </row>
    <row r="828" ht="12.75" customHeight="1">
      <c r="A828" s="89"/>
      <c r="B828" s="89"/>
      <c r="C828" s="89"/>
      <c r="E828" s="89"/>
      <c r="F828" s="89"/>
    </row>
    <row r="829" ht="12.75" customHeight="1">
      <c r="A829" s="89"/>
      <c r="B829" s="89"/>
      <c r="C829" s="89"/>
      <c r="E829" s="89"/>
      <c r="F829" s="89"/>
    </row>
    <row r="830" ht="12.75" customHeight="1">
      <c r="A830" s="89"/>
      <c r="B830" s="89"/>
      <c r="C830" s="89"/>
      <c r="E830" s="89"/>
      <c r="F830" s="89"/>
    </row>
    <row r="831" ht="12.75" customHeight="1">
      <c r="A831" s="89"/>
      <c r="B831" s="89"/>
      <c r="C831" s="89"/>
      <c r="E831" s="89"/>
      <c r="F831" s="89"/>
    </row>
    <row r="832" ht="12.75" customHeight="1">
      <c r="A832" s="89"/>
      <c r="B832" s="89"/>
      <c r="C832" s="89"/>
      <c r="E832" s="89"/>
      <c r="F832" s="89"/>
    </row>
    <row r="833" ht="12.75" customHeight="1">
      <c r="A833" s="89"/>
      <c r="B833" s="89"/>
      <c r="C833" s="89"/>
      <c r="E833" s="89"/>
      <c r="F833" s="89"/>
    </row>
    <row r="834" ht="12.75" customHeight="1">
      <c r="A834" s="89"/>
      <c r="B834" s="89"/>
      <c r="C834" s="89"/>
      <c r="E834" s="89"/>
      <c r="F834" s="89"/>
    </row>
    <row r="835" ht="12.75" customHeight="1">
      <c r="A835" s="89"/>
      <c r="B835" s="89"/>
      <c r="C835" s="89"/>
      <c r="E835" s="89"/>
      <c r="F835" s="89"/>
    </row>
    <row r="836" ht="12.75" customHeight="1">
      <c r="A836" s="89"/>
      <c r="B836" s="89"/>
      <c r="C836" s="89"/>
      <c r="E836" s="89"/>
      <c r="F836" s="89"/>
    </row>
    <row r="837" ht="12.75" customHeight="1">
      <c r="A837" s="89"/>
      <c r="B837" s="89"/>
      <c r="C837" s="89"/>
      <c r="E837" s="89"/>
      <c r="F837" s="89"/>
    </row>
    <row r="838" ht="12.75" customHeight="1">
      <c r="A838" s="89"/>
      <c r="B838" s="89"/>
      <c r="C838" s="89"/>
      <c r="E838" s="89"/>
      <c r="F838" s="89"/>
    </row>
    <row r="839" ht="12.75" customHeight="1">
      <c r="A839" s="89"/>
      <c r="B839" s="89"/>
      <c r="C839" s="89"/>
      <c r="E839" s="89"/>
      <c r="F839" s="89"/>
    </row>
    <row r="840" ht="12.75" customHeight="1">
      <c r="A840" s="89"/>
      <c r="B840" s="89"/>
      <c r="C840" s="89"/>
      <c r="E840" s="89"/>
      <c r="F840" s="89"/>
    </row>
    <row r="841" ht="12.75" customHeight="1">
      <c r="A841" s="89"/>
      <c r="B841" s="89"/>
      <c r="C841" s="89"/>
      <c r="E841" s="89"/>
      <c r="F841" s="89"/>
    </row>
    <row r="842" ht="12.75" customHeight="1">
      <c r="A842" s="89"/>
      <c r="B842" s="89"/>
      <c r="C842" s="89"/>
      <c r="E842" s="89"/>
      <c r="F842" s="89"/>
    </row>
    <row r="843" ht="12.75" customHeight="1">
      <c r="A843" s="89"/>
      <c r="B843" s="89"/>
      <c r="C843" s="89"/>
      <c r="E843" s="89"/>
      <c r="F843" s="89"/>
    </row>
    <row r="844" ht="12.75" customHeight="1">
      <c r="A844" s="89"/>
      <c r="B844" s="89"/>
      <c r="C844" s="89"/>
      <c r="E844" s="89"/>
      <c r="F844" s="89"/>
    </row>
    <row r="845" ht="12.75" customHeight="1">
      <c r="A845" s="89"/>
      <c r="B845" s="89"/>
      <c r="C845" s="89"/>
      <c r="E845" s="89"/>
      <c r="F845" s="89"/>
    </row>
    <row r="846" ht="12.75" customHeight="1">
      <c r="A846" s="89"/>
      <c r="B846" s="89"/>
      <c r="C846" s="89"/>
      <c r="E846" s="89"/>
      <c r="F846" s="89"/>
    </row>
    <row r="847" ht="12.75" customHeight="1">
      <c r="A847" s="89"/>
      <c r="B847" s="89"/>
      <c r="C847" s="89"/>
      <c r="E847" s="89"/>
      <c r="F847" s="89"/>
    </row>
    <row r="848" ht="12.75" customHeight="1">
      <c r="A848" s="89"/>
      <c r="B848" s="89"/>
      <c r="C848" s="89"/>
      <c r="E848" s="89"/>
      <c r="F848" s="89"/>
    </row>
    <row r="849" ht="12.75" customHeight="1">
      <c r="A849" s="89"/>
      <c r="B849" s="89"/>
      <c r="C849" s="89"/>
      <c r="E849" s="89"/>
      <c r="F849" s="89"/>
    </row>
    <row r="850" ht="12.75" customHeight="1">
      <c r="A850" s="89"/>
      <c r="B850" s="89"/>
      <c r="C850" s="89"/>
      <c r="E850" s="89"/>
      <c r="F850" s="89"/>
    </row>
    <row r="851" ht="12.75" customHeight="1">
      <c r="A851" s="89"/>
      <c r="B851" s="89"/>
      <c r="C851" s="89"/>
      <c r="E851" s="89"/>
      <c r="F851" s="89"/>
    </row>
    <row r="852" ht="12.75" customHeight="1">
      <c r="A852" s="89"/>
      <c r="B852" s="89"/>
      <c r="C852" s="89"/>
      <c r="E852" s="89"/>
      <c r="F852" s="89"/>
    </row>
    <row r="853" ht="12.75" customHeight="1">
      <c r="A853" s="89"/>
      <c r="B853" s="89"/>
      <c r="C853" s="89"/>
      <c r="E853" s="89"/>
      <c r="F853" s="89"/>
    </row>
    <row r="854" ht="12.75" customHeight="1">
      <c r="A854" s="89"/>
      <c r="B854" s="89"/>
      <c r="C854" s="89"/>
      <c r="E854" s="89"/>
      <c r="F854" s="89"/>
    </row>
    <row r="855" ht="12.75" customHeight="1">
      <c r="A855" s="89"/>
      <c r="B855" s="89"/>
      <c r="C855" s="89"/>
      <c r="E855" s="89"/>
      <c r="F855" s="89"/>
    </row>
    <row r="856" ht="12.75" customHeight="1">
      <c r="A856" s="89"/>
      <c r="B856" s="89"/>
      <c r="C856" s="89"/>
      <c r="E856" s="89"/>
      <c r="F856" s="89"/>
    </row>
    <row r="857" ht="12.75" customHeight="1">
      <c r="A857" s="89"/>
      <c r="B857" s="89"/>
      <c r="C857" s="89"/>
      <c r="E857" s="89"/>
      <c r="F857" s="89"/>
    </row>
    <row r="858" ht="12.75" customHeight="1">
      <c r="A858" s="89"/>
      <c r="B858" s="89"/>
      <c r="C858" s="89"/>
      <c r="E858" s="89"/>
      <c r="F858" s="89"/>
    </row>
    <row r="859" ht="12.75" customHeight="1">
      <c r="A859" s="89"/>
      <c r="B859" s="89"/>
      <c r="C859" s="89"/>
      <c r="E859" s="89"/>
      <c r="F859" s="89"/>
    </row>
    <row r="860" ht="12.75" customHeight="1">
      <c r="A860" s="89"/>
      <c r="B860" s="89"/>
      <c r="C860" s="89"/>
      <c r="E860" s="89"/>
      <c r="F860" s="89"/>
    </row>
    <row r="861" ht="12.75" customHeight="1">
      <c r="A861" s="89"/>
      <c r="B861" s="89"/>
      <c r="C861" s="89"/>
      <c r="E861" s="89"/>
      <c r="F861" s="89"/>
    </row>
    <row r="862" ht="12.75" customHeight="1">
      <c r="A862" s="89"/>
      <c r="B862" s="89"/>
      <c r="C862" s="89"/>
      <c r="E862" s="89"/>
      <c r="F862" s="89"/>
    </row>
    <row r="863" ht="12.75" customHeight="1">
      <c r="A863" s="89"/>
      <c r="B863" s="89"/>
      <c r="C863" s="89"/>
      <c r="E863" s="89"/>
      <c r="F863" s="89"/>
    </row>
    <row r="864" ht="12.75" customHeight="1">
      <c r="A864" s="89"/>
      <c r="B864" s="89"/>
      <c r="C864" s="89"/>
      <c r="E864" s="89"/>
      <c r="F864" s="89"/>
    </row>
    <row r="865" ht="12.75" customHeight="1">
      <c r="A865" s="89"/>
      <c r="B865" s="89"/>
      <c r="C865" s="89"/>
      <c r="E865" s="89"/>
      <c r="F865" s="89"/>
    </row>
    <row r="866" ht="12.75" customHeight="1">
      <c r="A866" s="89"/>
      <c r="B866" s="89"/>
      <c r="C866" s="89"/>
      <c r="E866" s="89"/>
      <c r="F866" s="89"/>
    </row>
    <row r="867" ht="12.75" customHeight="1">
      <c r="A867" s="89"/>
      <c r="B867" s="89"/>
      <c r="C867" s="89"/>
      <c r="E867" s="89"/>
      <c r="F867" s="89"/>
    </row>
    <row r="868" ht="12.75" customHeight="1">
      <c r="A868" s="89"/>
      <c r="B868" s="89"/>
      <c r="C868" s="89"/>
      <c r="E868" s="89"/>
      <c r="F868" s="89"/>
    </row>
    <row r="869" ht="12.75" customHeight="1">
      <c r="A869" s="89"/>
      <c r="B869" s="89"/>
      <c r="C869" s="89"/>
      <c r="E869" s="89"/>
      <c r="F869" s="89"/>
    </row>
    <row r="870" ht="12.75" customHeight="1">
      <c r="A870" s="89"/>
      <c r="B870" s="89"/>
      <c r="C870" s="89"/>
      <c r="E870" s="89"/>
      <c r="F870" s="89"/>
    </row>
    <row r="871" ht="12.75" customHeight="1">
      <c r="A871" s="89"/>
      <c r="B871" s="89"/>
      <c r="C871" s="89"/>
      <c r="E871" s="89"/>
      <c r="F871" s="89"/>
    </row>
    <row r="872" ht="12.75" customHeight="1">
      <c r="A872" s="89"/>
      <c r="B872" s="89"/>
      <c r="C872" s="89"/>
      <c r="E872" s="89"/>
      <c r="F872" s="89"/>
    </row>
    <row r="873" ht="12.75" customHeight="1">
      <c r="A873" s="89"/>
      <c r="B873" s="89"/>
      <c r="C873" s="89"/>
      <c r="E873" s="89"/>
      <c r="F873" s="89"/>
    </row>
    <row r="874" ht="12.75" customHeight="1">
      <c r="A874" s="89"/>
      <c r="B874" s="89"/>
      <c r="C874" s="89"/>
      <c r="E874" s="89"/>
      <c r="F874" s="89"/>
    </row>
    <row r="875" ht="12.75" customHeight="1">
      <c r="A875" s="89"/>
      <c r="B875" s="89"/>
      <c r="C875" s="89"/>
      <c r="E875" s="89"/>
      <c r="F875" s="89"/>
    </row>
    <row r="876" ht="12.75" customHeight="1">
      <c r="A876" s="89"/>
      <c r="B876" s="89"/>
      <c r="C876" s="89"/>
      <c r="E876" s="89"/>
      <c r="F876" s="89"/>
    </row>
    <row r="877" ht="12.75" customHeight="1">
      <c r="A877" s="89"/>
      <c r="B877" s="89"/>
      <c r="C877" s="89"/>
      <c r="E877" s="89"/>
      <c r="F877" s="89"/>
    </row>
    <row r="878" ht="12.75" customHeight="1">
      <c r="A878" s="89"/>
      <c r="B878" s="89"/>
      <c r="C878" s="89"/>
      <c r="E878" s="89"/>
      <c r="F878" s="89"/>
    </row>
    <row r="879" ht="12.75" customHeight="1">
      <c r="A879" s="89"/>
      <c r="B879" s="89"/>
      <c r="C879" s="89"/>
      <c r="E879" s="89"/>
      <c r="F879" s="89"/>
    </row>
    <row r="880" ht="12.75" customHeight="1">
      <c r="A880" s="89"/>
      <c r="B880" s="89"/>
      <c r="C880" s="89"/>
      <c r="E880" s="89"/>
      <c r="F880" s="89"/>
    </row>
    <row r="881" ht="12.75" customHeight="1">
      <c r="A881" s="89"/>
      <c r="B881" s="89"/>
      <c r="C881" s="89"/>
      <c r="E881" s="89"/>
      <c r="F881" s="89"/>
    </row>
    <row r="882" ht="12.75" customHeight="1">
      <c r="A882" s="89"/>
      <c r="B882" s="89"/>
      <c r="C882" s="89"/>
      <c r="E882" s="89"/>
      <c r="F882" s="89"/>
    </row>
    <row r="883" ht="12.75" customHeight="1">
      <c r="A883" s="89"/>
      <c r="B883" s="89"/>
      <c r="C883" s="89"/>
      <c r="E883" s="89"/>
      <c r="F883" s="89"/>
    </row>
    <row r="884" ht="12.75" customHeight="1">
      <c r="A884" s="89"/>
      <c r="B884" s="89"/>
      <c r="C884" s="89"/>
      <c r="E884" s="89"/>
      <c r="F884" s="89"/>
    </row>
    <row r="885" ht="12.75" customHeight="1">
      <c r="A885" s="89"/>
      <c r="B885" s="89"/>
      <c r="C885" s="89"/>
      <c r="E885" s="89"/>
      <c r="F885" s="89"/>
    </row>
    <row r="886" ht="12.75" customHeight="1">
      <c r="A886" s="89"/>
      <c r="B886" s="89"/>
      <c r="C886" s="89"/>
      <c r="E886" s="89"/>
      <c r="F886" s="89"/>
    </row>
    <row r="887" ht="12.75" customHeight="1">
      <c r="A887" s="89"/>
      <c r="B887" s="89"/>
      <c r="C887" s="89"/>
      <c r="E887" s="89"/>
      <c r="F887" s="89"/>
    </row>
    <row r="888" ht="12.75" customHeight="1">
      <c r="A888" s="89"/>
      <c r="B888" s="89"/>
      <c r="C888" s="89"/>
      <c r="E888" s="89"/>
      <c r="F888" s="89"/>
    </row>
    <row r="889" ht="12.75" customHeight="1">
      <c r="A889" s="89"/>
      <c r="B889" s="89"/>
      <c r="C889" s="89"/>
      <c r="E889" s="89"/>
      <c r="F889" s="89"/>
    </row>
    <row r="890" ht="12.75" customHeight="1">
      <c r="A890" s="89"/>
      <c r="B890" s="89"/>
      <c r="C890" s="89"/>
      <c r="E890" s="89"/>
      <c r="F890" s="89"/>
    </row>
    <row r="891" ht="12.75" customHeight="1">
      <c r="A891" s="89"/>
      <c r="B891" s="89"/>
      <c r="C891" s="89"/>
      <c r="E891" s="89"/>
      <c r="F891" s="89"/>
    </row>
    <row r="892" ht="12.75" customHeight="1">
      <c r="A892" s="89"/>
      <c r="B892" s="89"/>
      <c r="C892" s="89"/>
      <c r="E892" s="89"/>
      <c r="F892" s="89"/>
    </row>
    <row r="893" ht="12.75" customHeight="1">
      <c r="A893" s="89"/>
      <c r="B893" s="89"/>
      <c r="C893" s="89"/>
      <c r="E893" s="89"/>
      <c r="F893" s="89"/>
    </row>
    <row r="894" ht="12.75" customHeight="1">
      <c r="A894" s="89"/>
      <c r="B894" s="89"/>
      <c r="C894" s="89"/>
      <c r="E894" s="89"/>
      <c r="F894" s="89"/>
    </row>
    <row r="895" ht="12.75" customHeight="1">
      <c r="A895" s="89"/>
      <c r="B895" s="89"/>
      <c r="C895" s="89"/>
      <c r="E895" s="89"/>
      <c r="F895" s="89"/>
    </row>
    <row r="896" ht="12.75" customHeight="1">
      <c r="A896" s="89"/>
      <c r="B896" s="89"/>
      <c r="C896" s="89"/>
      <c r="E896" s="89"/>
      <c r="F896" s="89"/>
    </row>
    <row r="897" ht="12.75" customHeight="1">
      <c r="A897" s="89"/>
      <c r="B897" s="89"/>
      <c r="C897" s="89"/>
      <c r="E897" s="89"/>
      <c r="F897" s="89"/>
    </row>
    <row r="898" ht="12.75" customHeight="1">
      <c r="A898" s="89"/>
      <c r="B898" s="89"/>
      <c r="C898" s="89"/>
      <c r="E898" s="89"/>
      <c r="F898" s="89"/>
    </row>
    <row r="899" ht="12.75" customHeight="1">
      <c r="A899" s="89"/>
      <c r="B899" s="89"/>
      <c r="C899" s="89"/>
      <c r="E899" s="89"/>
      <c r="F899" s="89"/>
    </row>
    <row r="900" ht="12.75" customHeight="1">
      <c r="A900" s="89"/>
      <c r="B900" s="89"/>
      <c r="C900" s="89"/>
      <c r="E900" s="89"/>
      <c r="F900" s="89"/>
    </row>
    <row r="901" ht="12.75" customHeight="1">
      <c r="A901" s="89"/>
      <c r="B901" s="89"/>
      <c r="C901" s="89"/>
      <c r="E901" s="89"/>
      <c r="F901" s="89"/>
    </row>
    <row r="902" ht="12.75" customHeight="1">
      <c r="A902" s="89"/>
      <c r="B902" s="89"/>
      <c r="C902" s="89"/>
      <c r="E902" s="89"/>
      <c r="F902" s="89"/>
    </row>
    <row r="903" ht="12.75" customHeight="1">
      <c r="A903" s="89"/>
      <c r="B903" s="89"/>
      <c r="C903" s="89"/>
      <c r="E903" s="89"/>
      <c r="F903" s="89"/>
    </row>
    <row r="904" ht="12.75" customHeight="1">
      <c r="A904" s="89"/>
      <c r="B904" s="89"/>
      <c r="C904" s="89"/>
      <c r="E904" s="89"/>
      <c r="F904" s="89"/>
    </row>
    <row r="905" ht="12.75" customHeight="1">
      <c r="A905" s="89"/>
      <c r="B905" s="89"/>
      <c r="C905" s="89"/>
      <c r="E905" s="89"/>
      <c r="F905" s="89"/>
    </row>
    <row r="906" ht="12.75" customHeight="1">
      <c r="A906" s="89"/>
      <c r="B906" s="89"/>
      <c r="C906" s="89"/>
      <c r="E906" s="89"/>
      <c r="F906" s="89"/>
    </row>
    <row r="907" ht="12.75" customHeight="1">
      <c r="A907" s="89"/>
      <c r="B907" s="89"/>
      <c r="C907" s="89"/>
      <c r="E907" s="89"/>
      <c r="F907" s="89"/>
    </row>
    <row r="908" ht="12.75" customHeight="1">
      <c r="A908" s="89"/>
      <c r="B908" s="89"/>
      <c r="C908" s="89"/>
      <c r="E908" s="89"/>
      <c r="F908" s="89"/>
    </row>
    <row r="909" ht="12.75" customHeight="1">
      <c r="A909" s="89"/>
      <c r="B909" s="89"/>
      <c r="C909" s="89"/>
      <c r="E909" s="89"/>
      <c r="F909" s="89"/>
    </row>
    <row r="910" ht="12.75" customHeight="1">
      <c r="A910" s="89"/>
      <c r="B910" s="89"/>
      <c r="C910" s="89"/>
      <c r="E910" s="89"/>
      <c r="F910" s="89"/>
    </row>
    <row r="911" ht="12.75" customHeight="1">
      <c r="A911" s="89"/>
      <c r="B911" s="89"/>
      <c r="C911" s="89"/>
      <c r="E911" s="89"/>
      <c r="F911" s="89"/>
    </row>
    <row r="912" ht="12.75" customHeight="1">
      <c r="A912" s="89"/>
      <c r="B912" s="89"/>
      <c r="C912" s="89"/>
      <c r="E912" s="89"/>
      <c r="F912" s="89"/>
    </row>
    <row r="913" ht="12.75" customHeight="1">
      <c r="A913" s="89"/>
      <c r="B913" s="89"/>
      <c r="C913" s="89"/>
      <c r="E913" s="89"/>
      <c r="F913" s="89"/>
    </row>
    <row r="914" ht="12.75" customHeight="1">
      <c r="A914" s="89"/>
      <c r="B914" s="89"/>
      <c r="C914" s="89"/>
      <c r="E914" s="89"/>
      <c r="F914" s="89"/>
    </row>
    <row r="915" ht="12.75" customHeight="1">
      <c r="A915" s="89"/>
      <c r="B915" s="89"/>
      <c r="C915" s="89"/>
      <c r="E915" s="89"/>
      <c r="F915" s="89"/>
    </row>
    <row r="916" ht="12.75" customHeight="1">
      <c r="A916" s="89"/>
      <c r="B916" s="89"/>
      <c r="C916" s="89"/>
      <c r="E916" s="89"/>
      <c r="F916" s="89"/>
    </row>
    <row r="917" ht="12.75" customHeight="1">
      <c r="A917" s="89"/>
      <c r="B917" s="89"/>
      <c r="C917" s="89"/>
      <c r="E917" s="89"/>
      <c r="F917" s="89"/>
    </row>
    <row r="918" ht="12.75" customHeight="1">
      <c r="A918" s="89"/>
      <c r="B918" s="89"/>
      <c r="C918" s="89"/>
      <c r="E918" s="89"/>
      <c r="F918" s="89"/>
    </row>
    <row r="919" ht="12.75" customHeight="1">
      <c r="A919" s="89"/>
      <c r="B919" s="89"/>
      <c r="C919" s="89"/>
      <c r="E919" s="89"/>
      <c r="F919" s="89"/>
    </row>
    <row r="920" ht="12.75" customHeight="1">
      <c r="A920" s="89"/>
      <c r="B920" s="89"/>
      <c r="C920" s="89"/>
      <c r="E920" s="89"/>
      <c r="F920" s="89"/>
    </row>
    <row r="921" ht="12.75" customHeight="1">
      <c r="A921" s="89"/>
      <c r="B921" s="89"/>
      <c r="C921" s="89"/>
      <c r="E921" s="89"/>
      <c r="F921" s="89"/>
    </row>
    <row r="922" ht="12.75" customHeight="1">
      <c r="A922" s="89"/>
      <c r="B922" s="89"/>
      <c r="C922" s="89"/>
      <c r="E922" s="89"/>
      <c r="F922" s="89"/>
    </row>
    <row r="923" ht="12.75" customHeight="1">
      <c r="A923" s="89"/>
      <c r="B923" s="89"/>
      <c r="C923" s="89"/>
      <c r="E923" s="89"/>
      <c r="F923" s="89"/>
    </row>
    <row r="924" ht="12.75" customHeight="1">
      <c r="A924" s="89"/>
      <c r="B924" s="89"/>
      <c r="C924" s="89"/>
      <c r="E924" s="89"/>
      <c r="F924" s="89"/>
    </row>
    <row r="925" ht="12.75" customHeight="1">
      <c r="A925" s="89"/>
      <c r="B925" s="89"/>
      <c r="C925" s="89"/>
      <c r="E925" s="89"/>
      <c r="F925" s="89"/>
    </row>
    <row r="926" ht="12.75" customHeight="1">
      <c r="A926" s="89"/>
      <c r="B926" s="89"/>
      <c r="C926" s="89"/>
      <c r="E926" s="89"/>
      <c r="F926" s="89"/>
    </row>
    <row r="927" ht="12.75" customHeight="1">
      <c r="A927" s="89"/>
      <c r="B927" s="89"/>
      <c r="C927" s="89"/>
      <c r="E927" s="89"/>
      <c r="F927" s="89"/>
    </row>
    <row r="928" ht="12.75" customHeight="1">
      <c r="A928" s="89"/>
      <c r="B928" s="89"/>
      <c r="C928" s="89"/>
      <c r="E928" s="89"/>
      <c r="F928" s="89"/>
    </row>
    <row r="929" ht="12.75" customHeight="1">
      <c r="A929" s="89"/>
      <c r="B929" s="89"/>
      <c r="C929" s="89"/>
      <c r="E929" s="89"/>
      <c r="F929" s="89"/>
    </row>
    <row r="930" ht="12.75" customHeight="1">
      <c r="A930" s="89"/>
      <c r="B930" s="89"/>
      <c r="C930" s="89"/>
      <c r="E930" s="89"/>
      <c r="F930" s="89"/>
    </row>
    <row r="931" ht="12.75" customHeight="1">
      <c r="A931" s="89"/>
      <c r="B931" s="89"/>
      <c r="C931" s="89"/>
      <c r="E931" s="89"/>
      <c r="F931" s="89"/>
    </row>
    <row r="932" ht="12.75" customHeight="1">
      <c r="A932" s="89"/>
      <c r="B932" s="89"/>
      <c r="C932" s="89"/>
      <c r="E932" s="89"/>
      <c r="F932" s="89"/>
    </row>
    <row r="933" ht="12.75" customHeight="1">
      <c r="A933" s="89"/>
      <c r="B933" s="89"/>
      <c r="C933" s="89"/>
      <c r="E933" s="89"/>
      <c r="F933" s="89"/>
    </row>
    <row r="934" ht="12.75" customHeight="1">
      <c r="A934" s="89"/>
      <c r="B934" s="89"/>
      <c r="C934" s="89"/>
      <c r="E934" s="89"/>
      <c r="F934" s="89"/>
    </row>
    <row r="935" ht="12.75" customHeight="1">
      <c r="A935" s="89"/>
      <c r="B935" s="89"/>
      <c r="C935" s="89"/>
      <c r="E935" s="89"/>
      <c r="F935" s="89"/>
    </row>
    <row r="936" ht="12.75" customHeight="1">
      <c r="A936" s="89"/>
      <c r="B936" s="89"/>
      <c r="C936" s="89"/>
      <c r="E936" s="89"/>
      <c r="F936" s="89"/>
    </row>
    <row r="937" ht="12.75" customHeight="1">
      <c r="A937" s="89"/>
      <c r="B937" s="89"/>
      <c r="C937" s="89"/>
      <c r="E937" s="89"/>
      <c r="F937" s="89"/>
    </row>
    <row r="938" ht="12.75" customHeight="1">
      <c r="A938" s="89"/>
      <c r="B938" s="89"/>
      <c r="C938" s="89"/>
      <c r="E938" s="89"/>
      <c r="F938" s="89"/>
    </row>
    <row r="939" ht="12.75" customHeight="1">
      <c r="A939" s="89"/>
      <c r="B939" s="89"/>
      <c r="C939" s="89"/>
      <c r="E939" s="89"/>
      <c r="F939" s="89"/>
    </row>
    <row r="940" ht="12.75" customHeight="1">
      <c r="A940" s="89"/>
      <c r="B940" s="89"/>
      <c r="C940" s="89"/>
      <c r="E940" s="89"/>
      <c r="F940" s="89"/>
    </row>
    <row r="941" ht="12.75" customHeight="1">
      <c r="A941" s="89"/>
      <c r="B941" s="89"/>
      <c r="C941" s="89"/>
      <c r="E941" s="89"/>
      <c r="F941" s="89"/>
    </row>
    <row r="942" ht="12.75" customHeight="1">
      <c r="A942" s="89"/>
      <c r="B942" s="89"/>
      <c r="C942" s="89"/>
      <c r="E942" s="89"/>
      <c r="F942" s="89"/>
    </row>
    <row r="943" ht="12.75" customHeight="1">
      <c r="A943" s="89"/>
      <c r="B943" s="89"/>
      <c r="C943" s="89"/>
      <c r="E943" s="89"/>
      <c r="F943" s="89"/>
    </row>
    <row r="944" ht="12.75" customHeight="1">
      <c r="A944" s="89"/>
      <c r="B944" s="89"/>
      <c r="C944" s="89"/>
      <c r="E944" s="89"/>
      <c r="F944" s="89"/>
    </row>
    <row r="945" ht="12.75" customHeight="1">
      <c r="A945" s="89"/>
      <c r="B945" s="89"/>
      <c r="C945" s="89"/>
      <c r="E945" s="89"/>
      <c r="F945" s="89"/>
    </row>
    <row r="946" ht="12.75" customHeight="1">
      <c r="A946" s="89"/>
      <c r="B946" s="89"/>
      <c r="C946" s="89"/>
      <c r="E946" s="89"/>
      <c r="F946" s="89"/>
    </row>
    <row r="947" ht="12.75" customHeight="1">
      <c r="A947" s="89"/>
      <c r="B947" s="89"/>
      <c r="C947" s="89"/>
      <c r="E947" s="89"/>
      <c r="F947" s="89"/>
    </row>
    <row r="948" ht="12.75" customHeight="1">
      <c r="A948" s="89"/>
      <c r="B948" s="89"/>
      <c r="C948" s="89"/>
      <c r="E948" s="89"/>
      <c r="F948" s="89"/>
    </row>
    <row r="949" ht="12.75" customHeight="1">
      <c r="A949" s="89"/>
      <c r="B949" s="89"/>
      <c r="C949" s="89"/>
      <c r="E949" s="89"/>
      <c r="F949" s="89"/>
    </row>
    <row r="950" ht="12.75" customHeight="1">
      <c r="A950" s="89"/>
      <c r="B950" s="89"/>
      <c r="C950" s="89"/>
      <c r="E950" s="89"/>
      <c r="F950" s="89"/>
    </row>
    <row r="951" ht="12.75" customHeight="1">
      <c r="A951" s="89"/>
      <c r="B951" s="89"/>
      <c r="C951" s="89"/>
      <c r="E951" s="89"/>
      <c r="F951" s="89"/>
    </row>
    <row r="952" ht="12.75" customHeight="1">
      <c r="A952" s="89"/>
      <c r="B952" s="89"/>
      <c r="C952" s="89"/>
      <c r="E952" s="89"/>
      <c r="F952" s="89"/>
    </row>
    <row r="953" ht="12.75" customHeight="1">
      <c r="A953" s="89"/>
      <c r="B953" s="89"/>
      <c r="C953" s="89"/>
      <c r="E953" s="89"/>
      <c r="F953" s="89"/>
    </row>
    <row r="954" ht="12.75" customHeight="1">
      <c r="A954" s="89"/>
      <c r="B954" s="89"/>
      <c r="C954" s="89"/>
      <c r="E954" s="89"/>
      <c r="F954" s="89"/>
    </row>
    <row r="955" ht="12.75" customHeight="1">
      <c r="A955" s="89"/>
      <c r="B955" s="89"/>
      <c r="C955" s="89"/>
      <c r="E955" s="89"/>
      <c r="F955" s="89"/>
    </row>
    <row r="956" ht="12.75" customHeight="1">
      <c r="A956" s="89"/>
      <c r="B956" s="89"/>
      <c r="C956" s="89"/>
      <c r="E956" s="89"/>
      <c r="F956" s="89"/>
    </row>
    <row r="957" ht="12.75" customHeight="1">
      <c r="A957" s="89"/>
      <c r="B957" s="89"/>
      <c r="C957" s="89"/>
      <c r="E957" s="89"/>
      <c r="F957" s="89"/>
    </row>
    <row r="958" ht="12.75" customHeight="1">
      <c r="A958" s="89"/>
      <c r="B958" s="89"/>
      <c r="C958" s="89"/>
      <c r="E958" s="89"/>
      <c r="F958" s="89"/>
    </row>
    <row r="959" ht="12.75" customHeight="1">
      <c r="A959" s="89"/>
      <c r="B959" s="89"/>
      <c r="C959" s="89"/>
      <c r="E959" s="89"/>
      <c r="F959" s="89"/>
    </row>
    <row r="960" ht="12.75" customHeight="1">
      <c r="A960" s="89"/>
      <c r="B960" s="89"/>
      <c r="C960" s="89"/>
      <c r="E960" s="89"/>
      <c r="F960" s="89"/>
    </row>
    <row r="961" ht="12.75" customHeight="1">
      <c r="A961" s="89"/>
      <c r="B961" s="89"/>
      <c r="C961" s="89"/>
      <c r="E961" s="89"/>
      <c r="F961" s="89"/>
    </row>
    <row r="962" ht="12.75" customHeight="1">
      <c r="A962" s="89"/>
      <c r="B962" s="89"/>
      <c r="C962" s="89"/>
      <c r="E962" s="89"/>
      <c r="F962" s="89"/>
    </row>
    <row r="963" ht="12.75" customHeight="1">
      <c r="A963" s="89"/>
      <c r="B963" s="89"/>
      <c r="C963" s="89"/>
      <c r="E963" s="89"/>
      <c r="F963" s="89"/>
    </row>
    <row r="964" ht="12.75" customHeight="1">
      <c r="A964" s="89"/>
      <c r="B964" s="89"/>
      <c r="C964" s="89"/>
      <c r="E964" s="89"/>
      <c r="F964" s="89"/>
    </row>
    <row r="965" ht="12.75" customHeight="1">
      <c r="A965" s="89"/>
      <c r="B965" s="89"/>
      <c r="C965" s="89"/>
      <c r="E965" s="89"/>
      <c r="F965" s="89"/>
    </row>
    <row r="966" ht="12.75" customHeight="1">
      <c r="A966" s="89"/>
      <c r="B966" s="89"/>
      <c r="C966" s="89"/>
      <c r="E966" s="89"/>
      <c r="F966" s="89"/>
    </row>
    <row r="967" ht="12.75" customHeight="1">
      <c r="A967" s="89"/>
      <c r="B967" s="89"/>
      <c r="C967" s="89"/>
      <c r="E967" s="89"/>
      <c r="F967" s="89"/>
    </row>
    <row r="968" ht="12.75" customHeight="1">
      <c r="A968" s="89"/>
      <c r="B968" s="89"/>
      <c r="C968" s="89"/>
      <c r="E968" s="89"/>
      <c r="F968" s="89"/>
    </row>
    <row r="969" ht="12.75" customHeight="1">
      <c r="A969" s="89"/>
      <c r="B969" s="89"/>
      <c r="C969" s="89"/>
      <c r="E969" s="89"/>
      <c r="F969" s="89"/>
    </row>
    <row r="970" ht="12.75" customHeight="1">
      <c r="A970" s="89"/>
      <c r="B970" s="89"/>
      <c r="C970" s="89"/>
      <c r="E970" s="89"/>
      <c r="F970" s="89"/>
    </row>
    <row r="971" ht="12.75" customHeight="1">
      <c r="A971" s="89"/>
      <c r="B971" s="89"/>
      <c r="C971" s="89"/>
      <c r="E971" s="89"/>
      <c r="F971" s="89"/>
    </row>
    <row r="972" ht="12.75" customHeight="1">
      <c r="A972" s="89"/>
      <c r="B972" s="89"/>
      <c r="C972" s="89"/>
      <c r="E972" s="89"/>
      <c r="F972" s="89"/>
    </row>
    <row r="973" ht="12.75" customHeight="1">
      <c r="A973" s="89"/>
      <c r="B973" s="89"/>
      <c r="C973" s="89"/>
      <c r="E973" s="89"/>
      <c r="F973" s="89"/>
    </row>
    <row r="974" ht="12.75" customHeight="1">
      <c r="A974" s="89"/>
      <c r="B974" s="89"/>
      <c r="C974" s="89"/>
      <c r="E974" s="89"/>
      <c r="F974" s="89"/>
    </row>
    <row r="975" ht="12.75" customHeight="1">
      <c r="A975" s="89"/>
      <c r="B975" s="89"/>
      <c r="C975" s="89"/>
      <c r="E975" s="89"/>
      <c r="F975" s="89"/>
    </row>
    <row r="976" ht="12.75" customHeight="1">
      <c r="A976" s="89"/>
      <c r="B976" s="89"/>
      <c r="C976" s="89"/>
      <c r="E976" s="89"/>
      <c r="F976" s="89"/>
    </row>
    <row r="977" ht="12.75" customHeight="1">
      <c r="A977" s="89"/>
      <c r="B977" s="89"/>
      <c r="C977" s="89"/>
      <c r="E977" s="89"/>
      <c r="F977" s="89"/>
    </row>
    <row r="978" ht="12.75" customHeight="1">
      <c r="A978" s="89"/>
      <c r="B978" s="89"/>
      <c r="C978" s="89"/>
      <c r="E978" s="89"/>
      <c r="F978" s="89"/>
    </row>
    <row r="979" ht="12.75" customHeight="1">
      <c r="A979" s="89"/>
      <c r="B979" s="89"/>
      <c r="C979" s="89"/>
      <c r="E979" s="89"/>
      <c r="F979" s="89"/>
    </row>
    <row r="980" ht="12.75" customHeight="1">
      <c r="A980" s="89"/>
      <c r="B980" s="89"/>
      <c r="C980" s="89"/>
      <c r="E980" s="89"/>
      <c r="F980" s="89"/>
    </row>
    <row r="981" ht="12.75" customHeight="1">
      <c r="A981" s="89"/>
      <c r="B981" s="89"/>
      <c r="C981" s="89"/>
      <c r="E981" s="89"/>
      <c r="F981" s="89"/>
    </row>
    <row r="982" ht="12.75" customHeight="1">
      <c r="A982" s="89"/>
      <c r="B982" s="89"/>
      <c r="C982" s="89"/>
      <c r="E982" s="89"/>
      <c r="F982" s="89"/>
    </row>
    <row r="983" ht="12.75" customHeight="1">
      <c r="A983" s="89"/>
      <c r="B983" s="89"/>
      <c r="C983" s="89"/>
      <c r="E983" s="89"/>
      <c r="F983" s="89"/>
    </row>
    <row r="984" ht="12.75" customHeight="1">
      <c r="A984" s="89"/>
      <c r="B984" s="89"/>
      <c r="C984" s="89"/>
      <c r="E984" s="89"/>
      <c r="F984" s="89"/>
    </row>
    <row r="985" ht="12.75" customHeight="1">
      <c r="A985" s="89"/>
      <c r="B985" s="89"/>
      <c r="C985" s="89"/>
      <c r="E985" s="89"/>
      <c r="F985" s="89"/>
    </row>
    <row r="986" ht="12.75" customHeight="1">
      <c r="A986" s="89"/>
      <c r="B986" s="89"/>
      <c r="C986" s="89"/>
      <c r="E986" s="89"/>
      <c r="F986" s="89"/>
    </row>
    <row r="987" ht="12.75" customHeight="1">
      <c r="A987" s="89"/>
      <c r="B987" s="89"/>
      <c r="C987" s="89"/>
      <c r="E987" s="89"/>
      <c r="F987" s="89"/>
    </row>
    <row r="988" ht="12.75" customHeight="1">
      <c r="A988" s="89"/>
      <c r="B988" s="89"/>
      <c r="C988" s="89"/>
      <c r="E988" s="89"/>
      <c r="F988" s="89"/>
    </row>
    <row r="989" ht="12.75" customHeight="1">
      <c r="A989" s="89"/>
      <c r="B989" s="89"/>
      <c r="C989" s="89"/>
      <c r="E989" s="89"/>
      <c r="F989" s="89"/>
    </row>
    <row r="990" ht="12.75" customHeight="1">
      <c r="A990" s="89"/>
      <c r="B990" s="89"/>
      <c r="C990" s="89"/>
      <c r="E990" s="89"/>
      <c r="F990" s="89"/>
    </row>
    <row r="991" ht="12.75" customHeight="1">
      <c r="A991" s="89"/>
      <c r="B991" s="89"/>
      <c r="C991" s="89"/>
      <c r="E991" s="89"/>
      <c r="F991" s="89"/>
    </row>
    <row r="992" ht="12.75" customHeight="1">
      <c r="A992" s="89"/>
      <c r="B992" s="89"/>
      <c r="C992" s="89"/>
      <c r="E992" s="89"/>
      <c r="F992" s="89"/>
    </row>
    <row r="993" ht="12.75" customHeight="1">
      <c r="A993" s="89"/>
      <c r="B993" s="89"/>
      <c r="C993" s="89"/>
      <c r="E993" s="89"/>
      <c r="F993" s="89"/>
    </row>
    <row r="994" ht="12.75" customHeight="1">
      <c r="A994" s="89"/>
      <c r="B994" s="89"/>
      <c r="C994" s="89"/>
      <c r="E994" s="89"/>
      <c r="F994" s="89"/>
    </row>
    <row r="995" ht="12.75" customHeight="1">
      <c r="A995" s="89"/>
      <c r="B995" s="89"/>
      <c r="C995" s="89"/>
      <c r="E995" s="89"/>
      <c r="F995" s="89"/>
    </row>
    <row r="996" ht="12.75" customHeight="1">
      <c r="A996" s="89"/>
      <c r="B996" s="89"/>
      <c r="C996" s="89"/>
      <c r="E996" s="89"/>
      <c r="F996" s="89"/>
    </row>
    <row r="997" ht="12.75" customHeight="1">
      <c r="A997" s="89"/>
      <c r="B997" s="89"/>
      <c r="C997" s="89"/>
      <c r="E997" s="89"/>
      <c r="F997" s="89"/>
    </row>
    <row r="998" ht="12.75" customHeight="1">
      <c r="A998" s="89"/>
      <c r="B998" s="89"/>
      <c r="C998" s="89"/>
      <c r="E998" s="89"/>
      <c r="F998" s="89"/>
    </row>
    <row r="999" ht="12.75" customHeight="1">
      <c r="A999" s="89"/>
      <c r="B999" s="89"/>
      <c r="C999" s="89"/>
      <c r="E999" s="89"/>
      <c r="F999" s="89"/>
    </row>
    <row r="1000" ht="12.75" customHeight="1">
      <c r="A1000" s="89"/>
      <c r="B1000" s="89"/>
      <c r="C1000" s="89"/>
      <c r="E1000" s="89"/>
      <c r="F1000" s="89"/>
    </row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38"/>
    <col customWidth="1" min="7" max="26" width="10.63"/>
  </cols>
  <sheetData>
    <row r="1" ht="12.75" customHeight="1">
      <c r="A1" s="65" t="s">
        <v>3390</v>
      </c>
      <c r="B1" s="53" t="s">
        <v>3391</v>
      </c>
      <c r="C1" s="53" t="s">
        <v>3392</v>
      </c>
      <c r="D1" s="53" t="s">
        <v>3393</v>
      </c>
      <c r="E1" s="67"/>
      <c r="F1" s="67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B2" s="59"/>
      <c r="C2" s="59"/>
      <c r="D2" s="59"/>
      <c r="E2" s="59"/>
      <c r="F2" s="5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 t="s">
        <v>3394</v>
      </c>
      <c r="B3" s="59">
        <v>1117660.0</v>
      </c>
      <c r="C3" s="59">
        <v>930815.0</v>
      </c>
      <c r="D3" s="59">
        <f t="shared" ref="D3:D6" si="1">B3-C3</f>
        <v>186845</v>
      </c>
      <c r="E3" s="59"/>
      <c r="F3" s="59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37" t="s">
        <v>3395</v>
      </c>
      <c r="B4" s="59">
        <v>1658610.0</v>
      </c>
      <c r="C4" s="59">
        <v>1443809.0</v>
      </c>
      <c r="D4" s="59">
        <f t="shared" si="1"/>
        <v>214801</v>
      </c>
      <c r="E4" s="59"/>
      <c r="F4" s="59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7" t="s">
        <v>3396</v>
      </c>
      <c r="B5" s="59">
        <v>1541160.0</v>
      </c>
      <c r="C5" s="59">
        <v>1149229.0</v>
      </c>
      <c r="D5" s="59">
        <f t="shared" si="1"/>
        <v>391931</v>
      </c>
      <c r="E5" s="59"/>
      <c r="F5" s="59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7" t="s">
        <v>3397</v>
      </c>
      <c r="B6" s="59">
        <v>3105460.0</v>
      </c>
      <c r="C6" s="59">
        <v>2122253.0</v>
      </c>
      <c r="D6" s="59">
        <f t="shared" si="1"/>
        <v>983207</v>
      </c>
      <c r="E6" s="59"/>
      <c r="F6" s="59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59"/>
      <c r="C7" s="59"/>
      <c r="D7" s="59"/>
      <c r="E7" s="59"/>
      <c r="F7" s="5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65"/>
      <c r="B8" s="67">
        <f t="shared" ref="B8:D8" si="2">SUM(B3:B6)</f>
        <v>7422890</v>
      </c>
      <c r="C8" s="67">
        <f t="shared" si="2"/>
        <v>5646106</v>
      </c>
      <c r="D8" s="67">
        <f t="shared" si="2"/>
        <v>1776784</v>
      </c>
      <c r="E8" s="67"/>
      <c r="F8" s="67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37"/>
      <c r="B9" s="59"/>
      <c r="C9" s="59"/>
      <c r="D9" s="59"/>
      <c r="E9" s="59"/>
      <c r="F9" s="59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37"/>
      <c r="B10" s="59"/>
      <c r="C10" s="59"/>
      <c r="D10" s="59"/>
      <c r="E10" s="59"/>
      <c r="F10" s="59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65" t="s">
        <v>3398</v>
      </c>
      <c r="B11" s="53" t="s">
        <v>3391</v>
      </c>
      <c r="C11" s="53" t="s">
        <v>3392</v>
      </c>
      <c r="D11" s="53" t="s">
        <v>3393</v>
      </c>
      <c r="E11" s="59"/>
      <c r="F11" s="59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37"/>
      <c r="B12" s="59"/>
      <c r="C12" s="59"/>
      <c r="D12" s="59"/>
      <c r="E12" s="59"/>
      <c r="F12" s="5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37" t="s">
        <v>3399</v>
      </c>
      <c r="B13" s="59"/>
      <c r="C13" s="59"/>
      <c r="D13" s="59"/>
      <c r="E13" s="59"/>
      <c r="F13" s="59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37" t="s">
        <v>3400</v>
      </c>
      <c r="B14" s="59"/>
      <c r="C14" s="59"/>
      <c r="D14" s="59"/>
      <c r="E14" s="59"/>
      <c r="F14" s="59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37" t="s">
        <v>3401</v>
      </c>
      <c r="B15" s="59"/>
      <c r="C15" s="59"/>
      <c r="D15" s="59"/>
      <c r="E15" s="59"/>
      <c r="F15" s="59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37" t="s">
        <v>3402</v>
      </c>
      <c r="B16" s="59"/>
      <c r="C16" s="59"/>
      <c r="D16" s="59"/>
      <c r="E16" s="59"/>
      <c r="F16" s="59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37" t="s">
        <v>3403</v>
      </c>
      <c r="B17" s="59"/>
      <c r="C17" s="59"/>
      <c r="D17" s="59"/>
      <c r="E17" s="59"/>
      <c r="F17" s="59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 t="s">
        <v>3404</v>
      </c>
      <c r="B18" s="59"/>
      <c r="C18" s="59"/>
      <c r="D18" s="59"/>
      <c r="E18" s="59"/>
      <c r="F18" s="5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 t="s">
        <v>3405</v>
      </c>
      <c r="B19" s="59"/>
      <c r="C19" s="59"/>
      <c r="D19" s="59"/>
      <c r="E19" s="59"/>
      <c r="F19" s="59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 t="s">
        <v>3406</v>
      </c>
      <c r="B20" s="59"/>
      <c r="C20" s="59"/>
      <c r="D20" s="59"/>
      <c r="E20" s="59"/>
      <c r="F20" s="59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 t="s">
        <v>3394</v>
      </c>
      <c r="B21" s="59"/>
      <c r="C21" s="59"/>
      <c r="D21" s="59"/>
      <c r="E21" s="59"/>
      <c r="F21" s="59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 t="s">
        <v>3395</v>
      </c>
      <c r="B22" s="59"/>
      <c r="C22" s="59"/>
      <c r="D22" s="59"/>
      <c r="E22" s="59"/>
      <c r="F22" s="5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37" t="s">
        <v>3396</v>
      </c>
      <c r="B23" s="59"/>
      <c r="C23" s="59"/>
      <c r="D23" s="59"/>
      <c r="E23" s="59"/>
      <c r="F23" s="59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37" t="s">
        <v>3397</v>
      </c>
      <c r="B24" s="59"/>
      <c r="C24" s="59"/>
      <c r="D24" s="59"/>
      <c r="E24" s="59"/>
      <c r="F24" s="59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59"/>
      <c r="C25" s="59"/>
      <c r="D25" s="59"/>
      <c r="E25" s="59"/>
      <c r="F25" s="59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59"/>
      <c r="C26" s="59"/>
      <c r="D26" s="59"/>
      <c r="E26" s="59"/>
      <c r="F26" s="59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59"/>
      <c r="C27" s="59"/>
      <c r="D27" s="59"/>
      <c r="E27" s="59"/>
      <c r="F27" s="59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59"/>
      <c r="C28" s="59"/>
      <c r="D28" s="59"/>
      <c r="E28" s="59"/>
      <c r="F28" s="59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59"/>
      <c r="C29" s="59"/>
      <c r="D29" s="59"/>
      <c r="E29" s="59"/>
      <c r="F29" s="59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59"/>
      <c r="C30" s="59"/>
      <c r="D30" s="59"/>
      <c r="E30" s="59"/>
      <c r="F30" s="59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59"/>
      <c r="C31" s="59"/>
      <c r="D31" s="59"/>
      <c r="E31" s="59"/>
      <c r="F31" s="59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59"/>
      <c r="C32" s="59"/>
      <c r="D32" s="59"/>
      <c r="E32" s="59"/>
      <c r="F32" s="59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59"/>
      <c r="C33" s="59"/>
      <c r="D33" s="59"/>
      <c r="E33" s="59"/>
      <c r="F33" s="59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59"/>
      <c r="C34" s="59"/>
      <c r="D34" s="59"/>
      <c r="E34" s="59"/>
      <c r="F34" s="59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59"/>
      <c r="C35" s="59"/>
      <c r="D35" s="59"/>
      <c r="E35" s="59"/>
      <c r="F35" s="59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59"/>
      <c r="C36" s="59"/>
      <c r="D36" s="59"/>
      <c r="E36" s="59"/>
      <c r="F36" s="59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59"/>
      <c r="C37" s="59"/>
      <c r="D37" s="59"/>
      <c r="E37" s="59"/>
      <c r="F37" s="59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59"/>
      <c r="C38" s="59"/>
      <c r="D38" s="59"/>
      <c r="E38" s="59"/>
      <c r="F38" s="59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59"/>
      <c r="C39" s="59"/>
      <c r="D39" s="59"/>
      <c r="E39" s="59"/>
      <c r="F39" s="59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59"/>
      <c r="C40" s="59"/>
      <c r="D40" s="59"/>
      <c r="E40" s="59"/>
      <c r="F40" s="59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59"/>
      <c r="C41" s="59"/>
      <c r="D41" s="59"/>
      <c r="E41" s="59"/>
      <c r="F41" s="59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59"/>
      <c r="C42" s="59"/>
      <c r="D42" s="59"/>
      <c r="E42" s="59"/>
      <c r="F42" s="59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59"/>
      <c r="C43" s="59"/>
      <c r="D43" s="59"/>
      <c r="E43" s="59"/>
      <c r="F43" s="59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59"/>
      <c r="C44" s="59"/>
      <c r="D44" s="59"/>
      <c r="E44" s="59"/>
      <c r="F44" s="59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59"/>
      <c r="C45" s="59"/>
      <c r="D45" s="59"/>
      <c r="E45" s="59"/>
      <c r="F45" s="59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59"/>
      <c r="C46" s="59"/>
      <c r="D46" s="59"/>
      <c r="E46" s="59"/>
      <c r="F46" s="59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59"/>
      <c r="C47" s="59"/>
      <c r="D47" s="59"/>
      <c r="E47" s="59"/>
      <c r="F47" s="59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59"/>
      <c r="C48" s="59"/>
      <c r="D48" s="59"/>
      <c r="E48" s="59"/>
      <c r="F48" s="59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59"/>
      <c r="C49" s="59"/>
      <c r="D49" s="59"/>
      <c r="E49" s="59"/>
      <c r="F49" s="59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59"/>
      <c r="C50" s="59"/>
      <c r="D50" s="59"/>
      <c r="E50" s="59"/>
      <c r="F50" s="59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59"/>
      <c r="C51" s="59"/>
      <c r="D51" s="59"/>
      <c r="E51" s="59"/>
      <c r="F51" s="59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59"/>
      <c r="C52" s="59"/>
      <c r="D52" s="59"/>
      <c r="E52" s="59"/>
      <c r="F52" s="59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59"/>
      <c r="C53" s="59"/>
      <c r="D53" s="59"/>
      <c r="E53" s="59"/>
      <c r="F53" s="59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59"/>
      <c r="C54" s="59"/>
      <c r="D54" s="59"/>
      <c r="E54" s="59"/>
      <c r="F54" s="59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59"/>
      <c r="C55" s="59"/>
      <c r="D55" s="59"/>
      <c r="E55" s="59"/>
      <c r="F55" s="59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59"/>
      <c r="C56" s="59"/>
      <c r="D56" s="59"/>
      <c r="E56" s="59"/>
      <c r="F56" s="59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59"/>
      <c r="C57" s="59"/>
      <c r="D57" s="59"/>
      <c r="E57" s="59"/>
      <c r="F57" s="59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59"/>
      <c r="C58" s="59"/>
      <c r="D58" s="59"/>
      <c r="E58" s="59"/>
      <c r="F58" s="59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59"/>
      <c r="C59" s="59"/>
      <c r="D59" s="59"/>
      <c r="E59" s="59"/>
      <c r="F59" s="59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59"/>
      <c r="C60" s="59"/>
      <c r="D60" s="59"/>
      <c r="E60" s="59"/>
      <c r="F60" s="59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59"/>
      <c r="C61" s="59"/>
      <c r="D61" s="59"/>
      <c r="E61" s="59"/>
      <c r="F61" s="59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59"/>
      <c r="C62" s="59"/>
      <c r="D62" s="59"/>
      <c r="E62" s="59"/>
      <c r="F62" s="59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59"/>
      <c r="C63" s="59"/>
      <c r="D63" s="59"/>
      <c r="E63" s="59"/>
      <c r="F63" s="59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59"/>
      <c r="C64" s="59"/>
      <c r="D64" s="59"/>
      <c r="E64" s="59"/>
      <c r="F64" s="59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59"/>
      <c r="C65" s="59"/>
      <c r="D65" s="59"/>
      <c r="E65" s="59"/>
      <c r="F65" s="59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59"/>
      <c r="C66" s="59"/>
      <c r="D66" s="59"/>
      <c r="E66" s="59"/>
      <c r="F66" s="59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59"/>
      <c r="C67" s="59"/>
      <c r="D67" s="59"/>
      <c r="E67" s="59"/>
      <c r="F67" s="59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59"/>
      <c r="C68" s="59"/>
      <c r="D68" s="59"/>
      <c r="E68" s="59"/>
      <c r="F68" s="59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59"/>
      <c r="C69" s="59"/>
      <c r="D69" s="59"/>
      <c r="E69" s="59"/>
      <c r="F69" s="59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59"/>
      <c r="C70" s="59"/>
      <c r="D70" s="59"/>
      <c r="E70" s="59"/>
      <c r="F70" s="59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59"/>
      <c r="C71" s="59"/>
      <c r="D71" s="59"/>
      <c r="E71" s="59"/>
      <c r="F71" s="59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59"/>
      <c r="C72" s="59"/>
      <c r="D72" s="59"/>
      <c r="E72" s="59"/>
      <c r="F72" s="59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59"/>
      <c r="C73" s="59"/>
      <c r="D73" s="59"/>
      <c r="E73" s="59"/>
      <c r="F73" s="59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59"/>
      <c r="C74" s="59"/>
      <c r="D74" s="59"/>
      <c r="E74" s="59"/>
      <c r="F74" s="59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59"/>
      <c r="C75" s="59"/>
      <c r="D75" s="59"/>
      <c r="E75" s="59"/>
      <c r="F75" s="59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59"/>
      <c r="C76" s="59"/>
      <c r="D76" s="59"/>
      <c r="E76" s="59"/>
      <c r="F76" s="59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59"/>
      <c r="C77" s="59"/>
      <c r="D77" s="59"/>
      <c r="E77" s="59"/>
      <c r="F77" s="59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59"/>
      <c r="C78" s="59"/>
      <c r="D78" s="59"/>
      <c r="E78" s="59"/>
      <c r="F78" s="59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59"/>
      <c r="C79" s="59"/>
      <c r="D79" s="59"/>
      <c r="E79" s="59"/>
      <c r="F79" s="59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59"/>
      <c r="C80" s="59"/>
      <c r="D80" s="59"/>
      <c r="E80" s="59"/>
      <c r="F80" s="59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59"/>
      <c r="C81" s="59"/>
      <c r="D81" s="59"/>
      <c r="E81" s="59"/>
      <c r="F81" s="59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59"/>
      <c r="C82" s="59"/>
      <c r="D82" s="59"/>
      <c r="E82" s="59"/>
      <c r="F82" s="59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59"/>
      <c r="C83" s="59"/>
      <c r="D83" s="59"/>
      <c r="E83" s="59"/>
      <c r="F83" s="59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59"/>
      <c r="C84" s="59"/>
      <c r="D84" s="59"/>
      <c r="E84" s="59"/>
      <c r="F84" s="59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59"/>
      <c r="C85" s="59"/>
      <c r="D85" s="59"/>
      <c r="E85" s="59"/>
      <c r="F85" s="59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59"/>
      <c r="C86" s="59"/>
      <c r="D86" s="59"/>
      <c r="E86" s="59"/>
      <c r="F86" s="59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59"/>
      <c r="C87" s="59"/>
      <c r="D87" s="59"/>
      <c r="E87" s="59"/>
      <c r="F87" s="59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59"/>
      <c r="C88" s="59"/>
      <c r="D88" s="59"/>
      <c r="E88" s="59"/>
      <c r="F88" s="59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59"/>
      <c r="C89" s="59"/>
      <c r="D89" s="59"/>
      <c r="E89" s="59"/>
      <c r="F89" s="59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59"/>
      <c r="C90" s="59"/>
      <c r="D90" s="59"/>
      <c r="E90" s="59"/>
      <c r="F90" s="59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59"/>
      <c r="C91" s="59"/>
      <c r="D91" s="59"/>
      <c r="E91" s="59"/>
      <c r="F91" s="59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59"/>
      <c r="C92" s="59"/>
      <c r="D92" s="59"/>
      <c r="E92" s="59"/>
      <c r="F92" s="59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59"/>
      <c r="C93" s="59"/>
      <c r="D93" s="59"/>
      <c r="E93" s="59"/>
      <c r="F93" s="59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59"/>
      <c r="C94" s="59"/>
      <c r="D94" s="59"/>
      <c r="E94" s="59"/>
      <c r="F94" s="59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59"/>
      <c r="C95" s="59"/>
      <c r="D95" s="59"/>
      <c r="E95" s="59"/>
      <c r="F95" s="59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59"/>
      <c r="C96" s="59"/>
      <c r="D96" s="59"/>
      <c r="E96" s="59"/>
      <c r="F96" s="59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59"/>
      <c r="C97" s="59"/>
      <c r="D97" s="59"/>
      <c r="E97" s="59"/>
      <c r="F97" s="59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59"/>
      <c r="C98" s="59"/>
      <c r="D98" s="59"/>
      <c r="E98" s="59"/>
      <c r="F98" s="59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59"/>
      <c r="C99" s="59"/>
      <c r="D99" s="59"/>
      <c r="E99" s="59"/>
      <c r="F99" s="59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59"/>
      <c r="C100" s="59"/>
      <c r="D100" s="59"/>
      <c r="E100" s="59"/>
      <c r="F100" s="59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59"/>
      <c r="C101" s="59"/>
      <c r="D101" s="59"/>
      <c r="E101" s="59"/>
      <c r="F101" s="59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59"/>
      <c r="C102" s="59"/>
      <c r="D102" s="59"/>
      <c r="E102" s="59"/>
      <c r="F102" s="59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59"/>
      <c r="C103" s="59"/>
      <c r="D103" s="59"/>
      <c r="E103" s="59"/>
      <c r="F103" s="59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59"/>
      <c r="C104" s="59"/>
      <c r="D104" s="59"/>
      <c r="E104" s="59"/>
      <c r="F104" s="59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59"/>
      <c r="C105" s="59"/>
      <c r="D105" s="59"/>
      <c r="E105" s="59"/>
      <c r="F105" s="59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59"/>
      <c r="C106" s="59"/>
      <c r="D106" s="59"/>
      <c r="E106" s="59"/>
      <c r="F106" s="59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59"/>
      <c r="C107" s="59"/>
      <c r="D107" s="59"/>
      <c r="E107" s="59"/>
      <c r="F107" s="59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59"/>
      <c r="C108" s="59"/>
      <c r="D108" s="59"/>
      <c r="E108" s="59"/>
      <c r="F108" s="59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59"/>
      <c r="C109" s="59"/>
      <c r="D109" s="59"/>
      <c r="E109" s="59"/>
      <c r="F109" s="59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59"/>
      <c r="C110" s="59"/>
      <c r="D110" s="59"/>
      <c r="E110" s="59"/>
      <c r="F110" s="59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59"/>
      <c r="C111" s="59"/>
      <c r="D111" s="59"/>
      <c r="E111" s="59"/>
      <c r="F111" s="59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59"/>
      <c r="C112" s="59"/>
      <c r="D112" s="59"/>
      <c r="E112" s="59"/>
      <c r="F112" s="59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59"/>
      <c r="C113" s="59"/>
      <c r="D113" s="59"/>
      <c r="E113" s="59"/>
      <c r="F113" s="59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59"/>
      <c r="C114" s="59"/>
      <c r="D114" s="59"/>
      <c r="E114" s="59"/>
      <c r="F114" s="59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59"/>
      <c r="C115" s="59"/>
      <c r="D115" s="59"/>
      <c r="E115" s="59"/>
      <c r="F115" s="59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59"/>
      <c r="C116" s="59"/>
      <c r="D116" s="59"/>
      <c r="E116" s="59"/>
      <c r="F116" s="59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59"/>
      <c r="C117" s="59"/>
      <c r="D117" s="59"/>
      <c r="E117" s="59"/>
      <c r="F117" s="59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59"/>
      <c r="C118" s="59"/>
      <c r="D118" s="59"/>
      <c r="E118" s="59"/>
      <c r="F118" s="59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59"/>
      <c r="C119" s="59"/>
      <c r="D119" s="59"/>
      <c r="E119" s="59"/>
      <c r="F119" s="59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59"/>
      <c r="C120" s="59"/>
      <c r="D120" s="59"/>
      <c r="E120" s="59"/>
      <c r="F120" s="59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59"/>
      <c r="C121" s="59"/>
      <c r="D121" s="59"/>
      <c r="E121" s="59"/>
      <c r="F121" s="59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59"/>
      <c r="C122" s="59"/>
      <c r="D122" s="59"/>
      <c r="E122" s="59"/>
      <c r="F122" s="59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59"/>
      <c r="C123" s="59"/>
      <c r="D123" s="59"/>
      <c r="E123" s="59"/>
      <c r="F123" s="59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59"/>
      <c r="C124" s="59"/>
      <c r="D124" s="59"/>
      <c r="E124" s="59"/>
      <c r="F124" s="59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59"/>
      <c r="C125" s="59"/>
      <c r="D125" s="59"/>
      <c r="E125" s="59"/>
      <c r="F125" s="59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59"/>
      <c r="C126" s="59"/>
      <c r="D126" s="59"/>
      <c r="E126" s="59"/>
      <c r="F126" s="59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59"/>
      <c r="C127" s="59"/>
      <c r="D127" s="59"/>
      <c r="E127" s="59"/>
      <c r="F127" s="59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59"/>
      <c r="C128" s="59"/>
      <c r="D128" s="59"/>
      <c r="E128" s="59"/>
      <c r="F128" s="59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59"/>
      <c r="C129" s="59"/>
      <c r="D129" s="59"/>
      <c r="E129" s="59"/>
      <c r="F129" s="59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59"/>
      <c r="C130" s="59"/>
      <c r="D130" s="59"/>
      <c r="E130" s="59"/>
      <c r="F130" s="59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59"/>
      <c r="C131" s="59"/>
      <c r="D131" s="59"/>
      <c r="E131" s="59"/>
      <c r="F131" s="59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59"/>
      <c r="C132" s="59"/>
      <c r="D132" s="59"/>
      <c r="E132" s="59"/>
      <c r="F132" s="59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59"/>
      <c r="C133" s="59"/>
      <c r="D133" s="59"/>
      <c r="E133" s="59"/>
      <c r="F133" s="59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59"/>
      <c r="C134" s="59"/>
      <c r="D134" s="59"/>
      <c r="E134" s="59"/>
      <c r="F134" s="59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59"/>
      <c r="C135" s="59"/>
      <c r="D135" s="59"/>
      <c r="E135" s="59"/>
      <c r="F135" s="59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59"/>
      <c r="C136" s="59"/>
      <c r="D136" s="59"/>
      <c r="E136" s="59"/>
      <c r="F136" s="59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59"/>
      <c r="C137" s="59"/>
      <c r="D137" s="59"/>
      <c r="E137" s="59"/>
      <c r="F137" s="59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59"/>
      <c r="C138" s="59"/>
      <c r="D138" s="59"/>
      <c r="E138" s="59"/>
      <c r="F138" s="59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59"/>
      <c r="C139" s="59"/>
      <c r="D139" s="59"/>
      <c r="E139" s="59"/>
      <c r="F139" s="59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59"/>
      <c r="C140" s="59"/>
      <c r="D140" s="59"/>
      <c r="E140" s="59"/>
      <c r="F140" s="59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59"/>
      <c r="C141" s="59"/>
      <c r="D141" s="59"/>
      <c r="E141" s="59"/>
      <c r="F141" s="59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59"/>
      <c r="C142" s="59"/>
      <c r="D142" s="59"/>
      <c r="E142" s="59"/>
      <c r="F142" s="59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59"/>
      <c r="C143" s="59"/>
      <c r="D143" s="59"/>
      <c r="E143" s="59"/>
      <c r="F143" s="59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59"/>
      <c r="C144" s="59"/>
      <c r="D144" s="59"/>
      <c r="E144" s="59"/>
      <c r="F144" s="59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59"/>
      <c r="C145" s="59"/>
      <c r="D145" s="59"/>
      <c r="E145" s="59"/>
      <c r="F145" s="59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59"/>
      <c r="C146" s="59"/>
      <c r="D146" s="59"/>
      <c r="E146" s="59"/>
      <c r="F146" s="59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59"/>
      <c r="C147" s="59"/>
      <c r="D147" s="59"/>
      <c r="E147" s="59"/>
      <c r="F147" s="59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59"/>
      <c r="C148" s="59"/>
      <c r="D148" s="59"/>
      <c r="E148" s="59"/>
      <c r="F148" s="59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59"/>
      <c r="C149" s="59"/>
      <c r="D149" s="59"/>
      <c r="E149" s="59"/>
      <c r="F149" s="59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59"/>
      <c r="C150" s="59"/>
      <c r="D150" s="59"/>
      <c r="E150" s="59"/>
      <c r="F150" s="59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59"/>
      <c r="C151" s="59"/>
      <c r="D151" s="59"/>
      <c r="E151" s="59"/>
      <c r="F151" s="59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59"/>
      <c r="C152" s="59"/>
      <c r="D152" s="59"/>
      <c r="E152" s="59"/>
      <c r="F152" s="59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59"/>
      <c r="C153" s="59"/>
      <c r="D153" s="59"/>
      <c r="E153" s="59"/>
      <c r="F153" s="59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59"/>
      <c r="C154" s="59"/>
      <c r="D154" s="59"/>
      <c r="E154" s="59"/>
      <c r="F154" s="59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59"/>
      <c r="C155" s="59"/>
      <c r="D155" s="59"/>
      <c r="E155" s="59"/>
      <c r="F155" s="59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59"/>
      <c r="C156" s="59"/>
      <c r="D156" s="59"/>
      <c r="E156" s="59"/>
      <c r="F156" s="59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59"/>
      <c r="C157" s="59"/>
      <c r="D157" s="59"/>
      <c r="E157" s="59"/>
      <c r="F157" s="59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59"/>
      <c r="C158" s="59"/>
      <c r="D158" s="59"/>
      <c r="E158" s="59"/>
      <c r="F158" s="59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59"/>
      <c r="C159" s="59"/>
      <c r="D159" s="59"/>
      <c r="E159" s="59"/>
      <c r="F159" s="59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59"/>
      <c r="C160" s="59"/>
      <c r="D160" s="59"/>
      <c r="E160" s="59"/>
      <c r="F160" s="59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59"/>
      <c r="C161" s="59"/>
      <c r="D161" s="59"/>
      <c r="E161" s="59"/>
      <c r="F161" s="59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59"/>
      <c r="C162" s="59"/>
      <c r="D162" s="59"/>
      <c r="E162" s="59"/>
      <c r="F162" s="59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59"/>
      <c r="C163" s="59"/>
      <c r="D163" s="59"/>
      <c r="E163" s="59"/>
      <c r="F163" s="59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59"/>
      <c r="C164" s="59"/>
      <c r="D164" s="59"/>
      <c r="E164" s="59"/>
      <c r="F164" s="59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59"/>
      <c r="C165" s="59"/>
      <c r="D165" s="59"/>
      <c r="E165" s="59"/>
      <c r="F165" s="59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59"/>
      <c r="C166" s="59"/>
      <c r="D166" s="59"/>
      <c r="E166" s="59"/>
      <c r="F166" s="59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59"/>
      <c r="C167" s="59"/>
      <c r="D167" s="59"/>
      <c r="E167" s="59"/>
      <c r="F167" s="59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59"/>
      <c r="C168" s="59"/>
      <c r="D168" s="59"/>
      <c r="E168" s="59"/>
      <c r="F168" s="59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59"/>
      <c r="C169" s="59"/>
      <c r="D169" s="59"/>
      <c r="E169" s="59"/>
      <c r="F169" s="59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59"/>
      <c r="C170" s="59"/>
      <c r="D170" s="59"/>
      <c r="E170" s="59"/>
      <c r="F170" s="59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59"/>
      <c r="C171" s="59"/>
      <c r="D171" s="59"/>
      <c r="E171" s="59"/>
      <c r="F171" s="59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59"/>
      <c r="C172" s="59"/>
      <c r="D172" s="59"/>
      <c r="E172" s="59"/>
      <c r="F172" s="59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59"/>
      <c r="C173" s="59"/>
      <c r="D173" s="59"/>
      <c r="E173" s="59"/>
      <c r="F173" s="59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59"/>
      <c r="C174" s="59"/>
      <c r="D174" s="59"/>
      <c r="E174" s="59"/>
      <c r="F174" s="59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59"/>
      <c r="C175" s="59"/>
      <c r="D175" s="59"/>
      <c r="E175" s="59"/>
      <c r="F175" s="59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59"/>
      <c r="C176" s="59"/>
      <c r="D176" s="59"/>
      <c r="E176" s="59"/>
      <c r="F176" s="59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59"/>
      <c r="C177" s="59"/>
      <c r="D177" s="59"/>
      <c r="E177" s="59"/>
      <c r="F177" s="59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59"/>
      <c r="C178" s="59"/>
      <c r="D178" s="59"/>
      <c r="E178" s="59"/>
      <c r="F178" s="59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59"/>
      <c r="C179" s="59"/>
      <c r="D179" s="59"/>
      <c r="E179" s="59"/>
      <c r="F179" s="59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59"/>
      <c r="C180" s="59"/>
      <c r="D180" s="59"/>
      <c r="E180" s="59"/>
      <c r="F180" s="59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59"/>
      <c r="C181" s="59"/>
      <c r="D181" s="59"/>
      <c r="E181" s="59"/>
      <c r="F181" s="59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59"/>
      <c r="C182" s="59"/>
      <c r="D182" s="59"/>
      <c r="E182" s="59"/>
      <c r="F182" s="59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59"/>
      <c r="C183" s="59"/>
      <c r="D183" s="59"/>
      <c r="E183" s="59"/>
      <c r="F183" s="59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59"/>
      <c r="C184" s="59"/>
      <c r="D184" s="59"/>
      <c r="E184" s="59"/>
      <c r="F184" s="59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59"/>
      <c r="C185" s="59"/>
      <c r="D185" s="59"/>
      <c r="E185" s="59"/>
      <c r="F185" s="59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59"/>
      <c r="C186" s="59"/>
      <c r="D186" s="59"/>
      <c r="E186" s="59"/>
      <c r="F186" s="59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59"/>
      <c r="C187" s="59"/>
      <c r="D187" s="59"/>
      <c r="E187" s="59"/>
      <c r="F187" s="59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59"/>
      <c r="C188" s="59"/>
      <c r="D188" s="59"/>
      <c r="E188" s="59"/>
      <c r="F188" s="59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59"/>
      <c r="C189" s="59"/>
      <c r="D189" s="59"/>
      <c r="E189" s="59"/>
      <c r="F189" s="59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59"/>
      <c r="C190" s="59"/>
      <c r="D190" s="59"/>
      <c r="E190" s="59"/>
      <c r="F190" s="59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59"/>
      <c r="C191" s="59"/>
      <c r="D191" s="59"/>
      <c r="E191" s="59"/>
      <c r="F191" s="59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59"/>
      <c r="C192" s="59"/>
      <c r="D192" s="59"/>
      <c r="E192" s="59"/>
      <c r="F192" s="59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59"/>
      <c r="C193" s="59"/>
      <c r="D193" s="59"/>
      <c r="E193" s="59"/>
      <c r="F193" s="59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59"/>
      <c r="C194" s="59"/>
      <c r="D194" s="59"/>
      <c r="E194" s="59"/>
      <c r="F194" s="59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59"/>
      <c r="C195" s="59"/>
      <c r="D195" s="59"/>
      <c r="E195" s="59"/>
      <c r="F195" s="59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59"/>
      <c r="C196" s="59"/>
      <c r="D196" s="59"/>
      <c r="E196" s="59"/>
      <c r="F196" s="59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59"/>
      <c r="C197" s="59"/>
      <c r="D197" s="59"/>
      <c r="E197" s="59"/>
      <c r="F197" s="59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59"/>
      <c r="C198" s="59"/>
      <c r="D198" s="59"/>
      <c r="E198" s="59"/>
      <c r="F198" s="59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59"/>
      <c r="C199" s="59"/>
      <c r="D199" s="59"/>
      <c r="E199" s="59"/>
      <c r="F199" s="59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59"/>
      <c r="C200" s="59"/>
      <c r="D200" s="59"/>
      <c r="E200" s="59"/>
      <c r="F200" s="59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59"/>
      <c r="C201" s="59"/>
      <c r="D201" s="59"/>
      <c r="E201" s="59"/>
      <c r="F201" s="59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59"/>
      <c r="C202" s="59"/>
      <c r="D202" s="59"/>
      <c r="E202" s="59"/>
      <c r="F202" s="59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59"/>
      <c r="C203" s="59"/>
      <c r="D203" s="59"/>
      <c r="E203" s="59"/>
      <c r="F203" s="59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59"/>
      <c r="C204" s="59"/>
      <c r="D204" s="59"/>
      <c r="E204" s="59"/>
      <c r="F204" s="59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59"/>
      <c r="C205" s="59"/>
      <c r="D205" s="59"/>
      <c r="E205" s="59"/>
      <c r="F205" s="59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59"/>
      <c r="C206" s="59"/>
      <c r="D206" s="59"/>
      <c r="E206" s="59"/>
      <c r="F206" s="59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59"/>
      <c r="C207" s="59"/>
      <c r="D207" s="59"/>
      <c r="E207" s="59"/>
      <c r="F207" s="59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59"/>
      <c r="C208" s="59"/>
      <c r="D208" s="59"/>
      <c r="E208" s="59"/>
      <c r="F208" s="59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59"/>
      <c r="C209" s="59"/>
      <c r="D209" s="59"/>
      <c r="E209" s="59"/>
      <c r="F209" s="59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59"/>
      <c r="C210" s="59"/>
      <c r="D210" s="59"/>
      <c r="E210" s="59"/>
      <c r="F210" s="59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59"/>
      <c r="C211" s="59"/>
      <c r="D211" s="59"/>
      <c r="E211" s="59"/>
      <c r="F211" s="59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59"/>
      <c r="C212" s="59"/>
      <c r="D212" s="59"/>
      <c r="E212" s="59"/>
      <c r="F212" s="59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59"/>
      <c r="C213" s="59"/>
      <c r="D213" s="59"/>
      <c r="E213" s="59"/>
      <c r="F213" s="59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59"/>
      <c r="C214" s="59"/>
      <c r="D214" s="59"/>
      <c r="E214" s="59"/>
      <c r="F214" s="59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59"/>
      <c r="C215" s="59"/>
      <c r="D215" s="59"/>
      <c r="E215" s="59"/>
      <c r="F215" s="59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59"/>
      <c r="C216" s="59"/>
      <c r="D216" s="59"/>
      <c r="E216" s="59"/>
      <c r="F216" s="59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59"/>
      <c r="C217" s="59"/>
      <c r="D217" s="59"/>
      <c r="E217" s="59"/>
      <c r="F217" s="59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59"/>
      <c r="C218" s="59"/>
      <c r="D218" s="59"/>
      <c r="E218" s="59"/>
      <c r="F218" s="59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59"/>
      <c r="C219" s="59"/>
      <c r="D219" s="59"/>
      <c r="E219" s="59"/>
      <c r="F219" s="59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59"/>
      <c r="C220" s="59"/>
      <c r="D220" s="59"/>
      <c r="E220" s="59"/>
      <c r="F220" s="59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59"/>
      <c r="C221" s="59"/>
      <c r="D221" s="59"/>
      <c r="E221" s="59"/>
      <c r="F221" s="59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59"/>
      <c r="C222" s="59"/>
      <c r="D222" s="59"/>
      <c r="E222" s="59"/>
      <c r="F222" s="59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59"/>
      <c r="C223" s="59"/>
      <c r="D223" s="59"/>
      <c r="E223" s="59"/>
      <c r="F223" s="59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59"/>
      <c r="C224" s="59"/>
      <c r="D224" s="59"/>
      <c r="E224" s="59"/>
      <c r="F224" s="59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59"/>
      <c r="C225" s="59"/>
      <c r="D225" s="59"/>
      <c r="E225" s="59"/>
      <c r="F225" s="59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59"/>
      <c r="C226" s="59"/>
      <c r="D226" s="59"/>
      <c r="E226" s="59"/>
      <c r="F226" s="59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59"/>
      <c r="C227" s="59"/>
      <c r="D227" s="59"/>
      <c r="E227" s="59"/>
      <c r="F227" s="59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59"/>
      <c r="C228" s="59"/>
      <c r="D228" s="59"/>
      <c r="E228" s="59"/>
      <c r="F228" s="59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59"/>
      <c r="C229" s="59"/>
      <c r="D229" s="59"/>
      <c r="E229" s="59"/>
      <c r="F229" s="59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59"/>
      <c r="C230" s="59"/>
      <c r="D230" s="59"/>
      <c r="E230" s="59"/>
      <c r="F230" s="59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59"/>
      <c r="C231" s="59"/>
      <c r="D231" s="59"/>
      <c r="E231" s="59"/>
      <c r="F231" s="59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59"/>
      <c r="C232" s="59"/>
      <c r="D232" s="59"/>
      <c r="E232" s="59"/>
      <c r="F232" s="59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59"/>
      <c r="C233" s="59"/>
      <c r="D233" s="59"/>
      <c r="E233" s="59"/>
      <c r="F233" s="59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59"/>
      <c r="C234" s="59"/>
      <c r="D234" s="59"/>
      <c r="E234" s="59"/>
      <c r="F234" s="59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59"/>
      <c r="C235" s="59"/>
      <c r="D235" s="59"/>
      <c r="E235" s="59"/>
      <c r="F235" s="59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59"/>
      <c r="C236" s="59"/>
      <c r="D236" s="59"/>
      <c r="E236" s="59"/>
      <c r="F236" s="59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59"/>
      <c r="C237" s="59"/>
      <c r="D237" s="59"/>
      <c r="E237" s="59"/>
      <c r="F237" s="59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59"/>
      <c r="C238" s="59"/>
      <c r="D238" s="59"/>
      <c r="E238" s="59"/>
      <c r="F238" s="59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59"/>
      <c r="C239" s="59"/>
      <c r="D239" s="59"/>
      <c r="E239" s="59"/>
      <c r="F239" s="59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59"/>
      <c r="C240" s="59"/>
      <c r="D240" s="59"/>
      <c r="E240" s="59"/>
      <c r="F240" s="59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59"/>
      <c r="C241" s="59"/>
      <c r="D241" s="59"/>
      <c r="E241" s="59"/>
      <c r="F241" s="59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59"/>
      <c r="C242" s="59"/>
      <c r="D242" s="59"/>
      <c r="E242" s="59"/>
      <c r="F242" s="59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59"/>
      <c r="C243" s="59"/>
      <c r="D243" s="59"/>
      <c r="E243" s="59"/>
      <c r="F243" s="59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59"/>
      <c r="C244" s="59"/>
      <c r="D244" s="59"/>
      <c r="E244" s="59"/>
      <c r="F244" s="59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59"/>
      <c r="C245" s="59"/>
      <c r="D245" s="59"/>
      <c r="E245" s="59"/>
      <c r="F245" s="59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59"/>
      <c r="C246" s="59"/>
      <c r="D246" s="59"/>
      <c r="E246" s="59"/>
      <c r="F246" s="59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59"/>
      <c r="C247" s="59"/>
      <c r="D247" s="59"/>
      <c r="E247" s="59"/>
      <c r="F247" s="59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59"/>
      <c r="C248" s="59"/>
      <c r="D248" s="59"/>
      <c r="E248" s="59"/>
      <c r="F248" s="59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59"/>
      <c r="C249" s="59"/>
      <c r="D249" s="59"/>
      <c r="E249" s="59"/>
      <c r="F249" s="59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59"/>
      <c r="C250" s="59"/>
      <c r="D250" s="59"/>
      <c r="E250" s="59"/>
      <c r="F250" s="59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59"/>
      <c r="C251" s="59"/>
      <c r="D251" s="59"/>
      <c r="E251" s="59"/>
      <c r="F251" s="59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59"/>
      <c r="C252" s="59"/>
      <c r="D252" s="59"/>
      <c r="E252" s="59"/>
      <c r="F252" s="59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59"/>
      <c r="C253" s="59"/>
      <c r="D253" s="59"/>
      <c r="E253" s="59"/>
      <c r="F253" s="59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59"/>
      <c r="C254" s="59"/>
      <c r="D254" s="59"/>
      <c r="E254" s="59"/>
      <c r="F254" s="59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59"/>
      <c r="C255" s="59"/>
      <c r="D255" s="59"/>
      <c r="E255" s="59"/>
      <c r="F255" s="59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59"/>
      <c r="C256" s="59"/>
      <c r="D256" s="59"/>
      <c r="E256" s="59"/>
      <c r="F256" s="59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59"/>
      <c r="C257" s="59"/>
      <c r="D257" s="59"/>
      <c r="E257" s="59"/>
      <c r="F257" s="59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59"/>
      <c r="C258" s="59"/>
      <c r="D258" s="59"/>
      <c r="E258" s="59"/>
      <c r="F258" s="59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59"/>
      <c r="C259" s="59"/>
      <c r="D259" s="59"/>
      <c r="E259" s="59"/>
      <c r="F259" s="59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59"/>
      <c r="C260" s="59"/>
      <c r="D260" s="59"/>
      <c r="E260" s="59"/>
      <c r="F260" s="59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59"/>
      <c r="C261" s="59"/>
      <c r="D261" s="59"/>
      <c r="E261" s="59"/>
      <c r="F261" s="59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59"/>
      <c r="C262" s="59"/>
      <c r="D262" s="59"/>
      <c r="E262" s="59"/>
      <c r="F262" s="59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59"/>
      <c r="C263" s="59"/>
      <c r="D263" s="59"/>
      <c r="E263" s="59"/>
      <c r="F263" s="59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59"/>
      <c r="C264" s="59"/>
      <c r="D264" s="59"/>
      <c r="E264" s="59"/>
      <c r="F264" s="59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59"/>
      <c r="C265" s="59"/>
      <c r="D265" s="59"/>
      <c r="E265" s="59"/>
      <c r="F265" s="59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59"/>
      <c r="C266" s="59"/>
      <c r="D266" s="59"/>
      <c r="E266" s="59"/>
      <c r="F266" s="59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59"/>
      <c r="C267" s="59"/>
      <c r="D267" s="59"/>
      <c r="E267" s="59"/>
      <c r="F267" s="59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59"/>
      <c r="C268" s="59"/>
      <c r="D268" s="59"/>
      <c r="E268" s="59"/>
      <c r="F268" s="59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59"/>
      <c r="C269" s="59"/>
      <c r="D269" s="59"/>
      <c r="E269" s="59"/>
      <c r="F269" s="59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59"/>
      <c r="C270" s="59"/>
      <c r="D270" s="59"/>
      <c r="E270" s="59"/>
      <c r="F270" s="59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59"/>
      <c r="C271" s="59"/>
      <c r="D271" s="59"/>
      <c r="E271" s="59"/>
      <c r="F271" s="59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59"/>
      <c r="C272" s="59"/>
      <c r="D272" s="59"/>
      <c r="E272" s="59"/>
      <c r="F272" s="59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59"/>
      <c r="C273" s="59"/>
      <c r="D273" s="59"/>
      <c r="E273" s="59"/>
      <c r="F273" s="59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59"/>
      <c r="C274" s="59"/>
      <c r="D274" s="59"/>
      <c r="E274" s="59"/>
      <c r="F274" s="59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59"/>
      <c r="C275" s="59"/>
      <c r="D275" s="59"/>
      <c r="E275" s="59"/>
      <c r="F275" s="59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59"/>
      <c r="C276" s="59"/>
      <c r="D276" s="59"/>
      <c r="E276" s="59"/>
      <c r="F276" s="59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59"/>
      <c r="C277" s="59"/>
      <c r="D277" s="59"/>
      <c r="E277" s="59"/>
      <c r="F277" s="59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59"/>
      <c r="C278" s="59"/>
      <c r="D278" s="59"/>
      <c r="E278" s="59"/>
      <c r="F278" s="59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59"/>
      <c r="C279" s="59"/>
      <c r="D279" s="59"/>
      <c r="E279" s="59"/>
      <c r="F279" s="59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59"/>
      <c r="C280" s="59"/>
      <c r="D280" s="59"/>
      <c r="E280" s="59"/>
      <c r="F280" s="59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59"/>
      <c r="C281" s="59"/>
      <c r="D281" s="59"/>
      <c r="E281" s="59"/>
      <c r="F281" s="59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59"/>
      <c r="C282" s="59"/>
      <c r="D282" s="59"/>
      <c r="E282" s="59"/>
      <c r="F282" s="59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59"/>
      <c r="C283" s="59"/>
      <c r="D283" s="59"/>
      <c r="E283" s="59"/>
      <c r="F283" s="59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59"/>
      <c r="C284" s="59"/>
      <c r="D284" s="59"/>
      <c r="E284" s="59"/>
      <c r="F284" s="59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59"/>
      <c r="C285" s="59"/>
      <c r="D285" s="59"/>
      <c r="E285" s="59"/>
      <c r="F285" s="59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59"/>
      <c r="C286" s="59"/>
      <c r="D286" s="59"/>
      <c r="E286" s="59"/>
      <c r="F286" s="59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59"/>
      <c r="C287" s="59"/>
      <c r="D287" s="59"/>
      <c r="E287" s="59"/>
      <c r="F287" s="59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59"/>
      <c r="C288" s="59"/>
      <c r="D288" s="59"/>
      <c r="E288" s="59"/>
      <c r="F288" s="59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59"/>
      <c r="C289" s="59"/>
      <c r="D289" s="59"/>
      <c r="E289" s="59"/>
      <c r="F289" s="59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59"/>
      <c r="C290" s="59"/>
      <c r="D290" s="59"/>
      <c r="E290" s="59"/>
      <c r="F290" s="59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59"/>
      <c r="C291" s="59"/>
      <c r="D291" s="59"/>
      <c r="E291" s="59"/>
      <c r="F291" s="59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59"/>
      <c r="C292" s="59"/>
      <c r="D292" s="59"/>
      <c r="E292" s="59"/>
      <c r="F292" s="59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59"/>
      <c r="C293" s="59"/>
      <c r="D293" s="59"/>
      <c r="E293" s="59"/>
      <c r="F293" s="59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59"/>
      <c r="C294" s="59"/>
      <c r="D294" s="59"/>
      <c r="E294" s="59"/>
      <c r="F294" s="59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59"/>
      <c r="C295" s="59"/>
      <c r="D295" s="59"/>
      <c r="E295" s="59"/>
      <c r="F295" s="59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59"/>
      <c r="C296" s="59"/>
      <c r="D296" s="59"/>
      <c r="E296" s="59"/>
      <c r="F296" s="59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59"/>
      <c r="C297" s="59"/>
      <c r="D297" s="59"/>
      <c r="E297" s="59"/>
      <c r="F297" s="59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59"/>
      <c r="C298" s="59"/>
      <c r="D298" s="59"/>
      <c r="E298" s="59"/>
      <c r="F298" s="59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59"/>
      <c r="C299" s="59"/>
      <c r="D299" s="59"/>
      <c r="E299" s="59"/>
      <c r="F299" s="59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59"/>
      <c r="C300" s="59"/>
      <c r="D300" s="59"/>
      <c r="E300" s="59"/>
      <c r="F300" s="59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59"/>
      <c r="C301" s="59"/>
      <c r="D301" s="59"/>
      <c r="E301" s="59"/>
      <c r="F301" s="59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59"/>
      <c r="C302" s="59"/>
      <c r="D302" s="59"/>
      <c r="E302" s="59"/>
      <c r="F302" s="59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59"/>
      <c r="C303" s="59"/>
      <c r="D303" s="59"/>
      <c r="E303" s="59"/>
      <c r="F303" s="59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59"/>
      <c r="C304" s="59"/>
      <c r="D304" s="59"/>
      <c r="E304" s="59"/>
      <c r="F304" s="59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59"/>
      <c r="C305" s="59"/>
      <c r="D305" s="59"/>
      <c r="E305" s="59"/>
      <c r="F305" s="59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59"/>
      <c r="C306" s="59"/>
      <c r="D306" s="59"/>
      <c r="E306" s="59"/>
      <c r="F306" s="59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59"/>
      <c r="C307" s="59"/>
      <c r="D307" s="59"/>
      <c r="E307" s="59"/>
      <c r="F307" s="59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59"/>
      <c r="C308" s="59"/>
      <c r="D308" s="59"/>
      <c r="E308" s="59"/>
      <c r="F308" s="59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59"/>
      <c r="C309" s="59"/>
      <c r="D309" s="59"/>
      <c r="E309" s="59"/>
      <c r="F309" s="59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59"/>
      <c r="C310" s="59"/>
      <c r="D310" s="59"/>
      <c r="E310" s="59"/>
      <c r="F310" s="59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59"/>
      <c r="C311" s="59"/>
      <c r="D311" s="59"/>
      <c r="E311" s="59"/>
      <c r="F311" s="59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59"/>
      <c r="C312" s="59"/>
      <c r="D312" s="59"/>
      <c r="E312" s="59"/>
      <c r="F312" s="59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59"/>
      <c r="C313" s="59"/>
      <c r="D313" s="59"/>
      <c r="E313" s="59"/>
      <c r="F313" s="59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59"/>
      <c r="C314" s="59"/>
      <c r="D314" s="59"/>
      <c r="E314" s="59"/>
      <c r="F314" s="59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59"/>
      <c r="C315" s="59"/>
      <c r="D315" s="59"/>
      <c r="E315" s="59"/>
      <c r="F315" s="59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59"/>
      <c r="C316" s="59"/>
      <c r="D316" s="59"/>
      <c r="E316" s="59"/>
      <c r="F316" s="59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59"/>
      <c r="C317" s="59"/>
      <c r="D317" s="59"/>
      <c r="E317" s="59"/>
      <c r="F317" s="59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59"/>
      <c r="C318" s="59"/>
      <c r="D318" s="59"/>
      <c r="E318" s="59"/>
      <c r="F318" s="59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59"/>
      <c r="C319" s="59"/>
      <c r="D319" s="59"/>
      <c r="E319" s="59"/>
      <c r="F319" s="59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59"/>
      <c r="C320" s="59"/>
      <c r="D320" s="59"/>
      <c r="E320" s="59"/>
      <c r="F320" s="59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59"/>
      <c r="C321" s="59"/>
      <c r="D321" s="59"/>
      <c r="E321" s="59"/>
      <c r="F321" s="59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59"/>
      <c r="C322" s="59"/>
      <c r="D322" s="59"/>
      <c r="E322" s="59"/>
      <c r="F322" s="59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59"/>
      <c r="C323" s="59"/>
      <c r="D323" s="59"/>
      <c r="E323" s="59"/>
      <c r="F323" s="59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59"/>
      <c r="C324" s="59"/>
      <c r="D324" s="59"/>
      <c r="E324" s="59"/>
      <c r="F324" s="59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59"/>
      <c r="C325" s="59"/>
      <c r="D325" s="59"/>
      <c r="E325" s="59"/>
      <c r="F325" s="59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59"/>
      <c r="C326" s="59"/>
      <c r="D326" s="59"/>
      <c r="E326" s="59"/>
      <c r="F326" s="59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59"/>
      <c r="C327" s="59"/>
      <c r="D327" s="59"/>
      <c r="E327" s="59"/>
      <c r="F327" s="59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59"/>
      <c r="C328" s="59"/>
      <c r="D328" s="59"/>
      <c r="E328" s="59"/>
      <c r="F328" s="59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59"/>
      <c r="C329" s="59"/>
      <c r="D329" s="59"/>
      <c r="E329" s="59"/>
      <c r="F329" s="59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59"/>
      <c r="C330" s="59"/>
      <c r="D330" s="59"/>
      <c r="E330" s="59"/>
      <c r="F330" s="59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59"/>
      <c r="C331" s="59"/>
      <c r="D331" s="59"/>
      <c r="E331" s="59"/>
      <c r="F331" s="59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59"/>
      <c r="C332" s="59"/>
      <c r="D332" s="59"/>
      <c r="E332" s="59"/>
      <c r="F332" s="59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59"/>
      <c r="C333" s="59"/>
      <c r="D333" s="59"/>
      <c r="E333" s="59"/>
      <c r="F333" s="59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59"/>
      <c r="C334" s="59"/>
      <c r="D334" s="59"/>
      <c r="E334" s="59"/>
      <c r="F334" s="59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59"/>
      <c r="C335" s="59"/>
      <c r="D335" s="59"/>
      <c r="E335" s="59"/>
      <c r="F335" s="59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59"/>
      <c r="C336" s="59"/>
      <c r="D336" s="59"/>
      <c r="E336" s="59"/>
      <c r="F336" s="59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59"/>
      <c r="C337" s="59"/>
      <c r="D337" s="59"/>
      <c r="E337" s="59"/>
      <c r="F337" s="59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59"/>
      <c r="C338" s="59"/>
      <c r="D338" s="59"/>
      <c r="E338" s="59"/>
      <c r="F338" s="59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59"/>
      <c r="C339" s="59"/>
      <c r="D339" s="59"/>
      <c r="E339" s="59"/>
      <c r="F339" s="59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59"/>
      <c r="C340" s="59"/>
      <c r="D340" s="59"/>
      <c r="E340" s="59"/>
      <c r="F340" s="59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59"/>
      <c r="C341" s="59"/>
      <c r="D341" s="59"/>
      <c r="E341" s="59"/>
      <c r="F341" s="59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59"/>
      <c r="C342" s="59"/>
      <c r="D342" s="59"/>
      <c r="E342" s="59"/>
      <c r="F342" s="59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59"/>
      <c r="C343" s="59"/>
      <c r="D343" s="59"/>
      <c r="E343" s="59"/>
      <c r="F343" s="59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59"/>
      <c r="C344" s="59"/>
      <c r="D344" s="59"/>
      <c r="E344" s="59"/>
      <c r="F344" s="59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59"/>
      <c r="C345" s="59"/>
      <c r="D345" s="59"/>
      <c r="E345" s="59"/>
      <c r="F345" s="59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59"/>
      <c r="C346" s="59"/>
      <c r="D346" s="59"/>
      <c r="E346" s="59"/>
      <c r="F346" s="59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59"/>
      <c r="C347" s="59"/>
      <c r="D347" s="59"/>
      <c r="E347" s="59"/>
      <c r="F347" s="59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59"/>
      <c r="C348" s="59"/>
      <c r="D348" s="59"/>
      <c r="E348" s="59"/>
      <c r="F348" s="59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59"/>
      <c r="C349" s="59"/>
      <c r="D349" s="59"/>
      <c r="E349" s="59"/>
      <c r="F349" s="59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59"/>
      <c r="C350" s="59"/>
      <c r="D350" s="59"/>
      <c r="E350" s="59"/>
      <c r="F350" s="59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59"/>
      <c r="C351" s="59"/>
      <c r="D351" s="59"/>
      <c r="E351" s="59"/>
      <c r="F351" s="59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59"/>
      <c r="C352" s="59"/>
      <c r="D352" s="59"/>
      <c r="E352" s="59"/>
      <c r="F352" s="59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59"/>
      <c r="C353" s="59"/>
      <c r="D353" s="59"/>
      <c r="E353" s="59"/>
      <c r="F353" s="59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59"/>
      <c r="C354" s="59"/>
      <c r="D354" s="59"/>
      <c r="E354" s="59"/>
      <c r="F354" s="59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59"/>
      <c r="C355" s="59"/>
      <c r="D355" s="59"/>
      <c r="E355" s="59"/>
      <c r="F355" s="59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59"/>
      <c r="C356" s="59"/>
      <c r="D356" s="59"/>
      <c r="E356" s="59"/>
      <c r="F356" s="59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59"/>
      <c r="C357" s="59"/>
      <c r="D357" s="59"/>
      <c r="E357" s="59"/>
      <c r="F357" s="59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59"/>
      <c r="C358" s="59"/>
      <c r="D358" s="59"/>
      <c r="E358" s="59"/>
      <c r="F358" s="59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59"/>
      <c r="C359" s="59"/>
      <c r="D359" s="59"/>
      <c r="E359" s="59"/>
      <c r="F359" s="59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59"/>
      <c r="C360" s="59"/>
      <c r="D360" s="59"/>
      <c r="E360" s="59"/>
      <c r="F360" s="59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59"/>
      <c r="C361" s="59"/>
      <c r="D361" s="59"/>
      <c r="E361" s="59"/>
      <c r="F361" s="59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59"/>
      <c r="C362" s="59"/>
      <c r="D362" s="59"/>
      <c r="E362" s="59"/>
      <c r="F362" s="59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59"/>
      <c r="C363" s="59"/>
      <c r="D363" s="59"/>
      <c r="E363" s="59"/>
      <c r="F363" s="59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59"/>
      <c r="C364" s="59"/>
      <c r="D364" s="59"/>
      <c r="E364" s="59"/>
      <c r="F364" s="59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59"/>
      <c r="C365" s="59"/>
      <c r="D365" s="59"/>
      <c r="E365" s="59"/>
      <c r="F365" s="59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59"/>
      <c r="C366" s="59"/>
      <c r="D366" s="59"/>
      <c r="E366" s="59"/>
      <c r="F366" s="59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59"/>
      <c r="C367" s="59"/>
      <c r="D367" s="59"/>
      <c r="E367" s="59"/>
      <c r="F367" s="59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59"/>
      <c r="C368" s="59"/>
      <c r="D368" s="59"/>
      <c r="E368" s="59"/>
      <c r="F368" s="59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59"/>
      <c r="C369" s="59"/>
      <c r="D369" s="59"/>
      <c r="E369" s="59"/>
      <c r="F369" s="59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59"/>
      <c r="C370" s="59"/>
      <c r="D370" s="59"/>
      <c r="E370" s="59"/>
      <c r="F370" s="59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59"/>
      <c r="C371" s="59"/>
      <c r="D371" s="59"/>
      <c r="E371" s="59"/>
      <c r="F371" s="59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59"/>
      <c r="C372" s="59"/>
      <c r="D372" s="59"/>
      <c r="E372" s="59"/>
      <c r="F372" s="59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59"/>
      <c r="C373" s="59"/>
      <c r="D373" s="59"/>
      <c r="E373" s="59"/>
      <c r="F373" s="59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59"/>
      <c r="C374" s="59"/>
      <c r="D374" s="59"/>
      <c r="E374" s="59"/>
      <c r="F374" s="59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59"/>
      <c r="C375" s="59"/>
      <c r="D375" s="59"/>
      <c r="E375" s="59"/>
      <c r="F375" s="59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59"/>
      <c r="C376" s="59"/>
      <c r="D376" s="59"/>
      <c r="E376" s="59"/>
      <c r="F376" s="59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59"/>
      <c r="C377" s="59"/>
      <c r="D377" s="59"/>
      <c r="E377" s="59"/>
      <c r="F377" s="59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59"/>
      <c r="C378" s="59"/>
      <c r="D378" s="59"/>
      <c r="E378" s="59"/>
      <c r="F378" s="59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59"/>
      <c r="C379" s="59"/>
      <c r="D379" s="59"/>
      <c r="E379" s="59"/>
      <c r="F379" s="59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59"/>
      <c r="C380" s="59"/>
      <c r="D380" s="59"/>
      <c r="E380" s="59"/>
      <c r="F380" s="59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59"/>
      <c r="C381" s="59"/>
      <c r="D381" s="59"/>
      <c r="E381" s="59"/>
      <c r="F381" s="59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59"/>
      <c r="C382" s="59"/>
      <c r="D382" s="59"/>
      <c r="E382" s="59"/>
      <c r="F382" s="59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59"/>
      <c r="C383" s="59"/>
      <c r="D383" s="59"/>
      <c r="E383" s="59"/>
      <c r="F383" s="59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59"/>
      <c r="C384" s="59"/>
      <c r="D384" s="59"/>
      <c r="E384" s="59"/>
      <c r="F384" s="59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59"/>
      <c r="C385" s="59"/>
      <c r="D385" s="59"/>
      <c r="E385" s="59"/>
      <c r="F385" s="59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59"/>
      <c r="C386" s="59"/>
      <c r="D386" s="59"/>
      <c r="E386" s="59"/>
      <c r="F386" s="59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59"/>
      <c r="C387" s="59"/>
      <c r="D387" s="59"/>
      <c r="E387" s="59"/>
      <c r="F387" s="59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59"/>
      <c r="C388" s="59"/>
      <c r="D388" s="59"/>
      <c r="E388" s="59"/>
      <c r="F388" s="59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59"/>
      <c r="C389" s="59"/>
      <c r="D389" s="59"/>
      <c r="E389" s="59"/>
      <c r="F389" s="59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59"/>
      <c r="C390" s="59"/>
      <c r="D390" s="59"/>
      <c r="E390" s="59"/>
      <c r="F390" s="59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59"/>
      <c r="C391" s="59"/>
      <c r="D391" s="59"/>
      <c r="E391" s="59"/>
      <c r="F391" s="59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59"/>
      <c r="C392" s="59"/>
      <c r="D392" s="59"/>
      <c r="E392" s="59"/>
      <c r="F392" s="59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59"/>
      <c r="C393" s="59"/>
      <c r="D393" s="59"/>
      <c r="E393" s="59"/>
      <c r="F393" s="59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59"/>
      <c r="C394" s="59"/>
      <c r="D394" s="59"/>
      <c r="E394" s="59"/>
      <c r="F394" s="59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59"/>
      <c r="C395" s="59"/>
      <c r="D395" s="59"/>
      <c r="E395" s="59"/>
      <c r="F395" s="59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59"/>
      <c r="C396" s="59"/>
      <c r="D396" s="59"/>
      <c r="E396" s="59"/>
      <c r="F396" s="59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59"/>
      <c r="C397" s="59"/>
      <c r="D397" s="59"/>
      <c r="E397" s="59"/>
      <c r="F397" s="59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59"/>
      <c r="C398" s="59"/>
      <c r="D398" s="59"/>
      <c r="E398" s="59"/>
      <c r="F398" s="59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59"/>
      <c r="C399" s="59"/>
      <c r="D399" s="59"/>
      <c r="E399" s="59"/>
      <c r="F399" s="59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59"/>
      <c r="C400" s="59"/>
      <c r="D400" s="59"/>
      <c r="E400" s="59"/>
      <c r="F400" s="59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59"/>
      <c r="C401" s="59"/>
      <c r="D401" s="59"/>
      <c r="E401" s="59"/>
      <c r="F401" s="59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59"/>
      <c r="C402" s="59"/>
      <c r="D402" s="59"/>
      <c r="E402" s="59"/>
      <c r="F402" s="59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59"/>
      <c r="C403" s="59"/>
      <c r="D403" s="59"/>
      <c r="E403" s="59"/>
      <c r="F403" s="59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59"/>
      <c r="C404" s="59"/>
      <c r="D404" s="59"/>
      <c r="E404" s="59"/>
      <c r="F404" s="59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59"/>
      <c r="C405" s="59"/>
      <c r="D405" s="59"/>
      <c r="E405" s="59"/>
      <c r="F405" s="59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59"/>
      <c r="C406" s="59"/>
      <c r="D406" s="59"/>
      <c r="E406" s="59"/>
      <c r="F406" s="59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59"/>
      <c r="C407" s="59"/>
      <c r="D407" s="59"/>
      <c r="E407" s="59"/>
      <c r="F407" s="59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59"/>
      <c r="C408" s="59"/>
      <c r="D408" s="59"/>
      <c r="E408" s="59"/>
      <c r="F408" s="59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59"/>
      <c r="C409" s="59"/>
      <c r="D409" s="59"/>
      <c r="E409" s="59"/>
      <c r="F409" s="59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59"/>
      <c r="C410" s="59"/>
      <c r="D410" s="59"/>
      <c r="E410" s="59"/>
      <c r="F410" s="59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59"/>
      <c r="C411" s="59"/>
      <c r="D411" s="59"/>
      <c r="E411" s="59"/>
      <c r="F411" s="59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59"/>
      <c r="C412" s="59"/>
      <c r="D412" s="59"/>
      <c r="E412" s="59"/>
      <c r="F412" s="59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59"/>
      <c r="C413" s="59"/>
      <c r="D413" s="59"/>
      <c r="E413" s="59"/>
      <c r="F413" s="59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59"/>
      <c r="C414" s="59"/>
      <c r="D414" s="59"/>
      <c r="E414" s="59"/>
      <c r="F414" s="59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59"/>
      <c r="C415" s="59"/>
      <c r="D415" s="59"/>
      <c r="E415" s="59"/>
      <c r="F415" s="59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59"/>
      <c r="C416" s="59"/>
      <c r="D416" s="59"/>
      <c r="E416" s="59"/>
      <c r="F416" s="59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59"/>
      <c r="C417" s="59"/>
      <c r="D417" s="59"/>
      <c r="E417" s="59"/>
      <c r="F417" s="59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59"/>
      <c r="C418" s="59"/>
      <c r="D418" s="59"/>
      <c r="E418" s="59"/>
      <c r="F418" s="59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59"/>
      <c r="C419" s="59"/>
      <c r="D419" s="59"/>
      <c r="E419" s="59"/>
      <c r="F419" s="59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59"/>
      <c r="C420" s="59"/>
      <c r="D420" s="59"/>
      <c r="E420" s="59"/>
      <c r="F420" s="59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59"/>
      <c r="C421" s="59"/>
      <c r="D421" s="59"/>
      <c r="E421" s="59"/>
      <c r="F421" s="59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59"/>
      <c r="C422" s="59"/>
      <c r="D422" s="59"/>
      <c r="E422" s="59"/>
      <c r="F422" s="59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59"/>
      <c r="C423" s="59"/>
      <c r="D423" s="59"/>
      <c r="E423" s="59"/>
      <c r="F423" s="59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59"/>
      <c r="C424" s="59"/>
      <c r="D424" s="59"/>
      <c r="E424" s="59"/>
      <c r="F424" s="59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59"/>
      <c r="C425" s="59"/>
      <c r="D425" s="59"/>
      <c r="E425" s="59"/>
      <c r="F425" s="59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59"/>
      <c r="C426" s="59"/>
      <c r="D426" s="59"/>
      <c r="E426" s="59"/>
      <c r="F426" s="59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59"/>
      <c r="C427" s="59"/>
      <c r="D427" s="59"/>
      <c r="E427" s="59"/>
      <c r="F427" s="59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59"/>
      <c r="C428" s="59"/>
      <c r="D428" s="59"/>
      <c r="E428" s="59"/>
      <c r="F428" s="59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59"/>
      <c r="C429" s="59"/>
      <c r="D429" s="59"/>
      <c r="E429" s="59"/>
      <c r="F429" s="59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59"/>
      <c r="C430" s="59"/>
      <c r="D430" s="59"/>
      <c r="E430" s="59"/>
      <c r="F430" s="59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59"/>
      <c r="C431" s="59"/>
      <c r="D431" s="59"/>
      <c r="E431" s="59"/>
      <c r="F431" s="59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59"/>
      <c r="C432" s="59"/>
      <c r="D432" s="59"/>
      <c r="E432" s="59"/>
      <c r="F432" s="59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59"/>
      <c r="C433" s="59"/>
      <c r="D433" s="59"/>
      <c r="E433" s="59"/>
      <c r="F433" s="59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59"/>
      <c r="C434" s="59"/>
      <c r="D434" s="59"/>
      <c r="E434" s="59"/>
      <c r="F434" s="59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59"/>
      <c r="C435" s="59"/>
      <c r="D435" s="59"/>
      <c r="E435" s="59"/>
      <c r="F435" s="59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59"/>
      <c r="C436" s="59"/>
      <c r="D436" s="59"/>
      <c r="E436" s="59"/>
      <c r="F436" s="59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59"/>
      <c r="C437" s="59"/>
      <c r="D437" s="59"/>
      <c r="E437" s="59"/>
      <c r="F437" s="59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59"/>
      <c r="C438" s="59"/>
      <c r="D438" s="59"/>
      <c r="E438" s="59"/>
      <c r="F438" s="59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59"/>
      <c r="C439" s="59"/>
      <c r="D439" s="59"/>
      <c r="E439" s="59"/>
      <c r="F439" s="59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59"/>
      <c r="C440" s="59"/>
      <c r="D440" s="59"/>
      <c r="E440" s="59"/>
      <c r="F440" s="59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59"/>
      <c r="C441" s="59"/>
      <c r="D441" s="59"/>
      <c r="E441" s="59"/>
      <c r="F441" s="59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59"/>
      <c r="C442" s="59"/>
      <c r="D442" s="59"/>
      <c r="E442" s="59"/>
      <c r="F442" s="59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59"/>
      <c r="C443" s="59"/>
      <c r="D443" s="59"/>
      <c r="E443" s="59"/>
      <c r="F443" s="59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59"/>
      <c r="C444" s="59"/>
      <c r="D444" s="59"/>
      <c r="E444" s="59"/>
      <c r="F444" s="59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59"/>
      <c r="C445" s="59"/>
      <c r="D445" s="59"/>
      <c r="E445" s="59"/>
      <c r="F445" s="59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59"/>
      <c r="C446" s="59"/>
      <c r="D446" s="59"/>
      <c r="E446" s="59"/>
      <c r="F446" s="59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59"/>
      <c r="C447" s="59"/>
      <c r="D447" s="59"/>
      <c r="E447" s="59"/>
      <c r="F447" s="59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59"/>
      <c r="C448" s="59"/>
      <c r="D448" s="59"/>
      <c r="E448" s="59"/>
      <c r="F448" s="59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59"/>
      <c r="C449" s="59"/>
      <c r="D449" s="59"/>
      <c r="E449" s="59"/>
      <c r="F449" s="59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59"/>
      <c r="C450" s="59"/>
      <c r="D450" s="59"/>
      <c r="E450" s="59"/>
      <c r="F450" s="59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59"/>
      <c r="C451" s="59"/>
      <c r="D451" s="59"/>
      <c r="E451" s="59"/>
      <c r="F451" s="59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59"/>
      <c r="C452" s="59"/>
      <c r="D452" s="59"/>
      <c r="E452" s="59"/>
      <c r="F452" s="59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59"/>
      <c r="C453" s="59"/>
      <c r="D453" s="59"/>
      <c r="E453" s="59"/>
      <c r="F453" s="59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59"/>
      <c r="C454" s="59"/>
      <c r="D454" s="59"/>
      <c r="E454" s="59"/>
      <c r="F454" s="59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59"/>
      <c r="C455" s="59"/>
      <c r="D455" s="59"/>
      <c r="E455" s="59"/>
      <c r="F455" s="59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59"/>
      <c r="C456" s="59"/>
      <c r="D456" s="59"/>
      <c r="E456" s="59"/>
      <c r="F456" s="59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59"/>
      <c r="C457" s="59"/>
      <c r="D457" s="59"/>
      <c r="E457" s="59"/>
      <c r="F457" s="59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59"/>
      <c r="C458" s="59"/>
      <c r="D458" s="59"/>
      <c r="E458" s="59"/>
      <c r="F458" s="59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59"/>
      <c r="C459" s="59"/>
      <c r="D459" s="59"/>
      <c r="E459" s="59"/>
      <c r="F459" s="59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59"/>
      <c r="C460" s="59"/>
      <c r="D460" s="59"/>
      <c r="E460" s="59"/>
      <c r="F460" s="59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59"/>
      <c r="C461" s="59"/>
      <c r="D461" s="59"/>
      <c r="E461" s="59"/>
      <c r="F461" s="59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59"/>
      <c r="C462" s="59"/>
      <c r="D462" s="59"/>
      <c r="E462" s="59"/>
      <c r="F462" s="59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59"/>
      <c r="C463" s="59"/>
      <c r="D463" s="59"/>
      <c r="E463" s="59"/>
      <c r="F463" s="59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59"/>
      <c r="C464" s="59"/>
      <c r="D464" s="59"/>
      <c r="E464" s="59"/>
      <c r="F464" s="59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59"/>
      <c r="C465" s="59"/>
      <c r="D465" s="59"/>
      <c r="E465" s="59"/>
      <c r="F465" s="59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59"/>
      <c r="C466" s="59"/>
      <c r="D466" s="59"/>
      <c r="E466" s="59"/>
      <c r="F466" s="59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59"/>
      <c r="C467" s="59"/>
      <c r="D467" s="59"/>
      <c r="E467" s="59"/>
      <c r="F467" s="59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59"/>
      <c r="C468" s="59"/>
      <c r="D468" s="59"/>
      <c r="E468" s="59"/>
      <c r="F468" s="59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59"/>
      <c r="C469" s="59"/>
      <c r="D469" s="59"/>
      <c r="E469" s="59"/>
      <c r="F469" s="59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59"/>
      <c r="C470" s="59"/>
      <c r="D470" s="59"/>
      <c r="E470" s="59"/>
      <c r="F470" s="59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59"/>
      <c r="C471" s="59"/>
      <c r="D471" s="59"/>
      <c r="E471" s="59"/>
      <c r="F471" s="59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59"/>
      <c r="C472" s="59"/>
      <c r="D472" s="59"/>
      <c r="E472" s="59"/>
      <c r="F472" s="59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59"/>
      <c r="C473" s="59"/>
      <c r="D473" s="59"/>
      <c r="E473" s="59"/>
      <c r="F473" s="59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59"/>
      <c r="C474" s="59"/>
      <c r="D474" s="59"/>
      <c r="E474" s="59"/>
      <c r="F474" s="59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59"/>
      <c r="C475" s="59"/>
      <c r="D475" s="59"/>
      <c r="E475" s="59"/>
      <c r="F475" s="59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59"/>
      <c r="C476" s="59"/>
      <c r="D476" s="59"/>
      <c r="E476" s="59"/>
      <c r="F476" s="59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59"/>
      <c r="C477" s="59"/>
      <c r="D477" s="59"/>
      <c r="E477" s="59"/>
      <c r="F477" s="59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59"/>
      <c r="C478" s="59"/>
      <c r="D478" s="59"/>
      <c r="E478" s="59"/>
      <c r="F478" s="59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59"/>
      <c r="C479" s="59"/>
      <c r="D479" s="59"/>
      <c r="E479" s="59"/>
      <c r="F479" s="59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59"/>
      <c r="C480" s="59"/>
      <c r="D480" s="59"/>
      <c r="E480" s="59"/>
      <c r="F480" s="59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59"/>
      <c r="C481" s="59"/>
      <c r="D481" s="59"/>
      <c r="E481" s="59"/>
      <c r="F481" s="59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59"/>
      <c r="C482" s="59"/>
      <c r="D482" s="59"/>
      <c r="E482" s="59"/>
      <c r="F482" s="59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59"/>
      <c r="C483" s="59"/>
      <c r="D483" s="59"/>
      <c r="E483" s="59"/>
      <c r="F483" s="59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59"/>
      <c r="C484" s="59"/>
      <c r="D484" s="59"/>
      <c r="E484" s="59"/>
      <c r="F484" s="59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59"/>
      <c r="C485" s="59"/>
      <c r="D485" s="59"/>
      <c r="E485" s="59"/>
      <c r="F485" s="59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59"/>
      <c r="C486" s="59"/>
      <c r="D486" s="59"/>
      <c r="E486" s="59"/>
      <c r="F486" s="59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59"/>
      <c r="C487" s="59"/>
      <c r="D487" s="59"/>
      <c r="E487" s="59"/>
      <c r="F487" s="59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59"/>
      <c r="C488" s="59"/>
      <c r="D488" s="59"/>
      <c r="E488" s="59"/>
      <c r="F488" s="59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59"/>
      <c r="C489" s="59"/>
      <c r="D489" s="59"/>
      <c r="E489" s="59"/>
      <c r="F489" s="59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59"/>
      <c r="C490" s="59"/>
      <c r="D490" s="59"/>
      <c r="E490" s="59"/>
      <c r="F490" s="59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59"/>
      <c r="C491" s="59"/>
      <c r="D491" s="59"/>
      <c r="E491" s="59"/>
      <c r="F491" s="59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59"/>
      <c r="C492" s="59"/>
      <c r="D492" s="59"/>
      <c r="E492" s="59"/>
      <c r="F492" s="59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59"/>
      <c r="C493" s="59"/>
      <c r="D493" s="59"/>
      <c r="E493" s="59"/>
      <c r="F493" s="59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59"/>
      <c r="C494" s="59"/>
      <c r="D494" s="59"/>
      <c r="E494" s="59"/>
      <c r="F494" s="59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59"/>
      <c r="C495" s="59"/>
      <c r="D495" s="59"/>
      <c r="E495" s="59"/>
      <c r="F495" s="59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59"/>
      <c r="C496" s="59"/>
      <c r="D496" s="59"/>
      <c r="E496" s="59"/>
      <c r="F496" s="59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59"/>
      <c r="C497" s="59"/>
      <c r="D497" s="59"/>
      <c r="E497" s="59"/>
      <c r="F497" s="59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59"/>
      <c r="C498" s="59"/>
      <c r="D498" s="59"/>
      <c r="E498" s="59"/>
      <c r="F498" s="59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59"/>
      <c r="C499" s="59"/>
      <c r="D499" s="59"/>
      <c r="E499" s="59"/>
      <c r="F499" s="59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59"/>
      <c r="C500" s="59"/>
      <c r="D500" s="59"/>
      <c r="E500" s="59"/>
      <c r="F500" s="59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59"/>
      <c r="C501" s="59"/>
      <c r="D501" s="59"/>
      <c r="E501" s="59"/>
      <c r="F501" s="59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59"/>
      <c r="C502" s="59"/>
      <c r="D502" s="59"/>
      <c r="E502" s="59"/>
      <c r="F502" s="59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59"/>
      <c r="C503" s="59"/>
      <c r="D503" s="59"/>
      <c r="E503" s="59"/>
      <c r="F503" s="59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59"/>
      <c r="C504" s="59"/>
      <c r="D504" s="59"/>
      <c r="E504" s="59"/>
      <c r="F504" s="59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59"/>
      <c r="C505" s="59"/>
      <c r="D505" s="59"/>
      <c r="E505" s="59"/>
      <c r="F505" s="59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59"/>
      <c r="C506" s="59"/>
      <c r="D506" s="59"/>
      <c r="E506" s="59"/>
      <c r="F506" s="59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59"/>
      <c r="C507" s="59"/>
      <c r="D507" s="59"/>
      <c r="E507" s="59"/>
      <c r="F507" s="59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59"/>
      <c r="C508" s="59"/>
      <c r="D508" s="59"/>
      <c r="E508" s="59"/>
      <c r="F508" s="59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59"/>
      <c r="C509" s="59"/>
      <c r="D509" s="59"/>
      <c r="E509" s="59"/>
      <c r="F509" s="59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59"/>
      <c r="C510" s="59"/>
      <c r="D510" s="59"/>
      <c r="E510" s="59"/>
      <c r="F510" s="59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59"/>
      <c r="C511" s="59"/>
      <c r="D511" s="59"/>
      <c r="E511" s="59"/>
      <c r="F511" s="59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59"/>
      <c r="C512" s="59"/>
      <c r="D512" s="59"/>
      <c r="E512" s="59"/>
      <c r="F512" s="59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59"/>
      <c r="C513" s="59"/>
      <c r="D513" s="59"/>
      <c r="E513" s="59"/>
      <c r="F513" s="59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59"/>
      <c r="C514" s="59"/>
      <c r="D514" s="59"/>
      <c r="E514" s="59"/>
      <c r="F514" s="59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59"/>
      <c r="C515" s="59"/>
      <c r="D515" s="59"/>
      <c r="E515" s="59"/>
      <c r="F515" s="59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59"/>
      <c r="C516" s="59"/>
      <c r="D516" s="59"/>
      <c r="E516" s="59"/>
      <c r="F516" s="59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59"/>
      <c r="C517" s="59"/>
      <c r="D517" s="59"/>
      <c r="E517" s="59"/>
      <c r="F517" s="59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59"/>
      <c r="C518" s="59"/>
      <c r="D518" s="59"/>
      <c r="E518" s="59"/>
      <c r="F518" s="59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59"/>
      <c r="C519" s="59"/>
      <c r="D519" s="59"/>
      <c r="E519" s="59"/>
      <c r="F519" s="59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59"/>
      <c r="C520" s="59"/>
      <c r="D520" s="59"/>
      <c r="E520" s="59"/>
      <c r="F520" s="59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59"/>
      <c r="C521" s="59"/>
      <c r="D521" s="59"/>
      <c r="E521" s="59"/>
      <c r="F521" s="59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59"/>
      <c r="C522" s="59"/>
      <c r="D522" s="59"/>
      <c r="E522" s="59"/>
      <c r="F522" s="59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59"/>
      <c r="C523" s="59"/>
      <c r="D523" s="59"/>
      <c r="E523" s="59"/>
      <c r="F523" s="59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59"/>
      <c r="C524" s="59"/>
      <c r="D524" s="59"/>
      <c r="E524" s="59"/>
      <c r="F524" s="59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59"/>
      <c r="C525" s="59"/>
      <c r="D525" s="59"/>
      <c r="E525" s="59"/>
      <c r="F525" s="59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59"/>
      <c r="C526" s="59"/>
      <c r="D526" s="59"/>
      <c r="E526" s="59"/>
      <c r="F526" s="59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59"/>
      <c r="C527" s="59"/>
      <c r="D527" s="59"/>
      <c r="E527" s="59"/>
      <c r="F527" s="59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59"/>
      <c r="C528" s="59"/>
      <c r="D528" s="59"/>
      <c r="E528" s="59"/>
      <c r="F528" s="59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59"/>
      <c r="C529" s="59"/>
      <c r="D529" s="59"/>
      <c r="E529" s="59"/>
      <c r="F529" s="59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59"/>
      <c r="C530" s="59"/>
      <c r="D530" s="59"/>
      <c r="E530" s="59"/>
      <c r="F530" s="59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59"/>
      <c r="C531" s="59"/>
      <c r="D531" s="59"/>
      <c r="E531" s="59"/>
      <c r="F531" s="59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59"/>
      <c r="C532" s="59"/>
      <c r="D532" s="59"/>
      <c r="E532" s="59"/>
      <c r="F532" s="59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59"/>
      <c r="C533" s="59"/>
      <c r="D533" s="59"/>
      <c r="E533" s="59"/>
      <c r="F533" s="59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59"/>
      <c r="C534" s="59"/>
      <c r="D534" s="59"/>
      <c r="E534" s="59"/>
      <c r="F534" s="59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59"/>
      <c r="C535" s="59"/>
      <c r="D535" s="59"/>
      <c r="E535" s="59"/>
      <c r="F535" s="59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59"/>
      <c r="C536" s="59"/>
      <c r="D536" s="59"/>
      <c r="E536" s="59"/>
      <c r="F536" s="59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59"/>
      <c r="C537" s="59"/>
      <c r="D537" s="59"/>
      <c r="E537" s="59"/>
      <c r="F537" s="59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59"/>
      <c r="C538" s="59"/>
      <c r="D538" s="59"/>
      <c r="E538" s="59"/>
      <c r="F538" s="59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59"/>
      <c r="C539" s="59"/>
      <c r="D539" s="59"/>
      <c r="E539" s="59"/>
      <c r="F539" s="59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59"/>
      <c r="C540" s="59"/>
      <c r="D540" s="59"/>
      <c r="E540" s="59"/>
      <c r="F540" s="59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59"/>
      <c r="C541" s="59"/>
      <c r="D541" s="59"/>
      <c r="E541" s="59"/>
      <c r="F541" s="59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59"/>
      <c r="C542" s="59"/>
      <c r="D542" s="59"/>
      <c r="E542" s="59"/>
      <c r="F542" s="59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59"/>
      <c r="C543" s="59"/>
      <c r="D543" s="59"/>
      <c r="E543" s="59"/>
      <c r="F543" s="59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59"/>
      <c r="C544" s="59"/>
      <c r="D544" s="59"/>
      <c r="E544" s="59"/>
      <c r="F544" s="59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59"/>
      <c r="C545" s="59"/>
      <c r="D545" s="59"/>
      <c r="E545" s="59"/>
      <c r="F545" s="59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59"/>
      <c r="C546" s="59"/>
      <c r="D546" s="59"/>
      <c r="E546" s="59"/>
      <c r="F546" s="59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59"/>
      <c r="C547" s="59"/>
      <c r="D547" s="59"/>
      <c r="E547" s="59"/>
      <c r="F547" s="59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59"/>
      <c r="C548" s="59"/>
      <c r="D548" s="59"/>
      <c r="E548" s="59"/>
      <c r="F548" s="59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59"/>
      <c r="C549" s="59"/>
      <c r="D549" s="59"/>
      <c r="E549" s="59"/>
      <c r="F549" s="59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59"/>
      <c r="C550" s="59"/>
      <c r="D550" s="59"/>
      <c r="E550" s="59"/>
      <c r="F550" s="59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59"/>
      <c r="C551" s="59"/>
      <c r="D551" s="59"/>
      <c r="E551" s="59"/>
      <c r="F551" s="59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59"/>
      <c r="C552" s="59"/>
      <c r="D552" s="59"/>
      <c r="E552" s="59"/>
      <c r="F552" s="59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59"/>
      <c r="C553" s="59"/>
      <c r="D553" s="59"/>
      <c r="E553" s="59"/>
      <c r="F553" s="59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59"/>
      <c r="C554" s="59"/>
      <c r="D554" s="59"/>
      <c r="E554" s="59"/>
      <c r="F554" s="59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59"/>
      <c r="C555" s="59"/>
      <c r="D555" s="59"/>
      <c r="E555" s="59"/>
      <c r="F555" s="59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59"/>
      <c r="C556" s="59"/>
      <c r="D556" s="59"/>
      <c r="E556" s="59"/>
      <c r="F556" s="59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59"/>
      <c r="C557" s="59"/>
      <c r="D557" s="59"/>
      <c r="E557" s="59"/>
      <c r="F557" s="59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59"/>
      <c r="C558" s="59"/>
      <c r="D558" s="59"/>
      <c r="E558" s="59"/>
      <c r="F558" s="59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59"/>
      <c r="C559" s="59"/>
      <c r="D559" s="59"/>
      <c r="E559" s="59"/>
      <c r="F559" s="59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59"/>
      <c r="C560" s="59"/>
      <c r="D560" s="59"/>
      <c r="E560" s="59"/>
      <c r="F560" s="59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59"/>
      <c r="C561" s="59"/>
      <c r="D561" s="59"/>
      <c r="E561" s="59"/>
      <c r="F561" s="59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59"/>
      <c r="C562" s="59"/>
      <c r="D562" s="59"/>
      <c r="E562" s="59"/>
      <c r="F562" s="59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59"/>
      <c r="C563" s="59"/>
      <c r="D563" s="59"/>
      <c r="E563" s="59"/>
      <c r="F563" s="59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59"/>
      <c r="C564" s="59"/>
      <c r="D564" s="59"/>
      <c r="E564" s="59"/>
      <c r="F564" s="59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59"/>
      <c r="C565" s="59"/>
      <c r="D565" s="59"/>
      <c r="E565" s="59"/>
      <c r="F565" s="59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59"/>
      <c r="C566" s="59"/>
      <c r="D566" s="59"/>
      <c r="E566" s="59"/>
      <c r="F566" s="59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59"/>
      <c r="C567" s="59"/>
      <c r="D567" s="59"/>
      <c r="E567" s="59"/>
      <c r="F567" s="59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59"/>
      <c r="C568" s="59"/>
      <c r="D568" s="59"/>
      <c r="E568" s="59"/>
      <c r="F568" s="59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59"/>
      <c r="C569" s="59"/>
      <c r="D569" s="59"/>
      <c r="E569" s="59"/>
      <c r="F569" s="59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59"/>
      <c r="C570" s="59"/>
      <c r="D570" s="59"/>
      <c r="E570" s="59"/>
      <c r="F570" s="59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59"/>
      <c r="C571" s="59"/>
      <c r="D571" s="59"/>
      <c r="E571" s="59"/>
      <c r="F571" s="59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59"/>
      <c r="C572" s="59"/>
      <c r="D572" s="59"/>
      <c r="E572" s="59"/>
      <c r="F572" s="59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59"/>
      <c r="C573" s="59"/>
      <c r="D573" s="59"/>
      <c r="E573" s="59"/>
      <c r="F573" s="59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59"/>
      <c r="C574" s="59"/>
      <c r="D574" s="59"/>
      <c r="E574" s="59"/>
      <c r="F574" s="59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59"/>
      <c r="C575" s="59"/>
      <c r="D575" s="59"/>
      <c r="E575" s="59"/>
      <c r="F575" s="59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59"/>
      <c r="C576" s="59"/>
      <c r="D576" s="59"/>
      <c r="E576" s="59"/>
      <c r="F576" s="59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59"/>
      <c r="C577" s="59"/>
      <c r="D577" s="59"/>
      <c r="E577" s="59"/>
      <c r="F577" s="59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59"/>
      <c r="C578" s="59"/>
      <c r="D578" s="59"/>
      <c r="E578" s="59"/>
      <c r="F578" s="59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59"/>
      <c r="C579" s="59"/>
      <c r="D579" s="59"/>
      <c r="E579" s="59"/>
      <c r="F579" s="59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59"/>
      <c r="C580" s="59"/>
      <c r="D580" s="59"/>
      <c r="E580" s="59"/>
      <c r="F580" s="59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59"/>
      <c r="C581" s="59"/>
      <c r="D581" s="59"/>
      <c r="E581" s="59"/>
      <c r="F581" s="59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59"/>
      <c r="C582" s="59"/>
      <c r="D582" s="59"/>
      <c r="E582" s="59"/>
      <c r="F582" s="59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59"/>
      <c r="C583" s="59"/>
      <c r="D583" s="59"/>
      <c r="E583" s="59"/>
      <c r="F583" s="59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59"/>
      <c r="C584" s="59"/>
      <c r="D584" s="59"/>
      <c r="E584" s="59"/>
      <c r="F584" s="59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59"/>
      <c r="C585" s="59"/>
      <c r="D585" s="59"/>
      <c r="E585" s="59"/>
      <c r="F585" s="59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59"/>
      <c r="C586" s="59"/>
      <c r="D586" s="59"/>
      <c r="E586" s="59"/>
      <c r="F586" s="59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59"/>
      <c r="C587" s="59"/>
      <c r="D587" s="59"/>
      <c r="E587" s="59"/>
      <c r="F587" s="59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59"/>
      <c r="C588" s="59"/>
      <c r="D588" s="59"/>
      <c r="E588" s="59"/>
      <c r="F588" s="59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59"/>
      <c r="C589" s="59"/>
      <c r="D589" s="59"/>
      <c r="E589" s="59"/>
      <c r="F589" s="59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59"/>
      <c r="C590" s="59"/>
      <c r="D590" s="59"/>
      <c r="E590" s="59"/>
      <c r="F590" s="59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59"/>
      <c r="C591" s="59"/>
      <c r="D591" s="59"/>
      <c r="E591" s="59"/>
      <c r="F591" s="59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59"/>
      <c r="C592" s="59"/>
      <c r="D592" s="59"/>
      <c r="E592" s="59"/>
      <c r="F592" s="59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59"/>
      <c r="C593" s="59"/>
      <c r="D593" s="59"/>
      <c r="E593" s="59"/>
      <c r="F593" s="59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59"/>
      <c r="C594" s="59"/>
      <c r="D594" s="59"/>
      <c r="E594" s="59"/>
      <c r="F594" s="59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59"/>
      <c r="C595" s="59"/>
      <c r="D595" s="59"/>
      <c r="E595" s="59"/>
      <c r="F595" s="59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59"/>
      <c r="C596" s="59"/>
      <c r="D596" s="59"/>
      <c r="E596" s="59"/>
      <c r="F596" s="59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59"/>
      <c r="C597" s="59"/>
      <c r="D597" s="59"/>
      <c r="E597" s="59"/>
      <c r="F597" s="59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59"/>
      <c r="C598" s="59"/>
      <c r="D598" s="59"/>
      <c r="E598" s="59"/>
      <c r="F598" s="59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59"/>
      <c r="C599" s="59"/>
      <c r="D599" s="59"/>
      <c r="E599" s="59"/>
      <c r="F599" s="59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59"/>
      <c r="C600" s="59"/>
      <c r="D600" s="59"/>
      <c r="E600" s="59"/>
      <c r="F600" s="59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59"/>
      <c r="C601" s="59"/>
      <c r="D601" s="59"/>
      <c r="E601" s="59"/>
      <c r="F601" s="59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59"/>
      <c r="C602" s="59"/>
      <c r="D602" s="59"/>
      <c r="E602" s="59"/>
      <c r="F602" s="59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59"/>
      <c r="C603" s="59"/>
      <c r="D603" s="59"/>
      <c r="E603" s="59"/>
      <c r="F603" s="59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59"/>
      <c r="C604" s="59"/>
      <c r="D604" s="59"/>
      <c r="E604" s="59"/>
      <c r="F604" s="59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59"/>
      <c r="C605" s="59"/>
      <c r="D605" s="59"/>
      <c r="E605" s="59"/>
      <c r="F605" s="59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59"/>
      <c r="C606" s="59"/>
      <c r="D606" s="59"/>
      <c r="E606" s="59"/>
      <c r="F606" s="59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59"/>
      <c r="C607" s="59"/>
      <c r="D607" s="59"/>
      <c r="E607" s="59"/>
      <c r="F607" s="59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59"/>
      <c r="C608" s="59"/>
      <c r="D608" s="59"/>
      <c r="E608" s="59"/>
      <c r="F608" s="59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59"/>
      <c r="C609" s="59"/>
      <c r="D609" s="59"/>
      <c r="E609" s="59"/>
      <c r="F609" s="59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59"/>
      <c r="C610" s="59"/>
      <c r="D610" s="59"/>
      <c r="E610" s="59"/>
      <c r="F610" s="59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59"/>
      <c r="C611" s="59"/>
      <c r="D611" s="59"/>
      <c r="E611" s="59"/>
      <c r="F611" s="59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59"/>
      <c r="C612" s="59"/>
      <c r="D612" s="59"/>
      <c r="E612" s="59"/>
      <c r="F612" s="59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59"/>
      <c r="C613" s="59"/>
      <c r="D613" s="59"/>
      <c r="E613" s="59"/>
      <c r="F613" s="59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59"/>
      <c r="C614" s="59"/>
      <c r="D614" s="59"/>
      <c r="E614" s="59"/>
      <c r="F614" s="59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59"/>
      <c r="C615" s="59"/>
      <c r="D615" s="59"/>
      <c r="E615" s="59"/>
      <c r="F615" s="59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59"/>
      <c r="C616" s="59"/>
      <c r="D616" s="59"/>
      <c r="E616" s="59"/>
      <c r="F616" s="59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59"/>
      <c r="C617" s="59"/>
      <c r="D617" s="59"/>
      <c r="E617" s="59"/>
      <c r="F617" s="59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59"/>
      <c r="C618" s="59"/>
      <c r="D618" s="59"/>
      <c r="E618" s="59"/>
      <c r="F618" s="59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59"/>
      <c r="C619" s="59"/>
      <c r="D619" s="59"/>
      <c r="E619" s="59"/>
      <c r="F619" s="59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59"/>
      <c r="C620" s="59"/>
      <c r="D620" s="59"/>
      <c r="E620" s="59"/>
      <c r="F620" s="59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59"/>
      <c r="C621" s="59"/>
      <c r="D621" s="59"/>
      <c r="E621" s="59"/>
      <c r="F621" s="59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59"/>
      <c r="C622" s="59"/>
      <c r="D622" s="59"/>
      <c r="E622" s="59"/>
      <c r="F622" s="59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59"/>
      <c r="C623" s="59"/>
      <c r="D623" s="59"/>
      <c r="E623" s="59"/>
      <c r="F623" s="59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59"/>
      <c r="C624" s="59"/>
      <c r="D624" s="59"/>
      <c r="E624" s="59"/>
      <c r="F624" s="59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59"/>
      <c r="C625" s="59"/>
      <c r="D625" s="59"/>
      <c r="E625" s="59"/>
      <c r="F625" s="59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59"/>
      <c r="C626" s="59"/>
      <c r="D626" s="59"/>
      <c r="E626" s="59"/>
      <c r="F626" s="59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59"/>
      <c r="C627" s="59"/>
      <c r="D627" s="59"/>
      <c r="E627" s="59"/>
      <c r="F627" s="59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59"/>
      <c r="C628" s="59"/>
      <c r="D628" s="59"/>
      <c r="E628" s="59"/>
      <c r="F628" s="59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59"/>
      <c r="C629" s="59"/>
      <c r="D629" s="59"/>
      <c r="E629" s="59"/>
      <c r="F629" s="59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59"/>
      <c r="C630" s="59"/>
      <c r="D630" s="59"/>
      <c r="E630" s="59"/>
      <c r="F630" s="59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59"/>
      <c r="C631" s="59"/>
      <c r="D631" s="59"/>
      <c r="E631" s="59"/>
      <c r="F631" s="59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59"/>
      <c r="C632" s="59"/>
      <c r="D632" s="59"/>
      <c r="E632" s="59"/>
      <c r="F632" s="59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59"/>
      <c r="C633" s="59"/>
      <c r="D633" s="59"/>
      <c r="E633" s="59"/>
      <c r="F633" s="59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59"/>
      <c r="C634" s="59"/>
      <c r="D634" s="59"/>
      <c r="E634" s="59"/>
      <c r="F634" s="59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59"/>
      <c r="C635" s="59"/>
      <c r="D635" s="59"/>
      <c r="E635" s="59"/>
      <c r="F635" s="59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59"/>
      <c r="C636" s="59"/>
      <c r="D636" s="59"/>
      <c r="E636" s="59"/>
      <c r="F636" s="59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59"/>
      <c r="C637" s="59"/>
      <c r="D637" s="59"/>
      <c r="E637" s="59"/>
      <c r="F637" s="59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59"/>
      <c r="C638" s="59"/>
      <c r="D638" s="59"/>
      <c r="E638" s="59"/>
      <c r="F638" s="59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59"/>
      <c r="C639" s="59"/>
      <c r="D639" s="59"/>
      <c r="E639" s="59"/>
      <c r="F639" s="59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59"/>
      <c r="C640" s="59"/>
      <c r="D640" s="59"/>
      <c r="E640" s="59"/>
      <c r="F640" s="59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59"/>
      <c r="C641" s="59"/>
      <c r="D641" s="59"/>
      <c r="E641" s="59"/>
      <c r="F641" s="59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59"/>
      <c r="C642" s="59"/>
      <c r="D642" s="59"/>
      <c r="E642" s="59"/>
      <c r="F642" s="59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59"/>
      <c r="C643" s="59"/>
      <c r="D643" s="59"/>
      <c r="E643" s="59"/>
      <c r="F643" s="59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59"/>
      <c r="C644" s="59"/>
      <c r="D644" s="59"/>
      <c r="E644" s="59"/>
      <c r="F644" s="59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59"/>
      <c r="C645" s="59"/>
      <c r="D645" s="59"/>
      <c r="E645" s="59"/>
      <c r="F645" s="59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59"/>
      <c r="C646" s="59"/>
      <c r="D646" s="59"/>
      <c r="E646" s="59"/>
      <c r="F646" s="59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59"/>
      <c r="C647" s="59"/>
      <c r="D647" s="59"/>
      <c r="E647" s="59"/>
      <c r="F647" s="59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59"/>
      <c r="C648" s="59"/>
      <c r="D648" s="59"/>
      <c r="E648" s="59"/>
      <c r="F648" s="59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59"/>
      <c r="C649" s="59"/>
      <c r="D649" s="59"/>
      <c r="E649" s="59"/>
      <c r="F649" s="59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59"/>
      <c r="C650" s="59"/>
      <c r="D650" s="59"/>
      <c r="E650" s="59"/>
      <c r="F650" s="59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59"/>
      <c r="C651" s="59"/>
      <c r="D651" s="59"/>
      <c r="E651" s="59"/>
      <c r="F651" s="59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59"/>
      <c r="C652" s="59"/>
      <c r="D652" s="59"/>
      <c r="E652" s="59"/>
      <c r="F652" s="59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59"/>
      <c r="C653" s="59"/>
      <c r="D653" s="59"/>
      <c r="E653" s="59"/>
      <c r="F653" s="59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59"/>
      <c r="C654" s="59"/>
      <c r="D654" s="59"/>
      <c r="E654" s="59"/>
      <c r="F654" s="59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59"/>
      <c r="C655" s="59"/>
      <c r="D655" s="59"/>
      <c r="E655" s="59"/>
      <c r="F655" s="59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59"/>
      <c r="C656" s="59"/>
      <c r="D656" s="59"/>
      <c r="E656" s="59"/>
      <c r="F656" s="59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59"/>
      <c r="C657" s="59"/>
      <c r="D657" s="59"/>
      <c r="E657" s="59"/>
      <c r="F657" s="59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59"/>
      <c r="C658" s="59"/>
      <c r="D658" s="59"/>
      <c r="E658" s="59"/>
      <c r="F658" s="59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59"/>
      <c r="C659" s="59"/>
      <c r="D659" s="59"/>
      <c r="E659" s="59"/>
      <c r="F659" s="59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59"/>
      <c r="C660" s="59"/>
      <c r="D660" s="59"/>
      <c r="E660" s="59"/>
      <c r="F660" s="59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59"/>
      <c r="C661" s="59"/>
      <c r="D661" s="59"/>
      <c r="E661" s="59"/>
      <c r="F661" s="59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59"/>
      <c r="C662" s="59"/>
      <c r="D662" s="59"/>
      <c r="E662" s="59"/>
      <c r="F662" s="59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59"/>
      <c r="C663" s="59"/>
      <c r="D663" s="59"/>
      <c r="E663" s="59"/>
      <c r="F663" s="59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59"/>
      <c r="C664" s="59"/>
      <c r="D664" s="59"/>
      <c r="E664" s="59"/>
      <c r="F664" s="59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59"/>
      <c r="C665" s="59"/>
      <c r="D665" s="59"/>
      <c r="E665" s="59"/>
      <c r="F665" s="59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59"/>
      <c r="C666" s="59"/>
      <c r="D666" s="59"/>
      <c r="E666" s="59"/>
      <c r="F666" s="59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59"/>
      <c r="C667" s="59"/>
      <c r="D667" s="59"/>
      <c r="E667" s="59"/>
      <c r="F667" s="59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59"/>
      <c r="C668" s="59"/>
      <c r="D668" s="59"/>
      <c r="E668" s="59"/>
      <c r="F668" s="59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59"/>
      <c r="C669" s="59"/>
      <c r="D669" s="59"/>
      <c r="E669" s="59"/>
      <c r="F669" s="59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59"/>
      <c r="C670" s="59"/>
      <c r="D670" s="59"/>
      <c r="E670" s="59"/>
      <c r="F670" s="59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59"/>
      <c r="C671" s="59"/>
      <c r="D671" s="59"/>
      <c r="E671" s="59"/>
      <c r="F671" s="59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59"/>
      <c r="C672" s="59"/>
      <c r="D672" s="59"/>
      <c r="E672" s="59"/>
      <c r="F672" s="59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59"/>
      <c r="C673" s="59"/>
      <c r="D673" s="59"/>
      <c r="E673" s="59"/>
      <c r="F673" s="59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59"/>
      <c r="C674" s="59"/>
      <c r="D674" s="59"/>
      <c r="E674" s="59"/>
      <c r="F674" s="59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59"/>
      <c r="C675" s="59"/>
      <c r="D675" s="59"/>
      <c r="E675" s="59"/>
      <c r="F675" s="59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59"/>
      <c r="C676" s="59"/>
      <c r="D676" s="59"/>
      <c r="E676" s="59"/>
      <c r="F676" s="59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59"/>
      <c r="C677" s="59"/>
      <c r="D677" s="59"/>
      <c r="E677" s="59"/>
      <c r="F677" s="59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59"/>
      <c r="C678" s="59"/>
      <c r="D678" s="59"/>
      <c r="E678" s="59"/>
      <c r="F678" s="59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59"/>
      <c r="C679" s="59"/>
      <c r="D679" s="59"/>
      <c r="E679" s="59"/>
      <c r="F679" s="59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59"/>
      <c r="C680" s="59"/>
      <c r="D680" s="59"/>
      <c r="E680" s="59"/>
      <c r="F680" s="59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59"/>
      <c r="C681" s="59"/>
      <c r="D681" s="59"/>
      <c r="E681" s="59"/>
      <c r="F681" s="59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59"/>
      <c r="C682" s="59"/>
      <c r="D682" s="59"/>
      <c r="E682" s="59"/>
      <c r="F682" s="59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59"/>
      <c r="C683" s="59"/>
      <c r="D683" s="59"/>
      <c r="E683" s="59"/>
      <c r="F683" s="59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59"/>
      <c r="C684" s="59"/>
      <c r="D684" s="59"/>
      <c r="E684" s="59"/>
      <c r="F684" s="59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59"/>
      <c r="C685" s="59"/>
      <c r="D685" s="59"/>
      <c r="E685" s="59"/>
      <c r="F685" s="59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59"/>
      <c r="C686" s="59"/>
      <c r="D686" s="59"/>
      <c r="E686" s="59"/>
      <c r="F686" s="59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59"/>
      <c r="C687" s="59"/>
      <c r="D687" s="59"/>
      <c r="E687" s="59"/>
      <c r="F687" s="59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59"/>
      <c r="C688" s="59"/>
      <c r="D688" s="59"/>
      <c r="E688" s="59"/>
      <c r="F688" s="59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59"/>
      <c r="C689" s="59"/>
      <c r="D689" s="59"/>
      <c r="E689" s="59"/>
      <c r="F689" s="59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59"/>
      <c r="C690" s="59"/>
      <c r="D690" s="59"/>
      <c r="E690" s="59"/>
      <c r="F690" s="59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59"/>
      <c r="C691" s="59"/>
      <c r="D691" s="59"/>
      <c r="E691" s="59"/>
      <c r="F691" s="59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59"/>
      <c r="C692" s="59"/>
      <c r="D692" s="59"/>
      <c r="E692" s="59"/>
      <c r="F692" s="59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59"/>
      <c r="C693" s="59"/>
      <c r="D693" s="59"/>
      <c r="E693" s="59"/>
      <c r="F693" s="59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59"/>
      <c r="C694" s="59"/>
      <c r="D694" s="59"/>
      <c r="E694" s="59"/>
      <c r="F694" s="59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59"/>
      <c r="C695" s="59"/>
      <c r="D695" s="59"/>
      <c r="E695" s="59"/>
      <c r="F695" s="59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59"/>
      <c r="C696" s="59"/>
      <c r="D696" s="59"/>
      <c r="E696" s="59"/>
      <c r="F696" s="59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59"/>
      <c r="C697" s="59"/>
      <c r="D697" s="59"/>
      <c r="E697" s="59"/>
      <c r="F697" s="59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59"/>
      <c r="C698" s="59"/>
      <c r="D698" s="59"/>
      <c r="E698" s="59"/>
      <c r="F698" s="59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59"/>
      <c r="C699" s="59"/>
      <c r="D699" s="59"/>
      <c r="E699" s="59"/>
      <c r="F699" s="59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59"/>
      <c r="C700" s="59"/>
      <c r="D700" s="59"/>
      <c r="E700" s="59"/>
      <c r="F700" s="59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59"/>
      <c r="C701" s="59"/>
      <c r="D701" s="59"/>
      <c r="E701" s="59"/>
      <c r="F701" s="59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59"/>
      <c r="C702" s="59"/>
      <c r="D702" s="59"/>
      <c r="E702" s="59"/>
      <c r="F702" s="59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59"/>
      <c r="C703" s="59"/>
      <c r="D703" s="59"/>
      <c r="E703" s="59"/>
      <c r="F703" s="59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59"/>
      <c r="C704" s="59"/>
      <c r="D704" s="59"/>
      <c r="E704" s="59"/>
      <c r="F704" s="59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59"/>
      <c r="C705" s="59"/>
      <c r="D705" s="59"/>
      <c r="E705" s="59"/>
      <c r="F705" s="59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59"/>
      <c r="C706" s="59"/>
      <c r="D706" s="59"/>
      <c r="E706" s="59"/>
      <c r="F706" s="59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59"/>
      <c r="C707" s="59"/>
      <c r="D707" s="59"/>
      <c r="E707" s="59"/>
      <c r="F707" s="59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59"/>
      <c r="C708" s="59"/>
      <c r="D708" s="59"/>
      <c r="E708" s="59"/>
      <c r="F708" s="59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59"/>
      <c r="C709" s="59"/>
      <c r="D709" s="59"/>
      <c r="E709" s="59"/>
      <c r="F709" s="59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59"/>
      <c r="C710" s="59"/>
      <c r="D710" s="59"/>
      <c r="E710" s="59"/>
      <c r="F710" s="59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59"/>
      <c r="C711" s="59"/>
      <c r="D711" s="59"/>
      <c r="E711" s="59"/>
      <c r="F711" s="59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59"/>
      <c r="C712" s="59"/>
      <c r="D712" s="59"/>
      <c r="E712" s="59"/>
      <c r="F712" s="59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59"/>
      <c r="C713" s="59"/>
      <c r="D713" s="59"/>
      <c r="E713" s="59"/>
      <c r="F713" s="59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59"/>
      <c r="C714" s="59"/>
      <c r="D714" s="59"/>
      <c r="E714" s="59"/>
      <c r="F714" s="59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59"/>
      <c r="C715" s="59"/>
      <c r="D715" s="59"/>
      <c r="E715" s="59"/>
      <c r="F715" s="59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59"/>
      <c r="C716" s="59"/>
      <c r="D716" s="59"/>
      <c r="E716" s="59"/>
      <c r="F716" s="59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59"/>
      <c r="C717" s="59"/>
      <c r="D717" s="59"/>
      <c r="E717" s="59"/>
      <c r="F717" s="59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59"/>
      <c r="C718" s="59"/>
      <c r="D718" s="59"/>
      <c r="E718" s="59"/>
      <c r="F718" s="59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59"/>
      <c r="C719" s="59"/>
      <c r="D719" s="59"/>
      <c r="E719" s="59"/>
      <c r="F719" s="59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59"/>
      <c r="C720" s="59"/>
      <c r="D720" s="59"/>
      <c r="E720" s="59"/>
      <c r="F720" s="59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59"/>
      <c r="C721" s="59"/>
      <c r="D721" s="59"/>
      <c r="E721" s="59"/>
      <c r="F721" s="59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59"/>
      <c r="C722" s="59"/>
      <c r="D722" s="59"/>
      <c r="E722" s="59"/>
      <c r="F722" s="59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59"/>
      <c r="C723" s="59"/>
      <c r="D723" s="59"/>
      <c r="E723" s="59"/>
      <c r="F723" s="59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59"/>
      <c r="C724" s="59"/>
      <c r="D724" s="59"/>
      <c r="E724" s="59"/>
      <c r="F724" s="59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59"/>
      <c r="C725" s="59"/>
      <c r="D725" s="59"/>
      <c r="E725" s="59"/>
      <c r="F725" s="59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59"/>
      <c r="C726" s="59"/>
      <c r="D726" s="59"/>
      <c r="E726" s="59"/>
      <c r="F726" s="59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59"/>
      <c r="C727" s="59"/>
      <c r="D727" s="59"/>
      <c r="E727" s="59"/>
      <c r="F727" s="59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59"/>
      <c r="C728" s="59"/>
      <c r="D728" s="59"/>
      <c r="E728" s="59"/>
      <c r="F728" s="59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59"/>
      <c r="C729" s="59"/>
      <c r="D729" s="59"/>
      <c r="E729" s="59"/>
      <c r="F729" s="59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59"/>
      <c r="C730" s="59"/>
      <c r="D730" s="59"/>
      <c r="E730" s="59"/>
      <c r="F730" s="59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59"/>
      <c r="C731" s="59"/>
      <c r="D731" s="59"/>
      <c r="E731" s="59"/>
      <c r="F731" s="59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59"/>
      <c r="C732" s="59"/>
      <c r="D732" s="59"/>
      <c r="E732" s="59"/>
      <c r="F732" s="59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59"/>
      <c r="C733" s="59"/>
      <c r="D733" s="59"/>
      <c r="E733" s="59"/>
      <c r="F733" s="59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59"/>
      <c r="C734" s="59"/>
      <c r="D734" s="59"/>
      <c r="E734" s="59"/>
      <c r="F734" s="59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59"/>
      <c r="C735" s="59"/>
      <c r="D735" s="59"/>
      <c r="E735" s="59"/>
      <c r="F735" s="59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59"/>
      <c r="C736" s="59"/>
      <c r="D736" s="59"/>
      <c r="E736" s="59"/>
      <c r="F736" s="59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59"/>
      <c r="C737" s="59"/>
      <c r="D737" s="59"/>
      <c r="E737" s="59"/>
      <c r="F737" s="59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59"/>
      <c r="C738" s="59"/>
      <c r="D738" s="59"/>
      <c r="E738" s="59"/>
      <c r="F738" s="59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59"/>
      <c r="C739" s="59"/>
      <c r="D739" s="59"/>
      <c r="E739" s="59"/>
      <c r="F739" s="59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59"/>
      <c r="C740" s="59"/>
      <c r="D740" s="59"/>
      <c r="E740" s="59"/>
      <c r="F740" s="59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59"/>
      <c r="C741" s="59"/>
      <c r="D741" s="59"/>
      <c r="E741" s="59"/>
      <c r="F741" s="59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59"/>
      <c r="C742" s="59"/>
      <c r="D742" s="59"/>
      <c r="E742" s="59"/>
      <c r="F742" s="59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59"/>
      <c r="C743" s="59"/>
      <c r="D743" s="59"/>
      <c r="E743" s="59"/>
      <c r="F743" s="59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59"/>
      <c r="C744" s="59"/>
      <c r="D744" s="59"/>
      <c r="E744" s="59"/>
      <c r="F744" s="59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59"/>
      <c r="C745" s="59"/>
      <c r="D745" s="59"/>
      <c r="E745" s="59"/>
      <c r="F745" s="59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59"/>
      <c r="C746" s="59"/>
      <c r="D746" s="59"/>
      <c r="E746" s="59"/>
      <c r="F746" s="59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59"/>
      <c r="C747" s="59"/>
      <c r="D747" s="59"/>
      <c r="E747" s="59"/>
      <c r="F747" s="59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59"/>
      <c r="C748" s="59"/>
      <c r="D748" s="59"/>
      <c r="E748" s="59"/>
      <c r="F748" s="59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59"/>
      <c r="C749" s="59"/>
      <c r="D749" s="59"/>
      <c r="E749" s="59"/>
      <c r="F749" s="59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59"/>
      <c r="C750" s="59"/>
      <c r="D750" s="59"/>
      <c r="E750" s="59"/>
      <c r="F750" s="59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59"/>
      <c r="C751" s="59"/>
      <c r="D751" s="59"/>
      <c r="E751" s="59"/>
      <c r="F751" s="59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59"/>
      <c r="C752" s="59"/>
      <c r="D752" s="59"/>
      <c r="E752" s="59"/>
      <c r="F752" s="59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59"/>
      <c r="C753" s="59"/>
      <c r="D753" s="59"/>
      <c r="E753" s="59"/>
      <c r="F753" s="59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59"/>
      <c r="C754" s="59"/>
      <c r="D754" s="59"/>
      <c r="E754" s="59"/>
      <c r="F754" s="59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59"/>
      <c r="C755" s="59"/>
      <c r="D755" s="59"/>
      <c r="E755" s="59"/>
      <c r="F755" s="59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59"/>
      <c r="C756" s="59"/>
      <c r="D756" s="59"/>
      <c r="E756" s="59"/>
      <c r="F756" s="59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59"/>
      <c r="C757" s="59"/>
      <c r="D757" s="59"/>
      <c r="E757" s="59"/>
      <c r="F757" s="59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59"/>
      <c r="C758" s="59"/>
      <c r="D758" s="59"/>
      <c r="E758" s="59"/>
      <c r="F758" s="59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59"/>
      <c r="C759" s="59"/>
      <c r="D759" s="59"/>
      <c r="E759" s="59"/>
      <c r="F759" s="59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59"/>
      <c r="C760" s="59"/>
      <c r="D760" s="59"/>
      <c r="E760" s="59"/>
      <c r="F760" s="59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59"/>
      <c r="C761" s="59"/>
      <c r="D761" s="59"/>
      <c r="E761" s="59"/>
      <c r="F761" s="59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59"/>
      <c r="C762" s="59"/>
      <c r="D762" s="59"/>
      <c r="E762" s="59"/>
      <c r="F762" s="59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59"/>
      <c r="C763" s="59"/>
      <c r="D763" s="59"/>
      <c r="E763" s="59"/>
      <c r="F763" s="59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59"/>
      <c r="C764" s="59"/>
      <c r="D764" s="59"/>
      <c r="E764" s="59"/>
      <c r="F764" s="59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59"/>
      <c r="C765" s="59"/>
      <c r="D765" s="59"/>
      <c r="E765" s="59"/>
      <c r="F765" s="59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59"/>
      <c r="C766" s="59"/>
      <c r="D766" s="59"/>
      <c r="E766" s="59"/>
      <c r="F766" s="59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59"/>
      <c r="C767" s="59"/>
      <c r="D767" s="59"/>
      <c r="E767" s="59"/>
      <c r="F767" s="59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59"/>
      <c r="C768" s="59"/>
      <c r="D768" s="59"/>
      <c r="E768" s="59"/>
      <c r="F768" s="59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59"/>
      <c r="C769" s="59"/>
      <c r="D769" s="59"/>
      <c r="E769" s="59"/>
      <c r="F769" s="59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59"/>
      <c r="C770" s="59"/>
      <c r="D770" s="59"/>
      <c r="E770" s="59"/>
      <c r="F770" s="59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59"/>
      <c r="C771" s="59"/>
      <c r="D771" s="59"/>
      <c r="E771" s="59"/>
      <c r="F771" s="59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59"/>
      <c r="C772" s="59"/>
      <c r="D772" s="59"/>
      <c r="E772" s="59"/>
      <c r="F772" s="59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59"/>
      <c r="C773" s="59"/>
      <c r="D773" s="59"/>
      <c r="E773" s="59"/>
      <c r="F773" s="59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59"/>
      <c r="C774" s="59"/>
      <c r="D774" s="59"/>
      <c r="E774" s="59"/>
      <c r="F774" s="59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59"/>
      <c r="C775" s="59"/>
      <c r="D775" s="59"/>
      <c r="E775" s="59"/>
      <c r="F775" s="59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59"/>
      <c r="C776" s="59"/>
      <c r="D776" s="59"/>
      <c r="E776" s="59"/>
      <c r="F776" s="59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59"/>
      <c r="C777" s="59"/>
      <c r="D777" s="59"/>
      <c r="E777" s="59"/>
      <c r="F777" s="59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59"/>
      <c r="C778" s="59"/>
      <c r="D778" s="59"/>
      <c r="E778" s="59"/>
      <c r="F778" s="59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59"/>
      <c r="C779" s="59"/>
      <c r="D779" s="59"/>
      <c r="E779" s="59"/>
      <c r="F779" s="59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59"/>
      <c r="C780" s="59"/>
      <c r="D780" s="59"/>
      <c r="E780" s="59"/>
      <c r="F780" s="59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59"/>
      <c r="C781" s="59"/>
      <c r="D781" s="59"/>
      <c r="E781" s="59"/>
      <c r="F781" s="59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59"/>
      <c r="C782" s="59"/>
      <c r="D782" s="59"/>
      <c r="E782" s="59"/>
      <c r="F782" s="59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59"/>
      <c r="C783" s="59"/>
      <c r="D783" s="59"/>
      <c r="E783" s="59"/>
      <c r="F783" s="59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59"/>
      <c r="C784" s="59"/>
      <c r="D784" s="59"/>
      <c r="E784" s="59"/>
      <c r="F784" s="59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59"/>
      <c r="C785" s="59"/>
      <c r="D785" s="59"/>
      <c r="E785" s="59"/>
      <c r="F785" s="59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59"/>
      <c r="C786" s="59"/>
      <c r="D786" s="59"/>
      <c r="E786" s="59"/>
      <c r="F786" s="59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59"/>
      <c r="C787" s="59"/>
      <c r="D787" s="59"/>
      <c r="E787" s="59"/>
      <c r="F787" s="59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59"/>
      <c r="C788" s="59"/>
      <c r="D788" s="59"/>
      <c r="E788" s="59"/>
      <c r="F788" s="59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59"/>
      <c r="C789" s="59"/>
      <c r="D789" s="59"/>
      <c r="E789" s="59"/>
      <c r="F789" s="59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59"/>
      <c r="C790" s="59"/>
      <c r="D790" s="59"/>
      <c r="E790" s="59"/>
      <c r="F790" s="59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59"/>
      <c r="C791" s="59"/>
      <c r="D791" s="59"/>
      <c r="E791" s="59"/>
      <c r="F791" s="59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59"/>
      <c r="C792" s="59"/>
      <c r="D792" s="59"/>
      <c r="E792" s="59"/>
      <c r="F792" s="59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59"/>
      <c r="C793" s="59"/>
      <c r="D793" s="59"/>
      <c r="E793" s="59"/>
      <c r="F793" s="59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59"/>
      <c r="C794" s="59"/>
      <c r="D794" s="59"/>
      <c r="E794" s="59"/>
      <c r="F794" s="59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59"/>
      <c r="C795" s="59"/>
      <c r="D795" s="59"/>
      <c r="E795" s="59"/>
      <c r="F795" s="59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59"/>
      <c r="C796" s="59"/>
      <c r="D796" s="59"/>
      <c r="E796" s="59"/>
      <c r="F796" s="59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59"/>
      <c r="C797" s="59"/>
      <c r="D797" s="59"/>
      <c r="E797" s="59"/>
      <c r="F797" s="59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59"/>
      <c r="C798" s="59"/>
      <c r="D798" s="59"/>
      <c r="E798" s="59"/>
      <c r="F798" s="59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59"/>
      <c r="C799" s="59"/>
      <c r="D799" s="59"/>
      <c r="E799" s="59"/>
      <c r="F799" s="59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59"/>
      <c r="C800" s="59"/>
      <c r="D800" s="59"/>
      <c r="E800" s="59"/>
      <c r="F800" s="59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59"/>
      <c r="C801" s="59"/>
      <c r="D801" s="59"/>
      <c r="E801" s="59"/>
      <c r="F801" s="59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59"/>
      <c r="C802" s="59"/>
      <c r="D802" s="59"/>
      <c r="E802" s="59"/>
      <c r="F802" s="59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59"/>
      <c r="C803" s="59"/>
      <c r="D803" s="59"/>
      <c r="E803" s="59"/>
      <c r="F803" s="59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59"/>
      <c r="C804" s="59"/>
      <c r="D804" s="59"/>
      <c r="E804" s="59"/>
      <c r="F804" s="59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59"/>
      <c r="C805" s="59"/>
      <c r="D805" s="59"/>
      <c r="E805" s="59"/>
      <c r="F805" s="59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59"/>
      <c r="C806" s="59"/>
      <c r="D806" s="59"/>
      <c r="E806" s="59"/>
      <c r="F806" s="59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59"/>
      <c r="C807" s="59"/>
      <c r="D807" s="59"/>
      <c r="E807" s="59"/>
      <c r="F807" s="59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59"/>
      <c r="C808" s="59"/>
      <c r="D808" s="59"/>
      <c r="E808" s="59"/>
      <c r="F808" s="59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59"/>
      <c r="C809" s="59"/>
      <c r="D809" s="59"/>
      <c r="E809" s="59"/>
      <c r="F809" s="59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59"/>
      <c r="C810" s="59"/>
      <c r="D810" s="59"/>
      <c r="E810" s="59"/>
      <c r="F810" s="59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59"/>
      <c r="C811" s="59"/>
      <c r="D811" s="59"/>
      <c r="E811" s="59"/>
      <c r="F811" s="59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59"/>
      <c r="C812" s="59"/>
      <c r="D812" s="59"/>
      <c r="E812" s="59"/>
      <c r="F812" s="59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59"/>
      <c r="C813" s="59"/>
      <c r="D813" s="59"/>
      <c r="E813" s="59"/>
      <c r="F813" s="59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59"/>
      <c r="C814" s="59"/>
      <c r="D814" s="59"/>
      <c r="E814" s="59"/>
      <c r="F814" s="59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59"/>
      <c r="C815" s="59"/>
      <c r="D815" s="59"/>
      <c r="E815" s="59"/>
      <c r="F815" s="59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59"/>
      <c r="C816" s="59"/>
      <c r="D816" s="59"/>
      <c r="E816" s="59"/>
      <c r="F816" s="59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59"/>
      <c r="C817" s="59"/>
      <c r="D817" s="59"/>
      <c r="E817" s="59"/>
      <c r="F817" s="59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59"/>
      <c r="C818" s="59"/>
      <c r="D818" s="59"/>
      <c r="E818" s="59"/>
      <c r="F818" s="59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59"/>
      <c r="C819" s="59"/>
      <c r="D819" s="59"/>
      <c r="E819" s="59"/>
      <c r="F819" s="59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59"/>
      <c r="C820" s="59"/>
      <c r="D820" s="59"/>
      <c r="E820" s="59"/>
      <c r="F820" s="59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59"/>
      <c r="C821" s="59"/>
      <c r="D821" s="59"/>
      <c r="E821" s="59"/>
      <c r="F821" s="59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59"/>
      <c r="C822" s="59"/>
      <c r="D822" s="59"/>
      <c r="E822" s="59"/>
      <c r="F822" s="59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59"/>
      <c r="C823" s="59"/>
      <c r="D823" s="59"/>
      <c r="E823" s="59"/>
      <c r="F823" s="59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59"/>
      <c r="C824" s="59"/>
      <c r="D824" s="59"/>
      <c r="E824" s="59"/>
      <c r="F824" s="59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59"/>
      <c r="C825" s="59"/>
      <c r="D825" s="59"/>
      <c r="E825" s="59"/>
      <c r="F825" s="59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59"/>
      <c r="C826" s="59"/>
      <c r="D826" s="59"/>
      <c r="E826" s="59"/>
      <c r="F826" s="59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59"/>
      <c r="C827" s="59"/>
      <c r="D827" s="59"/>
      <c r="E827" s="59"/>
      <c r="F827" s="59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59"/>
      <c r="C828" s="59"/>
      <c r="D828" s="59"/>
      <c r="E828" s="59"/>
      <c r="F828" s="59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59"/>
      <c r="C829" s="59"/>
      <c r="D829" s="59"/>
      <c r="E829" s="59"/>
      <c r="F829" s="59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59"/>
      <c r="C830" s="59"/>
      <c r="D830" s="59"/>
      <c r="E830" s="59"/>
      <c r="F830" s="59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59"/>
      <c r="C831" s="59"/>
      <c r="D831" s="59"/>
      <c r="E831" s="59"/>
      <c r="F831" s="59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59"/>
      <c r="C832" s="59"/>
      <c r="D832" s="59"/>
      <c r="E832" s="59"/>
      <c r="F832" s="59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59"/>
      <c r="C833" s="59"/>
      <c r="D833" s="59"/>
      <c r="E833" s="59"/>
      <c r="F833" s="59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59"/>
      <c r="C834" s="59"/>
      <c r="D834" s="59"/>
      <c r="E834" s="59"/>
      <c r="F834" s="59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59"/>
      <c r="C835" s="59"/>
      <c r="D835" s="59"/>
      <c r="E835" s="59"/>
      <c r="F835" s="59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59"/>
      <c r="C836" s="59"/>
      <c r="D836" s="59"/>
      <c r="E836" s="59"/>
      <c r="F836" s="59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59"/>
      <c r="C837" s="59"/>
      <c r="D837" s="59"/>
      <c r="E837" s="59"/>
      <c r="F837" s="59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59"/>
      <c r="C838" s="59"/>
      <c r="D838" s="59"/>
      <c r="E838" s="59"/>
      <c r="F838" s="59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59"/>
      <c r="C839" s="59"/>
      <c r="D839" s="59"/>
      <c r="E839" s="59"/>
      <c r="F839" s="59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59"/>
      <c r="C840" s="59"/>
      <c r="D840" s="59"/>
      <c r="E840" s="59"/>
      <c r="F840" s="59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59"/>
      <c r="C841" s="59"/>
      <c r="D841" s="59"/>
      <c r="E841" s="59"/>
      <c r="F841" s="59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59"/>
      <c r="C842" s="59"/>
      <c r="D842" s="59"/>
      <c r="E842" s="59"/>
      <c r="F842" s="59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59"/>
      <c r="C843" s="59"/>
      <c r="D843" s="59"/>
      <c r="E843" s="59"/>
      <c r="F843" s="59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59"/>
      <c r="C844" s="59"/>
      <c r="D844" s="59"/>
      <c r="E844" s="59"/>
      <c r="F844" s="59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59"/>
      <c r="C845" s="59"/>
      <c r="D845" s="59"/>
      <c r="E845" s="59"/>
      <c r="F845" s="59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59"/>
      <c r="C846" s="59"/>
      <c r="D846" s="59"/>
      <c r="E846" s="59"/>
      <c r="F846" s="59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59"/>
      <c r="C847" s="59"/>
      <c r="D847" s="59"/>
      <c r="E847" s="59"/>
      <c r="F847" s="59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59"/>
      <c r="C848" s="59"/>
      <c r="D848" s="59"/>
      <c r="E848" s="59"/>
      <c r="F848" s="59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59"/>
      <c r="C849" s="59"/>
      <c r="D849" s="59"/>
      <c r="E849" s="59"/>
      <c r="F849" s="59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59"/>
      <c r="C850" s="59"/>
      <c r="D850" s="59"/>
      <c r="E850" s="59"/>
      <c r="F850" s="59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59"/>
      <c r="C851" s="59"/>
      <c r="D851" s="59"/>
      <c r="E851" s="59"/>
      <c r="F851" s="59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59"/>
      <c r="C852" s="59"/>
      <c r="D852" s="59"/>
      <c r="E852" s="59"/>
      <c r="F852" s="59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59"/>
      <c r="C853" s="59"/>
      <c r="D853" s="59"/>
      <c r="E853" s="59"/>
      <c r="F853" s="59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59"/>
      <c r="C854" s="59"/>
      <c r="D854" s="59"/>
      <c r="E854" s="59"/>
      <c r="F854" s="59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59"/>
      <c r="C855" s="59"/>
      <c r="D855" s="59"/>
      <c r="E855" s="59"/>
      <c r="F855" s="59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59"/>
      <c r="C856" s="59"/>
      <c r="D856" s="59"/>
      <c r="E856" s="59"/>
      <c r="F856" s="59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59"/>
      <c r="C857" s="59"/>
      <c r="D857" s="59"/>
      <c r="E857" s="59"/>
      <c r="F857" s="59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59"/>
      <c r="C858" s="59"/>
      <c r="D858" s="59"/>
      <c r="E858" s="59"/>
      <c r="F858" s="59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59"/>
      <c r="C859" s="59"/>
      <c r="D859" s="59"/>
      <c r="E859" s="59"/>
      <c r="F859" s="59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59"/>
      <c r="C860" s="59"/>
      <c r="D860" s="59"/>
      <c r="E860" s="59"/>
      <c r="F860" s="59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59"/>
      <c r="C861" s="59"/>
      <c r="D861" s="59"/>
      <c r="E861" s="59"/>
      <c r="F861" s="59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59"/>
      <c r="C862" s="59"/>
      <c r="D862" s="59"/>
      <c r="E862" s="59"/>
      <c r="F862" s="59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59"/>
      <c r="C863" s="59"/>
      <c r="D863" s="59"/>
      <c r="E863" s="59"/>
      <c r="F863" s="59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59"/>
      <c r="C864" s="59"/>
      <c r="D864" s="59"/>
      <c r="E864" s="59"/>
      <c r="F864" s="59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59"/>
      <c r="C865" s="59"/>
      <c r="D865" s="59"/>
      <c r="E865" s="59"/>
      <c r="F865" s="59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59"/>
      <c r="C866" s="59"/>
      <c r="D866" s="59"/>
      <c r="E866" s="59"/>
      <c r="F866" s="59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59"/>
      <c r="C867" s="59"/>
      <c r="D867" s="59"/>
      <c r="E867" s="59"/>
      <c r="F867" s="59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59"/>
      <c r="C868" s="59"/>
      <c r="D868" s="59"/>
      <c r="E868" s="59"/>
      <c r="F868" s="59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59"/>
      <c r="C869" s="59"/>
      <c r="D869" s="59"/>
      <c r="E869" s="59"/>
      <c r="F869" s="59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59"/>
      <c r="C870" s="59"/>
      <c r="D870" s="59"/>
      <c r="E870" s="59"/>
      <c r="F870" s="59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59"/>
      <c r="C871" s="59"/>
      <c r="D871" s="59"/>
      <c r="E871" s="59"/>
      <c r="F871" s="59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59"/>
      <c r="C872" s="59"/>
      <c r="D872" s="59"/>
      <c r="E872" s="59"/>
      <c r="F872" s="59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59"/>
      <c r="C873" s="59"/>
      <c r="D873" s="59"/>
      <c r="E873" s="59"/>
      <c r="F873" s="59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59"/>
      <c r="C874" s="59"/>
      <c r="D874" s="59"/>
      <c r="E874" s="59"/>
      <c r="F874" s="59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59"/>
      <c r="C875" s="59"/>
      <c r="D875" s="59"/>
      <c r="E875" s="59"/>
      <c r="F875" s="59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59"/>
      <c r="C876" s="59"/>
      <c r="D876" s="59"/>
      <c r="E876" s="59"/>
      <c r="F876" s="59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59"/>
      <c r="C877" s="59"/>
      <c r="D877" s="59"/>
      <c r="E877" s="59"/>
      <c r="F877" s="59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59"/>
      <c r="C878" s="59"/>
      <c r="D878" s="59"/>
      <c r="E878" s="59"/>
      <c r="F878" s="59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59"/>
      <c r="C879" s="59"/>
      <c r="D879" s="59"/>
      <c r="E879" s="59"/>
      <c r="F879" s="59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59"/>
      <c r="C880" s="59"/>
      <c r="D880" s="59"/>
      <c r="E880" s="59"/>
      <c r="F880" s="59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59"/>
      <c r="C881" s="59"/>
      <c r="D881" s="59"/>
      <c r="E881" s="59"/>
      <c r="F881" s="59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59"/>
      <c r="C882" s="59"/>
      <c r="D882" s="59"/>
      <c r="E882" s="59"/>
      <c r="F882" s="59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59"/>
      <c r="C883" s="59"/>
      <c r="D883" s="59"/>
      <c r="E883" s="59"/>
      <c r="F883" s="59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59"/>
      <c r="C884" s="59"/>
      <c r="D884" s="59"/>
      <c r="E884" s="59"/>
      <c r="F884" s="59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59"/>
      <c r="C885" s="59"/>
      <c r="D885" s="59"/>
      <c r="E885" s="59"/>
      <c r="F885" s="59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59"/>
      <c r="C886" s="59"/>
      <c r="D886" s="59"/>
      <c r="E886" s="59"/>
      <c r="F886" s="59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59"/>
      <c r="C887" s="59"/>
      <c r="D887" s="59"/>
      <c r="E887" s="59"/>
      <c r="F887" s="59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59"/>
      <c r="C888" s="59"/>
      <c r="D888" s="59"/>
      <c r="E888" s="59"/>
      <c r="F888" s="59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59"/>
      <c r="C889" s="59"/>
      <c r="D889" s="59"/>
      <c r="E889" s="59"/>
      <c r="F889" s="59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59"/>
      <c r="C890" s="59"/>
      <c r="D890" s="59"/>
      <c r="E890" s="59"/>
      <c r="F890" s="59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59"/>
      <c r="C891" s="59"/>
      <c r="D891" s="59"/>
      <c r="E891" s="59"/>
      <c r="F891" s="59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59"/>
      <c r="C892" s="59"/>
      <c r="D892" s="59"/>
      <c r="E892" s="59"/>
      <c r="F892" s="59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59"/>
      <c r="C893" s="59"/>
      <c r="D893" s="59"/>
      <c r="E893" s="59"/>
      <c r="F893" s="59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59"/>
      <c r="C894" s="59"/>
      <c r="D894" s="59"/>
      <c r="E894" s="59"/>
      <c r="F894" s="59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59"/>
      <c r="C895" s="59"/>
      <c r="D895" s="59"/>
      <c r="E895" s="59"/>
      <c r="F895" s="59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59"/>
      <c r="C896" s="59"/>
      <c r="D896" s="59"/>
      <c r="E896" s="59"/>
      <c r="F896" s="59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59"/>
      <c r="C897" s="59"/>
      <c r="D897" s="59"/>
      <c r="E897" s="59"/>
      <c r="F897" s="59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59"/>
      <c r="C898" s="59"/>
      <c r="D898" s="59"/>
      <c r="E898" s="59"/>
      <c r="F898" s="59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59"/>
      <c r="C899" s="59"/>
      <c r="D899" s="59"/>
      <c r="E899" s="59"/>
      <c r="F899" s="59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59"/>
      <c r="C900" s="59"/>
      <c r="D900" s="59"/>
      <c r="E900" s="59"/>
      <c r="F900" s="59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59"/>
      <c r="C901" s="59"/>
      <c r="D901" s="59"/>
      <c r="E901" s="59"/>
      <c r="F901" s="59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59"/>
      <c r="C902" s="59"/>
      <c r="D902" s="59"/>
      <c r="E902" s="59"/>
      <c r="F902" s="59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59"/>
      <c r="C903" s="59"/>
      <c r="D903" s="59"/>
      <c r="E903" s="59"/>
      <c r="F903" s="59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59"/>
      <c r="C904" s="59"/>
      <c r="D904" s="59"/>
      <c r="E904" s="59"/>
      <c r="F904" s="59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59"/>
      <c r="C905" s="59"/>
      <c r="D905" s="59"/>
      <c r="E905" s="59"/>
      <c r="F905" s="59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59"/>
      <c r="C906" s="59"/>
      <c r="D906" s="59"/>
      <c r="E906" s="59"/>
      <c r="F906" s="59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59"/>
      <c r="C907" s="59"/>
      <c r="D907" s="59"/>
      <c r="E907" s="59"/>
      <c r="F907" s="59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59"/>
      <c r="C908" s="59"/>
      <c r="D908" s="59"/>
      <c r="E908" s="59"/>
      <c r="F908" s="59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59"/>
      <c r="C909" s="59"/>
      <c r="D909" s="59"/>
      <c r="E909" s="59"/>
      <c r="F909" s="59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59"/>
      <c r="C910" s="59"/>
      <c r="D910" s="59"/>
      <c r="E910" s="59"/>
      <c r="F910" s="59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59"/>
      <c r="C911" s="59"/>
      <c r="D911" s="59"/>
      <c r="E911" s="59"/>
      <c r="F911" s="59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59"/>
      <c r="C912" s="59"/>
      <c r="D912" s="59"/>
      <c r="E912" s="59"/>
      <c r="F912" s="59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59"/>
      <c r="C913" s="59"/>
      <c r="D913" s="59"/>
      <c r="E913" s="59"/>
      <c r="F913" s="59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59"/>
      <c r="C914" s="59"/>
      <c r="D914" s="59"/>
      <c r="E914" s="59"/>
      <c r="F914" s="59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59"/>
      <c r="C915" s="59"/>
      <c r="D915" s="59"/>
      <c r="E915" s="59"/>
      <c r="F915" s="59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59"/>
      <c r="C916" s="59"/>
      <c r="D916" s="59"/>
      <c r="E916" s="59"/>
      <c r="F916" s="59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59"/>
      <c r="C917" s="59"/>
      <c r="D917" s="59"/>
      <c r="E917" s="59"/>
      <c r="F917" s="59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59"/>
      <c r="C918" s="59"/>
      <c r="D918" s="59"/>
      <c r="E918" s="59"/>
      <c r="F918" s="59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59"/>
      <c r="C919" s="59"/>
      <c r="D919" s="59"/>
      <c r="E919" s="59"/>
      <c r="F919" s="59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59"/>
      <c r="C920" s="59"/>
      <c r="D920" s="59"/>
      <c r="E920" s="59"/>
      <c r="F920" s="59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59"/>
      <c r="C921" s="59"/>
      <c r="D921" s="59"/>
      <c r="E921" s="59"/>
      <c r="F921" s="59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59"/>
      <c r="C922" s="59"/>
      <c r="D922" s="59"/>
      <c r="E922" s="59"/>
      <c r="F922" s="59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59"/>
      <c r="C923" s="59"/>
      <c r="D923" s="59"/>
      <c r="E923" s="59"/>
      <c r="F923" s="59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59"/>
      <c r="C924" s="59"/>
      <c r="D924" s="59"/>
      <c r="E924" s="59"/>
      <c r="F924" s="59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59"/>
      <c r="C925" s="59"/>
      <c r="D925" s="59"/>
      <c r="E925" s="59"/>
      <c r="F925" s="59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59"/>
      <c r="C926" s="59"/>
      <c r="D926" s="59"/>
      <c r="E926" s="59"/>
      <c r="F926" s="59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59"/>
      <c r="C927" s="59"/>
      <c r="D927" s="59"/>
      <c r="E927" s="59"/>
      <c r="F927" s="59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59"/>
      <c r="C928" s="59"/>
      <c r="D928" s="59"/>
      <c r="E928" s="59"/>
      <c r="F928" s="59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59"/>
      <c r="C929" s="59"/>
      <c r="D929" s="59"/>
      <c r="E929" s="59"/>
      <c r="F929" s="59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59"/>
      <c r="C930" s="59"/>
      <c r="D930" s="59"/>
      <c r="E930" s="59"/>
      <c r="F930" s="59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59"/>
      <c r="C931" s="59"/>
      <c r="D931" s="59"/>
      <c r="E931" s="59"/>
      <c r="F931" s="59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59"/>
      <c r="C932" s="59"/>
      <c r="D932" s="59"/>
      <c r="E932" s="59"/>
      <c r="F932" s="59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59"/>
      <c r="C933" s="59"/>
      <c r="D933" s="59"/>
      <c r="E933" s="59"/>
      <c r="F933" s="59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59"/>
      <c r="C934" s="59"/>
      <c r="D934" s="59"/>
      <c r="E934" s="59"/>
      <c r="F934" s="59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59"/>
      <c r="C935" s="59"/>
      <c r="D935" s="59"/>
      <c r="E935" s="59"/>
      <c r="F935" s="59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59"/>
      <c r="C936" s="59"/>
      <c r="D936" s="59"/>
      <c r="E936" s="59"/>
      <c r="F936" s="59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59"/>
      <c r="C937" s="59"/>
      <c r="D937" s="59"/>
      <c r="E937" s="59"/>
      <c r="F937" s="59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59"/>
      <c r="C938" s="59"/>
      <c r="D938" s="59"/>
      <c r="E938" s="59"/>
      <c r="F938" s="59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59"/>
      <c r="C939" s="59"/>
      <c r="D939" s="59"/>
      <c r="E939" s="59"/>
      <c r="F939" s="59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59"/>
      <c r="C940" s="59"/>
      <c r="D940" s="59"/>
      <c r="E940" s="59"/>
      <c r="F940" s="59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59"/>
      <c r="C941" s="59"/>
      <c r="D941" s="59"/>
      <c r="E941" s="59"/>
      <c r="F941" s="59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59"/>
      <c r="C942" s="59"/>
      <c r="D942" s="59"/>
      <c r="E942" s="59"/>
      <c r="F942" s="59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59"/>
      <c r="C943" s="59"/>
      <c r="D943" s="59"/>
      <c r="E943" s="59"/>
      <c r="F943" s="59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59"/>
      <c r="C944" s="59"/>
      <c r="D944" s="59"/>
      <c r="E944" s="59"/>
      <c r="F944" s="59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59"/>
      <c r="C945" s="59"/>
      <c r="D945" s="59"/>
      <c r="E945" s="59"/>
      <c r="F945" s="59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59"/>
      <c r="C946" s="59"/>
      <c r="D946" s="59"/>
      <c r="E946" s="59"/>
      <c r="F946" s="59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59"/>
      <c r="C947" s="59"/>
      <c r="D947" s="59"/>
      <c r="E947" s="59"/>
      <c r="F947" s="59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59"/>
      <c r="C948" s="59"/>
      <c r="D948" s="59"/>
      <c r="E948" s="59"/>
      <c r="F948" s="59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59"/>
      <c r="C949" s="59"/>
      <c r="D949" s="59"/>
      <c r="E949" s="59"/>
      <c r="F949" s="59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59"/>
      <c r="C950" s="59"/>
      <c r="D950" s="59"/>
      <c r="E950" s="59"/>
      <c r="F950" s="59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59"/>
      <c r="C951" s="59"/>
      <c r="D951" s="59"/>
      <c r="E951" s="59"/>
      <c r="F951" s="59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59"/>
      <c r="C952" s="59"/>
      <c r="D952" s="59"/>
      <c r="E952" s="59"/>
      <c r="F952" s="59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59"/>
      <c r="C953" s="59"/>
      <c r="D953" s="59"/>
      <c r="E953" s="59"/>
      <c r="F953" s="59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59"/>
      <c r="C954" s="59"/>
      <c r="D954" s="59"/>
      <c r="E954" s="59"/>
      <c r="F954" s="59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59"/>
      <c r="C955" s="59"/>
      <c r="D955" s="59"/>
      <c r="E955" s="59"/>
      <c r="F955" s="59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59"/>
      <c r="C956" s="59"/>
      <c r="D956" s="59"/>
      <c r="E956" s="59"/>
      <c r="F956" s="59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59"/>
      <c r="C957" s="59"/>
      <c r="D957" s="59"/>
      <c r="E957" s="59"/>
      <c r="F957" s="59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59"/>
      <c r="C958" s="59"/>
      <c r="D958" s="59"/>
      <c r="E958" s="59"/>
      <c r="F958" s="59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59"/>
      <c r="C959" s="59"/>
      <c r="D959" s="59"/>
      <c r="E959" s="59"/>
      <c r="F959" s="59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59"/>
      <c r="C960" s="59"/>
      <c r="D960" s="59"/>
      <c r="E960" s="59"/>
      <c r="F960" s="59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59"/>
      <c r="C961" s="59"/>
      <c r="D961" s="59"/>
      <c r="E961" s="59"/>
      <c r="F961" s="59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59"/>
      <c r="C962" s="59"/>
      <c r="D962" s="59"/>
      <c r="E962" s="59"/>
      <c r="F962" s="59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59"/>
      <c r="C963" s="59"/>
      <c r="D963" s="59"/>
      <c r="E963" s="59"/>
      <c r="F963" s="59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59"/>
      <c r="C964" s="59"/>
      <c r="D964" s="59"/>
      <c r="E964" s="59"/>
      <c r="F964" s="59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59"/>
      <c r="C965" s="59"/>
      <c r="D965" s="59"/>
      <c r="E965" s="59"/>
      <c r="F965" s="59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59"/>
      <c r="C966" s="59"/>
      <c r="D966" s="59"/>
      <c r="E966" s="59"/>
      <c r="F966" s="59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59"/>
      <c r="C967" s="59"/>
      <c r="D967" s="59"/>
      <c r="E967" s="59"/>
      <c r="F967" s="59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59"/>
      <c r="C968" s="59"/>
      <c r="D968" s="59"/>
      <c r="E968" s="59"/>
      <c r="F968" s="59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59"/>
      <c r="C969" s="59"/>
      <c r="D969" s="59"/>
      <c r="E969" s="59"/>
      <c r="F969" s="59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59"/>
      <c r="C970" s="59"/>
      <c r="D970" s="59"/>
      <c r="E970" s="59"/>
      <c r="F970" s="59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59"/>
      <c r="C971" s="59"/>
      <c r="D971" s="59"/>
      <c r="E971" s="59"/>
      <c r="F971" s="59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59"/>
      <c r="C972" s="59"/>
      <c r="D972" s="59"/>
      <c r="E972" s="59"/>
      <c r="F972" s="59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59"/>
      <c r="C973" s="59"/>
      <c r="D973" s="59"/>
      <c r="E973" s="59"/>
      <c r="F973" s="59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59"/>
      <c r="C974" s="59"/>
      <c r="D974" s="59"/>
      <c r="E974" s="59"/>
      <c r="F974" s="59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59"/>
      <c r="C975" s="59"/>
      <c r="D975" s="59"/>
      <c r="E975" s="59"/>
      <c r="F975" s="59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59"/>
      <c r="C976" s="59"/>
      <c r="D976" s="59"/>
      <c r="E976" s="59"/>
      <c r="F976" s="59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59"/>
      <c r="C977" s="59"/>
      <c r="D977" s="59"/>
      <c r="E977" s="59"/>
      <c r="F977" s="59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59"/>
      <c r="C978" s="59"/>
      <c r="D978" s="59"/>
      <c r="E978" s="59"/>
      <c r="F978" s="59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59"/>
      <c r="C979" s="59"/>
      <c r="D979" s="59"/>
      <c r="E979" s="59"/>
      <c r="F979" s="59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59"/>
      <c r="C980" s="59"/>
      <c r="D980" s="59"/>
      <c r="E980" s="59"/>
      <c r="F980" s="59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59"/>
      <c r="C981" s="59"/>
      <c r="D981" s="59"/>
      <c r="E981" s="59"/>
      <c r="F981" s="59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59"/>
      <c r="C982" s="59"/>
      <c r="D982" s="59"/>
      <c r="E982" s="59"/>
      <c r="F982" s="59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59"/>
      <c r="C983" s="59"/>
      <c r="D983" s="59"/>
      <c r="E983" s="59"/>
      <c r="F983" s="59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59"/>
      <c r="C984" s="59"/>
      <c r="D984" s="59"/>
      <c r="E984" s="59"/>
      <c r="F984" s="59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59"/>
      <c r="C985" s="59"/>
      <c r="D985" s="59"/>
      <c r="E985" s="59"/>
      <c r="F985" s="59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59"/>
      <c r="C986" s="59"/>
      <c r="D986" s="59"/>
      <c r="E986" s="59"/>
      <c r="F986" s="59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59"/>
      <c r="C987" s="59"/>
      <c r="D987" s="59"/>
      <c r="E987" s="59"/>
      <c r="F987" s="59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59"/>
      <c r="C988" s="59"/>
      <c r="D988" s="59"/>
      <c r="E988" s="59"/>
      <c r="F988" s="59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59"/>
      <c r="C989" s="59"/>
      <c r="D989" s="59"/>
      <c r="E989" s="59"/>
      <c r="F989" s="59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59"/>
      <c r="C990" s="59"/>
      <c r="D990" s="59"/>
      <c r="E990" s="59"/>
      <c r="F990" s="59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59"/>
      <c r="C991" s="59"/>
      <c r="D991" s="59"/>
      <c r="E991" s="59"/>
      <c r="F991" s="59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59"/>
      <c r="C992" s="59"/>
      <c r="D992" s="59"/>
      <c r="E992" s="59"/>
      <c r="F992" s="59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59"/>
      <c r="C993" s="59"/>
      <c r="D993" s="59"/>
      <c r="E993" s="59"/>
      <c r="F993" s="59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59"/>
      <c r="C994" s="59"/>
      <c r="D994" s="59"/>
      <c r="E994" s="59"/>
      <c r="F994" s="59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59"/>
      <c r="C995" s="59"/>
      <c r="D995" s="59"/>
      <c r="E995" s="59"/>
      <c r="F995" s="59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59"/>
      <c r="C996" s="59"/>
      <c r="D996" s="59"/>
      <c r="E996" s="59"/>
      <c r="F996" s="59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59"/>
      <c r="C997" s="59"/>
      <c r="D997" s="59"/>
      <c r="E997" s="59"/>
      <c r="F997" s="59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59"/>
      <c r="C998" s="59"/>
      <c r="D998" s="59"/>
      <c r="E998" s="59"/>
      <c r="F998" s="59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59"/>
      <c r="C999" s="59"/>
      <c r="D999" s="59"/>
      <c r="E999" s="59"/>
      <c r="F999" s="59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59"/>
      <c r="C1000" s="59"/>
      <c r="D1000" s="59"/>
      <c r="E1000" s="59"/>
      <c r="F1000" s="59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3" width="10.63"/>
    <col customWidth="1" min="4" max="4" width="11.38"/>
    <col customWidth="1" min="5" max="5" width="14.38"/>
    <col customWidth="1" min="6" max="6" width="12.63"/>
    <col customWidth="1" min="7" max="26" width="10.63"/>
  </cols>
  <sheetData>
    <row r="1" ht="12.75" customHeight="1">
      <c r="A1" s="27" t="s">
        <v>3407</v>
      </c>
      <c r="B1" s="37" t="s">
        <v>3408</v>
      </c>
      <c r="C1" s="37" t="s">
        <v>3409</v>
      </c>
      <c r="D1" s="59" t="s">
        <v>3410</v>
      </c>
      <c r="E1" s="59" t="s">
        <v>3411</v>
      </c>
      <c r="F1" s="59" t="s">
        <v>3412</v>
      </c>
      <c r="G1" s="59"/>
      <c r="H1" s="59"/>
      <c r="I1" s="59"/>
    </row>
    <row r="2" ht="12.75" customHeight="1">
      <c r="A2" s="27">
        <v>500.0</v>
      </c>
      <c r="B2" s="41">
        <v>25.0</v>
      </c>
      <c r="C2" s="59">
        <f t="shared" ref="C2:C6" si="1">B2*A2</f>
        <v>12500</v>
      </c>
      <c r="D2" s="59">
        <v>800.0</v>
      </c>
      <c r="E2" s="59"/>
      <c r="F2" s="59"/>
      <c r="G2" s="59"/>
      <c r="H2" s="59"/>
      <c r="I2" s="59"/>
    </row>
    <row r="3" ht="12.75" customHeight="1">
      <c r="A3" s="27">
        <v>1200.0</v>
      </c>
      <c r="B3" s="41">
        <v>50.0</v>
      </c>
      <c r="C3" s="59">
        <f t="shared" si="1"/>
        <v>60000</v>
      </c>
      <c r="D3" s="59"/>
      <c r="E3" s="59"/>
      <c r="F3" s="59"/>
      <c r="G3" s="59"/>
      <c r="H3" s="59"/>
      <c r="I3" s="59"/>
    </row>
    <row r="4" ht="12.75" customHeight="1">
      <c r="A4" s="27">
        <v>850.0</v>
      </c>
      <c r="B4" s="41">
        <v>120.0</v>
      </c>
      <c r="C4" s="59">
        <f t="shared" si="1"/>
        <v>102000</v>
      </c>
      <c r="D4" s="59"/>
      <c r="E4" s="59"/>
      <c r="F4" s="59"/>
      <c r="G4" s="59"/>
      <c r="H4" s="59"/>
      <c r="I4" s="59"/>
    </row>
    <row r="5" ht="12.75" customHeight="1">
      <c r="A5" s="27">
        <v>5000.0</v>
      </c>
      <c r="B5" s="41">
        <v>10.0</v>
      </c>
      <c r="C5" s="59">
        <f t="shared" si="1"/>
        <v>50000</v>
      </c>
      <c r="D5" s="59"/>
      <c r="E5" s="59"/>
      <c r="F5" s="59"/>
      <c r="G5" s="59"/>
      <c r="H5" s="59"/>
      <c r="I5" s="59"/>
    </row>
    <row r="6" ht="12.75" customHeight="1">
      <c r="A6" s="27">
        <v>6850.0</v>
      </c>
      <c r="B6" s="41">
        <v>5.0</v>
      </c>
      <c r="C6" s="59">
        <f t="shared" si="1"/>
        <v>34250</v>
      </c>
      <c r="D6" s="59"/>
      <c r="E6" s="59"/>
      <c r="F6" s="59"/>
      <c r="G6" s="59"/>
      <c r="H6" s="59"/>
      <c r="I6" s="59"/>
    </row>
    <row r="7" ht="12.75" customHeight="1">
      <c r="A7" s="27"/>
      <c r="C7" s="59">
        <f>SUM(C2:C6)</f>
        <v>258750</v>
      </c>
      <c r="D7" s="59"/>
      <c r="E7" s="59"/>
      <c r="F7" s="59"/>
      <c r="G7" s="59"/>
      <c r="H7" s="59"/>
      <c r="I7" s="59"/>
    </row>
    <row r="8" ht="12.75" customHeight="1">
      <c r="A8" s="27"/>
      <c r="D8" s="59"/>
      <c r="E8" s="59"/>
      <c r="F8" s="59"/>
      <c r="G8" s="59"/>
      <c r="H8" s="59"/>
      <c r="I8" s="59"/>
    </row>
    <row r="9" ht="12.75" customHeight="1">
      <c r="A9" s="27"/>
      <c r="D9" s="59"/>
      <c r="E9" s="59"/>
      <c r="F9" s="59"/>
      <c r="G9" s="59"/>
      <c r="H9" s="59"/>
      <c r="I9" s="59"/>
    </row>
    <row r="10" ht="12.75" customHeight="1">
      <c r="A10" s="27"/>
      <c r="D10" s="59"/>
      <c r="E10" s="59"/>
      <c r="F10" s="59"/>
      <c r="G10" s="59"/>
      <c r="H10" s="59"/>
      <c r="I10" s="59"/>
    </row>
    <row r="11" ht="12.75" customHeight="1">
      <c r="A11" s="27"/>
      <c r="D11" s="59"/>
      <c r="E11" s="59"/>
      <c r="F11" s="59"/>
      <c r="G11" s="59"/>
      <c r="H11" s="59"/>
      <c r="I11" s="59"/>
    </row>
    <row r="12" ht="12.75" customHeight="1">
      <c r="A12" s="27"/>
      <c r="D12" s="59"/>
      <c r="E12" s="59"/>
      <c r="F12" s="59"/>
      <c r="G12" s="59"/>
      <c r="H12" s="59"/>
      <c r="I12" s="59"/>
    </row>
    <row r="13" ht="12.75" customHeight="1">
      <c r="A13" s="27"/>
      <c r="D13" s="59"/>
      <c r="E13" s="59"/>
      <c r="F13" s="59"/>
      <c r="G13" s="59"/>
      <c r="H13" s="59"/>
      <c r="I13" s="59"/>
    </row>
    <row r="14" ht="12.75" customHeight="1">
      <c r="A14" s="27"/>
      <c r="D14" s="59"/>
      <c r="E14" s="59"/>
      <c r="F14" s="59"/>
      <c r="G14" s="59"/>
      <c r="H14" s="59"/>
      <c r="I14" s="59"/>
    </row>
    <row r="15" ht="12.75" customHeight="1">
      <c r="A15" s="27"/>
      <c r="D15" s="59"/>
      <c r="E15" s="59"/>
      <c r="F15" s="59"/>
      <c r="G15" s="59"/>
      <c r="H15" s="59"/>
      <c r="I15" s="59"/>
    </row>
    <row r="16" ht="12.75" customHeight="1">
      <c r="A16" s="27"/>
      <c r="D16" s="59"/>
      <c r="E16" s="59"/>
      <c r="F16" s="59"/>
      <c r="G16" s="59"/>
      <c r="H16" s="59"/>
      <c r="I16" s="59"/>
    </row>
    <row r="17" ht="12.75" customHeight="1">
      <c r="A17" s="27"/>
      <c r="D17" s="59"/>
      <c r="E17" s="59"/>
      <c r="F17" s="59"/>
      <c r="G17" s="59"/>
      <c r="H17" s="59"/>
      <c r="I17" s="59"/>
    </row>
    <row r="18" ht="12.75" customHeight="1">
      <c r="A18" s="27"/>
      <c r="D18" s="59"/>
      <c r="E18" s="59"/>
      <c r="F18" s="59"/>
      <c r="G18" s="59"/>
      <c r="H18" s="59"/>
      <c r="I18" s="59"/>
    </row>
    <row r="19" ht="12.75" customHeight="1">
      <c r="A19" s="27"/>
      <c r="D19" s="59"/>
      <c r="E19" s="59"/>
      <c r="F19" s="59"/>
      <c r="G19" s="59"/>
      <c r="H19" s="59"/>
      <c r="I19" s="59"/>
    </row>
    <row r="20" ht="12.75" customHeight="1">
      <c r="A20" s="27"/>
      <c r="D20" s="59"/>
      <c r="E20" s="59"/>
      <c r="F20" s="59"/>
      <c r="G20" s="59"/>
      <c r="H20" s="59"/>
      <c r="I20" s="59"/>
    </row>
    <row r="21" ht="12.75" customHeight="1">
      <c r="A21" s="27"/>
      <c r="D21" s="59"/>
      <c r="E21" s="59"/>
      <c r="F21" s="59"/>
      <c r="G21" s="59"/>
      <c r="H21" s="59"/>
      <c r="I21" s="59"/>
    </row>
    <row r="22" ht="12.75" customHeight="1">
      <c r="A22" s="27"/>
      <c r="D22" s="59"/>
      <c r="E22" s="59"/>
      <c r="F22" s="59"/>
      <c r="G22" s="59"/>
      <c r="H22" s="59"/>
      <c r="I22" s="59"/>
    </row>
    <row r="23" ht="12.75" customHeight="1">
      <c r="A23" s="27"/>
      <c r="D23" s="59"/>
      <c r="E23" s="59"/>
      <c r="F23" s="59"/>
      <c r="G23" s="59"/>
      <c r="H23" s="59"/>
      <c r="I23" s="59"/>
    </row>
    <row r="24" ht="12.75" customHeight="1">
      <c r="A24" s="27"/>
      <c r="D24" s="59"/>
      <c r="E24" s="59"/>
      <c r="F24" s="59"/>
      <c r="G24" s="59"/>
      <c r="H24" s="59"/>
      <c r="I24" s="59"/>
    </row>
    <row r="25" ht="12.75" customHeight="1">
      <c r="A25" s="27"/>
      <c r="D25" s="59"/>
      <c r="E25" s="59"/>
      <c r="F25" s="59"/>
      <c r="G25" s="59"/>
      <c r="H25" s="59"/>
      <c r="I25" s="59"/>
    </row>
    <row r="26" ht="12.75" customHeight="1">
      <c r="A26" s="27"/>
      <c r="D26" s="59"/>
      <c r="E26" s="59"/>
      <c r="F26" s="59"/>
      <c r="G26" s="59"/>
      <c r="H26" s="59"/>
      <c r="I26" s="59"/>
    </row>
    <row r="27" ht="12.75" customHeight="1">
      <c r="A27" s="27"/>
      <c r="D27" s="59"/>
      <c r="E27" s="59"/>
      <c r="F27" s="59"/>
      <c r="G27" s="59"/>
      <c r="H27" s="59"/>
      <c r="I27" s="59"/>
    </row>
    <row r="28" ht="12.75" customHeight="1">
      <c r="A28" s="27"/>
      <c r="D28" s="59"/>
      <c r="E28" s="59"/>
      <c r="F28" s="59"/>
      <c r="G28" s="59"/>
      <c r="H28" s="59"/>
      <c r="I28" s="59"/>
    </row>
    <row r="29" ht="12.75" customHeight="1">
      <c r="A29" s="27"/>
      <c r="D29" s="59"/>
      <c r="E29" s="59"/>
      <c r="F29" s="59"/>
      <c r="G29" s="59"/>
      <c r="H29" s="59"/>
      <c r="I29" s="59"/>
    </row>
    <row r="30" ht="12.75" customHeight="1">
      <c r="A30" s="27"/>
      <c r="D30" s="59"/>
      <c r="E30" s="59"/>
      <c r="F30" s="59"/>
      <c r="G30" s="59"/>
      <c r="H30" s="59"/>
      <c r="I30" s="59"/>
    </row>
    <row r="31" ht="12.75" customHeight="1">
      <c r="A31" s="27"/>
      <c r="D31" s="59"/>
      <c r="E31" s="59"/>
      <c r="F31" s="59"/>
      <c r="G31" s="59"/>
      <c r="H31" s="59"/>
      <c r="I31" s="59"/>
    </row>
    <row r="32" ht="12.75" customHeight="1">
      <c r="A32" s="27"/>
      <c r="D32" s="59"/>
      <c r="E32" s="59"/>
      <c r="F32" s="59"/>
      <c r="G32" s="59"/>
      <c r="H32" s="59"/>
      <c r="I32" s="59"/>
    </row>
    <row r="33" ht="12.75" customHeight="1">
      <c r="A33" s="27"/>
      <c r="D33" s="59"/>
      <c r="E33" s="59"/>
      <c r="F33" s="59"/>
      <c r="G33" s="59"/>
      <c r="H33" s="59"/>
      <c r="I33" s="59"/>
    </row>
    <row r="34" ht="12.75" customHeight="1">
      <c r="A34" s="27"/>
      <c r="D34" s="59"/>
      <c r="E34" s="59"/>
      <c r="F34" s="59"/>
      <c r="G34" s="59"/>
      <c r="H34" s="59"/>
      <c r="I34" s="59"/>
    </row>
    <row r="35" ht="12.75" customHeight="1">
      <c r="A35" s="27"/>
      <c r="D35" s="59"/>
      <c r="E35" s="59"/>
      <c r="F35" s="59"/>
      <c r="G35" s="59"/>
      <c r="H35" s="59"/>
      <c r="I35" s="59"/>
    </row>
    <row r="36" ht="12.75" customHeight="1">
      <c r="A36" s="27"/>
      <c r="D36" s="59"/>
      <c r="E36" s="59"/>
      <c r="F36" s="59"/>
      <c r="G36" s="59"/>
      <c r="H36" s="59"/>
      <c r="I36" s="59"/>
    </row>
    <row r="37" ht="12.75" customHeight="1">
      <c r="A37" s="27"/>
      <c r="D37" s="59"/>
      <c r="E37" s="59"/>
      <c r="F37" s="59"/>
      <c r="G37" s="59"/>
      <c r="H37" s="59"/>
      <c r="I37" s="59"/>
    </row>
    <row r="38" ht="12.75" customHeight="1">
      <c r="A38" s="27"/>
      <c r="D38" s="59"/>
      <c r="E38" s="59"/>
      <c r="F38" s="59"/>
      <c r="G38" s="59"/>
      <c r="H38" s="59"/>
      <c r="I38" s="59"/>
    </row>
    <row r="39" ht="12.75" customHeight="1">
      <c r="A39" s="27"/>
      <c r="D39" s="59"/>
      <c r="E39" s="59"/>
      <c r="F39" s="59"/>
      <c r="G39" s="59"/>
      <c r="H39" s="59"/>
      <c r="I39" s="59"/>
    </row>
    <row r="40" ht="12.75" customHeight="1">
      <c r="A40" s="27"/>
      <c r="D40" s="59"/>
      <c r="E40" s="59"/>
      <c r="F40" s="59"/>
      <c r="G40" s="59"/>
      <c r="H40" s="59"/>
      <c r="I40" s="59"/>
    </row>
    <row r="41" ht="12.75" customHeight="1">
      <c r="A41" s="27"/>
      <c r="D41" s="59"/>
      <c r="E41" s="59"/>
      <c r="F41" s="59"/>
      <c r="G41" s="59"/>
      <c r="H41" s="59"/>
      <c r="I41" s="59"/>
    </row>
    <row r="42" ht="12.75" customHeight="1">
      <c r="A42" s="27"/>
      <c r="D42" s="59"/>
      <c r="E42" s="59"/>
      <c r="F42" s="59"/>
      <c r="G42" s="59"/>
      <c r="H42" s="59"/>
      <c r="I42" s="59"/>
    </row>
    <row r="43" ht="12.75" customHeight="1">
      <c r="A43" s="27"/>
      <c r="D43" s="59"/>
      <c r="E43" s="59"/>
      <c r="F43" s="59"/>
      <c r="G43" s="59"/>
      <c r="H43" s="59"/>
      <c r="I43" s="59"/>
    </row>
    <row r="44" ht="12.75" customHeight="1">
      <c r="A44" s="27"/>
      <c r="D44" s="59"/>
      <c r="E44" s="59"/>
      <c r="F44" s="59"/>
      <c r="G44" s="59"/>
      <c r="H44" s="59"/>
      <c r="I44" s="59"/>
    </row>
    <row r="45" ht="12.75" customHeight="1">
      <c r="A45" s="27"/>
      <c r="D45" s="59"/>
      <c r="E45" s="59"/>
      <c r="F45" s="59"/>
      <c r="G45" s="59"/>
      <c r="H45" s="59"/>
      <c r="I45" s="59"/>
    </row>
    <row r="46" ht="12.75" customHeight="1">
      <c r="A46" s="27"/>
      <c r="D46" s="59"/>
      <c r="E46" s="59"/>
      <c r="F46" s="59"/>
      <c r="G46" s="59"/>
      <c r="H46" s="59"/>
      <c r="I46" s="59"/>
    </row>
    <row r="47" ht="12.75" customHeight="1">
      <c r="A47" s="27"/>
      <c r="D47" s="59"/>
      <c r="E47" s="59"/>
      <c r="F47" s="59"/>
      <c r="G47" s="59"/>
      <c r="H47" s="59"/>
      <c r="I47" s="59"/>
    </row>
    <row r="48" ht="12.75" customHeight="1">
      <c r="A48" s="27"/>
      <c r="D48" s="59"/>
      <c r="E48" s="59"/>
      <c r="F48" s="59"/>
      <c r="G48" s="59"/>
      <c r="H48" s="59"/>
      <c r="I48" s="59"/>
    </row>
    <row r="49" ht="12.75" customHeight="1">
      <c r="A49" s="27"/>
      <c r="D49" s="59"/>
      <c r="E49" s="59"/>
      <c r="F49" s="59"/>
      <c r="G49" s="59"/>
      <c r="H49" s="59"/>
      <c r="I49" s="59"/>
    </row>
    <row r="50" ht="12.75" customHeight="1">
      <c r="A50" s="27"/>
      <c r="D50" s="59"/>
      <c r="E50" s="59"/>
      <c r="F50" s="59"/>
      <c r="G50" s="59"/>
      <c r="H50" s="59"/>
      <c r="I50" s="59"/>
    </row>
    <row r="51" ht="12.75" customHeight="1">
      <c r="A51" s="27"/>
      <c r="D51" s="59"/>
      <c r="E51" s="59"/>
      <c r="F51" s="59"/>
      <c r="G51" s="59"/>
      <c r="H51" s="59"/>
      <c r="I51" s="59"/>
    </row>
    <row r="52" ht="12.75" customHeight="1">
      <c r="A52" s="27"/>
      <c r="D52" s="59"/>
      <c r="E52" s="59"/>
      <c r="F52" s="59"/>
      <c r="G52" s="59"/>
      <c r="H52" s="59"/>
      <c r="I52" s="59"/>
    </row>
    <row r="53" ht="12.75" customHeight="1">
      <c r="A53" s="27"/>
      <c r="D53" s="59"/>
      <c r="E53" s="59"/>
      <c r="F53" s="59"/>
      <c r="G53" s="59"/>
      <c r="H53" s="59"/>
      <c r="I53" s="59"/>
    </row>
    <row r="54" ht="12.75" customHeight="1">
      <c r="A54" s="27"/>
      <c r="D54" s="59"/>
      <c r="E54" s="59"/>
      <c r="F54" s="59"/>
      <c r="G54" s="59"/>
      <c r="H54" s="59"/>
      <c r="I54" s="59"/>
    </row>
    <row r="55" ht="12.75" customHeight="1">
      <c r="A55" s="27"/>
      <c r="D55" s="59"/>
      <c r="E55" s="59"/>
      <c r="F55" s="59"/>
      <c r="G55" s="59"/>
      <c r="H55" s="59"/>
      <c r="I55" s="59"/>
    </row>
    <row r="56" ht="12.75" customHeight="1">
      <c r="A56" s="27"/>
      <c r="D56" s="59"/>
      <c r="E56" s="59"/>
      <c r="F56" s="59"/>
      <c r="G56" s="59"/>
      <c r="H56" s="59"/>
      <c r="I56" s="59"/>
    </row>
    <row r="57" ht="12.75" customHeight="1">
      <c r="A57" s="27"/>
      <c r="D57" s="59"/>
      <c r="E57" s="59"/>
      <c r="F57" s="59"/>
      <c r="G57" s="59"/>
      <c r="H57" s="59"/>
      <c r="I57" s="59"/>
    </row>
    <row r="58" ht="12.75" customHeight="1">
      <c r="A58" s="27"/>
      <c r="D58" s="59"/>
      <c r="E58" s="59"/>
      <c r="F58" s="59"/>
      <c r="G58" s="59"/>
      <c r="H58" s="59"/>
      <c r="I58" s="59"/>
    </row>
    <row r="59" ht="12.75" customHeight="1">
      <c r="A59" s="27"/>
      <c r="D59" s="59"/>
      <c r="E59" s="59"/>
      <c r="F59" s="59"/>
      <c r="G59" s="59"/>
      <c r="H59" s="59"/>
      <c r="I59" s="59"/>
    </row>
    <row r="60" ht="12.75" customHeight="1">
      <c r="A60" s="27"/>
      <c r="D60" s="59"/>
      <c r="E60" s="59"/>
      <c r="F60" s="59"/>
      <c r="G60" s="59"/>
      <c r="H60" s="59"/>
      <c r="I60" s="59"/>
    </row>
    <row r="61" ht="12.75" customHeight="1">
      <c r="A61" s="27"/>
      <c r="D61" s="59"/>
      <c r="E61" s="59"/>
      <c r="F61" s="59"/>
      <c r="G61" s="59"/>
      <c r="H61" s="59"/>
      <c r="I61" s="59"/>
    </row>
    <row r="62" ht="12.75" customHeight="1">
      <c r="A62" s="27"/>
      <c r="D62" s="59"/>
      <c r="E62" s="59"/>
      <c r="F62" s="59"/>
      <c r="G62" s="59"/>
      <c r="H62" s="59"/>
      <c r="I62" s="59"/>
    </row>
    <row r="63" ht="12.75" customHeight="1">
      <c r="A63" s="27"/>
      <c r="D63" s="59"/>
      <c r="E63" s="59"/>
      <c r="F63" s="59"/>
      <c r="G63" s="59"/>
      <c r="H63" s="59"/>
      <c r="I63" s="59"/>
    </row>
    <row r="64" ht="12.75" customHeight="1">
      <c r="A64" s="27"/>
      <c r="D64" s="59"/>
      <c r="E64" s="59"/>
      <c r="F64" s="59"/>
      <c r="G64" s="59"/>
      <c r="H64" s="59"/>
      <c r="I64" s="59"/>
    </row>
    <row r="65" ht="12.75" customHeight="1">
      <c r="A65" s="27"/>
      <c r="D65" s="59"/>
      <c r="E65" s="59"/>
      <c r="F65" s="59"/>
      <c r="G65" s="59"/>
      <c r="H65" s="59"/>
      <c r="I65" s="59"/>
    </row>
    <row r="66" ht="12.75" customHeight="1">
      <c r="A66" s="27"/>
      <c r="D66" s="59"/>
      <c r="E66" s="59"/>
      <c r="F66" s="59"/>
      <c r="G66" s="59"/>
      <c r="H66" s="59"/>
      <c r="I66" s="59"/>
    </row>
    <row r="67" ht="12.75" customHeight="1">
      <c r="A67" s="27"/>
      <c r="D67" s="59"/>
      <c r="E67" s="59"/>
      <c r="F67" s="59"/>
      <c r="G67" s="59"/>
      <c r="H67" s="59"/>
      <c r="I67" s="59"/>
    </row>
    <row r="68" ht="12.75" customHeight="1">
      <c r="A68" s="27"/>
      <c r="D68" s="59"/>
      <c r="E68" s="59"/>
      <c r="F68" s="59"/>
      <c r="G68" s="59"/>
      <c r="H68" s="59"/>
      <c r="I68" s="59"/>
    </row>
    <row r="69" ht="12.75" customHeight="1">
      <c r="A69" s="27"/>
      <c r="D69" s="59"/>
      <c r="E69" s="59"/>
      <c r="F69" s="59"/>
      <c r="G69" s="59"/>
      <c r="H69" s="59"/>
      <c r="I69" s="59"/>
    </row>
    <row r="70" ht="12.75" customHeight="1">
      <c r="A70" s="27"/>
      <c r="D70" s="59"/>
      <c r="E70" s="59"/>
      <c r="F70" s="59"/>
      <c r="G70" s="59"/>
      <c r="H70" s="59"/>
      <c r="I70" s="59"/>
    </row>
    <row r="71" ht="12.75" customHeight="1">
      <c r="A71" s="27"/>
      <c r="D71" s="59"/>
      <c r="E71" s="59"/>
      <c r="F71" s="59"/>
      <c r="G71" s="59"/>
      <c r="H71" s="59"/>
      <c r="I71" s="59"/>
    </row>
    <row r="72" ht="12.75" customHeight="1">
      <c r="A72" s="27"/>
      <c r="D72" s="59"/>
      <c r="E72" s="59"/>
      <c r="F72" s="59"/>
      <c r="G72" s="59"/>
      <c r="H72" s="59"/>
      <c r="I72" s="59"/>
    </row>
    <row r="73" ht="12.75" customHeight="1">
      <c r="A73" s="27"/>
      <c r="D73" s="59"/>
      <c r="E73" s="59"/>
      <c r="F73" s="59"/>
      <c r="G73" s="59"/>
      <c r="H73" s="59"/>
      <c r="I73" s="59"/>
    </row>
    <row r="74" ht="12.75" customHeight="1">
      <c r="A74" s="27"/>
      <c r="D74" s="59"/>
      <c r="E74" s="59"/>
      <c r="F74" s="59"/>
      <c r="G74" s="59"/>
      <c r="H74" s="59"/>
      <c r="I74" s="59"/>
    </row>
    <row r="75" ht="12.75" customHeight="1">
      <c r="A75" s="27"/>
      <c r="D75" s="59"/>
      <c r="E75" s="59"/>
      <c r="F75" s="59"/>
      <c r="G75" s="59"/>
      <c r="H75" s="59"/>
      <c r="I75" s="59"/>
    </row>
    <row r="76" ht="12.75" customHeight="1">
      <c r="A76" s="27"/>
      <c r="D76" s="59"/>
      <c r="E76" s="59"/>
      <c r="F76" s="59"/>
      <c r="G76" s="59"/>
      <c r="H76" s="59"/>
      <c r="I76" s="59"/>
    </row>
    <row r="77" ht="12.75" customHeight="1">
      <c r="A77" s="27"/>
      <c r="D77" s="59"/>
      <c r="E77" s="59"/>
      <c r="F77" s="59"/>
      <c r="G77" s="59"/>
      <c r="H77" s="59"/>
      <c r="I77" s="59"/>
    </row>
    <row r="78" ht="12.75" customHeight="1">
      <c r="A78" s="27"/>
      <c r="D78" s="59"/>
      <c r="E78" s="59"/>
      <c r="F78" s="59"/>
      <c r="G78" s="59"/>
      <c r="H78" s="59"/>
      <c r="I78" s="59"/>
    </row>
    <row r="79" ht="12.75" customHeight="1">
      <c r="A79" s="27"/>
      <c r="D79" s="59"/>
      <c r="E79" s="59"/>
      <c r="F79" s="59"/>
      <c r="G79" s="59"/>
      <c r="H79" s="59"/>
      <c r="I79" s="59"/>
    </row>
    <row r="80" ht="12.75" customHeight="1">
      <c r="A80" s="27"/>
      <c r="D80" s="59"/>
      <c r="E80" s="59"/>
      <c r="F80" s="59"/>
      <c r="G80" s="59"/>
      <c r="H80" s="59"/>
      <c r="I80" s="59"/>
    </row>
    <row r="81" ht="12.75" customHeight="1">
      <c r="A81" s="27"/>
      <c r="D81" s="59"/>
      <c r="E81" s="59"/>
      <c r="F81" s="59"/>
      <c r="G81" s="59"/>
      <c r="H81" s="59"/>
      <c r="I81" s="59"/>
    </row>
    <row r="82" ht="12.75" customHeight="1">
      <c r="A82" s="27"/>
      <c r="D82" s="59"/>
      <c r="E82" s="59"/>
      <c r="F82" s="59"/>
      <c r="G82" s="59"/>
      <c r="H82" s="59"/>
      <c r="I82" s="59"/>
    </row>
    <row r="83" ht="12.75" customHeight="1">
      <c r="A83" s="27"/>
      <c r="D83" s="59"/>
      <c r="E83" s="59"/>
      <c r="F83" s="59"/>
      <c r="G83" s="59"/>
      <c r="H83" s="59"/>
      <c r="I83" s="59"/>
    </row>
    <row r="84" ht="12.75" customHeight="1">
      <c r="A84" s="27"/>
      <c r="D84" s="59"/>
      <c r="E84" s="59"/>
      <c r="F84" s="59"/>
      <c r="G84" s="59"/>
      <c r="H84" s="59"/>
      <c r="I84" s="59"/>
    </row>
    <row r="85" ht="12.75" customHeight="1">
      <c r="A85" s="27"/>
      <c r="D85" s="59"/>
      <c r="E85" s="59"/>
      <c r="F85" s="59"/>
      <c r="G85" s="59"/>
      <c r="H85" s="59"/>
      <c r="I85" s="59"/>
    </row>
    <row r="86" ht="12.75" customHeight="1">
      <c r="A86" s="27"/>
      <c r="D86" s="59"/>
      <c r="E86" s="59"/>
      <c r="F86" s="59"/>
      <c r="G86" s="59"/>
      <c r="H86" s="59"/>
      <c r="I86" s="59"/>
    </row>
    <row r="87" ht="12.75" customHeight="1">
      <c r="A87" s="27"/>
      <c r="D87" s="59"/>
      <c r="E87" s="59"/>
      <c r="F87" s="59"/>
      <c r="G87" s="59"/>
      <c r="H87" s="59"/>
      <c r="I87" s="59"/>
    </row>
    <row r="88" ht="12.75" customHeight="1">
      <c r="A88" s="27"/>
      <c r="D88" s="59"/>
      <c r="E88" s="59"/>
      <c r="F88" s="59"/>
      <c r="G88" s="59"/>
      <c r="H88" s="59"/>
      <c r="I88" s="59"/>
    </row>
    <row r="89" ht="12.75" customHeight="1">
      <c r="A89" s="27"/>
      <c r="D89" s="59"/>
      <c r="E89" s="59"/>
      <c r="F89" s="59"/>
      <c r="G89" s="59"/>
      <c r="H89" s="59"/>
      <c r="I89" s="59"/>
    </row>
    <row r="90" ht="12.75" customHeight="1">
      <c r="A90" s="27"/>
      <c r="D90" s="59"/>
      <c r="E90" s="59"/>
      <c r="F90" s="59"/>
      <c r="G90" s="59"/>
      <c r="H90" s="59"/>
      <c r="I90" s="59"/>
    </row>
    <row r="91" ht="12.75" customHeight="1">
      <c r="A91" s="27"/>
      <c r="D91" s="59"/>
      <c r="E91" s="59"/>
      <c r="F91" s="59"/>
      <c r="G91" s="59"/>
      <c r="H91" s="59"/>
      <c r="I91" s="59"/>
    </row>
    <row r="92" ht="12.75" customHeight="1">
      <c r="A92" s="27"/>
      <c r="D92" s="59"/>
      <c r="E92" s="59"/>
      <c r="F92" s="59"/>
      <c r="G92" s="59"/>
      <c r="H92" s="59"/>
      <c r="I92" s="59"/>
    </row>
    <row r="93" ht="12.75" customHeight="1">
      <c r="A93" s="27"/>
      <c r="D93" s="59"/>
      <c r="E93" s="59"/>
      <c r="F93" s="59"/>
      <c r="G93" s="59"/>
      <c r="H93" s="59"/>
      <c r="I93" s="59"/>
    </row>
    <row r="94" ht="12.75" customHeight="1">
      <c r="A94" s="27"/>
      <c r="D94" s="59"/>
      <c r="E94" s="59"/>
      <c r="F94" s="59"/>
      <c r="G94" s="59"/>
      <c r="H94" s="59"/>
      <c r="I94" s="59"/>
    </row>
    <row r="95" ht="12.75" customHeight="1">
      <c r="A95" s="27"/>
      <c r="D95" s="59"/>
      <c r="E95" s="59"/>
      <c r="F95" s="59"/>
      <c r="G95" s="59"/>
      <c r="H95" s="59"/>
      <c r="I95" s="59"/>
    </row>
    <row r="96" ht="12.75" customHeight="1">
      <c r="A96" s="27"/>
      <c r="D96" s="59"/>
      <c r="E96" s="59"/>
      <c r="F96" s="59"/>
      <c r="G96" s="59"/>
      <c r="H96" s="59"/>
      <c r="I96" s="59"/>
    </row>
    <row r="97" ht="12.75" customHeight="1">
      <c r="A97" s="27"/>
      <c r="D97" s="59"/>
      <c r="E97" s="59"/>
      <c r="F97" s="59"/>
      <c r="G97" s="59"/>
      <c r="H97" s="59"/>
      <c r="I97" s="59"/>
    </row>
    <row r="98" ht="12.75" customHeight="1">
      <c r="A98" s="27"/>
      <c r="D98" s="59"/>
      <c r="E98" s="59"/>
      <c r="F98" s="59"/>
      <c r="G98" s="59"/>
      <c r="H98" s="59"/>
      <c r="I98" s="59"/>
    </row>
    <row r="99" ht="12.75" customHeight="1">
      <c r="A99" s="27"/>
      <c r="D99" s="59"/>
      <c r="E99" s="59"/>
      <c r="F99" s="59"/>
      <c r="G99" s="59"/>
      <c r="H99" s="59"/>
      <c r="I99" s="59"/>
    </row>
    <row r="100" ht="12.75" customHeight="1">
      <c r="A100" s="27"/>
      <c r="D100" s="59"/>
      <c r="E100" s="59"/>
      <c r="F100" s="59"/>
      <c r="G100" s="59"/>
      <c r="H100" s="59"/>
      <c r="I100" s="59"/>
    </row>
    <row r="101" ht="12.75" customHeight="1">
      <c r="A101" s="27"/>
      <c r="D101" s="59"/>
      <c r="E101" s="59"/>
      <c r="F101" s="59"/>
      <c r="G101" s="59"/>
      <c r="H101" s="59"/>
      <c r="I101" s="59"/>
    </row>
    <row r="102" ht="12.75" customHeight="1">
      <c r="A102" s="27"/>
      <c r="D102" s="59"/>
      <c r="E102" s="59"/>
      <c r="F102" s="59"/>
      <c r="G102" s="59"/>
      <c r="H102" s="59"/>
      <c r="I102" s="59"/>
    </row>
    <row r="103" ht="12.75" customHeight="1">
      <c r="A103" s="27"/>
      <c r="D103" s="59"/>
      <c r="E103" s="59"/>
      <c r="F103" s="59"/>
      <c r="G103" s="59"/>
      <c r="H103" s="59"/>
      <c r="I103" s="59"/>
    </row>
    <row r="104" ht="12.75" customHeight="1">
      <c r="A104" s="27"/>
      <c r="D104" s="59"/>
      <c r="E104" s="59"/>
      <c r="F104" s="59"/>
      <c r="G104" s="59"/>
      <c r="H104" s="59"/>
      <c r="I104" s="59"/>
    </row>
    <row r="105" ht="12.75" customHeight="1">
      <c r="A105" s="27"/>
      <c r="D105" s="59"/>
      <c r="E105" s="59"/>
      <c r="F105" s="59"/>
      <c r="G105" s="59"/>
      <c r="H105" s="59"/>
      <c r="I105" s="59"/>
    </row>
    <row r="106" ht="12.75" customHeight="1">
      <c r="A106" s="27"/>
      <c r="D106" s="59"/>
      <c r="E106" s="59"/>
      <c r="F106" s="59"/>
      <c r="G106" s="59"/>
      <c r="H106" s="59"/>
      <c r="I106" s="59"/>
    </row>
    <row r="107" ht="12.75" customHeight="1">
      <c r="A107" s="27"/>
      <c r="D107" s="59"/>
      <c r="E107" s="59"/>
      <c r="F107" s="59"/>
      <c r="G107" s="59"/>
      <c r="H107" s="59"/>
      <c r="I107" s="59"/>
    </row>
    <row r="108" ht="12.75" customHeight="1">
      <c r="A108" s="27"/>
      <c r="D108" s="59"/>
      <c r="E108" s="59"/>
      <c r="F108" s="59"/>
      <c r="G108" s="59"/>
      <c r="H108" s="59"/>
      <c r="I108" s="59"/>
    </row>
    <row r="109" ht="12.75" customHeight="1">
      <c r="A109" s="27"/>
      <c r="D109" s="59"/>
      <c r="E109" s="59"/>
      <c r="F109" s="59"/>
      <c r="G109" s="59"/>
      <c r="H109" s="59"/>
      <c r="I109" s="59"/>
    </row>
    <row r="110" ht="12.75" customHeight="1">
      <c r="A110" s="27"/>
      <c r="D110" s="59"/>
      <c r="E110" s="59"/>
      <c r="F110" s="59"/>
      <c r="G110" s="59"/>
      <c r="H110" s="59"/>
      <c r="I110" s="59"/>
    </row>
    <row r="111" ht="12.75" customHeight="1">
      <c r="A111" s="27"/>
      <c r="D111" s="59"/>
      <c r="E111" s="59"/>
      <c r="F111" s="59"/>
      <c r="G111" s="59"/>
      <c r="H111" s="59"/>
      <c r="I111" s="59"/>
    </row>
    <row r="112" ht="12.75" customHeight="1">
      <c r="A112" s="27"/>
      <c r="D112" s="59"/>
      <c r="E112" s="59"/>
      <c r="F112" s="59"/>
      <c r="G112" s="59"/>
      <c r="H112" s="59"/>
      <c r="I112" s="59"/>
    </row>
    <row r="113" ht="12.75" customHeight="1">
      <c r="A113" s="27"/>
      <c r="D113" s="59"/>
      <c r="E113" s="59"/>
      <c r="F113" s="59"/>
      <c r="G113" s="59"/>
      <c r="H113" s="59"/>
      <c r="I113" s="59"/>
    </row>
    <row r="114" ht="12.75" customHeight="1">
      <c r="A114" s="27"/>
      <c r="D114" s="59"/>
      <c r="E114" s="59"/>
      <c r="F114" s="59"/>
      <c r="G114" s="59"/>
      <c r="H114" s="59"/>
      <c r="I114" s="59"/>
    </row>
    <row r="115" ht="12.75" customHeight="1">
      <c r="A115" s="27"/>
      <c r="D115" s="59"/>
      <c r="E115" s="59"/>
      <c r="F115" s="59"/>
      <c r="G115" s="59"/>
      <c r="H115" s="59"/>
      <c r="I115" s="59"/>
    </row>
    <row r="116" ht="12.75" customHeight="1">
      <c r="A116" s="27"/>
      <c r="D116" s="59"/>
      <c r="E116" s="59"/>
      <c r="F116" s="59"/>
      <c r="G116" s="59"/>
      <c r="H116" s="59"/>
      <c r="I116" s="59"/>
    </row>
    <row r="117" ht="12.75" customHeight="1">
      <c r="A117" s="27"/>
      <c r="D117" s="59"/>
      <c r="E117" s="59"/>
      <c r="F117" s="59"/>
      <c r="G117" s="59"/>
      <c r="H117" s="59"/>
      <c r="I117" s="59"/>
    </row>
    <row r="118" ht="12.75" customHeight="1">
      <c r="A118" s="27"/>
      <c r="D118" s="59"/>
      <c r="E118" s="59"/>
      <c r="F118" s="59"/>
      <c r="G118" s="59"/>
      <c r="H118" s="59"/>
      <c r="I118" s="59"/>
    </row>
    <row r="119" ht="12.75" customHeight="1">
      <c r="A119" s="27"/>
      <c r="D119" s="59"/>
      <c r="E119" s="59"/>
      <c r="F119" s="59"/>
      <c r="G119" s="59"/>
      <c r="H119" s="59"/>
      <c r="I119" s="59"/>
    </row>
    <row r="120" ht="12.75" customHeight="1">
      <c r="A120" s="27"/>
      <c r="D120" s="59"/>
      <c r="E120" s="59"/>
      <c r="F120" s="59"/>
      <c r="G120" s="59"/>
      <c r="H120" s="59"/>
      <c r="I120" s="59"/>
    </row>
    <row r="121" ht="12.75" customHeight="1">
      <c r="A121" s="27"/>
      <c r="D121" s="59"/>
      <c r="E121" s="59"/>
      <c r="F121" s="59"/>
      <c r="G121" s="59"/>
      <c r="H121" s="59"/>
      <c r="I121" s="59"/>
    </row>
    <row r="122" ht="12.75" customHeight="1">
      <c r="A122" s="27"/>
      <c r="D122" s="59"/>
      <c r="E122" s="59"/>
      <c r="F122" s="59"/>
      <c r="G122" s="59"/>
      <c r="H122" s="59"/>
      <c r="I122" s="59"/>
    </row>
    <row r="123" ht="12.75" customHeight="1">
      <c r="A123" s="27"/>
      <c r="D123" s="59"/>
      <c r="E123" s="59"/>
      <c r="F123" s="59"/>
      <c r="G123" s="59"/>
      <c r="H123" s="59"/>
      <c r="I123" s="59"/>
    </row>
    <row r="124" ht="12.75" customHeight="1">
      <c r="A124" s="27"/>
      <c r="D124" s="59"/>
      <c r="E124" s="59"/>
      <c r="F124" s="59"/>
      <c r="G124" s="59"/>
      <c r="H124" s="59"/>
      <c r="I124" s="59"/>
    </row>
    <row r="125" ht="12.75" customHeight="1">
      <c r="A125" s="27"/>
      <c r="D125" s="59"/>
      <c r="E125" s="59"/>
      <c r="F125" s="59"/>
      <c r="G125" s="59"/>
      <c r="H125" s="59"/>
      <c r="I125" s="59"/>
    </row>
    <row r="126" ht="12.75" customHeight="1">
      <c r="A126" s="27"/>
      <c r="D126" s="59"/>
      <c r="E126" s="59"/>
      <c r="F126" s="59"/>
      <c r="G126" s="59"/>
      <c r="H126" s="59"/>
      <c r="I126" s="59"/>
    </row>
    <row r="127" ht="12.75" customHeight="1">
      <c r="A127" s="27"/>
      <c r="D127" s="59"/>
      <c r="E127" s="59"/>
      <c r="F127" s="59"/>
      <c r="G127" s="59"/>
      <c r="H127" s="59"/>
      <c r="I127" s="59"/>
    </row>
    <row r="128" ht="12.75" customHeight="1">
      <c r="A128" s="27"/>
      <c r="D128" s="59"/>
      <c r="E128" s="59"/>
      <c r="F128" s="59"/>
      <c r="G128" s="59"/>
      <c r="H128" s="59"/>
      <c r="I128" s="59"/>
    </row>
    <row r="129" ht="12.75" customHeight="1">
      <c r="A129" s="27"/>
      <c r="D129" s="59"/>
      <c r="E129" s="59"/>
      <c r="F129" s="59"/>
      <c r="G129" s="59"/>
      <c r="H129" s="59"/>
      <c r="I129" s="59"/>
    </row>
    <row r="130" ht="12.75" customHeight="1">
      <c r="A130" s="27"/>
      <c r="D130" s="59"/>
      <c r="E130" s="59"/>
      <c r="F130" s="59"/>
      <c r="G130" s="59"/>
      <c r="H130" s="59"/>
      <c r="I130" s="59"/>
    </row>
    <row r="131" ht="12.75" customHeight="1">
      <c r="A131" s="27"/>
      <c r="D131" s="59"/>
      <c r="E131" s="59"/>
      <c r="F131" s="59"/>
      <c r="G131" s="59"/>
      <c r="H131" s="59"/>
      <c r="I131" s="59"/>
    </row>
    <row r="132" ht="12.75" customHeight="1">
      <c r="A132" s="27"/>
      <c r="D132" s="59"/>
      <c r="E132" s="59"/>
      <c r="F132" s="59"/>
      <c r="G132" s="59"/>
      <c r="H132" s="59"/>
      <c r="I132" s="59"/>
    </row>
    <row r="133" ht="12.75" customHeight="1">
      <c r="A133" s="27"/>
      <c r="D133" s="59"/>
      <c r="E133" s="59"/>
      <c r="F133" s="59"/>
      <c r="G133" s="59"/>
      <c r="H133" s="59"/>
      <c r="I133" s="59"/>
    </row>
    <row r="134" ht="12.75" customHeight="1">
      <c r="A134" s="27"/>
      <c r="D134" s="59"/>
      <c r="E134" s="59"/>
      <c r="F134" s="59"/>
      <c r="G134" s="59"/>
      <c r="H134" s="59"/>
      <c r="I134" s="59"/>
    </row>
    <row r="135" ht="12.75" customHeight="1">
      <c r="A135" s="27"/>
      <c r="D135" s="59"/>
      <c r="E135" s="59"/>
      <c r="F135" s="59"/>
      <c r="G135" s="59"/>
      <c r="H135" s="59"/>
      <c r="I135" s="59"/>
    </row>
    <row r="136" ht="12.75" customHeight="1">
      <c r="A136" s="27"/>
      <c r="D136" s="59"/>
      <c r="E136" s="59"/>
      <c r="F136" s="59"/>
      <c r="G136" s="59"/>
      <c r="H136" s="59"/>
      <c r="I136" s="59"/>
    </row>
    <row r="137" ht="12.75" customHeight="1">
      <c r="A137" s="27"/>
      <c r="D137" s="59"/>
      <c r="E137" s="59"/>
      <c r="F137" s="59"/>
      <c r="G137" s="59"/>
      <c r="H137" s="59"/>
      <c r="I137" s="59"/>
    </row>
    <row r="138" ht="12.75" customHeight="1">
      <c r="A138" s="27"/>
      <c r="D138" s="59"/>
      <c r="E138" s="59"/>
      <c r="F138" s="59"/>
      <c r="G138" s="59"/>
      <c r="H138" s="59"/>
      <c r="I138" s="59"/>
    </row>
    <row r="139" ht="12.75" customHeight="1">
      <c r="A139" s="27"/>
      <c r="D139" s="59"/>
      <c r="E139" s="59"/>
      <c r="F139" s="59"/>
      <c r="G139" s="59"/>
      <c r="H139" s="59"/>
      <c r="I139" s="59"/>
    </row>
    <row r="140" ht="12.75" customHeight="1">
      <c r="A140" s="27"/>
      <c r="D140" s="59"/>
      <c r="E140" s="59"/>
      <c r="F140" s="59"/>
      <c r="G140" s="59"/>
      <c r="H140" s="59"/>
      <c r="I140" s="59"/>
    </row>
    <row r="141" ht="12.75" customHeight="1">
      <c r="A141" s="27"/>
      <c r="D141" s="59"/>
      <c r="E141" s="59"/>
      <c r="F141" s="59"/>
      <c r="G141" s="59"/>
      <c r="H141" s="59"/>
      <c r="I141" s="59"/>
    </row>
    <row r="142" ht="12.75" customHeight="1">
      <c r="A142" s="27"/>
      <c r="D142" s="59"/>
      <c r="E142" s="59"/>
      <c r="F142" s="59"/>
      <c r="G142" s="59"/>
      <c r="H142" s="59"/>
      <c r="I142" s="59"/>
    </row>
    <row r="143" ht="12.75" customHeight="1">
      <c r="A143" s="27"/>
      <c r="D143" s="59"/>
      <c r="E143" s="59"/>
      <c r="F143" s="59"/>
      <c r="G143" s="59"/>
      <c r="H143" s="59"/>
      <c r="I143" s="59"/>
    </row>
    <row r="144" ht="12.75" customHeight="1">
      <c r="A144" s="27"/>
      <c r="D144" s="59"/>
      <c r="E144" s="59"/>
      <c r="F144" s="59"/>
      <c r="G144" s="59"/>
      <c r="H144" s="59"/>
      <c r="I144" s="59"/>
    </row>
    <row r="145" ht="12.75" customHeight="1">
      <c r="A145" s="27"/>
      <c r="D145" s="59"/>
      <c r="E145" s="59"/>
      <c r="F145" s="59"/>
      <c r="G145" s="59"/>
      <c r="H145" s="59"/>
      <c r="I145" s="59"/>
    </row>
    <row r="146" ht="12.75" customHeight="1">
      <c r="A146" s="27"/>
      <c r="D146" s="59"/>
      <c r="E146" s="59"/>
      <c r="F146" s="59"/>
      <c r="G146" s="59"/>
      <c r="H146" s="59"/>
      <c r="I146" s="59"/>
    </row>
    <row r="147" ht="12.75" customHeight="1">
      <c r="A147" s="27"/>
      <c r="D147" s="59"/>
      <c r="E147" s="59"/>
      <c r="F147" s="59"/>
      <c r="G147" s="59"/>
      <c r="H147" s="59"/>
      <c r="I147" s="59"/>
    </row>
    <row r="148" ht="12.75" customHeight="1">
      <c r="A148" s="27"/>
      <c r="D148" s="59"/>
      <c r="E148" s="59"/>
      <c r="F148" s="59"/>
      <c r="G148" s="59"/>
      <c r="H148" s="59"/>
      <c r="I148" s="59"/>
    </row>
    <row r="149" ht="12.75" customHeight="1">
      <c r="A149" s="27"/>
      <c r="D149" s="59"/>
      <c r="E149" s="59"/>
      <c r="F149" s="59"/>
      <c r="G149" s="59"/>
      <c r="H149" s="59"/>
      <c r="I149" s="59"/>
    </row>
    <row r="150" ht="12.75" customHeight="1">
      <c r="A150" s="27"/>
      <c r="D150" s="59"/>
      <c r="E150" s="59"/>
      <c r="F150" s="59"/>
      <c r="G150" s="59"/>
      <c r="H150" s="59"/>
      <c r="I150" s="59"/>
    </row>
    <row r="151" ht="12.75" customHeight="1">
      <c r="A151" s="27"/>
      <c r="D151" s="59"/>
      <c r="E151" s="59"/>
      <c r="F151" s="59"/>
      <c r="G151" s="59"/>
      <c r="H151" s="59"/>
      <c r="I151" s="59"/>
    </row>
    <row r="152" ht="12.75" customHeight="1">
      <c r="A152" s="27"/>
      <c r="D152" s="59"/>
      <c r="E152" s="59"/>
      <c r="F152" s="59"/>
      <c r="G152" s="59"/>
      <c r="H152" s="59"/>
      <c r="I152" s="59"/>
    </row>
    <row r="153" ht="12.75" customHeight="1">
      <c r="A153" s="27"/>
      <c r="D153" s="59"/>
      <c r="E153" s="59"/>
      <c r="F153" s="59"/>
      <c r="G153" s="59"/>
      <c r="H153" s="59"/>
      <c r="I153" s="59"/>
    </row>
    <row r="154" ht="12.75" customHeight="1">
      <c r="A154" s="27"/>
      <c r="D154" s="59"/>
      <c r="E154" s="59"/>
      <c r="F154" s="59"/>
      <c r="G154" s="59"/>
      <c r="H154" s="59"/>
      <c r="I154" s="59"/>
    </row>
    <row r="155" ht="12.75" customHeight="1">
      <c r="A155" s="27"/>
      <c r="D155" s="59"/>
      <c r="E155" s="59"/>
      <c r="F155" s="59"/>
      <c r="G155" s="59"/>
      <c r="H155" s="59"/>
      <c r="I155" s="59"/>
    </row>
    <row r="156" ht="12.75" customHeight="1">
      <c r="A156" s="27"/>
      <c r="D156" s="59"/>
      <c r="E156" s="59"/>
      <c r="F156" s="59"/>
      <c r="G156" s="59"/>
      <c r="H156" s="59"/>
      <c r="I156" s="59"/>
    </row>
    <row r="157" ht="12.75" customHeight="1">
      <c r="A157" s="27"/>
      <c r="D157" s="59"/>
      <c r="E157" s="59"/>
      <c r="F157" s="59"/>
      <c r="G157" s="59"/>
      <c r="H157" s="59"/>
      <c r="I157" s="59"/>
    </row>
    <row r="158" ht="12.75" customHeight="1">
      <c r="A158" s="27"/>
      <c r="D158" s="59"/>
      <c r="E158" s="59"/>
      <c r="F158" s="59"/>
      <c r="G158" s="59"/>
      <c r="H158" s="59"/>
      <c r="I158" s="59"/>
    </row>
    <row r="159" ht="12.75" customHeight="1">
      <c r="A159" s="27"/>
      <c r="D159" s="59"/>
      <c r="E159" s="59"/>
      <c r="F159" s="59"/>
      <c r="G159" s="59"/>
      <c r="H159" s="59"/>
      <c r="I159" s="59"/>
    </row>
    <row r="160" ht="12.75" customHeight="1">
      <c r="A160" s="27"/>
      <c r="D160" s="59"/>
      <c r="E160" s="59"/>
      <c r="F160" s="59"/>
      <c r="G160" s="59"/>
      <c r="H160" s="59"/>
      <c r="I160" s="59"/>
    </row>
    <row r="161" ht="12.75" customHeight="1">
      <c r="A161" s="27"/>
      <c r="D161" s="59"/>
      <c r="E161" s="59"/>
      <c r="F161" s="59"/>
      <c r="G161" s="59"/>
      <c r="H161" s="59"/>
      <c r="I161" s="59"/>
    </row>
    <row r="162" ht="12.75" customHeight="1">
      <c r="A162" s="27"/>
      <c r="D162" s="59"/>
      <c r="E162" s="59"/>
      <c r="F162" s="59"/>
      <c r="G162" s="59"/>
      <c r="H162" s="59"/>
      <c r="I162" s="59"/>
    </row>
    <row r="163" ht="12.75" customHeight="1">
      <c r="A163" s="27"/>
      <c r="D163" s="59"/>
      <c r="E163" s="59"/>
      <c r="F163" s="59"/>
      <c r="G163" s="59"/>
      <c r="H163" s="59"/>
      <c r="I163" s="59"/>
    </row>
    <row r="164" ht="12.75" customHeight="1">
      <c r="A164" s="27"/>
      <c r="D164" s="59"/>
      <c r="E164" s="59"/>
      <c r="F164" s="59"/>
      <c r="G164" s="59"/>
      <c r="H164" s="59"/>
      <c r="I164" s="59"/>
    </row>
    <row r="165" ht="12.75" customHeight="1">
      <c r="A165" s="27"/>
      <c r="D165" s="59"/>
      <c r="E165" s="59"/>
      <c r="F165" s="59"/>
      <c r="G165" s="59"/>
      <c r="H165" s="59"/>
      <c r="I165" s="59"/>
    </row>
    <row r="166" ht="12.75" customHeight="1">
      <c r="A166" s="27"/>
      <c r="D166" s="59"/>
      <c r="E166" s="59"/>
      <c r="F166" s="59"/>
      <c r="G166" s="59"/>
      <c r="H166" s="59"/>
      <c r="I166" s="59"/>
    </row>
    <row r="167" ht="12.75" customHeight="1">
      <c r="A167" s="27"/>
      <c r="D167" s="59"/>
      <c r="E167" s="59"/>
      <c r="F167" s="59"/>
      <c r="G167" s="59"/>
      <c r="H167" s="59"/>
      <c r="I167" s="59"/>
    </row>
    <row r="168" ht="12.75" customHeight="1">
      <c r="A168" s="27"/>
      <c r="D168" s="59"/>
      <c r="E168" s="59"/>
      <c r="F168" s="59"/>
      <c r="G168" s="59"/>
      <c r="H168" s="59"/>
      <c r="I168" s="59"/>
    </row>
    <row r="169" ht="12.75" customHeight="1">
      <c r="A169" s="27"/>
      <c r="D169" s="59"/>
      <c r="E169" s="59"/>
      <c r="F169" s="59"/>
      <c r="G169" s="59"/>
      <c r="H169" s="59"/>
      <c r="I169" s="59"/>
    </row>
    <row r="170" ht="12.75" customHeight="1">
      <c r="A170" s="27"/>
      <c r="D170" s="59"/>
      <c r="E170" s="59"/>
      <c r="F170" s="59"/>
      <c r="G170" s="59"/>
      <c r="H170" s="59"/>
      <c r="I170" s="59"/>
    </row>
    <row r="171" ht="12.75" customHeight="1">
      <c r="A171" s="27"/>
      <c r="D171" s="59"/>
      <c r="E171" s="59"/>
      <c r="F171" s="59"/>
      <c r="G171" s="59"/>
      <c r="H171" s="59"/>
      <c r="I171" s="59"/>
    </row>
    <row r="172" ht="12.75" customHeight="1">
      <c r="A172" s="27"/>
      <c r="D172" s="59"/>
      <c r="E172" s="59"/>
      <c r="F172" s="59"/>
      <c r="G172" s="59"/>
      <c r="H172" s="59"/>
      <c r="I172" s="59"/>
    </row>
    <row r="173" ht="12.75" customHeight="1">
      <c r="A173" s="27"/>
      <c r="D173" s="59"/>
      <c r="E173" s="59"/>
      <c r="F173" s="59"/>
      <c r="G173" s="59"/>
      <c r="H173" s="59"/>
      <c r="I173" s="59"/>
    </row>
    <row r="174" ht="12.75" customHeight="1">
      <c r="A174" s="27"/>
      <c r="D174" s="59"/>
      <c r="E174" s="59"/>
      <c r="F174" s="59"/>
      <c r="G174" s="59"/>
      <c r="H174" s="59"/>
      <c r="I174" s="59"/>
    </row>
    <row r="175" ht="12.75" customHeight="1">
      <c r="A175" s="27"/>
      <c r="D175" s="59"/>
      <c r="E175" s="59"/>
      <c r="F175" s="59"/>
      <c r="G175" s="59"/>
      <c r="H175" s="59"/>
      <c r="I175" s="59"/>
    </row>
    <row r="176" ht="12.75" customHeight="1">
      <c r="A176" s="27"/>
      <c r="D176" s="59"/>
      <c r="E176" s="59"/>
      <c r="F176" s="59"/>
      <c r="G176" s="59"/>
      <c r="H176" s="59"/>
      <c r="I176" s="59"/>
    </row>
    <row r="177" ht="12.75" customHeight="1">
      <c r="A177" s="27"/>
      <c r="D177" s="59"/>
      <c r="E177" s="59"/>
      <c r="F177" s="59"/>
      <c r="G177" s="59"/>
      <c r="H177" s="59"/>
      <c r="I177" s="59"/>
    </row>
    <row r="178" ht="12.75" customHeight="1">
      <c r="A178" s="27"/>
      <c r="D178" s="59"/>
      <c r="E178" s="59"/>
      <c r="F178" s="59"/>
      <c r="G178" s="59"/>
      <c r="H178" s="59"/>
      <c r="I178" s="59"/>
    </row>
    <row r="179" ht="12.75" customHeight="1">
      <c r="A179" s="27"/>
      <c r="D179" s="59"/>
      <c r="E179" s="59"/>
      <c r="F179" s="59"/>
      <c r="G179" s="59"/>
      <c r="H179" s="59"/>
      <c r="I179" s="59"/>
    </row>
    <row r="180" ht="12.75" customHeight="1">
      <c r="A180" s="27"/>
      <c r="D180" s="59"/>
      <c r="E180" s="59"/>
      <c r="F180" s="59"/>
      <c r="G180" s="59"/>
      <c r="H180" s="59"/>
      <c r="I180" s="59"/>
    </row>
    <row r="181" ht="12.75" customHeight="1">
      <c r="A181" s="27"/>
      <c r="D181" s="59"/>
      <c r="E181" s="59"/>
      <c r="F181" s="59"/>
      <c r="G181" s="59"/>
      <c r="H181" s="59"/>
      <c r="I181" s="59"/>
    </row>
    <row r="182" ht="12.75" customHeight="1">
      <c r="A182" s="27"/>
      <c r="D182" s="59"/>
      <c r="E182" s="59"/>
      <c r="F182" s="59"/>
      <c r="G182" s="59"/>
      <c r="H182" s="59"/>
      <c r="I182" s="59"/>
    </row>
    <row r="183" ht="12.75" customHeight="1">
      <c r="A183" s="27"/>
      <c r="D183" s="59"/>
      <c r="E183" s="59"/>
      <c r="F183" s="59"/>
      <c r="G183" s="59"/>
      <c r="H183" s="59"/>
      <c r="I183" s="59"/>
    </row>
    <row r="184" ht="12.75" customHeight="1">
      <c r="A184" s="27"/>
      <c r="D184" s="59"/>
      <c r="E184" s="59"/>
      <c r="F184" s="59"/>
      <c r="G184" s="59"/>
      <c r="H184" s="59"/>
      <c r="I184" s="59"/>
    </row>
    <row r="185" ht="12.75" customHeight="1">
      <c r="A185" s="27"/>
      <c r="D185" s="59"/>
      <c r="E185" s="59"/>
      <c r="F185" s="59"/>
      <c r="G185" s="59"/>
      <c r="H185" s="59"/>
      <c r="I185" s="59"/>
    </row>
    <row r="186" ht="12.75" customHeight="1">
      <c r="A186" s="27"/>
      <c r="D186" s="59"/>
      <c r="E186" s="59"/>
      <c r="F186" s="59"/>
      <c r="G186" s="59"/>
      <c r="H186" s="59"/>
      <c r="I186" s="59"/>
    </row>
    <row r="187" ht="12.75" customHeight="1">
      <c r="A187" s="27"/>
      <c r="D187" s="59"/>
      <c r="E187" s="59"/>
      <c r="F187" s="59"/>
      <c r="G187" s="59"/>
      <c r="H187" s="59"/>
      <c r="I187" s="59"/>
    </row>
    <row r="188" ht="12.75" customHeight="1">
      <c r="A188" s="27"/>
      <c r="D188" s="59"/>
      <c r="E188" s="59"/>
      <c r="F188" s="59"/>
      <c r="G188" s="59"/>
      <c r="H188" s="59"/>
      <c r="I188" s="59"/>
    </row>
    <row r="189" ht="12.75" customHeight="1">
      <c r="A189" s="27"/>
      <c r="D189" s="59"/>
      <c r="E189" s="59"/>
      <c r="F189" s="59"/>
      <c r="G189" s="59"/>
      <c r="H189" s="59"/>
      <c r="I189" s="59"/>
    </row>
    <row r="190" ht="12.75" customHeight="1">
      <c r="A190" s="27"/>
      <c r="D190" s="59"/>
      <c r="E190" s="59"/>
      <c r="F190" s="59"/>
      <c r="G190" s="59"/>
      <c r="H190" s="59"/>
      <c r="I190" s="59"/>
    </row>
    <row r="191" ht="12.75" customHeight="1">
      <c r="A191" s="27"/>
      <c r="D191" s="59"/>
      <c r="E191" s="59"/>
      <c r="F191" s="59"/>
      <c r="G191" s="59"/>
      <c r="H191" s="59"/>
      <c r="I191" s="59"/>
    </row>
    <row r="192" ht="12.75" customHeight="1">
      <c r="A192" s="27"/>
      <c r="D192" s="59"/>
      <c r="E192" s="59"/>
      <c r="F192" s="59"/>
      <c r="G192" s="59"/>
      <c r="H192" s="59"/>
      <c r="I192" s="59"/>
    </row>
    <row r="193" ht="12.75" customHeight="1">
      <c r="A193" s="27"/>
      <c r="D193" s="59"/>
      <c r="E193" s="59"/>
      <c r="F193" s="59"/>
      <c r="G193" s="59"/>
      <c r="H193" s="59"/>
      <c r="I193" s="59"/>
    </row>
    <row r="194" ht="12.75" customHeight="1">
      <c r="A194" s="27"/>
      <c r="D194" s="59"/>
      <c r="E194" s="59"/>
      <c r="F194" s="59"/>
      <c r="G194" s="59"/>
      <c r="H194" s="59"/>
      <c r="I194" s="59"/>
    </row>
    <row r="195" ht="12.75" customHeight="1">
      <c r="A195" s="27"/>
      <c r="D195" s="59"/>
      <c r="E195" s="59"/>
      <c r="F195" s="59"/>
      <c r="G195" s="59"/>
      <c r="H195" s="59"/>
      <c r="I195" s="59"/>
    </row>
    <row r="196" ht="12.75" customHeight="1">
      <c r="A196" s="27"/>
      <c r="D196" s="59"/>
      <c r="E196" s="59"/>
      <c r="F196" s="59"/>
      <c r="G196" s="59"/>
      <c r="H196" s="59"/>
      <c r="I196" s="59"/>
    </row>
    <row r="197" ht="12.75" customHeight="1">
      <c r="A197" s="27"/>
      <c r="D197" s="59"/>
      <c r="E197" s="59"/>
      <c r="F197" s="59"/>
      <c r="G197" s="59"/>
      <c r="H197" s="59"/>
      <c r="I197" s="59"/>
    </row>
    <row r="198" ht="12.75" customHeight="1">
      <c r="A198" s="27"/>
      <c r="D198" s="59"/>
      <c r="E198" s="59"/>
      <c r="F198" s="59"/>
      <c r="G198" s="59"/>
      <c r="H198" s="59"/>
      <c r="I198" s="59"/>
    </row>
    <row r="199" ht="12.75" customHeight="1">
      <c r="A199" s="27"/>
      <c r="D199" s="59"/>
      <c r="E199" s="59"/>
      <c r="F199" s="59"/>
      <c r="G199" s="59"/>
      <c r="H199" s="59"/>
      <c r="I199" s="59"/>
    </row>
    <row r="200" ht="12.75" customHeight="1">
      <c r="A200" s="27"/>
      <c r="D200" s="59"/>
      <c r="E200" s="59"/>
      <c r="F200" s="59"/>
      <c r="G200" s="59"/>
      <c r="H200" s="59"/>
      <c r="I200" s="59"/>
    </row>
    <row r="201" ht="12.75" customHeight="1">
      <c r="A201" s="27"/>
      <c r="D201" s="59"/>
      <c r="E201" s="59"/>
      <c r="F201" s="59"/>
      <c r="G201" s="59"/>
      <c r="H201" s="59"/>
      <c r="I201" s="59"/>
    </row>
    <row r="202" ht="12.75" customHeight="1">
      <c r="A202" s="27"/>
      <c r="D202" s="59"/>
      <c r="E202" s="59"/>
      <c r="F202" s="59"/>
      <c r="G202" s="59"/>
      <c r="H202" s="59"/>
      <c r="I202" s="59"/>
    </row>
    <row r="203" ht="12.75" customHeight="1">
      <c r="A203" s="27"/>
      <c r="D203" s="59"/>
      <c r="E203" s="59"/>
      <c r="F203" s="59"/>
      <c r="G203" s="59"/>
      <c r="H203" s="59"/>
      <c r="I203" s="59"/>
    </row>
    <row r="204" ht="12.75" customHeight="1">
      <c r="A204" s="27"/>
      <c r="D204" s="59"/>
      <c r="E204" s="59"/>
      <c r="F204" s="59"/>
      <c r="G204" s="59"/>
      <c r="H204" s="59"/>
      <c r="I204" s="59"/>
    </row>
    <row r="205" ht="12.75" customHeight="1">
      <c r="A205" s="27"/>
      <c r="D205" s="59"/>
      <c r="E205" s="59"/>
      <c r="F205" s="59"/>
      <c r="G205" s="59"/>
      <c r="H205" s="59"/>
      <c r="I205" s="59"/>
    </row>
    <row r="206" ht="12.75" customHeight="1">
      <c r="A206" s="27"/>
      <c r="D206" s="59"/>
      <c r="E206" s="59"/>
      <c r="F206" s="59"/>
      <c r="G206" s="59"/>
      <c r="H206" s="59"/>
      <c r="I206" s="59"/>
    </row>
    <row r="207" ht="12.75" customHeight="1">
      <c r="A207" s="27"/>
      <c r="D207" s="59"/>
      <c r="E207" s="59"/>
      <c r="F207" s="59"/>
      <c r="G207" s="59"/>
      <c r="H207" s="59"/>
      <c r="I207" s="59"/>
    </row>
    <row r="208" ht="12.75" customHeight="1">
      <c r="A208" s="27"/>
      <c r="D208" s="59"/>
      <c r="E208" s="59"/>
      <c r="F208" s="59"/>
      <c r="G208" s="59"/>
      <c r="H208" s="59"/>
      <c r="I208" s="59"/>
    </row>
    <row r="209" ht="12.75" customHeight="1">
      <c r="A209" s="27"/>
      <c r="D209" s="59"/>
      <c r="E209" s="59"/>
      <c r="F209" s="59"/>
      <c r="G209" s="59"/>
      <c r="H209" s="59"/>
      <c r="I209" s="59"/>
    </row>
    <row r="210" ht="12.75" customHeight="1">
      <c r="A210" s="27"/>
      <c r="D210" s="59"/>
      <c r="E210" s="59"/>
      <c r="F210" s="59"/>
      <c r="G210" s="59"/>
      <c r="H210" s="59"/>
      <c r="I210" s="59"/>
    </row>
    <row r="211" ht="12.75" customHeight="1">
      <c r="A211" s="27"/>
      <c r="D211" s="59"/>
      <c r="E211" s="59"/>
      <c r="F211" s="59"/>
      <c r="G211" s="59"/>
      <c r="H211" s="59"/>
      <c r="I211" s="59"/>
    </row>
    <row r="212" ht="12.75" customHeight="1">
      <c r="A212" s="27"/>
      <c r="D212" s="59"/>
      <c r="E212" s="59"/>
      <c r="F212" s="59"/>
      <c r="G212" s="59"/>
      <c r="H212" s="59"/>
      <c r="I212" s="59"/>
    </row>
    <row r="213" ht="12.75" customHeight="1">
      <c r="A213" s="27"/>
      <c r="D213" s="59"/>
      <c r="E213" s="59"/>
      <c r="F213" s="59"/>
      <c r="G213" s="59"/>
      <c r="H213" s="59"/>
      <c r="I213" s="59"/>
    </row>
    <row r="214" ht="12.75" customHeight="1">
      <c r="A214" s="27"/>
      <c r="D214" s="59"/>
      <c r="E214" s="59"/>
      <c r="F214" s="59"/>
      <c r="G214" s="59"/>
      <c r="H214" s="59"/>
      <c r="I214" s="59"/>
    </row>
    <row r="215" ht="12.75" customHeight="1">
      <c r="A215" s="27"/>
      <c r="D215" s="59"/>
      <c r="E215" s="59"/>
      <c r="F215" s="59"/>
      <c r="G215" s="59"/>
      <c r="H215" s="59"/>
      <c r="I215" s="59"/>
    </row>
    <row r="216" ht="12.75" customHeight="1">
      <c r="A216" s="27"/>
      <c r="D216" s="59"/>
      <c r="E216" s="59"/>
      <c r="F216" s="59"/>
      <c r="G216" s="59"/>
      <c r="H216" s="59"/>
      <c r="I216" s="59"/>
    </row>
    <row r="217" ht="12.75" customHeight="1">
      <c r="A217" s="27"/>
      <c r="D217" s="59"/>
      <c r="E217" s="59"/>
      <c r="F217" s="59"/>
      <c r="G217" s="59"/>
      <c r="H217" s="59"/>
      <c r="I217" s="59"/>
    </row>
    <row r="218" ht="12.75" customHeight="1">
      <c r="A218" s="27"/>
      <c r="D218" s="59"/>
      <c r="E218" s="59"/>
      <c r="F218" s="59"/>
      <c r="G218" s="59"/>
      <c r="H218" s="59"/>
      <c r="I218" s="59"/>
    </row>
    <row r="219" ht="12.75" customHeight="1">
      <c r="A219" s="27"/>
      <c r="D219" s="59"/>
      <c r="E219" s="59"/>
      <c r="F219" s="59"/>
      <c r="G219" s="59"/>
      <c r="H219" s="59"/>
      <c r="I219" s="59"/>
    </row>
    <row r="220" ht="12.75" customHeight="1">
      <c r="A220" s="27"/>
      <c r="D220" s="59"/>
      <c r="E220" s="59"/>
      <c r="F220" s="59"/>
      <c r="G220" s="59"/>
      <c r="H220" s="59"/>
      <c r="I220" s="59"/>
    </row>
    <row r="221" ht="12.75" customHeight="1">
      <c r="A221" s="27"/>
      <c r="D221" s="59"/>
      <c r="E221" s="59"/>
      <c r="F221" s="59"/>
      <c r="G221" s="59"/>
      <c r="H221" s="59"/>
      <c r="I221" s="59"/>
    </row>
    <row r="222" ht="12.75" customHeight="1">
      <c r="A222" s="27"/>
      <c r="D222" s="59"/>
      <c r="E222" s="59"/>
      <c r="F222" s="59"/>
      <c r="G222" s="59"/>
      <c r="H222" s="59"/>
      <c r="I222" s="59"/>
    </row>
    <row r="223" ht="12.75" customHeight="1">
      <c r="A223" s="27"/>
      <c r="D223" s="59"/>
      <c r="E223" s="59"/>
      <c r="F223" s="59"/>
      <c r="G223" s="59"/>
      <c r="H223" s="59"/>
      <c r="I223" s="59"/>
    </row>
    <row r="224" ht="12.75" customHeight="1">
      <c r="A224" s="27"/>
      <c r="D224" s="59"/>
      <c r="E224" s="59"/>
      <c r="F224" s="59"/>
      <c r="G224" s="59"/>
      <c r="H224" s="59"/>
      <c r="I224" s="59"/>
    </row>
    <row r="225" ht="12.75" customHeight="1">
      <c r="A225" s="27"/>
      <c r="D225" s="59"/>
      <c r="E225" s="59"/>
      <c r="F225" s="59"/>
      <c r="G225" s="59"/>
      <c r="H225" s="59"/>
      <c r="I225" s="59"/>
    </row>
    <row r="226" ht="12.75" customHeight="1">
      <c r="A226" s="27"/>
      <c r="D226" s="59"/>
      <c r="E226" s="59"/>
      <c r="F226" s="59"/>
      <c r="G226" s="59"/>
      <c r="H226" s="59"/>
      <c r="I226" s="59"/>
    </row>
    <row r="227" ht="12.75" customHeight="1">
      <c r="A227" s="27"/>
      <c r="D227" s="59"/>
      <c r="E227" s="59"/>
      <c r="F227" s="59"/>
      <c r="G227" s="59"/>
      <c r="H227" s="59"/>
      <c r="I227" s="59"/>
    </row>
    <row r="228" ht="12.75" customHeight="1">
      <c r="A228" s="27"/>
      <c r="D228" s="59"/>
      <c r="E228" s="59"/>
      <c r="F228" s="59"/>
      <c r="G228" s="59"/>
      <c r="H228" s="59"/>
      <c r="I228" s="59"/>
    </row>
    <row r="229" ht="12.75" customHeight="1">
      <c r="A229" s="27"/>
      <c r="D229" s="59"/>
      <c r="E229" s="59"/>
      <c r="F229" s="59"/>
      <c r="G229" s="59"/>
      <c r="H229" s="59"/>
      <c r="I229" s="59"/>
    </row>
    <row r="230" ht="12.75" customHeight="1">
      <c r="A230" s="27"/>
      <c r="D230" s="59"/>
      <c r="E230" s="59"/>
      <c r="F230" s="59"/>
      <c r="G230" s="59"/>
      <c r="H230" s="59"/>
      <c r="I230" s="59"/>
    </row>
    <row r="231" ht="12.75" customHeight="1">
      <c r="A231" s="27"/>
      <c r="D231" s="59"/>
      <c r="E231" s="59"/>
      <c r="F231" s="59"/>
      <c r="G231" s="59"/>
      <c r="H231" s="59"/>
      <c r="I231" s="59"/>
    </row>
    <row r="232" ht="12.75" customHeight="1">
      <c r="A232" s="27"/>
      <c r="D232" s="59"/>
      <c r="E232" s="59"/>
      <c r="F232" s="59"/>
      <c r="G232" s="59"/>
      <c r="H232" s="59"/>
      <c r="I232" s="59"/>
    </row>
    <row r="233" ht="12.75" customHeight="1">
      <c r="A233" s="27"/>
      <c r="D233" s="59"/>
      <c r="E233" s="59"/>
      <c r="F233" s="59"/>
      <c r="G233" s="59"/>
      <c r="H233" s="59"/>
      <c r="I233" s="59"/>
    </row>
    <row r="234" ht="12.75" customHeight="1">
      <c r="A234" s="27"/>
      <c r="D234" s="59"/>
      <c r="E234" s="59"/>
      <c r="F234" s="59"/>
      <c r="G234" s="59"/>
      <c r="H234" s="59"/>
      <c r="I234" s="59"/>
    </row>
    <row r="235" ht="12.75" customHeight="1">
      <c r="A235" s="27"/>
      <c r="D235" s="59"/>
      <c r="E235" s="59"/>
      <c r="F235" s="59"/>
      <c r="G235" s="59"/>
      <c r="H235" s="59"/>
      <c r="I235" s="59"/>
    </row>
    <row r="236" ht="12.75" customHeight="1">
      <c r="A236" s="27"/>
      <c r="D236" s="59"/>
      <c r="E236" s="59"/>
      <c r="F236" s="59"/>
      <c r="G236" s="59"/>
      <c r="H236" s="59"/>
      <c r="I236" s="59"/>
    </row>
    <row r="237" ht="12.75" customHeight="1">
      <c r="A237" s="27"/>
      <c r="D237" s="59"/>
      <c r="E237" s="59"/>
      <c r="F237" s="59"/>
      <c r="G237" s="59"/>
      <c r="H237" s="59"/>
      <c r="I237" s="59"/>
    </row>
    <row r="238" ht="12.75" customHeight="1">
      <c r="A238" s="27"/>
      <c r="D238" s="59"/>
      <c r="E238" s="59"/>
      <c r="F238" s="59"/>
      <c r="G238" s="59"/>
      <c r="H238" s="59"/>
      <c r="I238" s="59"/>
    </row>
    <row r="239" ht="12.75" customHeight="1">
      <c r="A239" s="27"/>
      <c r="D239" s="59"/>
      <c r="E239" s="59"/>
      <c r="F239" s="59"/>
      <c r="G239" s="59"/>
      <c r="H239" s="59"/>
      <c r="I239" s="59"/>
    </row>
    <row r="240" ht="12.75" customHeight="1">
      <c r="A240" s="27"/>
      <c r="D240" s="59"/>
      <c r="E240" s="59"/>
      <c r="F240" s="59"/>
      <c r="G240" s="59"/>
      <c r="H240" s="59"/>
      <c r="I240" s="59"/>
    </row>
    <row r="241" ht="12.75" customHeight="1">
      <c r="A241" s="27"/>
      <c r="D241" s="59"/>
      <c r="E241" s="59"/>
      <c r="F241" s="59"/>
      <c r="G241" s="59"/>
      <c r="H241" s="59"/>
      <c r="I241" s="59"/>
    </row>
    <row r="242" ht="12.75" customHeight="1">
      <c r="A242" s="27"/>
      <c r="D242" s="59"/>
      <c r="E242" s="59"/>
      <c r="F242" s="59"/>
      <c r="G242" s="59"/>
      <c r="H242" s="59"/>
      <c r="I242" s="59"/>
    </row>
    <row r="243" ht="12.75" customHeight="1">
      <c r="A243" s="27"/>
      <c r="D243" s="59"/>
      <c r="E243" s="59"/>
      <c r="F243" s="59"/>
      <c r="G243" s="59"/>
      <c r="H243" s="59"/>
      <c r="I243" s="59"/>
    </row>
    <row r="244" ht="12.75" customHeight="1">
      <c r="A244" s="27"/>
      <c r="D244" s="59"/>
      <c r="E244" s="59"/>
      <c r="F244" s="59"/>
      <c r="G244" s="59"/>
      <c r="H244" s="59"/>
      <c r="I244" s="59"/>
    </row>
    <row r="245" ht="12.75" customHeight="1">
      <c r="A245" s="27"/>
      <c r="D245" s="59"/>
      <c r="E245" s="59"/>
      <c r="F245" s="59"/>
      <c r="G245" s="59"/>
      <c r="H245" s="59"/>
      <c r="I245" s="59"/>
    </row>
    <row r="246" ht="12.75" customHeight="1">
      <c r="A246" s="27"/>
      <c r="D246" s="59"/>
      <c r="E246" s="59"/>
      <c r="F246" s="59"/>
      <c r="G246" s="59"/>
      <c r="H246" s="59"/>
      <c r="I246" s="59"/>
    </row>
    <row r="247" ht="12.75" customHeight="1">
      <c r="A247" s="27"/>
      <c r="D247" s="59"/>
      <c r="E247" s="59"/>
      <c r="F247" s="59"/>
      <c r="G247" s="59"/>
      <c r="H247" s="59"/>
      <c r="I247" s="59"/>
    </row>
    <row r="248" ht="12.75" customHeight="1">
      <c r="A248" s="27"/>
      <c r="D248" s="59"/>
      <c r="E248" s="59"/>
      <c r="F248" s="59"/>
      <c r="G248" s="59"/>
      <c r="H248" s="59"/>
      <c r="I248" s="59"/>
    </row>
    <row r="249" ht="12.75" customHeight="1">
      <c r="A249" s="27"/>
      <c r="D249" s="59"/>
      <c r="E249" s="59"/>
      <c r="F249" s="59"/>
      <c r="G249" s="59"/>
      <c r="H249" s="59"/>
      <c r="I249" s="59"/>
    </row>
    <row r="250" ht="12.75" customHeight="1">
      <c r="A250" s="27"/>
      <c r="D250" s="59"/>
      <c r="E250" s="59"/>
      <c r="F250" s="59"/>
      <c r="G250" s="59"/>
      <c r="H250" s="59"/>
      <c r="I250" s="59"/>
    </row>
    <row r="251" ht="12.75" customHeight="1">
      <c r="A251" s="27"/>
      <c r="D251" s="59"/>
      <c r="E251" s="59"/>
      <c r="F251" s="59"/>
      <c r="G251" s="59"/>
      <c r="H251" s="59"/>
      <c r="I251" s="59"/>
    </row>
    <row r="252" ht="12.75" customHeight="1">
      <c r="A252" s="27"/>
      <c r="D252" s="59"/>
      <c r="E252" s="59"/>
      <c r="F252" s="59"/>
      <c r="G252" s="59"/>
      <c r="H252" s="59"/>
      <c r="I252" s="59"/>
    </row>
    <row r="253" ht="12.75" customHeight="1">
      <c r="A253" s="27"/>
      <c r="D253" s="59"/>
      <c r="E253" s="59"/>
      <c r="F253" s="59"/>
      <c r="G253" s="59"/>
      <c r="H253" s="59"/>
      <c r="I253" s="59"/>
    </row>
    <row r="254" ht="12.75" customHeight="1">
      <c r="A254" s="27"/>
      <c r="D254" s="59"/>
      <c r="E254" s="59"/>
      <c r="F254" s="59"/>
      <c r="G254" s="59"/>
      <c r="H254" s="59"/>
      <c r="I254" s="59"/>
    </row>
    <row r="255" ht="12.75" customHeight="1">
      <c r="A255" s="27"/>
      <c r="D255" s="59"/>
      <c r="E255" s="59"/>
      <c r="F255" s="59"/>
      <c r="G255" s="59"/>
      <c r="H255" s="59"/>
      <c r="I255" s="59"/>
    </row>
    <row r="256" ht="12.75" customHeight="1">
      <c r="A256" s="27"/>
      <c r="D256" s="59"/>
      <c r="E256" s="59"/>
      <c r="F256" s="59"/>
      <c r="G256" s="59"/>
      <c r="H256" s="59"/>
      <c r="I256" s="59"/>
    </row>
    <row r="257" ht="12.75" customHeight="1">
      <c r="A257" s="27"/>
      <c r="D257" s="59"/>
      <c r="E257" s="59"/>
      <c r="F257" s="59"/>
      <c r="G257" s="59"/>
      <c r="H257" s="59"/>
      <c r="I257" s="59"/>
    </row>
    <row r="258" ht="12.75" customHeight="1">
      <c r="A258" s="27"/>
      <c r="D258" s="59"/>
      <c r="E258" s="59"/>
      <c r="F258" s="59"/>
      <c r="G258" s="59"/>
      <c r="H258" s="59"/>
      <c r="I258" s="59"/>
    </row>
    <row r="259" ht="12.75" customHeight="1">
      <c r="A259" s="27"/>
      <c r="D259" s="59"/>
      <c r="E259" s="59"/>
      <c r="F259" s="59"/>
      <c r="G259" s="59"/>
      <c r="H259" s="59"/>
      <c r="I259" s="59"/>
    </row>
    <row r="260" ht="12.75" customHeight="1">
      <c r="A260" s="27"/>
      <c r="D260" s="59"/>
      <c r="E260" s="59"/>
      <c r="F260" s="59"/>
      <c r="G260" s="59"/>
      <c r="H260" s="59"/>
      <c r="I260" s="59"/>
    </row>
    <row r="261" ht="12.75" customHeight="1">
      <c r="A261" s="27"/>
      <c r="D261" s="59"/>
      <c r="E261" s="59"/>
      <c r="F261" s="59"/>
      <c r="G261" s="59"/>
      <c r="H261" s="59"/>
      <c r="I261" s="59"/>
    </row>
    <row r="262" ht="12.75" customHeight="1">
      <c r="A262" s="27"/>
      <c r="D262" s="59"/>
      <c r="E262" s="59"/>
      <c r="F262" s="59"/>
      <c r="G262" s="59"/>
      <c r="H262" s="59"/>
      <c r="I262" s="59"/>
    </row>
    <row r="263" ht="12.75" customHeight="1">
      <c r="A263" s="27"/>
      <c r="D263" s="59"/>
      <c r="E263" s="59"/>
      <c r="F263" s="59"/>
      <c r="G263" s="59"/>
      <c r="H263" s="59"/>
      <c r="I263" s="59"/>
    </row>
    <row r="264" ht="12.75" customHeight="1">
      <c r="A264" s="27"/>
      <c r="D264" s="59"/>
      <c r="E264" s="59"/>
      <c r="F264" s="59"/>
      <c r="G264" s="59"/>
      <c r="H264" s="59"/>
      <c r="I264" s="59"/>
    </row>
    <row r="265" ht="12.75" customHeight="1">
      <c r="A265" s="27"/>
      <c r="D265" s="59"/>
      <c r="E265" s="59"/>
      <c r="F265" s="59"/>
      <c r="G265" s="59"/>
      <c r="H265" s="59"/>
      <c r="I265" s="59"/>
    </row>
    <row r="266" ht="12.75" customHeight="1">
      <c r="A266" s="27"/>
      <c r="D266" s="59"/>
      <c r="E266" s="59"/>
      <c r="F266" s="59"/>
      <c r="G266" s="59"/>
      <c r="H266" s="59"/>
      <c r="I266" s="59"/>
    </row>
    <row r="267" ht="12.75" customHeight="1">
      <c r="A267" s="27"/>
      <c r="D267" s="59"/>
      <c r="E267" s="59"/>
      <c r="F267" s="59"/>
      <c r="G267" s="59"/>
      <c r="H267" s="59"/>
      <c r="I267" s="59"/>
    </row>
    <row r="268" ht="12.75" customHeight="1">
      <c r="A268" s="27"/>
      <c r="D268" s="59"/>
      <c r="E268" s="59"/>
      <c r="F268" s="59"/>
      <c r="G268" s="59"/>
      <c r="H268" s="59"/>
      <c r="I268" s="59"/>
    </row>
    <row r="269" ht="12.75" customHeight="1">
      <c r="A269" s="27"/>
      <c r="D269" s="59"/>
      <c r="E269" s="59"/>
      <c r="F269" s="59"/>
      <c r="G269" s="59"/>
      <c r="H269" s="59"/>
      <c r="I269" s="59"/>
    </row>
    <row r="270" ht="12.75" customHeight="1">
      <c r="A270" s="27"/>
      <c r="D270" s="59"/>
      <c r="E270" s="59"/>
      <c r="F270" s="59"/>
      <c r="G270" s="59"/>
      <c r="H270" s="59"/>
      <c r="I270" s="59"/>
    </row>
    <row r="271" ht="12.75" customHeight="1">
      <c r="A271" s="27"/>
      <c r="D271" s="59"/>
      <c r="E271" s="59"/>
      <c r="F271" s="59"/>
      <c r="G271" s="59"/>
      <c r="H271" s="59"/>
      <c r="I271" s="59"/>
    </row>
    <row r="272" ht="12.75" customHeight="1">
      <c r="A272" s="27"/>
      <c r="D272" s="59"/>
      <c r="E272" s="59"/>
      <c r="F272" s="59"/>
      <c r="G272" s="59"/>
      <c r="H272" s="59"/>
      <c r="I272" s="59"/>
    </row>
    <row r="273" ht="12.75" customHeight="1">
      <c r="A273" s="27"/>
      <c r="D273" s="59"/>
      <c r="E273" s="59"/>
      <c r="F273" s="59"/>
      <c r="G273" s="59"/>
      <c r="H273" s="59"/>
      <c r="I273" s="59"/>
    </row>
    <row r="274" ht="12.75" customHeight="1">
      <c r="A274" s="27"/>
      <c r="D274" s="59"/>
      <c r="E274" s="59"/>
      <c r="F274" s="59"/>
      <c r="G274" s="59"/>
      <c r="H274" s="59"/>
      <c r="I274" s="59"/>
    </row>
    <row r="275" ht="12.75" customHeight="1">
      <c r="A275" s="27"/>
      <c r="D275" s="59"/>
      <c r="E275" s="59"/>
      <c r="F275" s="59"/>
      <c r="G275" s="59"/>
      <c r="H275" s="59"/>
      <c r="I275" s="59"/>
    </row>
    <row r="276" ht="12.75" customHeight="1">
      <c r="A276" s="27"/>
      <c r="D276" s="59"/>
      <c r="E276" s="59"/>
      <c r="F276" s="59"/>
      <c r="G276" s="59"/>
      <c r="H276" s="59"/>
      <c r="I276" s="59"/>
    </row>
    <row r="277" ht="12.75" customHeight="1">
      <c r="A277" s="27"/>
      <c r="D277" s="59"/>
      <c r="E277" s="59"/>
      <c r="F277" s="59"/>
      <c r="G277" s="59"/>
      <c r="H277" s="59"/>
      <c r="I277" s="59"/>
    </row>
    <row r="278" ht="12.75" customHeight="1">
      <c r="A278" s="27"/>
      <c r="D278" s="59"/>
      <c r="E278" s="59"/>
      <c r="F278" s="59"/>
      <c r="G278" s="59"/>
      <c r="H278" s="59"/>
      <c r="I278" s="59"/>
    </row>
    <row r="279" ht="12.75" customHeight="1">
      <c r="A279" s="27"/>
      <c r="D279" s="59"/>
      <c r="E279" s="59"/>
      <c r="F279" s="59"/>
      <c r="G279" s="59"/>
      <c r="H279" s="59"/>
      <c r="I279" s="59"/>
    </row>
    <row r="280" ht="12.75" customHeight="1">
      <c r="A280" s="27"/>
      <c r="D280" s="59"/>
      <c r="E280" s="59"/>
      <c r="F280" s="59"/>
      <c r="G280" s="59"/>
      <c r="H280" s="59"/>
      <c r="I280" s="59"/>
    </row>
    <row r="281" ht="12.75" customHeight="1">
      <c r="A281" s="27"/>
      <c r="D281" s="59"/>
      <c r="E281" s="59"/>
      <c r="F281" s="59"/>
      <c r="G281" s="59"/>
      <c r="H281" s="59"/>
      <c r="I281" s="59"/>
    </row>
    <row r="282" ht="12.75" customHeight="1">
      <c r="A282" s="27"/>
      <c r="D282" s="59"/>
      <c r="E282" s="59"/>
      <c r="F282" s="59"/>
      <c r="G282" s="59"/>
      <c r="H282" s="59"/>
      <c r="I282" s="59"/>
    </row>
    <row r="283" ht="12.75" customHeight="1">
      <c r="A283" s="27"/>
      <c r="D283" s="59"/>
      <c r="E283" s="59"/>
      <c r="F283" s="59"/>
      <c r="G283" s="59"/>
      <c r="H283" s="59"/>
      <c r="I283" s="59"/>
    </row>
    <row r="284" ht="12.75" customHeight="1">
      <c r="A284" s="27"/>
      <c r="D284" s="59"/>
      <c r="E284" s="59"/>
      <c r="F284" s="59"/>
      <c r="G284" s="59"/>
      <c r="H284" s="59"/>
      <c r="I284" s="59"/>
    </row>
    <row r="285" ht="12.75" customHeight="1">
      <c r="A285" s="27"/>
      <c r="D285" s="59"/>
      <c r="E285" s="59"/>
      <c r="F285" s="59"/>
      <c r="G285" s="59"/>
      <c r="H285" s="59"/>
      <c r="I285" s="59"/>
    </row>
    <row r="286" ht="12.75" customHeight="1">
      <c r="A286" s="27"/>
      <c r="D286" s="59"/>
      <c r="E286" s="59"/>
      <c r="F286" s="59"/>
      <c r="G286" s="59"/>
      <c r="H286" s="59"/>
      <c r="I286" s="59"/>
    </row>
    <row r="287" ht="12.75" customHeight="1">
      <c r="A287" s="27"/>
      <c r="D287" s="59"/>
      <c r="E287" s="59"/>
      <c r="F287" s="59"/>
      <c r="G287" s="59"/>
      <c r="H287" s="59"/>
      <c r="I287" s="59"/>
    </row>
    <row r="288" ht="12.75" customHeight="1">
      <c r="A288" s="27"/>
      <c r="D288" s="59"/>
      <c r="E288" s="59"/>
      <c r="F288" s="59"/>
      <c r="G288" s="59"/>
      <c r="H288" s="59"/>
      <c r="I288" s="59"/>
    </row>
    <row r="289" ht="12.75" customHeight="1">
      <c r="A289" s="27"/>
      <c r="D289" s="59"/>
      <c r="E289" s="59"/>
      <c r="F289" s="59"/>
      <c r="G289" s="59"/>
      <c r="H289" s="59"/>
      <c r="I289" s="59"/>
    </row>
    <row r="290" ht="12.75" customHeight="1">
      <c r="A290" s="27"/>
      <c r="D290" s="59"/>
      <c r="E290" s="59"/>
      <c r="F290" s="59"/>
      <c r="G290" s="59"/>
      <c r="H290" s="59"/>
      <c r="I290" s="59"/>
    </row>
    <row r="291" ht="12.75" customHeight="1">
      <c r="A291" s="27"/>
      <c r="D291" s="59"/>
      <c r="E291" s="59"/>
      <c r="F291" s="59"/>
      <c r="G291" s="59"/>
      <c r="H291" s="59"/>
      <c r="I291" s="59"/>
    </row>
    <row r="292" ht="12.75" customHeight="1">
      <c r="A292" s="27"/>
      <c r="D292" s="59"/>
      <c r="E292" s="59"/>
      <c r="F292" s="59"/>
      <c r="G292" s="59"/>
      <c r="H292" s="59"/>
      <c r="I292" s="59"/>
    </row>
    <row r="293" ht="12.75" customHeight="1">
      <c r="A293" s="27"/>
      <c r="D293" s="59"/>
      <c r="E293" s="59"/>
      <c r="F293" s="59"/>
      <c r="G293" s="59"/>
      <c r="H293" s="59"/>
      <c r="I293" s="59"/>
    </row>
    <row r="294" ht="12.75" customHeight="1">
      <c r="A294" s="27"/>
      <c r="D294" s="59"/>
      <c r="E294" s="59"/>
      <c r="F294" s="59"/>
      <c r="G294" s="59"/>
      <c r="H294" s="59"/>
      <c r="I294" s="59"/>
    </row>
    <row r="295" ht="12.75" customHeight="1">
      <c r="A295" s="27"/>
      <c r="D295" s="59"/>
      <c r="E295" s="59"/>
      <c r="F295" s="59"/>
      <c r="G295" s="59"/>
      <c r="H295" s="59"/>
      <c r="I295" s="59"/>
    </row>
    <row r="296" ht="12.75" customHeight="1">
      <c r="A296" s="27"/>
      <c r="D296" s="59"/>
      <c r="E296" s="59"/>
      <c r="F296" s="59"/>
      <c r="G296" s="59"/>
      <c r="H296" s="59"/>
      <c r="I296" s="59"/>
    </row>
    <row r="297" ht="12.75" customHeight="1">
      <c r="A297" s="27"/>
      <c r="D297" s="59"/>
      <c r="E297" s="59"/>
      <c r="F297" s="59"/>
      <c r="G297" s="59"/>
      <c r="H297" s="59"/>
      <c r="I297" s="59"/>
    </row>
    <row r="298" ht="12.75" customHeight="1">
      <c r="A298" s="27"/>
      <c r="D298" s="59"/>
      <c r="E298" s="59"/>
      <c r="F298" s="59"/>
      <c r="G298" s="59"/>
      <c r="H298" s="59"/>
      <c r="I298" s="59"/>
    </row>
    <row r="299" ht="12.75" customHeight="1">
      <c r="A299" s="27"/>
      <c r="D299" s="59"/>
      <c r="E299" s="59"/>
      <c r="F299" s="59"/>
      <c r="G299" s="59"/>
      <c r="H299" s="59"/>
      <c r="I299" s="59"/>
    </row>
    <row r="300" ht="12.75" customHeight="1">
      <c r="A300" s="27"/>
      <c r="D300" s="59"/>
      <c r="E300" s="59"/>
      <c r="F300" s="59"/>
      <c r="G300" s="59"/>
      <c r="H300" s="59"/>
      <c r="I300" s="59"/>
    </row>
    <row r="301" ht="12.75" customHeight="1">
      <c r="A301" s="27"/>
      <c r="D301" s="59"/>
      <c r="E301" s="59"/>
      <c r="F301" s="59"/>
      <c r="G301" s="59"/>
      <c r="H301" s="59"/>
      <c r="I301" s="59"/>
    </row>
    <row r="302" ht="12.75" customHeight="1">
      <c r="A302" s="27"/>
      <c r="D302" s="59"/>
      <c r="E302" s="59"/>
      <c r="F302" s="59"/>
      <c r="G302" s="59"/>
      <c r="H302" s="59"/>
      <c r="I302" s="59"/>
    </row>
    <row r="303" ht="12.75" customHeight="1">
      <c r="A303" s="27"/>
      <c r="D303" s="59"/>
      <c r="E303" s="59"/>
      <c r="F303" s="59"/>
      <c r="G303" s="59"/>
      <c r="H303" s="59"/>
      <c r="I303" s="59"/>
    </row>
    <row r="304" ht="12.75" customHeight="1">
      <c r="A304" s="27"/>
      <c r="D304" s="59"/>
      <c r="E304" s="59"/>
      <c r="F304" s="59"/>
      <c r="G304" s="59"/>
      <c r="H304" s="59"/>
      <c r="I304" s="59"/>
    </row>
    <row r="305" ht="12.75" customHeight="1">
      <c r="A305" s="27"/>
      <c r="D305" s="59"/>
      <c r="E305" s="59"/>
      <c r="F305" s="59"/>
      <c r="G305" s="59"/>
      <c r="H305" s="59"/>
      <c r="I305" s="59"/>
    </row>
    <row r="306" ht="12.75" customHeight="1">
      <c r="A306" s="27"/>
      <c r="D306" s="59"/>
      <c r="E306" s="59"/>
      <c r="F306" s="59"/>
      <c r="G306" s="59"/>
      <c r="H306" s="59"/>
      <c r="I306" s="59"/>
    </row>
    <row r="307" ht="12.75" customHeight="1">
      <c r="A307" s="27"/>
      <c r="D307" s="59"/>
      <c r="E307" s="59"/>
      <c r="F307" s="59"/>
      <c r="G307" s="59"/>
      <c r="H307" s="59"/>
      <c r="I307" s="59"/>
    </row>
    <row r="308" ht="12.75" customHeight="1">
      <c r="A308" s="27"/>
      <c r="D308" s="59"/>
      <c r="E308" s="59"/>
      <c r="F308" s="59"/>
      <c r="G308" s="59"/>
      <c r="H308" s="59"/>
      <c r="I308" s="59"/>
    </row>
    <row r="309" ht="12.75" customHeight="1">
      <c r="A309" s="27"/>
      <c r="D309" s="59"/>
      <c r="E309" s="59"/>
      <c r="F309" s="59"/>
      <c r="G309" s="59"/>
      <c r="H309" s="59"/>
      <c r="I309" s="59"/>
    </row>
    <row r="310" ht="12.75" customHeight="1">
      <c r="A310" s="27"/>
      <c r="D310" s="59"/>
      <c r="E310" s="59"/>
      <c r="F310" s="59"/>
      <c r="G310" s="59"/>
      <c r="H310" s="59"/>
      <c r="I310" s="59"/>
    </row>
    <row r="311" ht="12.75" customHeight="1">
      <c r="A311" s="27"/>
      <c r="D311" s="59"/>
      <c r="E311" s="59"/>
      <c r="F311" s="59"/>
      <c r="G311" s="59"/>
      <c r="H311" s="59"/>
      <c r="I311" s="59"/>
    </row>
    <row r="312" ht="12.75" customHeight="1">
      <c r="A312" s="27"/>
      <c r="D312" s="59"/>
      <c r="E312" s="59"/>
      <c r="F312" s="59"/>
      <c r="G312" s="59"/>
      <c r="H312" s="59"/>
      <c r="I312" s="59"/>
    </row>
    <row r="313" ht="12.75" customHeight="1">
      <c r="A313" s="27"/>
      <c r="D313" s="59"/>
      <c r="E313" s="59"/>
      <c r="F313" s="59"/>
      <c r="G313" s="59"/>
      <c r="H313" s="59"/>
      <c r="I313" s="59"/>
    </row>
    <row r="314" ht="12.75" customHeight="1">
      <c r="A314" s="27"/>
      <c r="D314" s="59"/>
      <c r="E314" s="59"/>
      <c r="F314" s="59"/>
      <c r="G314" s="59"/>
      <c r="H314" s="59"/>
      <c r="I314" s="59"/>
    </row>
    <row r="315" ht="12.75" customHeight="1">
      <c r="A315" s="27"/>
      <c r="D315" s="59"/>
      <c r="E315" s="59"/>
      <c r="F315" s="59"/>
      <c r="G315" s="59"/>
      <c r="H315" s="59"/>
      <c r="I315" s="59"/>
    </row>
    <row r="316" ht="12.75" customHeight="1">
      <c r="A316" s="27"/>
      <c r="D316" s="59"/>
      <c r="E316" s="59"/>
      <c r="F316" s="59"/>
      <c r="G316" s="59"/>
      <c r="H316" s="59"/>
      <c r="I316" s="59"/>
    </row>
    <row r="317" ht="12.75" customHeight="1">
      <c r="A317" s="27"/>
      <c r="D317" s="59"/>
      <c r="E317" s="59"/>
      <c r="F317" s="59"/>
      <c r="G317" s="59"/>
      <c r="H317" s="59"/>
      <c r="I317" s="59"/>
    </row>
    <row r="318" ht="12.75" customHeight="1">
      <c r="A318" s="27"/>
      <c r="D318" s="59"/>
      <c r="E318" s="59"/>
      <c r="F318" s="59"/>
      <c r="G318" s="59"/>
      <c r="H318" s="59"/>
      <c r="I318" s="59"/>
    </row>
    <row r="319" ht="12.75" customHeight="1">
      <c r="A319" s="27"/>
      <c r="D319" s="59"/>
      <c r="E319" s="59"/>
      <c r="F319" s="59"/>
      <c r="G319" s="59"/>
      <c r="H319" s="59"/>
      <c r="I319" s="59"/>
    </row>
    <row r="320" ht="12.75" customHeight="1">
      <c r="A320" s="27"/>
      <c r="D320" s="59"/>
      <c r="E320" s="59"/>
      <c r="F320" s="59"/>
      <c r="G320" s="59"/>
      <c r="H320" s="59"/>
      <c r="I320" s="59"/>
    </row>
    <row r="321" ht="12.75" customHeight="1">
      <c r="A321" s="27"/>
      <c r="D321" s="59"/>
      <c r="E321" s="59"/>
      <c r="F321" s="59"/>
      <c r="G321" s="59"/>
      <c r="H321" s="59"/>
      <c r="I321" s="59"/>
    </row>
    <row r="322" ht="12.75" customHeight="1">
      <c r="A322" s="27"/>
      <c r="D322" s="59"/>
      <c r="E322" s="59"/>
      <c r="F322" s="59"/>
      <c r="G322" s="59"/>
      <c r="H322" s="59"/>
      <c r="I322" s="59"/>
    </row>
    <row r="323" ht="12.75" customHeight="1">
      <c r="A323" s="27"/>
      <c r="D323" s="59"/>
      <c r="E323" s="59"/>
      <c r="F323" s="59"/>
      <c r="G323" s="59"/>
      <c r="H323" s="59"/>
      <c r="I323" s="59"/>
    </row>
    <row r="324" ht="12.75" customHeight="1">
      <c r="A324" s="27"/>
      <c r="D324" s="59"/>
      <c r="E324" s="59"/>
      <c r="F324" s="59"/>
      <c r="G324" s="59"/>
      <c r="H324" s="59"/>
      <c r="I324" s="59"/>
    </row>
    <row r="325" ht="12.75" customHeight="1">
      <c r="A325" s="27"/>
      <c r="D325" s="59"/>
      <c r="E325" s="59"/>
      <c r="F325" s="59"/>
      <c r="G325" s="59"/>
      <c r="H325" s="59"/>
      <c r="I325" s="59"/>
    </row>
    <row r="326" ht="12.75" customHeight="1">
      <c r="A326" s="27"/>
      <c r="D326" s="59"/>
      <c r="E326" s="59"/>
      <c r="F326" s="59"/>
      <c r="G326" s="59"/>
      <c r="H326" s="59"/>
      <c r="I326" s="59"/>
    </row>
    <row r="327" ht="12.75" customHeight="1">
      <c r="A327" s="27"/>
      <c r="D327" s="59"/>
      <c r="E327" s="59"/>
      <c r="F327" s="59"/>
      <c r="G327" s="59"/>
      <c r="H327" s="59"/>
      <c r="I327" s="59"/>
    </row>
    <row r="328" ht="12.75" customHeight="1">
      <c r="A328" s="27"/>
      <c r="D328" s="59"/>
      <c r="E328" s="59"/>
      <c r="F328" s="59"/>
      <c r="G328" s="59"/>
      <c r="H328" s="59"/>
      <c r="I328" s="59"/>
    </row>
    <row r="329" ht="12.75" customHeight="1">
      <c r="A329" s="27"/>
      <c r="D329" s="59"/>
      <c r="E329" s="59"/>
      <c r="F329" s="59"/>
      <c r="G329" s="59"/>
      <c r="H329" s="59"/>
      <c r="I329" s="59"/>
    </row>
    <row r="330" ht="12.75" customHeight="1">
      <c r="A330" s="27"/>
      <c r="D330" s="59"/>
      <c r="E330" s="59"/>
      <c r="F330" s="59"/>
      <c r="G330" s="59"/>
      <c r="H330" s="59"/>
      <c r="I330" s="59"/>
    </row>
    <row r="331" ht="12.75" customHeight="1">
      <c r="A331" s="27"/>
      <c r="D331" s="59"/>
      <c r="E331" s="59"/>
      <c r="F331" s="59"/>
      <c r="G331" s="59"/>
      <c r="H331" s="59"/>
      <c r="I331" s="59"/>
    </row>
    <row r="332" ht="12.75" customHeight="1">
      <c r="A332" s="27"/>
      <c r="D332" s="59"/>
      <c r="E332" s="59"/>
      <c r="F332" s="59"/>
      <c r="G332" s="59"/>
      <c r="H332" s="59"/>
      <c r="I332" s="59"/>
    </row>
    <row r="333" ht="12.75" customHeight="1">
      <c r="A333" s="27"/>
      <c r="D333" s="59"/>
      <c r="E333" s="59"/>
      <c r="F333" s="59"/>
      <c r="G333" s="59"/>
      <c r="H333" s="59"/>
      <c r="I333" s="59"/>
    </row>
    <row r="334" ht="12.75" customHeight="1">
      <c r="A334" s="27"/>
      <c r="D334" s="59"/>
      <c r="E334" s="59"/>
      <c r="F334" s="59"/>
      <c r="G334" s="59"/>
      <c r="H334" s="59"/>
      <c r="I334" s="59"/>
    </row>
    <row r="335" ht="12.75" customHeight="1">
      <c r="A335" s="27"/>
      <c r="D335" s="59"/>
      <c r="E335" s="59"/>
      <c r="F335" s="59"/>
      <c r="G335" s="59"/>
      <c r="H335" s="59"/>
      <c r="I335" s="59"/>
    </row>
    <row r="336" ht="12.75" customHeight="1">
      <c r="A336" s="27"/>
      <c r="D336" s="59"/>
      <c r="E336" s="59"/>
      <c r="F336" s="59"/>
      <c r="G336" s="59"/>
      <c r="H336" s="59"/>
      <c r="I336" s="59"/>
    </row>
    <row r="337" ht="12.75" customHeight="1">
      <c r="A337" s="27"/>
      <c r="D337" s="59"/>
      <c r="E337" s="59"/>
      <c r="F337" s="59"/>
      <c r="G337" s="59"/>
      <c r="H337" s="59"/>
      <c r="I337" s="59"/>
    </row>
    <row r="338" ht="12.75" customHeight="1">
      <c r="A338" s="27"/>
      <c r="D338" s="59"/>
      <c r="E338" s="59"/>
      <c r="F338" s="59"/>
      <c r="G338" s="59"/>
      <c r="H338" s="59"/>
      <c r="I338" s="59"/>
    </row>
    <row r="339" ht="12.75" customHeight="1">
      <c r="A339" s="27"/>
      <c r="D339" s="59"/>
      <c r="E339" s="59"/>
      <c r="F339" s="59"/>
      <c r="G339" s="59"/>
      <c r="H339" s="59"/>
      <c r="I339" s="59"/>
    </row>
    <row r="340" ht="12.75" customHeight="1">
      <c r="A340" s="27"/>
      <c r="D340" s="59"/>
      <c r="E340" s="59"/>
      <c r="F340" s="59"/>
      <c r="G340" s="59"/>
      <c r="H340" s="59"/>
      <c r="I340" s="59"/>
    </row>
    <row r="341" ht="12.75" customHeight="1">
      <c r="A341" s="27"/>
      <c r="D341" s="59"/>
      <c r="E341" s="59"/>
      <c r="F341" s="59"/>
      <c r="G341" s="59"/>
      <c r="H341" s="59"/>
      <c r="I341" s="59"/>
    </row>
    <row r="342" ht="12.75" customHeight="1">
      <c r="A342" s="27"/>
      <c r="D342" s="59"/>
      <c r="E342" s="59"/>
      <c r="F342" s="59"/>
      <c r="G342" s="59"/>
      <c r="H342" s="59"/>
      <c r="I342" s="59"/>
    </row>
    <row r="343" ht="12.75" customHeight="1">
      <c r="A343" s="27"/>
      <c r="D343" s="59"/>
      <c r="E343" s="59"/>
      <c r="F343" s="59"/>
      <c r="G343" s="59"/>
      <c r="H343" s="59"/>
      <c r="I343" s="59"/>
    </row>
    <row r="344" ht="12.75" customHeight="1">
      <c r="A344" s="27"/>
      <c r="D344" s="59"/>
      <c r="E344" s="59"/>
      <c r="F344" s="59"/>
      <c r="G344" s="59"/>
      <c r="H344" s="59"/>
      <c r="I344" s="59"/>
    </row>
    <row r="345" ht="12.75" customHeight="1">
      <c r="A345" s="27"/>
      <c r="D345" s="59"/>
      <c r="E345" s="59"/>
      <c r="F345" s="59"/>
      <c r="G345" s="59"/>
      <c r="H345" s="59"/>
      <c r="I345" s="59"/>
    </row>
    <row r="346" ht="12.75" customHeight="1">
      <c r="A346" s="27"/>
      <c r="D346" s="59"/>
      <c r="E346" s="59"/>
      <c r="F346" s="59"/>
      <c r="G346" s="59"/>
      <c r="H346" s="59"/>
      <c r="I346" s="59"/>
    </row>
    <row r="347" ht="12.75" customHeight="1">
      <c r="A347" s="27"/>
      <c r="D347" s="59"/>
      <c r="E347" s="59"/>
      <c r="F347" s="59"/>
      <c r="G347" s="59"/>
      <c r="H347" s="59"/>
      <c r="I347" s="59"/>
    </row>
    <row r="348" ht="12.75" customHeight="1">
      <c r="A348" s="27"/>
      <c r="D348" s="59"/>
      <c r="E348" s="59"/>
      <c r="F348" s="59"/>
      <c r="G348" s="59"/>
      <c r="H348" s="59"/>
      <c r="I348" s="59"/>
    </row>
    <row r="349" ht="12.75" customHeight="1">
      <c r="A349" s="27"/>
      <c r="D349" s="59"/>
      <c r="E349" s="59"/>
      <c r="F349" s="59"/>
      <c r="G349" s="59"/>
      <c r="H349" s="59"/>
      <c r="I349" s="59"/>
    </row>
    <row r="350" ht="12.75" customHeight="1">
      <c r="A350" s="27"/>
      <c r="D350" s="59"/>
      <c r="E350" s="59"/>
      <c r="F350" s="59"/>
      <c r="G350" s="59"/>
      <c r="H350" s="59"/>
      <c r="I350" s="59"/>
    </row>
    <row r="351" ht="12.75" customHeight="1">
      <c r="A351" s="27"/>
      <c r="D351" s="59"/>
      <c r="E351" s="59"/>
      <c r="F351" s="59"/>
      <c r="G351" s="59"/>
      <c r="H351" s="59"/>
      <c r="I351" s="59"/>
    </row>
    <row r="352" ht="12.75" customHeight="1">
      <c r="A352" s="27"/>
      <c r="D352" s="59"/>
      <c r="E352" s="59"/>
      <c r="F352" s="59"/>
      <c r="G352" s="59"/>
      <c r="H352" s="59"/>
      <c r="I352" s="59"/>
    </row>
    <row r="353" ht="12.75" customHeight="1">
      <c r="A353" s="27"/>
      <c r="D353" s="59"/>
      <c r="E353" s="59"/>
      <c r="F353" s="59"/>
      <c r="G353" s="59"/>
      <c r="H353" s="59"/>
      <c r="I353" s="59"/>
    </row>
    <row r="354" ht="12.75" customHeight="1">
      <c r="A354" s="27"/>
      <c r="D354" s="59"/>
      <c r="E354" s="59"/>
      <c r="F354" s="59"/>
      <c r="G354" s="59"/>
      <c r="H354" s="59"/>
      <c r="I354" s="59"/>
    </row>
    <row r="355" ht="12.75" customHeight="1">
      <c r="A355" s="27"/>
      <c r="D355" s="59"/>
      <c r="E355" s="59"/>
      <c r="F355" s="59"/>
      <c r="G355" s="59"/>
      <c r="H355" s="59"/>
      <c r="I355" s="59"/>
    </row>
    <row r="356" ht="12.75" customHeight="1">
      <c r="A356" s="27"/>
      <c r="D356" s="59"/>
      <c r="E356" s="59"/>
      <c r="F356" s="59"/>
      <c r="G356" s="59"/>
      <c r="H356" s="59"/>
      <c r="I356" s="59"/>
    </row>
    <row r="357" ht="12.75" customHeight="1">
      <c r="A357" s="27"/>
      <c r="D357" s="59"/>
      <c r="E357" s="59"/>
      <c r="F357" s="59"/>
      <c r="G357" s="59"/>
      <c r="H357" s="59"/>
      <c r="I357" s="59"/>
    </row>
    <row r="358" ht="12.75" customHeight="1">
      <c r="A358" s="27"/>
      <c r="D358" s="59"/>
      <c r="E358" s="59"/>
      <c r="F358" s="59"/>
      <c r="G358" s="59"/>
      <c r="H358" s="59"/>
      <c r="I358" s="59"/>
    </row>
    <row r="359" ht="12.75" customHeight="1">
      <c r="A359" s="27"/>
      <c r="D359" s="59"/>
      <c r="E359" s="59"/>
      <c r="F359" s="59"/>
      <c r="G359" s="59"/>
      <c r="H359" s="59"/>
      <c r="I359" s="59"/>
    </row>
    <row r="360" ht="12.75" customHeight="1">
      <c r="A360" s="27"/>
      <c r="D360" s="59"/>
      <c r="E360" s="59"/>
      <c r="F360" s="59"/>
      <c r="G360" s="59"/>
      <c r="H360" s="59"/>
      <c r="I360" s="59"/>
    </row>
    <row r="361" ht="12.75" customHeight="1">
      <c r="A361" s="27"/>
      <c r="D361" s="59"/>
      <c r="E361" s="59"/>
      <c r="F361" s="59"/>
      <c r="G361" s="59"/>
      <c r="H361" s="59"/>
      <c r="I361" s="59"/>
    </row>
    <row r="362" ht="12.75" customHeight="1">
      <c r="A362" s="27"/>
      <c r="D362" s="59"/>
      <c r="E362" s="59"/>
      <c r="F362" s="59"/>
      <c r="G362" s="59"/>
      <c r="H362" s="59"/>
      <c r="I362" s="59"/>
    </row>
    <row r="363" ht="12.75" customHeight="1">
      <c r="A363" s="27"/>
      <c r="D363" s="59"/>
      <c r="E363" s="59"/>
      <c r="F363" s="59"/>
      <c r="G363" s="59"/>
      <c r="H363" s="59"/>
      <c r="I363" s="59"/>
    </row>
    <row r="364" ht="12.75" customHeight="1">
      <c r="A364" s="27"/>
      <c r="D364" s="59"/>
      <c r="E364" s="59"/>
      <c r="F364" s="59"/>
      <c r="G364" s="59"/>
      <c r="H364" s="59"/>
      <c r="I364" s="59"/>
    </row>
    <row r="365" ht="12.75" customHeight="1">
      <c r="A365" s="27"/>
      <c r="D365" s="59"/>
      <c r="E365" s="59"/>
      <c r="F365" s="59"/>
      <c r="G365" s="59"/>
      <c r="H365" s="59"/>
      <c r="I365" s="59"/>
    </row>
    <row r="366" ht="12.75" customHeight="1">
      <c r="A366" s="27"/>
      <c r="D366" s="59"/>
      <c r="E366" s="59"/>
      <c r="F366" s="59"/>
      <c r="G366" s="59"/>
      <c r="H366" s="59"/>
      <c r="I366" s="59"/>
    </row>
    <row r="367" ht="12.75" customHeight="1">
      <c r="A367" s="27"/>
      <c r="D367" s="59"/>
      <c r="E367" s="59"/>
      <c r="F367" s="59"/>
      <c r="G367" s="59"/>
      <c r="H367" s="59"/>
      <c r="I367" s="59"/>
    </row>
    <row r="368" ht="12.75" customHeight="1">
      <c r="A368" s="27"/>
      <c r="D368" s="59"/>
      <c r="E368" s="59"/>
      <c r="F368" s="59"/>
      <c r="G368" s="59"/>
      <c r="H368" s="59"/>
      <c r="I368" s="59"/>
    </row>
    <row r="369" ht="12.75" customHeight="1">
      <c r="A369" s="27"/>
      <c r="D369" s="59"/>
      <c r="E369" s="59"/>
      <c r="F369" s="59"/>
      <c r="G369" s="59"/>
      <c r="H369" s="59"/>
      <c r="I369" s="59"/>
    </row>
    <row r="370" ht="12.75" customHeight="1">
      <c r="A370" s="27"/>
      <c r="D370" s="59"/>
      <c r="E370" s="59"/>
      <c r="F370" s="59"/>
      <c r="G370" s="59"/>
      <c r="H370" s="59"/>
      <c r="I370" s="59"/>
    </row>
    <row r="371" ht="12.75" customHeight="1">
      <c r="A371" s="27"/>
      <c r="D371" s="59"/>
      <c r="E371" s="59"/>
      <c r="F371" s="59"/>
      <c r="G371" s="59"/>
      <c r="H371" s="59"/>
      <c r="I371" s="59"/>
    </row>
    <row r="372" ht="12.75" customHeight="1">
      <c r="A372" s="27"/>
      <c r="D372" s="59"/>
      <c r="E372" s="59"/>
      <c r="F372" s="59"/>
      <c r="G372" s="59"/>
      <c r="H372" s="59"/>
      <c r="I372" s="59"/>
    </row>
    <row r="373" ht="12.75" customHeight="1">
      <c r="A373" s="27"/>
      <c r="D373" s="59"/>
      <c r="E373" s="59"/>
      <c r="F373" s="59"/>
      <c r="G373" s="59"/>
      <c r="H373" s="59"/>
      <c r="I373" s="59"/>
    </row>
    <row r="374" ht="12.75" customHeight="1">
      <c r="A374" s="27"/>
      <c r="D374" s="59"/>
      <c r="E374" s="59"/>
      <c r="F374" s="59"/>
      <c r="G374" s="59"/>
      <c r="H374" s="59"/>
      <c r="I374" s="59"/>
    </row>
    <row r="375" ht="12.75" customHeight="1">
      <c r="A375" s="27"/>
      <c r="D375" s="59"/>
      <c r="E375" s="59"/>
      <c r="F375" s="59"/>
      <c r="G375" s="59"/>
      <c r="H375" s="59"/>
      <c r="I375" s="59"/>
    </row>
    <row r="376" ht="12.75" customHeight="1">
      <c r="A376" s="27"/>
      <c r="D376" s="59"/>
      <c r="E376" s="59"/>
      <c r="F376" s="59"/>
      <c r="G376" s="59"/>
      <c r="H376" s="59"/>
      <c r="I376" s="59"/>
    </row>
    <row r="377" ht="12.75" customHeight="1">
      <c r="A377" s="27"/>
      <c r="D377" s="59"/>
      <c r="E377" s="59"/>
      <c r="F377" s="59"/>
      <c r="G377" s="59"/>
      <c r="H377" s="59"/>
      <c r="I377" s="59"/>
    </row>
    <row r="378" ht="12.75" customHeight="1">
      <c r="A378" s="27"/>
      <c r="D378" s="59"/>
      <c r="E378" s="59"/>
      <c r="F378" s="59"/>
      <c r="G378" s="59"/>
      <c r="H378" s="59"/>
      <c r="I378" s="59"/>
    </row>
    <row r="379" ht="12.75" customHeight="1">
      <c r="A379" s="27"/>
      <c r="D379" s="59"/>
      <c r="E379" s="59"/>
      <c r="F379" s="59"/>
      <c r="G379" s="59"/>
      <c r="H379" s="59"/>
      <c r="I379" s="59"/>
    </row>
    <row r="380" ht="12.75" customHeight="1">
      <c r="A380" s="27"/>
      <c r="D380" s="59"/>
      <c r="E380" s="59"/>
      <c r="F380" s="59"/>
      <c r="G380" s="59"/>
      <c r="H380" s="59"/>
      <c r="I380" s="59"/>
    </row>
    <row r="381" ht="12.75" customHeight="1">
      <c r="A381" s="27"/>
      <c r="D381" s="59"/>
      <c r="E381" s="59"/>
      <c r="F381" s="59"/>
      <c r="G381" s="59"/>
      <c r="H381" s="59"/>
      <c r="I381" s="59"/>
    </row>
    <row r="382" ht="12.75" customHeight="1">
      <c r="A382" s="27"/>
      <c r="D382" s="59"/>
      <c r="E382" s="59"/>
      <c r="F382" s="59"/>
      <c r="G382" s="59"/>
      <c r="H382" s="59"/>
      <c r="I382" s="59"/>
    </row>
    <row r="383" ht="12.75" customHeight="1">
      <c r="A383" s="27"/>
      <c r="D383" s="59"/>
      <c r="E383" s="59"/>
      <c r="F383" s="59"/>
      <c r="G383" s="59"/>
      <c r="H383" s="59"/>
      <c r="I383" s="59"/>
    </row>
    <row r="384" ht="12.75" customHeight="1">
      <c r="A384" s="27"/>
      <c r="D384" s="59"/>
      <c r="E384" s="59"/>
      <c r="F384" s="59"/>
      <c r="G384" s="59"/>
      <c r="H384" s="59"/>
      <c r="I384" s="59"/>
    </row>
    <row r="385" ht="12.75" customHeight="1">
      <c r="A385" s="27"/>
      <c r="D385" s="59"/>
      <c r="E385" s="59"/>
      <c r="F385" s="59"/>
      <c r="G385" s="59"/>
      <c r="H385" s="59"/>
      <c r="I385" s="59"/>
    </row>
    <row r="386" ht="12.75" customHeight="1">
      <c r="A386" s="27"/>
      <c r="D386" s="59"/>
      <c r="E386" s="59"/>
      <c r="F386" s="59"/>
      <c r="G386" s="59"/>
      <c r="H386" s="59"/>
      <c r="I386" s="59"/>
    </row>
    <row r="387" ht="12.75" customHeight="1">
      <c r="A387" s="27"/>
      <c r="D387" s="59"/>
      <c r="E387" s="59"/>
      <c r="F387" s="59"/>
      <c r="G387" s="59"/>
      <c r="H387" s="59"/>
      <c r="I387" s="59"/>
    </row>
    <row r="388" ht="12.75" customHeight="1">
      <c r="A388" s="27"/>
      <c r="D388" s="59"/>
      <c r="E388" s="59"/>
      <c r="F388" s="59"/>
      <c r="G388" s="59"/>
      <c r="H388" s="59"/>
      <c r="I388" s="59"/>
    </row>
    <row r="389" ht="12.75" customHeight="1">
      <c r="A389" s="27"/>
      <c r="D389" s="59"/>
      <c r="E389" s="59"/>
      <c r="F389" s="59"/>
      <c r="G389" s="59"/>
      <c r="H389" s="59"/>
      <c r="I389" s="59"/>
    </row>
    <row r="390" ht="12.75" customHeight="1">
      <c r="A390" s="27"/>
      <c r="D390" s="59"/>
      <c r="E390" s="59"/>
      <c r="F390" s="59"/>
      <c r="G390" s="59"/>
      <c r="H390" s="59"/>
      <c r="I390" s="59"/>
    </row>
    <row r="391" ht="12.75" customHeight="1">
      <c r="A391" s="27"/>
      <c r="D391" s="59"/>
      <c r="E391" s="59"/>
      <c r="F391" s="59"/>
      <c r="G391" s="59"/>
      <c r="H391" s="59"/>
      <c r="I391" s="59"/>
    </row>
    <row r="392" ht="12.75" customHeight="1">
      <c r="A392" s="27"/>
      <c r="D392" s="59"/>
      <c r="E392" s="59"/>
      <c r="F392" s="59"/>
      <c r="G392" s="59"/>
      <c r="H392" s="59"/>
      <c r="I392" s="59"/>
    </row>
    <row r="393" ht="12.75" customHeight="1">
      <c r="A393" s="27"/>
      <c r="D393" s="59"/>
      <c r="E393" s="59"/>
      <c r="F393" s="59"/>
      <c r="G393" s="59"/>
      <c r="H393" s="59"/>
      <c r="I393" s="59"/>
    </row>
    <row r="394" ht="12.75" customHeight="1">
      <c r="A394" s="27"/>
      <c r="D394" s="59"/>
      <c r="E394" s="59"/>
      <c r="F394" s="59"/>
      <c r="G394" s="59"/>
      <c r="H394" s="59"/>
      <c r="I394" s="59"/>
    </row>
    <row r="395" ht="12.75" customHeight="1">
      <c r="A395" s="27"/>
      <c r="D395" s="59"/>
      <c r="E395" s="59"/>
      <c r="F395" s="59"/>
      <c r="G395" s="59"/>
      <c r="H395" s="59"/>
      <c r="I395" s="59"/>
    </row>
    <row r="396" ht="12.75" customHeight="1">
      <c r="A396" s="27"/>
      <c r="D396" s="59"/>
      <c r="E396" s="59"/>
      <c r="F396" s="59"/>
      <c r="G396" s="59"/>
      <c r="H396" s="59"/>
      <c r="I396" s="59"/>
    </row>
    <row r="397" ht="12.75" customHeight="1">
      <c r="A397" s="27"/>
      <c r="D397" s="59"/>
      <c r="E397" s="59"/>
      <c r="F397" s="59"/>
      <c r="G397" s="59"/>
      <c r="H397" s="59"/>
      <c r="I397" s="59"/>
    </row>
    <row r="398" ht="12.75" customHeight="1">
      <c r="A398" s="27"/>
      <c r="D398" s="59"/>
      <c r="E398" s="59"/>
      <c r="F398" s="59"/>
      <c r="G398" s="59"/>
      <c r="H398" s="59"/>
      <c r="I398" s="59"/>
    </row>
    <row r="399" ht="12.75" customHeight="1">
      <c r="A399" s="27"/>
      <c r="D399" s="59"/>
      <c r="E399" s="59"/>
      <c r="F399" s="59"/>
      <c r="G399" s="59"/>
      <c r="H399" s="59"/>
      <c r="I399" s="59"/>
    </row>
    <row r="400" ht="12.75" customHeight="1">
      <c r="A400" s="27"/>
      <c r="D400" s="59"/>
      <c r="E400" s="59"/>
      <c r="F400" s="59"/>
      <c r="G400" s="59"/>
      <c r="H400" s="59"/>
      <c r="I400" s="59"/>
    </row>
    <row r="401" ht="12.75" customHeight="1">
      <c r="A401" s="27"/>
      <c r="D401" s="59"/>
      <c r="E401" s="59"/>
      <c r="F401" s="59"/>
      <c r="G401" s="59"/>
      <c r="H401" s="59"/>
      <c r="I401" s="59"/>
    </row>
    <row r="402" ht="12.75" customHeight="1">
      <c r="A402" s="27"/>
      <c r="D402" s="59"/>
      <c r="E402" s="59"/>
      <c r="F402" s="59"/>
      <c r="G402" s="59"/>
      <c r="H402" s="59"/>
      <c r="I402" s="59"/>
    </row>
    <row r="403" ht="12.75" customHeight="1">
      <c r="A403" s="27"/>
      <c r="D403" s="59"/>
      <c r="E403" s="59"/>
      <c r="F403" s="59"/>
      <c r="G403" s="59"/>
      <c r="H403" s="59"/>
      <c r="I403" s="59"/>
    </row>
    <row r="404" ht="12.75" customHeight="1">
      <c r="A404" s="27"/>
      <c r="D404" s="59"/>
      <c r="E404" s="59"/>
      <c r="F404" s="59"/>
      <c r="G404" s="59"/>
      <c r="H404" s="59"/>
      <c r="I404" s="59"/>
    </row>
    <row r="405" ht="12.75" customHeight="1">
      <c r="A405" s="27"/>
      <c r="D405" s="59"/>
      <c r="E405" s="59"/>
      <c r="F405" s="59"/>
      <c r="G405" s="59"/>
      <c r="H405" s="59"/>
      <c r="I405" s="59"/>
    </row>
    <row r="406" ht="12.75" customHeight="1">
      <c r="A406" s="27"/>
      <c r="D406" s="59"/>
      <c r="E406" s="59"/>
      <c r="F406" s="59"/>
      <c r="G406" s="59"/>
      <c r="H406" s="59"/>
      <c r="I406" s="59"/>
    </row>
    <row r="407" ht="12.75" customHeight="1">
      <c r="A407" s="27"/>
      <c r="D407" s="59"/>
      <c r="E407" s="59"/>
      <c r="F407" s="59"/>
      <c r="G407" s="59"/>
      <c r="H407" s="59"/>
      <c r="I407" s="59"/>
    </row>
    <row r="408" ht="12.75" customHeight="1">
      <c r="A408" s="27"/>
      <c r="D408" s="59"/>
      <c r="E408" s="59"/>
      <c r="F408" s="59"/>
      <c r="G408" s="59"/>
      <c r="H408" s="59"/>
      <c r="I408" s="59"/>
    </row>
    <row r="409" ht="12.75" customHeight="1">
      <c r="A409" s="27"/>
      <c r="D409" s="59"/>
      <c r="E409" s="59"/>
      <c r="F409" s="59"/>
      <c r="G409" s="59"/>
      <c r="H409" s="59"/>
      <c r="I409" s="59"/>
    </row>
    <row r="410" ht="12.75" customHeight="1">
      <c r="A410" s="27"/>
      <c r="D410" s="59"/>
      <c r="E410" s="59"/>
      <c r="F410" s="59"/>
      <c r="G410" s="59"/>
      <c r="H410" s="59"/>
      <c r="I410" s="59"/>
    </row>
    <row r="411" ht="12.75" customHeight="1">
      <c r="A411" s="27"/>
      <c r="D411" s="59"/>
      <c r="E411" s="59"/>
      <c r="F411" s="59"/>
      <c r="G411" s="59"/>
      <c r="H411" s="59"/>
      <c r="I411" s="59"/>
    </row>
    <row r="412" ht="12.75" customHeight="1">
      <c r="A412" s="27"/>
      <c r="D412" s="59"/>
      <c r="E412" s="59"/>
      <c r="F412" s="59"/>
      <c r="G412" s="59"/>
      <c r="H412" s="59"/>
      <c r="I412" s="59"/>
    </row>
    <row r="413" ht="12.75" customHeight="1">
      <c r="A413" s="27"/>
      <c r="D413" s="59"/>
      <c r="E413" s="59"/>
      <c r="F413" s="59"/>
      <c r="G413" s="59"/>
      <c r="H413" s="59"/>
      <c r="I413" s="59"/>
    </row>
    <row r="414" ht="12.75" customHeight="1">
      <c r="A414" s="27"/>
      <c r="D414" s="59"/>
      <c r="E414" s="59"/>
      <c r="F414" s="59"/>
      <c r="G414" s="59"/>
      <c r="H414" s="59"/>
      <c r="I414" s="59"/>
    </row>
    <row r="415" ht="12.75" customHeight="1">
      <c r="A415" s="27"/>
      <c r="D415" s="59"/>
      <c r="E415" s="59"/>
      <c r="F415" s="59"/>
      <c r="G415" s="59"/>
      <c r="H415" s="59"/>
      <c r="I415" s="59"/>
    </row>
    <row r="416" ht="12.75" customHeight="1">
      <c r="A416" s="27"/>
      <c r="D416" s="59"/>
      <c r="E416" s="59"/>
      <c r="F416" s="59"/>
      <c r="G416" s="59"/>
      <c r="H416" s="59"/>
      <c r="I416" s="59"/>
    </row>
    <row r="417" ht="12.75" customHeight="1">
      <c r="A417" s="27"/>
      <c r="D417" s="59"/>
      <c r="E417" s="59"/>
      <c r="F417" s="59"/>
      <c r="G417" s="59"/>
      <c r="H417" s="59"/>
      <c r="I417" s="59"/>
    </row>
    <row r="418" ht="12.75" customHeight="1">
      <c r="A418" s="27"/>
      <c r="D418" s="59"/>
      <c r="E418" s="59"/>
      <c r="F418" s="59"/>
      <c r="G418" s="59"/>
      <c r="H418" s="59"/>
      <c r="I418" s="59"/>
    </row>
    <row r="419" ht="12.75" customHeight="1">
      <c r="A419" s="27"/>
      <c r="D419" s="59"/>
      <c r="E419" s="59"/>
      <c r="F419" s="59"/>
      <c r="G419" s="59"/>
      <c r="H419" s="59"/>
      <c r="I419" s="59"/>
    </row>
    <row r="420" ht="12.75" customHeight="1">
      <c r="A420" s="27"/>
      <c r="D420" s="59"/>
      <c r="E420" s="59"/>
      <c r="F420" s="59"/>
      <c r="G420" s="59"/>
      <c r="H420" s="59"/>
      <c r="I420" s="59"/>
    </row>
    <row r="421" ht="12.75" customHeight="1">
      <c r="A421" s="27"/>
      <c r="D421" s="59"/>
      <c r="E421" s="59"/>
      <c r="F421" s="59"/>
      <c r="G421" s="59"/>
      <c r="H421" s="59"/>
      <c r="I421" s="59"/>
    </row>
    <row r="422" ht="12.75" customHeight="1">
      <c r="A422" s="27"/>
      <c r="D422" s="59"/>
      <c r="E422" s="59"/>
      <c r="F422" s="59"/>
      <c r="G422" s="59"/>
      <c r="H422" s="59"/>
      <c r="I422" s="59"/>
    </row>
    <row r="423" ht="12.75" customHeight="1">
      <c r="A423" s="27"/>
      <c r="D423" s="59"/>
      <c r="E423" s="59"/>
      <c r="F423" s="59"/>
      <c r="G423" s="59"/>
      <c r="H423" s="59"/>
      <c r="I423" s="59"/>
    </row>
    <row r="424" ht="12.75" customHeight="1">
      <c r="A424" s="27"/>
      <c r="D424" s="59"/>
      <c r="E424" s="59"/>
      <c r="F424" s="59"/>
      <c r="G424" s="59"/>
      <c r="H424" s="59"/>
      <c r="I424" s="59"/>
    </row>
    <row r="425" ht="12.75" customHeight="1">
      <c r="A425" s="27"/>
      <c r="D425" s="59"/>
      <c r="E425" s="59"/>
      <c r="F425" s="59"/>
      <c r="G425" s="59"/>
      <c r="H425" s="59"/>
      <c r="I425" s="59"/>
    </row>
    <row r="426" ht="12.75" customHeight="1">
      <c r="A426" s="27"/>
      <c r="D426" s="59"/>
      <c r="E426" s="59"/>
      <c r="F426" s="59"/>
      <c r="G426" s="59"/>
      <c r="H426" s="59"/>
      <c r="I426" s="59"/>
    </row>
    <row r="427" ht="12.75" customHeight="1">
      <c r="A427" s="27"/>
      <c r="D427" s="59"/>
      <c r="E427" s="59"/>
      <c r="F427" s="59"/>
      <c r="G427" s="59"/>
      <c r="H427" s="59"/>
      <c r="I427" s="59"/>
    </row>
    <row r="428" ht="12.75" customHeight="1">
      <c r="A428" s="27"/>
      <c r="D428" s="59"/>
      <c r="E428" s="59"/>
      <c r="F428" s="59"/>
      <c r="G428" s="59"/>
      <c r="H428" s="59"/>
      <c r="I428" s="59"/>
    </row>
    <row r="429" ht="12.75" customHeight="1">
      <c r="A429" s="27"/>
      <c r="D429" s="59"/>
      <c r="E429" s="59"/>
      <c r="F429" s="59"/>
      <c r="G429" s="59"/>
      <c r="H429" s="59"/>
      <c r="I429" s="59"/>
    </row>
    <row r="430" ht="12.75" customHeight="1">
      <c r="A430" s="27"/>
      <c r="D430" s="59"/>
      <c r="E430" s="59"/>
      <c r="F430" s="59"/>
      <c r="G430" s="59"/>
      <c r="H430" s="59"/>
      <c r="I430" s="59"/>
    </row>
    <row r="431" ht="12.75" customHeight="1">
      <c r="A431" s="27"/>
      <c r="D431" s="59"/>
      <c r="E431" s="59"/>
      <c r="F431" s="59"/>
      <c r="G431" s="59"/>
      <c r="H431" s="59"/>
      <c r="I431" s="59"/>
    </row>
    <row r="432" ht="12.75" customHeight="1">
      <c r="A432" s="27"/>
      <c r="D432" s="59"/>
      <c r="E432" s="59"/>
      <c r="F432" s="59"/>
      <c r="G432" s="59"/>
      <c r="H432" s="59"/>
      <c r="I432" s="59"/>
    </row>
    <row r="433" ht="12.75" customHeight="1">
      <c r="A433" s="27"/>
      <c r="D433" s="59"/>
      <c r="E433" s="59"/>
      <c r="F433" s="59"/>
      <c r="G433" s="59"/>
      <c r="H433" s="59"/>
      <c r="I433" s="59"/>
    </row>
    <row r="434" ht="12.75" customHeight="1">
      <c r="A434" s="27"/>
      <c r="D434" s="59"/>
      <c r="E434" s="59"/>
      <c r="F434" s="59"/>
      <c r="G434" s="59"/>
      <c r="H434" s="59"/>
      <c r="I434" s="59"/>
    </row>
    <row r="435" ht="12.75" customHeight="1">
      <c r="A435" s="27"/>
      <c r="D435" s="59"/>
      <c r="E435" s="59"/>
      <c r="F435" s="59"/>
      <c r="G435" s="59"/>
      <c r="H435" s="59"/>
      <c r="I435" s="59"/>
    </row>
    <row r="436" ht="12.75" customHeight="1">
      <c r="A436" s="27"/>
      <c r="D436" s="59"/>
      <c r="E436" s="59"/>
      <c r="F436" s="59"/>
      <c r="G436" s="59"/>
      <c r="H436" s="59"/>
      <c r="I436" s="59"/>
    </row>
    <row r="437" ht="12.75" customHeight="1">
      <c r="A437" s="27"/>
      <c r="D437" s="59"/>
      <c r="E437" s="59"/>
      <c r="F437" s="59"/>
      <c r="G437" s="59"/>
      <c r="H437" s="59"/>
      <c r="I437" s="59"/>
    </row>
    <row r="438" ht="12.75" customHeight="1">
      <c r="A438" s="27"/>
      <c r="D438" s="59"/>
      <c r="E438" s="59"/>
      <c r="F438" s="59"/>
      <c r="G438" s="59"/>
      <c r="H438" s="59"/>
      <c r="I438" s="59"/>
    </row>
    <row r="439" ht="12.75" customHeight="1">
      <c r="A439" s="27"/>
      <c r="D439" s="59"/>
      <c r="E439" s="59"/>
      <c r="F439" s="59"/>
      <c r="G439" s="59"/>
      <c r="H439" s="59"/>
      <c r="I439" s="59"/>
    </row>
    <row r="440" ht="12.75" customHeight="1">
      <c r="A440" s="27"/>
      <c r="D440" s="59"/>
      <c r="E440" s="59"/>
      <c r="F440" s="59"/>
      <c r="G440" s="59"/>
      <c r="H440" s="59"/>
      <c r="I440" s="59"/>
    </row>
    <row r="441" ht="12.75" customHeight="1">
      <c r="A441" s="27"/>
      <c r="D441" s="59"/>
      <c r="E441" s="59"/>
      <c r="F441" s="59"/>
      <c r="G441" s="59"/>
      <c r="H441" s="59"/>
      <c r="I441" s="59"/>
    </row>
    <row r="442" ht="12.75" customHeight="1">
      <c r="A442" s="27"/>
      <c r="D442" s="59"/>
      <c r="E442" s="59"/>
      <c r="F442" s="59"/>
      <c r="G442" s="59"/>
      <c r="H442" s="59"/>
      <c r="I442" s="59"/>
    </row>
    <row r="443" ht="12.75" customHeight="1">
      <c r="A443" s="27"/>
      <c r="D443" s="59"/>
      <c r="E443" s="59"/>
      <c r="F443" s="59"/>
      <c r="G443" s="59"/>
      <c r="H443" s="59"/>
      <c r="I443" s="59"/>
    </row>
    <row r="444" ht="12.75" customHeight="1">
      <c r="A444" s="27"/>
      <c r="D444" s="59"/>
      <c r="E444" s="59"/>
      <c r="F444" s="59"/>
      <c r="G444" s="59"/>
      <c r="H444" s="59"/>
      <c r="I444" s="59"/>
    </row>
    <row r="445" ht="12.75" customHeight="1">
      <c r="A445" s="27"/>
      <c r="D445" s="59"/>
      <c r="E445" s="59"/>
      <c r="F445" s="59"/>
      <c r="G445" s="59"/>
      <c r="H445" s="59"/>
      <c r="I445" s="59"/>
    </row>
    <row r="446" ht="12.75" customHeight="1">
      <c r="A446" s="27"/>
      <c r="D446" s="59"/>
      <c r="E446" s="59"/>
      <c r="F446" s="59"/>
      <c r="G446" s="59"/>
      <c r="H446" s="59"/>
      <c r="I446" s="59"/>
    </row>
    <row r="447" ht="12.75" customHeight="1">
      <c r="A447" s="27"/>
      <c r="D447" s="59"/>
      <c r="E447" s="59"/>
      <c r="F447" s="59"/>
      <c r="G447" s="59"/>
      <c r="H447" s="59"/>
      <c r="I447" s="59"/>
    </row>
    <row r="448" ht="12.75" customHeight="1">
      <c r="A448" s="27"/>
      <c r="D448" s="59"/>
      <c r="E448" s="59"/>
      <c r="F448" s="59"/>
      <c r="G448" s="59"/>
      <c r="H448" s="59"/>
      <c r="I448" s="59"/>
    </row>
    <row r="449" ht="12.75" customHeight="1">
      <c r="A449" s="27"/>
      <c r="D449" s="59"/>
      <c r="E449" s="59"/>
      <c r="F449" s="59"/>
      <c r="G449" s="59"/>
      <c r="H449" s="59"/>
      <c r="I449" s="59"/>
    </row>
    <row r="450" ht="12.75" customHeight="1">
      <c r="A450" s="27"/>
      <c r="D450" s="59"/>
      <c r="E450" s="59"/>
      <c r="F450" s="59"/>
      <c r="G450" s="59"/>
      <c r="H450" s="59"/>
      <c r="I450" s="59"/>
    </row>
    <row r="451" ht="12.75" customHeight="1">
      <c r="A451" s="27"/>
      <c r="D451" s="59"/>
      <c r="E451" s="59"/>
      <c r="F451" s="59"/>
      <c r="G451" s="59"/>
      <c r="H451" s="59"/>
      <c r="I451" s="59"/>
    </row>
    <row r="452" ht="12.75" customHeight="1">
      <c r="A452" s="27"/>
      <c r="D452" s="59"/>
      <c r="E452" s="59"/>
      <c r="F452" s="59"/>
      <c r="G452" s="59"/>
      <c r="H452" s="59"/>
      <c r="I452" s="59"/>
    </row>
    <row r="453" ht="12.75" customHeight="1">
      <c r="A453" s="27"/>
      <c r="D453" s="59"/>
      <c r="E453" s="59"/>
      <c r="F453" s="59"/>
      <c r="G453" s="59"/>
      <c r="H453" s="59"/>
      <c r="I453" s="59"/>
    </row>
    <row r="454" ht="12.75" customHeight="1">
      <c r="A454" s="27"/>
      <c r="D454" s="59"/>
      <c r="E454" s="59"/>
      <c r="F454" s="59"/>
      <c r="G454" s="59"/>
      <c r="H454" s="59"/>
      <c r="I454" s="59"/>
    </row>
    <row r="455" ht="12.75" customHeight="1">
      <c r="A455" s="27"/>
      <c r="D455" s="59"/>
      <c r="E455" s="59"/>
      <c r="F455" s="59"/>
      <c r="G455" s="59"/>
      <c r="H455" s="59"/>
      <c r="I455" s="59"/>
    </row>
    <row r="456" ht="12.75" customHeight="1">
      <c r="A456" s="27"/>
      <c r="D456" s="59"/>
      <c r="E456" s="59"/>
      <c r="F456" s="59"/>
      <c r="G456" s="59"/>
      <c r="H456" s="59"/>
      <c r="I456" s="59"/>
    </row>
    <row r="457" ht="12.75" customHeight="1">
      <c r="A457" s="27"/>
      <c r="D457" s="59"/>
      <c r="E457" s="59"/>
      <c r="F457" s="59"/>
      <c r="G457" s="59"/>
      <c r="H457" s="59"/>
      <c r="I457" s="59"/>
    </row>
    <row r="458" ht="12.75" customHeight="1">
      <c r="A458" s="27"/>
      <c r="D458" s="59"/>
      <c r="E458" s="59"/>
      <c r="F458" s="59"/>
      <c r="G458" s="59"/>
      <c r="H458" s="59"/>
      <c r="I458" s="59"/>
    </row>
    <row r="459" ht="12.75" customHeight="1">
      <c r="A459" s="27"/>
      <c r="D459" s="59"/>
      <c r="E459" s="59"/>
      <c r="F459" s="59"/>
      <c r="G459" s="59"/>
      <c r="H459" s="59"/>
      <c r="I459" s="59"/>
    </row>
    <row r="460" ht="12.75" customHeight="1">
      <c r="A460" s="27"/>
      <c r="D460" s="59"/>
      <c r="E460" s="59"/>
      <c r="F460" s="59"/>
      <c r="G460" s="59"/>
      <c r="H460" s="59"/>
      <c r="I460" s="59"/>
    </row>
    <row r="461" ht="12.75" customHeight="1">
      <c r="A461" s="27"/>
      <c r="D461" s="59"/>
      <c r="E461" s="59"/>
      <c r="F461" s="59"/>
      <c r="G461" s="59"/>
      <c r="H461" s="59"/>
      <c r="I461" s="59"/>
    </row>
    <row r="462" ht="12.75" customHeight="1">
      <c r="A462" s="27"/>
      <c r="D462" s="59"/>
      <c r="E462" s="59"/>
      <c r="F462" s="59"/>
      <c r="G462" s="59"/>
      <c r="H462" s="59"/>
      <c r="I462" s="59"/>
    </row>
    <row r="463" ht="12.75" customHeight="1">
      <c r="A463" s="27"/>
      <c r="D463" s="59"/>
      <c r="E463" s="59"/>
      <c r="F463" s="59"/>
      <c r="G463" s="59"/>
      <c r="H463" s="59"/>
      <c r="I463" s="59"/>
    </row>
    <row r="464" ht="12.75" customHeight="1">
      <c r="A464" s="27"/>
      <c r="D464" s="59"/>
      <c r="E464" s="59"/>
      <c r="F464" s="59"/>
      <c r="G464" s="59"/>
      <c r="H464" s="59"/>
      <c r="I464" s="59"/>
    </row>
    <row r="465" ht="12.75" customHeight="1">
      <c r="A465" s="27"/>
      <c r="D465" s="59"/>
      <c r="E465" s="59"/>
      <c r="F465" s="59"/>
      <c r="G465" s="59"/>
      <c r="H465" s="59"/>
      <c r="I465" s="59"/>
    </row>
    <row r="466" ht="12.75" customHeight="1">
      <c r="A466" s="27"/>
      <c r="D466" s="59"/>
      <c r="E466" s="59"/>
      <c r="F466" s="59"/>
      <c r="G466" s="59"/>
      <c r="H466" s="59"/>
      <c r="I466" s="59"/>
    </row>
    <row r="467" ht="12.75" customHeight="1">
      <c r="A467" s="27"/>
      <c r="D467" s="59"/>
      <c r="E467" s="59"/>
      <c r="F467" s="59"/>
      <c r="G467" s="59"/>
      <c r="H467" s="59"/>
      <c r="I467" s="59"/>
    </row>
    <row r="468" ht="12.75" customHeight="1">
      <c r="A468" s="27"/>
      <c r="D468" s="59"/>
      <c r="E468" s="59"/>
      <c r="F468" s="59"/>
      <c r="G468" s="59"/>
      <c r="H468" s="59"/>
      <c r="I468" s="59"/>
    </row>
    <row r="469" ht="12.75" customHeight="1">
      <c r="A469" s="27"/>
      <c r="D469" s="59"/>
      <c r="E469" s="59"/>
      <c r="F469" s="59"/>
      <c r="G469" s="59"/>
      <c r="H469" s="59"/>
      <c r="I469" s="59"/>
    </row>
    <row r="470" ht="12.75" customHeight="1">
      <c r="A470" s="27"/>
      <c r="D470" s="59"/>
      <c r="E470" s="59"/>
      <c r="F470" s="59"/>
      <c r="G470" s="59"/>
      <c r="H470" s="59"/>
      <c r="I470" s="59"/>
    </row>
    <row r="471" ht="12.75" customHeight="1">
      <c r="A471" s="27"/>
      <c r="D471" s="59"/>
      <c r="E471" s="59"/>
      <c r="F471" s="59"/>
      <c r="G471" s="59"/>
      <c r="H471" s="59"/>
      <c r="I471" s="59"/>
    </row>
    <row r="472" ht="12.75" customHeight="1">
      <c r="A472" s="27"/>
      <c r="D472" s="59"/>
      <c r="E472" s="59"/>
      <c r="F472" s="59"/>
      <c r="G472" s="59"/>
      <c r="H472" s="59"/>
      <c r="I472" s="59"/>
    </row>
    <row r="473" ht="12.75" customHeight="1">
      <c r="A473" s="27"/>
      <c r="D473" s="59"/>
      <c r="E473" s="59"/>
      <c r="F473" s="59"/>
      <c r="G473" s="59"/>
      <c r="H473" s="59"/>
      <c r="I473" s="59"/>
    </row>
    <row r="474" ht="12.75" customHeight="1">
      <c r="A474" s="27"/>
      <c r="D474" s="59"/>
      <c r="E474" s="59"/>
      <c r="F474" s="59"/>
      <c r="G474" s="59"/>
      <c r="H474" s="59"/>
      <c r="I474" s="59"/>
    </row>
    <row r="475" ht="12.75" customHeight="1">
      <c r="A475" s="27"/>
      <c r="D475" s="59"/>
      <c r="E475" s="59"/>
      <c r="F475" s="59"/>
      <c r="G475" s="59"/>
      <c r="H475" s="59"/>
      <c r="I475" s="59"/>
    </row>
    <row r="476" ht="12.75" customHeight="1">
      <c r="A476" s="27"/>
      <c r="D476" s="59"/>
      <c r="E476" s="59"/>
      <c r="F476" s="59"/>
      <c r="G476" s="59"/>
      <c r="H476" s="59"/>
      <c r="I476" s="59"/>
    </row>
    <row r="477" ht="12.75" customHeight="1">
      <c r="A477" s="27"/>
      <c r="D477" s="59"/>
      <c r="E477" s="59"/>
      <c r="F477" s="59"/>
      <c r="G477" s="59"/>
      <c r="H477" s="59"/>
      <c r="I477" s="59"/>
    </row>
    <row r="478" ht="12.75" customHeight="1">
      <c r="A478" s="27"/>
      <c r="D478" s="59"/>
      <c r="E478" s="59"/>
      <c r="F478" s="59"/>
      <c r="G478" s="59"/>
      <c r="H478" s="59"/>
      <c r="I478" s="59"/>
    </row>
    <row r="479" ht="12.75" customHeight="1">
      <c r="A479" s="27"/>
      <c r="D479" s="59"/>
      <c r="E479" s="59"/>
      <c r="F479" s="59"/>
      <c r="G479" s="59"/>
      <c r="H479" s="59"/>
      <c r="I479" s="59"/>
    </row>
    <row r="480" ht="12.75" customHeight="1">
      <c r="A480" s="27"/>
      <c r="D480" s="59"/>
      <c r="E480" s="59"/>
      <c r="F480" s="59"/>
      <c r="G480" s="59"/>
      <c r="H480" s="59"/>
      <c r="I480" s="59"/>
    </row>
    <row r="481" ht="12.75" customHeight="1">
      <c r="A481" s="27"/>
      <c r="D481" s="59"/>
      <c r="E481" s="59"/>
      <c r="F481" s="59"/>
      <c r="G481" s="59"/>
      <c r="H481" s="59"/>
      <c r="I481" s="59"/>
    </row>
    <row r="482" ht="12.75" customHeight="1">
      <c r="A482" s="27"/>
      <c r="D482" s="59"/>
      <c r="E482" s="59"/>
      <c r="F482" s="59"/>
      <c r="G482" s="59"/>
      <c r="H482" s="59"/>
      <c r="I482" s="59"/>
    </row>
    <row r="483" ht="12.75" customHeight="1">
      <c r="A483" s="27"/>
      <c r="D483" s="59"/>
      <c r="E483" s="59"/>
      <c r="F483" s="59"/>
      <c r="G483" s="59"/>
      <c r="H483" s="59"/>
      <c r="I483" s="59"/>
    </row>
    <row r="484" ht="12.75" customHeight="1">
      <c r="A484" s="27"/>
      <c r="D484" s="59"/>
      <c r="E484" s="59"/>
      <c r="F484" s="59"/>
      <c r="G484" s="59"/>
      <c r="H484" s="59"/>
      <c r="I484" s="59"/>
    </row>
    <row r="485" ht="12.75" customHeight="1">
      <c r="A485" s="27"/>
      <c r="D485" s="59"/>
      <c r="E485" s="59"/>
      <c r="F485" s="59"/>
      <c r="G485" s="59"/>
      <c r="H485" s="59"/>
      <c r="I485" s="59"/>
    </row>
    <row r="486" ht="12.75" customHeight="1">
      <c r="A486" s="27"/>
      <c r="D486" s="59"/>
      <c r="E486" s="59"/>
      <c r="F486" s="59"/>
      <c r="G486" s="59"/>
      <c r="H486" s="59"/>
      <c r="I486" s="59"/>
    </row>
    <row r="487" ht="12.75" customHeight="1">
      <c r="A487" s="27"/>
      <c r="D487" s="59"/>
      <c r="E487" s="59"/>
      <c r="F487" s="59"/>
      <c r="G487" s="59"/>
      <c r="H487" s="59"/>
      <c r="I487" s="59"/>
    </row>
    <row r="488" ht="12.75" customHeight="1">
      <c r="A488" s="27"/>
      <c r="D488" s="59"/>
      <c r="E488" s="59"/>
      <c r="F488" s="59"/>
      <c r="G488" s="59"/>
      <c r="H488" s="59"/>
      <c r="I488" s="59"/>
    </row>
    <row r="489" ht="12.75" customHeight="1">
      <c r="A489" s="27"/>
      <c r="D489" s="59"/>
      <c r="E489" s="59"/>
      <c r="F489" s="59"/>
      <c r="G489" s="59"/>
      <c r="H489" s="59"/>
      <c r="I489" s="59"/>
    </row>
    <row r="490" ht="12.75" customHeight="1">
      <c r="A490" s="27"/>
      <c r="D490" s="59"/>
      <c r="E490" s="59"/>
      <c r="F490" s="59"/>
      <c r="G490" s="59"/>
      <c r="H490" s="59"/>
      <c r="I490" s="59"/>
    </row>
    <row r="491" ht="12.75" customHeight="1">
      <c r="A491" s="27"/>
      <c r="D491" s="59"/>
      <c r="E491" s="59"/>
      <c r="F491" s="59"/>
      <c r="G491" s="59"/>
      <c r="H491" s="59"/>
      <c r="I491" s="59"/>
    </row>
    <row r="492" ht="12.75" customHeight="1">
      <c r="A492" s="27"/>
      <c r="D492" s="59"/>
      <c r="E492" s="59"/>
      <c r="F492" s="59"/>
      <c r="G492" s="59"/>
      <c r="H492" s="59"/>
      <c r="I492" s="59"/>
    </row>
    <row r="493" ht="12.75" customHeight="1">
      <c r="A493" s="27"/>
      <c r="D493" s="59"/>
      <c r="E493" s="59"/>
      <c r="F493" s="59"/>
      <c r="G493" s="59"/>
      <c r="H493" s="59"/>
      <c r="I493" s="59"/>
    </row>
    <row r="494" ht="12.75" customHeight="1">
      <c r="A494" s="27"/>
      <c r="D494" s="59"/>
      <c r="E494" s="59"/>
      <c r="F494" s="59"/>
      <c r="G494" s="59"/>
      <c r="H494" s="59"/>
      <c r="I494" s="59"/>
    </row>
    <row r="495" ht="12.75" customHeight="1">
      <c r="A495" s="27"/>
      <c r="D495" s="59"/>
      <c r="E495" s="59"/>
      <c r="F495" s="59"/>
      <c r="G495" s="59"/>
      <c r="H495" s="59"/>
      <c r="I495" s="59"/>
    </row>
    <row r="496" ht="12.75" customHeight="1">
      <c r="A496" s="27"/>
      <c r="D496" s="59"/>
      <c r="E496" s="59"/>
      <c r="F496" s="59"/>
      <c r="G496" s="59"/>
      <c r="H496" s="59"/>
      <c r="I496" s="59"/>
    </row>
    <row r="497" ht="12.75" customHeight="1">
      <c r="A497" s="27"/>
      <c r="D497" s="59"/>
      <c r="E497" s="59"/>
      <c r="F497" s="59"/>
      <c r="G497" s="59"/>
      <c r="H497" s="59"/>
      <c r="I497" s="59"/>
    </row>
    <row r="498" ht="12.75" customHeight="1">
      <c r="A498" s="27"/>
      <c r="D498" s="59"/>
      <c r="E498" s="59"/>
      <c r="F498" s="59"/>
      <c r="G498" s="59"/>
      <c r="H498" s="59"/>
      <c r="I498" s="59"/>
    </row>
    <row r="499" ht="12.75" customHeight="1">
      <c r="A499" s="27"/>
      <c r="D499" s="59"/>
      <c r="E499" s="59"/>
      <c r="F499" s="59"/>
      <c r="G499" s="59"/>
      <c r="H499" s="59"/>
      <c r="I499" s="59"/>
    </row>
    <row r="500" ht="12.75" customHeight="1">
      <c r="A500" s="27"/>
      <c r="D500" s="59"/>
      <c r="E500" s="59"/>
      <c r="F500" s="59"/>
      <c r="G500" s="59"/>
      <c r="H500" s="59"/>
      <c r="I500" s="59"/>
    </row>
    <row r="501" ht="12.75" customHeight="1">
      <c r="A501" s="27"/>
      <c r="D501" s="59"/>
      <c r="E501" s="59"/>
      <c r="F501" s="59"/>
      <c r="G501" s="59"/>
      <c r="H501" s="59"/>
      <c r="I501" s="59"/>
    </row>
    <row r="502" ht="12.75" customHeight="1">
      <c r="A502" s="27"/>
      <c r="D502" s="59"/>
      <c r="E502" s="59"/>
      <c r="F502" s="59"/>
      <c r="G502" s="59"/>
      <c r="H502" s="59"/>
      <c r="I502" s="59"/>
    </row>
    <row r="503" ht="12.75" customHeight="1">
      <c r="A503" s="27"/>
      <c r="D503" s="59"/>
      <c r="E503" s="59"/>
      <c r="F503" s="59"/>
      <c r="G503" s="59"/>
      <c r="H503" s="59"/>
      <c r="I503" s="59"/>
    </row>
    <row r="504" ht="12.75" customHeight="1">
      <c r="A504" s="27"/>
      <c r="D504" s="59"/>
      <c r="E504" s="59"/>
      <c r="F504" s="59"/>
      <c r="G504" s="59"/>
      <c r="H504" s="59"/>
      <c r="I504" s="59"/>
    </row>
    <row r="505" ht="12.75" customHeight="1">
      <c r="A505" s="27"/>
      <c r="D505" s="59"/>
      <c r="E505" s="59"/>
      <c r="F505" s="59"/>
      <c r="G505" s="59"/>
      <c r="H505" s="59"/>
      <c r="I505" s="59"/>
    </row>
    <row r="506" ht="12.75" customHeight="1">
      <c r="A506" s="27"/>
      <c r="D506" s="59"/>
      <c r="E506" s="59"/>
      <c r="F506" s="59"/>
      <c r="G506" s="59"/>
      <c r="H506" s="59"/>
      <c r="I506" s="59"/>
    </row>
    <row r="507" ht="12.75" customHeight="1">
      <c r="A507" s="27"/>
      <c r="D507" s="59"/>
      <c r="E507" s="59"/>
      <c r="F507" s="59"/>
      <c r="G507" s="59"/>
      <c r="H507" s="59"/>
      <c r="I507" s="59"/>
    </row>
    <row r="508" ht="12.75" customHeight="1">
      <c r="A508" s="27"/>
      <c r="D508" s="59"/>
      <c r="E508" s="59"/>
      <c r="F508" s="59"/>
      <c r="G508" s="59"/>
      <c r="H508" s="59"/>
      <c r="I508" s="59"/>
    </row>
    <row r="509" ht="12.75" customHeight="1">
      <c r="A509" s="27"/>
      <c r="D509" s="59"/>
      <c r="E509" s="59"/>
      <c r="F509" s="59"/>
      <c r="G509" s="59"/>
      <c r="H509" s="59"/>
      <c r="I509" s="59"/>
    </row>
    <row r="510" ht="12.75" customHeight="1">
      <c r="A510" s="27"/>
      <c r="D510" s="59"/>
      <c r="E510" s="59"/>
      <c r="F510" s="59"/>
      <c r="G510" s="59"/>
      <c r="H510" s="59"/>
      <c r="I510" s="59"/>
    </row>
    <row r="511" ht="12.75" customHeight="1">
      <c r="A511" s="27"/>
      <c r="D511" s="59"/>
      <c r="E511" s="59"/>
      <c r="F511" s="59"/>
      <c r="G511" s="59"/>
      <c r="H511" s="59"/>
      <c r="I511" s="59"/>
    </row>
    <row r="512" ht="12.75" customHeight="1">
      <c r="A512" s="27"/>
      <c r="D512" s="59"/>
      <c r="E512" s="59"/>
      <c r="F512" s="59"/>
      <c r="G512" s="59"/>
      <c r="H512" s="59"/>
      <c r="I512" s="59"/>
    </row>
    <row r="513" ht="12.75" customHeight="1">
      <c r="A513" s="27"/>
      <c r="D513" s="59"/>
      <c r="E513" s="59"/>
      <c r="F513" s="59"/>
      <c r="G513" s="59"/>
      <c r="H513" s="59"/>
      <c r="I513" s="59"/>
    </row>
    <row r="514" ht="12.75" customHeight="1">
      <c r="A514" s="27"/>
      <c r="D514" s="59"/>
      <c r="E514" s="59"/>
      <c r="F514" s="59"/>
      <c r="G514" s="59"/>
      <c r="H514" s="59"/>
      <c r="I514" s="59"/>
    </row>
    <row r="515" ht="12.75" customHeight="1">
      <c r="A515" s="27"/>
      <c r="D515" s="59"/>
      <c r="E515" s="59"/>
      <c r="F515" s="59"/>
      <c r="G515" s="59"/>
      <c r="H515" s="59"/>
      <c r="I515" s="59"/>
    </row>
    <row r="516" ht="12.75" customHeight="1">
      <c r="A516" s="27"/>
      <c r="D516" s="59"/>
      <c r="E516" s="59"/>
      <c r="F516" s="59"/>
      <c r="G516" s="59"/>
      <c r="H516" s="59"/>
      <c r="I516" s="59"/>
    </row>
    <row r="517" ht="12.75" customHeight="1">
      <c r="A517" s="27"/>
      <c r="D517" s="59"/>
      <c r="E517" s="59"/>
      <c r="F517" s="59"/>
      <c r="G517" s="59"/>
      <c r="H517" s="59"/>
      <c r="I517" s="59"/>
    </row>
    <row r="518" ht="12.75" customHeight="1">
      <c r="A518" s="27"/>
      <c r="D518" s="59"/>
      <c r="E518" s="59"/>
      <c r="F518" s="59"/>
      <c r="G518" s="59"/>
      <c r="H518" s="59"/>
      <c r="I518" s="59"/>
    </row>
    <row r="519" ht="12.75" customHeight="1">
      <c r="A519" s="27"/>
      <c r="D519" s="59"/>
      <c r="E519" s="59"/>
      <c r="F519" s="59"/>
      <c r="G519" s="59"/>
      <c r="H519" s="59"/>
      <c r="I519" s="59"/>
    </row>
    <row r="520" ht="12.75" customHeight="1">
      <c r="A520" s="27"/>
      <c r="D520" s="59"/>
      <c r="E520" s="59"/>
      <c r="F520" s="59"/>
      <c r="G520" s="59"/>
      <c r="H520" s="59"/>
      <c r="I520" s="59"/>
    </row>
    <row r="521" ht="12.75" customHeight="1">
      <c r="A521" s="27"/>
      <c r="D521" s="59"/>
      <c r="E521" s="59"/>
      <c r="F521" s="59"/>
      <c r="G521" s="59"/>
      <c r="H521" s="59"/>
      <c r="I521" s="59"/>
    </row>
    <row r="522" ht="12.75" customHeight="1">
      <c r="A522" s="27"/>
      <c r="D522" s="59"/>
      <c r="E522" s="59"/>
      <c r="F522" s="59"/>
      <c r="G522" s="59"/>
      <c r="H522" s="59"/>
      <c r="I522" s="59"/>
    </row>
    <row r="523" ht="12.75" customHeight="1">
      <c r="A523" s="27"/>
      <c r="D523" s="59"/>
      <c r="E523" s="59"/>
      <c r="F523" s="59"/>
      <c r="G523" s="59"/>
      <c r="H523" s="59"/>
      <c r="I523" s="59"/>
    </row>
    <row r="524" ht="12.75" customHeight="1">
      <c r="A524" s="27"/>
      <c r="D524" s="59"/>
      <c r="E524" s="59"/>
      <c r="F524" s="59"/>
      <c r="G524" s="59"/>
      <c r="H524" s="59"/>
      <c r="I524" s="59"/>
    </row>
    <row r="525" ht="12.75" customHeight="1">
      <c r="A525" s="27"/>
      <c r="D525" s="59"/>
      <c r="E525" s="59"/>
      <c r="F525" s="59"/>
      <c r="G525" s="59"/>
      <c r="H525" s="59"/>
      <c r="I525" s="59"/>
    </row>
    <row r="526" ht="12.75" customHeight="1">
      <c r="A526" s="27"/>
      <c r="D526" s="59"/>
      <c r="E526" s="59"/>
      <c r="F526" s="59"/>
      <c r="G526" s="59"/>
      <c r="H526" s="59"/>
      <c r="I526" s="59"/>
    </row>
    <row r="527" ht="12.75" customHeight="1">
      <c r="A527" s="27"/>
      <c r="D527" s="59"/>
      <c r="E527" s="59"/>
      <c r="F527" s="59"/>
      <c r="G527" s="59"/>
      <c r="H527" s="59"/>
      <c r="I527" s="59"/>
    </row>
    <row r="528" ht="12.75" customHeight="1">
      <c r="A528" s="27"/>
      <c r="D528" s="59"/>
      <c r="E528" s="59"/>
      <c r="F528" s="59"/>
      <c r="G528" s="59"/>
      <c r="H528" s="59"/>
      <c r="I528" s="59"/>
    </row>
    <row r="529" ht="12.75" customHeight="1">
      <c r="A529" s="27"/>
      <c r="D529" s="59"/>
      <c r="E529" s="59"/>
      <c r="F529" s="59"/>
      <c r="G529" s="59"/>
      <c r="H529" s="59"/>
      <c r="I529" s="59"/>
    </row>
    <row r="530" ht="12.75" customHeight="1">
      <c r="A530" s="27"/>
      <c r="D530" s="59"/>
      <c r="E530" s="59"/>
      <c r="F530" s="59"/>
      <c r="G530" s="59"/>
      <c r="H530" s="59"/>
      <c r="I530" s="59"/>
    </row>
    <row r="531" ht="12.75" customHeight="1">
      <c r="A531" s="27"/>
      <c r="D531" s="59"/>
      <c r="E531" s="59"/>
      <c r="F531" s="59"/>
      <c r="G531" s="59"/>
      <c r="H531" s="59"/>
      <c r="I531" s="59"/>
    </row>
    <row r="532" ht="12.75" customHeight="1">
      <c r="A532" s="27"/>
      <c r="D532" s="59"/>
      <c r="E532" s="59"/>
      <c r="F532" s="59"/>
      <c r="G532" s="59"/>
      <c r="H532" s="59"/>
      <c r="I532" s="59"/>
    </row>
    <row r="533" ht="12.75" customHeight="1">
      <c r="A533" s="27"/>
      <c r="D533" s="59"/>
      <c r="E533" s="59"/>
      <c r="F533" s="59"/>
      <c r="G533" s="59"/>
      <c r="H533" s="59"/>
      <c r="I533" s="59"/>
    </row>
    <row r="534" ht="12.75" customHeight="1">
      <c r="A534" s="27"/>
      <c r="D534" s="59"/>
      <c r="E534" s="59"/>
      <c r="F534" s="59"/>
      <c r="G534" s="59"/>
      <c r="H534" s="59"/>
      <c r="I534" s="59"/>
    </row>
    <row r="535" ht="12.75" customHeight="1">
      <c r="A535" s="27"/>
      <c r="D535" s="59"/>
      <c r="E535" s="59"/>
      <c r="F535" s="59"/>
      <c r="G535" s="59"/>
      <c r="H535" s="59"/>
      <c r="I535" s="59"/>
    </row>
    <row r="536" ht="12.75" customHeight="1">
      <c r="A536" s="27"/>
      <c r="D536" s="59"/>
      <c r="E536" s="59"/>
      <c r="F536" s="59"/>
      <c r="G536" s="59"/>
      <c r="H536" s="59"/>
      <c r="I536" s="59"/>
    </row>
    <row r="537" ht="12.75" customHeight="1">
      <c r="A537" s="27"/>
      <c r="D537" s="59"/>
      <c r="E537" s="59"/>
      <c r="F537" s="59"/>
      <c r="G537" s="59"/>
      <c r="H537" s="59"/>
      <c r="I537" s="59"/>
    </row>
    <row r="538" ht="12.75" customHeight="1">
      <c r="A538" s="27"/>
      <c r="D538" s="59"/>
      <c r="E538" s="59"/>
      <c r="F538" s="59"/>
      <c r="G538" s="59"/>
      <c r="H538" s="59"/>
      <c r="I538" s="59"/>
    </row>
    <row r="539" ht="12.75" customHeight="1">
      <c r="A539" s="27"/>
      <c r="D539" s="59"/>
      <c r="E539" s="59"/>
      <c r="F539" s="59"/>
      <c r="G539" s="59"/>
      <c r="H539" s="59"/>
      <c r="I539" s="59"/>
    </row>
    <row r="540" ht="12.75" customHeight="1">
      <c r="A540" s="27"/>
      <c r="D540" s="59"/>
      <c r="E540" s="59"/>
      <c r="F540" s="59"/>
      <c r="G540" s="59"/>
      <c r="H540" s="59"/>
      <c r="I540" s="59"/>
    </row>
    <row r="541" ht="12.75" customHeight="1">
      <c r="A541" s="27"/>
      <c r="D541" s="59"/>
      <c r="E541" s="59"/>
      <c r="F541" s="59"/>
      <c r="G541" s="59"/>
      <c r="H541" s="59"/>
      <c r="I541" s="59"/>
    </row>
    <row r="542" ht="12.75" customHeight="1">
      <c r="A542" s="27"/>
      <c r="D542" s="59"/>
      <c r="E542" s="59"/>
      <c r="F542" s="59"/>
      <c r="G542" s="59"/>
      <c r="H542" s="59"/>
      <c r="I542" s="59"/>
    </row>
    <row r="543" ht="12.75" customHeight="1">
      <c r="A543" s="27"/>
      <c r="D543" s="59"/>
      <c r="E543" s="59"/>
      <c r="F543" s="59"/>
      <c r="G543" s="59"/>
      <c r="H543" s="59"/>
      <c r="I543" s="59"/>
    </row>
    <row r="544" ht="12.75" customHeight="1">
      <c r="A544" s="27"/>
      <c r="D544" s="59"/>
      <c r="E544" s="59"/>
      <c r="F544" s="59"/>
      <c r="G544" s="59"/>
      <c r="H544" s="59"/>
      <c r="I544" s="59"/>
    </row>
    <row r="545" ht="12.75" customHeight="1">
      <c r="A545" s="27"/>
      <c r="D545" s="59"/>
      <c r="E545" s="59"/>
      <c r="F545" s="59"/>
      <c r="G545" s="59"/>
      <c r="H545" s="59"/>
      <c r="I545" s="59"/>
    </row>
    <row r="546" ht="12.75" customHeight="1">
      <c r="A546" s="27"/>
      <c r="D546" s="59"/>
      <c r="E546" s="59"/>
      <c r="F546" s="59"/>
      <c r="G546" s="59"/>
      <c r="H546" s="59"/>
      <c r="I546" s="59"/>
    </row>
    <row r="547" ht="12.75" customHeight="1">
      <c r="A547" s="27"/>
      <c r="D547" s="59"/>
      <c r="E547" s="59"/>
      <c r="F547" s="59"/>
      <c r="G547" s="59"/>
      <c r="H547" s="59"/>
      <c r="I547" s="59"/>
    </row>
    <row r="548" ht="12.75" customHeight="1">
      <c r="A548" s="27"/>
      <c r="D548" s="59"/>
      <c r="E548" s="59"/>
      <c r="F548" s="59"/>
      <c r="G548" s="59"/>
      <c r="H548" s="59"/>
      <c r="I548" s="59"/>
    </row>
    <row r="549" ht="12.75" customHeight="1">
      <c r="A549" s="27"/>
      <c r="D549" s="59"/>
      <c r="E549" s="59"/>
      <c r="F549" s="59"/>
      <c r="G549" s="59"/>
      <c r="H549" s="59"/>
      <c r="I549" s="59"/>
    </row>
    <row r="550" ht="12.75" customHeight="1">
      <c r="A550" s="27"/>
      <c r="D550" s="59"/>
      <c r="E550" s="59"/>
      <c r="F550" s="59"/>
      <c r="G550" s="59"/>
      <c r="H550" s="59"/>
      <c r="I550" s="59"/>
    </row>
    <row r="551" ht="12.75" customHeight="1">
      <c r="A551" s="27"/>
      <c r="D551" s="59"/>
      <c r="E551" s="59"/>
      <c r="F551" s="59"/>
      <c r="G551" s="59"/>
      <c r="H551" s="59"/>
      <c r="I551" s="59"/>
    </row>
    <row r="552" ht="12.75" customHeight="1">
      <c r="A552" s="27"/>
      <c r="D552" s="59"/>
      <c r="E552" s="59"/>
      <c r="F552" s="59"/>
      <c r="G552" s="59"/>
      <c r="H552" s="59"/>
      <c r="I552" s="59"/>
    </row>
    <row r="553" ht="12.75" customHeight="1">
      <c r="A553" s="27"/>
      <c r="D553" s="59"/>
      <c r="E553" s="59"/>
      <c r="F553" s="59"/>
      <c r="G553" s="59"/>
      <c r="H553" s="59"/>
      <c r="I553" s="59"/>
    </row>
    <row r="554" ht="12.75" customHeight="1">
      <c r="A554" s="27"/>
      <c r="D554" s="59"/>
      <c r="E554" s="59"/>
      <c r="F554" s="59"/>
      <c r="G554" s="59"/>
      <c r="H554" s="59"/>
      <c r="I554" s="59"/>
    </row>
    <row r="555" ht="12.75" customHeight="1">
      <c r="A555" s="27"/>
      <c r="D555" s="59"/>
      <c r="E555" s="59"/>
      <c r="F555" s="59"/>
      <c r="G555" s="59"/>
      <c r="H555" s="59"/>
      <c r="I555" s="59"/>
    </row>
    <row r="556" ht="12.75" customHeight="1">
      <c r="A556" s="27"/>
      <c r="D556" s="59"/>
      <c r="E556" s="59"/>
      <c r="F556" s="59"/>
      <c r="G556" s="59"/>
      <c r="H556" s="59"/>
      <c r="I556" s="59"/>
    </row>
    <row r="557" ht="12.75" customHeight="1">
      <c r="A557" s="27"/>
      <c r="D557" s="59"/>
      <c r="E557" s="59"/>
      <c r="F557" s="59"/>
      <c r="G557" s="59"/>
      <c r="H557" s="59"/>
      <c r="I557" s="59"/>
    </row>
    <row r="558" ht="12.75" customHeight="1">
      <c r="A558" s="27"/>
      <c r="D558" s="59"/>
      <c r="E558" s="59"/>
      <c r="F558" s="59"/>
      <c r="G558" s="59"/>
      <c r="H558" s="59"/>
      <c r="I558" s="59"/>
    </row>
    <row r="559" ht="12.75" customHeight="1">
      <c r="A559" s="27"/>
      <c r="D559" s="59"/>
      <c r="E559" s="59"/>
      <c r="F559" s="59"/>
      <c r="G559" s="59"/>
      <c r="H559" s="59"/>
      <c r="I559" s="59"/>
    </row>
    <row r="560" ht="12.75" customHeight="1">
      <c r="A560" s="27"/>
      <c r="D560" s="59"/>
      <c r="E560" s="59"/>
      <c r="F560" s="59"/>
      <c r="G560" s="59"/>
      <c r="H560" s="59"/>
      <c r="I560" s="59"/>
    </row>
    <row r="561" ht="12.75" customHeight="1">
      <c r="A561" s="27"/>
      <c r="D561" s="59"/>
      <c r="E561" s="59"/>
      <c r="F561" s="59"/>
      <c r="G561" s="59"/>
      <c r="H561" s="59"/>
      <c r="I561" s="59"/>
    </row>
    <row r="562" ht="12.75" customHeight="1">
      <c r="A562" s="27"/>
      <c r="D562" s="59"/>
      <c r="E562" s="59"/>
      <c r="F562" s="59"/>
      <c r="G562" s="59"/>
      <c r="H562" s="59"/>
      <c r="I562" s="59"/>
    </row>
    <row r="563" ht="12.75" customHeight="1">
      <c r="A563" s="27"/>
      <c r="D563" s="59"/>
      <c r="E563" s="59"/>
      <c r="F563" s="59"/>
      <c r="G563" s="59"/>
      <c r="H563" s="59"/>
      <c r="I563" s="59"/>
    </row>
    <row r="564" ht="12.75" customHeight="1">
      <c r="A564" s="27"/>
      <c r="D564" s="59"/>
      <c r="E564" s="59"/>
      <c r="F564" s="59"/>
      <c r="G564" s="59"/>
      <c r="H564" s="59"/>
      <c r="I564" s="59"/>
    </row>
    <row r="565" ht="12.75" customHeight="1">
      <c r="A565" s="27"/>
      <c r="D565" s="59"/>
      <c r="E565" s="59"/>
      <c r="F565" s="59"/>
      <c r="G565" s="59"/>
      <c r="H565" s="59"/>
      <c r="I565" s="59"/>
    </row>
    <row r="566" ht="12.75" customHeight="1">
      <c r="A566" s="27"/>
      <c r="D566" s="59"/>
      <c r="E566" s="59"/>
      <c r="F566" s="59"/>
      <c r="G566" s="59"/>
      <c r="H566" s="59"/>
      <c r="I566" s="59"/>
    </row>
    <row r="567" ht="12.75" customHeight="1">
      <c r="A567" s="27"/>
      <c r="D567" s="59"/>
      <c r="E567" s="59"/>
      <c r="F567" s="59"/>
      <c r="G567" s="59"/>
      <c r="H567" s="59"/>
      <c r="I567" s="59"/>
    </row>
    <row r="568" ht="12.75" customHeight="1">
      <c r="A568" s="27"/>
      <c r="D568" s="59"/>
      <c r="E568" s="59"/>
      <c r="F568" s="59"/>
      <c r="G568" s="59"/>
      <c r="H568" s="59"/>
      <c r="I568" s="59"/>
    </row>
    <row r="569" ht="12.75" customHeight="1">
      <c r="A569" s="27"/>
      <c r="D569" s="59"/>
      <c r="E569" s="59"/>
      <c r="F569" s="59"/>
      <c r="G569" s="59"/>
      <c r="H569" s="59"/>
      <c r="I569" s="59"/>
    </row>
    <row r="570" ht="12.75" customHeight="1">
      <c r="A570" s="27"/>
      <c r="D570" s="59"/>
      <c r="E570" s="59"/>
      <c r="F570" s="59"/>
      <c r="G570" s="59"/>
      <c r="H570" s="59"/>
      <c r="I570" s="59"/>
    </row>
    <row r="571" ht="12.75" customHeight="1">
      <c r="A571" s="27"/>
      <c r="D571" s="59"/>
      <c r="E571" s="59"/>
      <c r="F571" s="59"/>
      <c r="G571" s="59"/>
      <c r="H571" s="59"/>
      <c r="I571" s="59"/>
    </row>
    <row r="572" ht="12.75" customHeight="1">
      <c r="A572" s="27"/>
      <c r="D572" s="59"/>
      <c r="E572" s="59"/>
      <c r="F572" s="59"/>
      <c r="G572" s="59"/>
      <c r="H572" s="59"/>
      <c r="I572" s="59"/>
    </row>
    <row r="573" ht="12.75" customHeight="1">
      <c r="A573" s="27"/>
      <c r="D573" s="59"/>
      <c r="E573" s="59"/>
      <c r="F573" s="59"/>
      <c r="G573" s="59"/>
      <c r="H573" s="59"/>
      <c r="I573" s="59"/>
    </row>
    <row r="574" ht="12.75" customHeight="1">
      <c r="A574" s="27"/>
      <c r="D574" s="59"/>
      <c r="E574" s="59"/>
      <c r="F574" s="59"/>
      <c r="G574" s="59"/>
      <c r="H574" s="59"/>
      <c r="I574" s="59"/>
    </row>
    <row r="575" ht="12.75" customHeight="1">
      <c r="A575" s="27"/>
      <c r="D575" s="59"/>
      <c r="E575" s="59"/>
      <c r="F575" s="59"/>
      <c r="G575" s="59"/>
      <c r="H575" s="59"/>
      <c r="I575" s="59"/>
    </row>
    <row r="576" ht="12.75" customHeight="1">
      <c r="A576" s="27"/>
      <c r="D576" s="59"/>
      <c r="E576" s="59"/>
      <c r="F576" s="59"/>
      <c r="G576" s="59"/>
      <c r="H576" s="59"/>
      <c r="I576" s="59"/>
    </row>
    <row r="577" ht="12.75" customHeight="1">
      <c r="A577" s="27"/>
      <c r="D577" s="59"/>
      <c r="E577" s="59"/>
      <c r="F577" s="59"/>
      <c r="G577" s="59"/>
      <c r="H577" s="59"/>
      <c r="I577" s="59"/>
    </row>
    <row r="578" ht="12.75" customHeight="1">
      <c r="A578" s="27"/>
      <c r="D578" s="59"/>
      <c r="E578" s="59"/>
      <c r="F578" s="59"/>
      <c r="G578" s="59"/>
      <c r="H578" s="59"/>
      <c r="I578" s="59"/>
    </row>
    <row r="579" ht="12.75" customHeight="1">
      <c r="A579" s="27"/>
      <c r="D579" s="59"/>
      <c r="E579" s="59"/>
      <c r="F579" s="59"/>
      <c r="G579" s="59"/>
      <c r="H579" s="59"/>
      <c r="I579" s="59"/>
    </row>
    <row r="580" ht="12.75" customHeight="1">
      <c r="A580" s="27"/>
      <c r="D580" s="59"/>
      <c r="E580" s="59"/>
      <c r="F580" s="59"/>
      <c r="G580" s="59"/>
      <c r="H580" s="59"/>
      <c r="I580" s="59"/>
    </row>
    <row r="581" ht="12.75" customHeight="1">
      <c r="A581" s="27"/>
      <c r="D581" s="59"/>
      <c r="E581" s="59"/>
      <c r="F581" s="59"/>
      <c r="G581" s="59"/>
      <c r="H581" s="59"/>
      <c r="I581" s="59"/>
    </row>
    <row r="582" ht="12.75" customHeight="1">
      <c r="A582" s="27"/>
      <c r="D582" s="59"/>
      <c r="E582" s="59"/>
      <c r="F582" s="59"/>
      <c r="G582" s="59"/>
      <c r="H582" s="59"/>
      <c r="I582" s="59"/>
    </row>
    <row r="583" ht="12.75" customHeight="1">
      <c r="A583" s="27"/>
      <c r="D583" s="59"/>
      <c r="E583" s="59"/>
      <c r="F583" s="59"/>
      <c r="G583" s="59"/>
      <c r="H583" s="59"/>
      <c r="I583" s="59"/>
    </row>
    <row r="584" ht="12.75" customHeight="1">
      <c r="A584" s="27"/>
      <c r="D584" s="59"/>
      <c r="E584" s="59"/>
      <c r="F584" s="59"/>
      <c r="G584" s="59"/>
      <c r="H584" s="59"/>
      <c r="I584" s="59"/>
    </row>
    <row r="585" ht="12.75" customHeight="1">
      <c r="A585" s="27"/>
      <c r="D585" s="59"/>
      <c r="E585" s="59"/>
      <c r="F585" s="59"/>
      <c r="G585" s="59"/>
      <c r="H585" s="59"/>
      <c r="I585" s="59"/>
    </row>
    <row r="586" ht="12.75" customHeight="1">
      <c r="A586" s="27"/>
      <c r="D586" s="59"/>
      <c r="E586" s="59"/>
      <c r="F586" s="59"/>
      <c r="G586" s="59"/>
      <c r="H586" s="59"/>
      <c r="I586" s="59"/>
    </row>
    <row r="587" ht="12.75" customHeight="1">
      <c r="A587" s="27"/>
      <c r="D587" s="59"/>
      <c r="E587" s="59"/>
      <c r="F587" s="59"/>
      <c r="G587" s="59"/>
      <c r="H587" s="59"/>
      <c r="I587" s="59"/>
    </row>
    <row r="588" ht="12.75" customHeight="1">
      <c r="A588" s="27"/>
      <c r="D588" s="59"/>
      <c r="E588" s="59"/>
      <c r="F588" s="59"/>
      <c r="G588" s="59"/>
      <c r="H588" s="59"/>
      <c r="I588" s="59"/>
    </row>
    <row r="589" ht="12.75" customHeight="1">
      <c r="A589" s="27"/>
      <c r="D589" s="59"/>
      <c r="E589" s="59"/>
      <c r="F589" s="59"/>
      <c r="G589" s="59"/>
      <c r="H589" s="59"/>
      <c r="I589" s="59"/>
    </row>
    <row r="590" ht="12.75" customHeight="1">
      <c r="A590" s="27"/>
      <c r="D590" s="59"/>
      <c r="E590" s="59"/>
      <c r="F590" s="59"/>
      <c r="G590" s="59"/>
      <c r="H590" s="59"/>
      <c r="I590" s="59"/>
    </row>
    <row r="591" ht="12.75" customHeight="1">
      <c r="A591" s="27"/>
      <c r="D591" s="59"/>
      <c r="E591" s="59"/>
      <c r="F591" s="59"/>
      <c r="G591" s="59"/>
      <c r="H591" s="59"/>
      <c r="I591" s="59"/>
    </row>
    <row r="592" ht="12.75" customHeight="1">
      <c r="A592" s="27"/>
      <c r="D592" s="59"/>
      <c r="E592" s="59"/>
      <c r="F592" s="59"/>
      <c r="G592" s="59"/>
      <c r="H592" s="59"/>
      <c r="I592" s="59"/>
    </row>
    <row r="593" ht="12.75" customHeight="1">
      <c r="A593" s="27"/>
      <c r="D593" s="59"/>
      <c r="E593" s="59"/>
      <c r="F593" s="59"/>
      <c r="G593" s="59"/>
      <c r="H593" s="59"/>
      <c r="I593" s="59"/>
    </row>
    <row r="594" ht="12.75" customHeight="1">
      <c r="A594" s="27"/>
      <c r="D594" s="59"/>
      <c r="E594" s="59"/>
      <c r="F594" s="59"/>
      <c r="G594" s="59"/>
      <c r="H594" s="59"/>
      <c r="I594" s="59"/>
    </row>
    <row r="595" ht="12.75" customHeight="1">
      <c r="A595" s="27"/>
      <c r="D595" s="59"/>
      <c r="E595" s="59"/>
      <c r="F595" s="59"/>
      <c r="G595" s="59"/>
      <c r="H595" s="59"/>
      <c r="I595" s="59"/>
    </row>
    <row r="596" ht="12.75" customHeight="1">
      <c r="A596" s="27"/>
      <c r="D596" s="59"/>
      <c r="E596" s="59"/>
      <c r="F596" s="59"/>
      <c r="G596" s="59"/>
      <c r="H596" s="59"/>
      <c r="I596" s="59"/>
    </row>
    <row r="597" ht="12.75" customHeight="1">
      <c r="A597" s="27"/>
      <c r="D597" s="59"/>
      <c r="E597" s="59"/>
      <c r="F597" s="59"/>
      <c r="G597" s="59"/>
      <c r="H597" s="59"/>
      <c r="I597" s="59"/>
    </row>
    <row r="598" ht="12.75" customHeight="1">
      <c r="A598" s="27"/>
      <c r="D598" s="59"/>
      <c r="E598" s="59"/>
      <c r="F598" s="59"/>
      <c r="G598" s="59"/>
      <c r="H598" s="59"/>
      <c r="I598" s="59"/>
    </row>
    <row r="599" ht="12.75" customHeight="1">
      <c r="A599" s="27"/>
      <c r="D599" s="59"/>
      <c r="E599" s="59"/>
      <c r="F599" s="59"/>
      <c r="G599" s="59"/>
      <c r="H599" s="59"/>
      <c r="I599" s="59"/>
    </row>
    <row r="600" ht="12.75" customHeight="1">
      <c r="A600" s="27"/>
      <c r="D600" s="59"/>
      <c r="E600" s="59"/>
      <c r="F600" s="59"/>
      <c r="G600" s="59"/>
      <c r="H600" s="59"/>
      <c r="I600" s="59"/>
    </row>
    <row r="601" ht="12.75" customHeight="1">
      <c r="A601" s="27"/>
      <c r="D601" s="59"/>
      <c r="E601" s="59"/>
      <c r="F601" s="59"/>
      <c r="G601" s="59"/>
      <c r="H601" s="59"/>
      <c r="I601" s="59"/>
    </row>
    <row r="602" ht="12.75" customHeight="1">
      <c r="A602" s="27"/>
      <c r="D602" s="59"/>
      <c r="E602" s="59"/>
      <c r="F602" s="59"/>
      <c r="G602" s="59"/>
      <c r="H602" s="59"/>
      <c r="I602" s="59"/>
    </row>
    <row r="603" ht="12.75" customHeight="1">
      <c r="A603" s="27"/>
      <c r="D603" s="59"/>
      <c r="E603" s="59"/>
      <c r="F603" s="59"/>
      <c r="G603" s="59"/>
      <c r="H603" s="59"/>
      <c r="I603" s="59"/>
    </row>
    <row r="604" ht="12.75" customHeight="1">
      <c r="A604" s="27"/>
      <c r="D604" s="59"/>
      <c r="E604" s="59"/>
      <c r="F604" s="59"/>
      <c r="G604" s="59"/>
      <c r="H604" s="59"/>
      <c r="I604" s="59"/>
    </row>
    <row r="605" ht="12.75" customHeight="1">
      <c r="A605" s="27"/>
      <c r="D605" s="59"/>
      <c r="E605" s="59"/>
      <c r="F605" s="59"/>
      <c r="G605" s="59"/>
      <c r="H605" s="59"/>
      <c r="I605" s="59"/>
    </row>
    <row r="606" ht="12.75" customHeight="1">
      <c r="A606" s="27"/>
      <c r="D606" s="59"/>
      <c r="E606" s="59"/>
      <c r="F606" s="59"/>
      <c r="G606" s="59"/>
      <c r="H606" s="59"/>
      <c r="I606" s="59"/>
    </row>
    <row r="607" ht="12.75" customHeight="1">
      <c r="A607" s="27"/>
      <c r="D607" s="59"/>
      <c r="E607" s="59"/>
      <c r="F607" s="59"/>
      <c r="G607" s="59"/>
      <c r="H607" s="59"/>
      <c r="I607" s="59"/>
    </row>
    <row r="608" ht="12.75" customHeight="1">
      <c r="A608" s="27"/>
      <c r="D608" s="59"/>
      <c r="E608" s="59"/>
      <c r="F608" s="59"/>
      <c r="G608" s="59"/>
      <c r="H608" s="59"/>
      <c r="I608" s="59"/>
    </row>
    <row r="609" ht="12.75" customHeight="1">
      <c r="A609" s="27"/>
      <c r="D609" s="59"/>
      <c r="E609" s="59"/>
      <c r="F609" s="59"/>
      <c r="G609" s="59"/>
      <c r="H609" s="59"/>
      <c r="I609" s="59"/>
    </row>
    <row r="610" ht="12.75" customHeight="1">
      <c r="A610" s="27"/>
      <c r="D610" s="59"/>
      <c r="E610" s="59"/>
      <c r="F610" s="59"/>
      <c r="G610" s="59"/>
      <c r="H610" s="59"/>
      <c r="I610" s="59"/>
    </row>
    <row r="611" ht="12.75" customHeight="1">
      <c r="A611" s="27"/>
      <c r="D611" s="59"/>
      <c r="E611" s="59"/>
      <c r="F611" s="59"/>
      <c r="G611" s="59"/>
      <c r="H611" s="59"/>
      <c r="I611" s="59"/>
    </row>
    <row r="612" ht="12.75" customHeight="1">
      <c r="A612" s="27"/>
      <c r="D612" s="59"/>
      <c r="E612" s="59"/>
      <c r="F612" s="59"/>
      <c r="G612" s="59"/>
      <c r="H612" s="59"/>
      <c r="I612" s="59"/>
    </row>
    <row r="613" ht="12.75" customHeight="1">
      <c r="A613" s="27"/>
      <c r="D613" s="59"/>
      <c r="E613" s="59"/>
      <c r="F613" s="59"/>
      <c r="G613" s="59"/>
      <c r="H613" s="59"/>
      <c r="I613" s="59"/>
    </row>
    <row r="614" ht="12.75" customHeight="1">
      <c r="A614" s="27"/>
      <c r="D614" s="59"/>
      <c r="E614" s="59"/>
      <c r="F614" s="59"/>
      <c r="G614" s="59"/>
      <c r="H614" s="59"/>
      <c r="I614" s="59"/>
    </row>
    <row r="615" ht="12.75" customHeight="1">
      <c r="A615" s="27"/>
      <c r="D615" s="59"/>
      <c r="E615" s="59"/>
      <c r="F615" s="59"/>
      <c r="G615" s="59"/>
      <c r="H615" s="59"/>
      <c r="I615" s="59"/>
    </row>
    <row r="616" ht="12.75" customHeight="1">
      <c r="A616" s="27"/>
      <c r="D616" s="59"/>
      <c r="E616" s="59"/>
      <c r="F616" s="59"/>
      <c r="G616" s="59"/>
      <c r="H616" s="59"/>
      <c r="I616" s="59"/>
    </row>
    <row r="617" ht="12.75" customHeight="1">
      <c r="A617" s="27"/>
      <c r="D617" s="59"/>
      <c r="E617" s="59"/>
      <c r="F617" s="59"/>
      <c r="G617" s="59"/>
      <c r="H617" s="59"/>
      <c r="I617" s="59"/>
    </row>
    <row r="618" ht="12.75" customHeight="1">
      <c r="A618" s="27"/>
      <c r="D618" s="59"/>
      <c r="E618" s="59"/>
      <c r="F618" s="59"/>
      <c r="G618" s="59"/>
      <c r="H618" s="59"/>
      <c r="I618" s="59"/>
    </row>
    <row r="619" ht="12.75" customHeight="1">
      <c r="A619" s="27"/>
      <c r="D619" s="59"/>
      <c r="E619" s="59"/>
      <c r="F619" s="59"/>
      <c r="G619" s="59"/>
      <c r="H619" s="59"/>
      <c r="I619" s="59"/>
    </row>
    <row r="620" ht="12.75" customHeight="1">
      <c r="A620" s="27"/>
      <c r="D620" s="59"/>
      <c r="E620" s="59"/>
      <c r="F620" s="59"/>
      <c r="G620" s="59"/>
      <c r="H620" s="59"/>
      <c r="I620" s="59"/>
    </row>
    <row r="621" ht="12.75" customHeight="1">
      <c r="A621" s="27"/>
      <c r="D621" s="59"/>
      <c r="E621" s="59"/>
      <c r="F621" s="59"/>
      <c r="G621" s="59"/>
      <c r="H621" s="59"/>
      <c r="I621" s="59"/>
    </row>
    <row r="622" ht="12.75" customHeight="1">
      <c r="A622" s="27"/>
      <c r="D622" s="59"/>
      <c r="E622" s="59"/>
      <c r="F622" s="59"/>
      <c r="G622" s="59"/>
      <c r="H622" s="59"/>
      <c r="I622" s="59"/>
    </row>
    <row r="623" ht="12.75" customHeight="1">
      <c r="A623" s="27"/>
      <c r="D623" s="59"/>
      <c r="E623" s="59"/>
      <c r="F623" s="59"/>
      <c r="G623" s="59"/>
      <c r="H623" s="59"/>
      <c r="I623" s="59"/>
    </row>
    <row r="624" ht="12.75" customHeight="1">
      <c r="A624" s="27"/>
      <c r="D624" s="59"/>
      <c r="E624" s="59"/>
      <c r="F624" s="59"/>
      <c r="G624" s="59"/>
      <c r="H624" s="59"/>
      <c r="I624" s="59"/>
    </row>
    <row r="625" ht="12.75" customHeight="1">
      <c r="A625" s="27"/>
      <c r="D625" s="59"/>
      <c r="E625" s="59"/>
      <c r="F625" s="59"/>
      <c r="G625" s="59"/>
      <c r="H625" s="59"/>
      <c r="I625" s="59"/>
    </row>
    <row r="626" ht="12.75" customHeight="1">
      <c r="A626" s="27"/>
      <c r="D626" s="59"/>
      <c r="E626" s="59"/>
      <c r="F626" s="59"/>
      <c r="G626" s="59"/>
      <c r="H626" s="59"/>
      <c r="I626" s="59"/>
    </row>
    <row r="627" ht="12.75" customHeight="1">
      <c r="A627" s="27"/>
      <c r="D627" s="59"/>
      <c r="E627" s="59"/>
      <c r="F627" s="59"/>
      <c r="G627" s="59"/>
      <c r="H627" s="59"/>
      <c r="I627" s="59"/>
    </row>
    <row r="628" ht="12.75" customHeight="1">
      <c r="A628" s="27"/>
      <c r="D628" s="59"/>
      <c r="E628" s="59"/>
      <c r="F628" s="59"/>
      <c r="G628" s="59"/>
      <c r="H628" s="59"/>
      <c r="I628" s="59"/>
    </row>
    <row r="629" ht="12.75" customHeight="1">
      <c r="A629" s="27"/>
      <c r="D629" s="59"/>
      <c r="E629" s="59"/>
      <c r="F629" s="59"/>
      <c r="G629" s="59"/>
      <c r="H629" s="59"/>
      <c r="I629" s="59"/>
    </row>
    <row r="630" ht="12.75" customHeight="1">
      <c r="A630" s="27"/>
      <c r="D630" s="59"/>
      <c r="E630" s="59"/>
      <c r="F630" s="59"/>
      <c r="G630" s="59"/>
      <c r="H630" s="59"/>
      <c r="I630" s="59"/>
    </row>
    <row r="631" ht="12.75" customHeight="1">
      <c r="A631" s="27"/>
      <c r="D631" s="59"/>
      <c r="E631" s="59"/>
      <c r="F631" s="59"/>
      <c r="G631" s="59"/>
      <c r="H631" s="59"/>
      <c r="I631" s="59"/>
    </row>
    <row r="632" ht="12.75" customHeight="1">
      <c r="A632" s="27"/>
      <c r="D632" s="59"/>
      <c r="E632" s="59"/>
      <c r="F632" s="59"/>
      <c r="G632" s="59"/>
      <c r="H632" s="59"/>
      <c r="I632" s="59"/>
    </row>
    <row r="633" ht="12.75" customHeight="1">
      <c r="A633" s="27"/>
      <c r="D633" s="59"/>
      <c r="E633" s="59"/>
      <c r="F633" s="59"/>
      <c r="G633" s="59"/>
      <c r="H633" s="59"/>
      <c r="I633" s="59"/>
    </row>
    <row r="634" ht="12.75" customHeight="1">
      <c r="A634" s="27"/>
      <c r="D634" s="59"/>
      <c r="E634" s="59"/>
      <c r="F634" s="59"/>
      <c r="G634" s="59"/>
      <c r="H634" s="59"/>
      <c r="I634" s="59"/>
    </row>
    <row r="635" ht="12.75" customHeight="1">
      <c r="A635" s="27"/>
      <c r="D635" s="59"/>
      <c r="E635" s="59"/>
      <c r="F635" s="59"/>
      <c r="G635" s="59"/>
      <c r="H635" s="59"/>
      <c r="I635" s="59"/>
    </row>
    <row r="636" ht="12.75" customHeight="1">
      <c r="A636" s="27"/>
      <c r="D636" s="59"/>
      <c r="E636" s="59"/>
      <c r="F636" s="59"/>
      <c r="G636" s="59"/>
      <c r="H636" s="59"/>
      <c r="I636" s="59"/>
    </row>
    <row r="637" ht="12.75" customHeight="1">
      <c r="A637" s="27"/>
      <c r="D637" s="59"/>
      <c r="E637" s="59"/>
      <c r="F637" s="59"/>
      <c r="G637" s="59"/>
      <c r="H637" s="59"/>
      <c r="I637" s="59"/>
    </row>
    <row r="638" ht="12.75" customHeight="1">
      <c r="A638" s="27"/>
      <c r="D638" s="59"/>
      <c r="E638" s="59"/>
      <c r="F638" s="59"/>
      <c r="G638" s="59"/>
      <c r="H638" s="59"/>
      <c r="I638" s="59"/>
    </row>
    <row r="639" ht="12.75" customHeight="1">
      <c r="A639" s="27"/>
      <c r="D639" s="59"/>
      <c r="E639" s="59"/>
      <c r="F639" s="59"/>
      <c r="G639" s="59"/>
      <c r="H639" s="59"/>
      <c r="I639" s="59"/>
    </row>
    <row r="640" ht="12.75" customHeight="1">
      <c r="A640" s="27"/>
      <c r="D640" s="59"/>
      <c r="E640" s="59"/>
      <c r="F640" s="59"/>
      <c r="G640" s="59"/>
      <c r="H640" s="59"/>
      <c r="I640" s="59"/>
    </row>
    <row r="641" ht="12.75" customHeight="1">
      <c r="A641" s="27"/>
      <c r="D641" s="59"/>
      <c r="E641" s="59"/>
      <c r="F641" s="59"/>
      <c r="G641" s="59"/>
      <c r="H641" s="59"/>
      <c r="I641" s="59"/>
    </row>
    <row r="642" ht="12.75" customHeight="1">
      <c r="A642" s="27"/>
      <c r="D642" s="59"/>
      <c r="E642" s="59"/>
      <c r="F642" s="59"/>
      <c r="G642" s="59"/>
      <c r="H642" s="59"/>
      <c r="I642" s="59"/>
    </row>
    <row r="643" ht="12.75" customHeight="1">
      <c r="A643" s="27"/>
      <c r="D643" s="59"/>
      <c r="E643" s="59"/>
      <c r="F643" s="59"/>
      <c r="G643" s="59"/>
      <c r="H643" s="59"/>
      <c r="I643" s="59"/>
    </row>
    <row r="644" ht="12.75" customHeight="1">
      <c r="A644" s="27"/>
      <c r="D644" s="59"/>
      <c r="E644" s="59"/>
      <c r="F644" s="59"/>
      <c r="G644" s="59"/>
      <c r="H644" s="59"/>
      <c r="I644" s="59"/>
    </row>
    <row r="645" ht="12.75" customHeight="1">
      <c r="A645" s="27"/>
      <c r="D645" s="59"/>
      <c r="E645" s="59"/>
      <c r="F645" s="59"/>
      <c r="G645" s="59"/>
      <c r="H645" s="59"/>
      <c r="I645" s="59"/>
    </row>
    <row r="646" ht="12.75" customHeight="1">
      <c r="A646" s="27"/>
      <c r="D646" s="59"/>
      <c r="E646" s="59"/>
      <c r="F646" s="59"/>
      <c r="G646" s="59"/>
      <c r="H646" s="59"/>
      <c r="I646" s="59"/>
    </row>
    <row r="647" ht="12.75" customHeight="1">
      <c r="A647" s="27"/>
      <c r="D647" s="59"/>
      <c r="E647" s="59"/>
      <c r="F647" s="59"/>
      <c r="G647" s="59"/>
      <c r="H647" s="59"/>
      <c r="I647" s="59"/>
    </row>
    <row r="648" ht="12.75" customHeight="1">
      <c r="A648" s="27"/>
      <c r="D648" s="59"/>
      <c r="E648" s="59"/>
      <c r="F648" s="59"/>
      <c r="G648" s="59"/>
      <c r="H648" s="59"/>
      <c r="I648" s="59"/>
    </row>
    <row r="649" ht="12.75" customHeight="1">
      <c r="A649" s="27"/>
      <c r="D649" s="59"/>
      <c r="E649" s="59"/>
      <c r="F649" s="59"/>
      <c r="G649" s="59"/>
      <c r="H649" s="59"/>
      <c r="I649" s="59"/>
    </row>
    <row r="650" ht="12.75" customHeight="1">
      <c r="A650" s="27"/>
      <c r="D650" s="59"/>
      <c r="E650" s="59"/>
      <c r="F650" s="59"/>
      <c r="G650" s="59"/>
      <c r="H650" s="59"/>
      <c r="I650" s="59"/>
    </row>
    <row r="651" ht="12.75" customHeight="1">
      <c r="A651" s="27"/>
      <c r="D651" s="59"/>
      <c r="E651" s="59"/>
      <c r="F651" s="59"/>
      <c r="G651" s="59"/>
      <c r="H651" s="59"/>
      <c r="I651" s="59"/>
    </row>
    <row r="652" ht="12.75" customHeight="1">
      <c r="A652" s="27"/>
      <c r="D652" s="59"/>
      <c r="E652" s="59"/>
      <c r="F652" s="59"/>
      <c r="G652" s="59"/>
      <c r="H652" s="59"/>
      <c r="I652" s="59"/>
    </row>
    <row r="653" ht="12.75" customHeight="1">
      <c r="A653" s="27"/>
      <c r="D653" s="59"/>
      <c r="E653" s="59"/>
      <c r="F653" s="59"/>
      <c r="G653" s="59"/>
      <c r="H653" s="59"/>
      <c r="I653" s="59"/>
    </row>
    <row r="654" ht="12.75" customHeight="1">
      <c r="A654" s="27"/>
      <c r="D654" s="59"/>
      <c r="E654" s="59"/>
      <c r="F654" s="59"/>
      <c r="G654" s="59"/>
      <c r="H654" s="59"/>
      <c r="I654" s="59"/>
    </row>
    <row r="655" ht="12.75" customHeight="1">
      <c r="A655" s="27"/>
      <c r="D655" s="59"/>
      <c r="E655" s="59"/>
      <c r="F655" s="59"/>
      <c r="G655" s="59"/>
      <c r="H655" s="59"/>
      <c r="I655" s="59"/>
    </row>
    <row r="656" ht="12.75" customHeight="1">
      <c r="A656" s="27"/>
      <c r="D656" s="59"/>
      <c r="E656" s="59"/>
      <c r="F656" s="59"/>
      <c r="G656" s="59"/>
      <c r="H656" s="59"/>
      <c r="I656" s="59"/>
    </row>
    <row r="657" ht="12.75" customHeight="1">
      <c r="A657" s="27"/>
      <c r="D657" s="59"/>
      <c r="E657" s="59"/>
      <c r="F657" s="59"/>
      <c r="G657" s="59"/>
      <c r="H657" s="59"/>
      <c r="I657" s="59"/>
    </row>
    <row r="658" ht="12.75" customHeight="1">
      <c r="A658" s="27"/>
      <c r="D658" s="59"/>
      <c r="E658" s="59"/>
      <c r="F658" s="59"/>
      <c r="G658" s="59"/>
      <c r="H658" s="59"/>
      <c r="I658" s="59"/>
    </row>
    <row r="659" ht="12.75" customHeight="1">
      <c r="A659" s="27"/>
      <c r="D659" s="59"/>
      <c r="E659" s="59"/>
      <c r="F659" s="59"/>
      <c r="G659" s="59"/>
      <c r="H659" s="59"/>
      <c r="I659" s="59"/>
    </row>
    <row r="660" ht="12.75" customHeight="1">
      <c r="A660" s="27"/>
      <c r="D660" s="59"/>
      <c r="E660" s="59"/>
      <c r="F660" s="59"/>
      <c r="G660" s="59"/>
      <c r="H660" s="59"/>
      <c r="I660" s="59"/>
    </row>
    <row r="661" ht="12.75" customHeight="1">
      <c r="A661" s="27"/>
      <c r="D661" s="59"/>
      <c r="E661" s="59"/>
      <c r="F661" s="59"/>
      <c r="G661" s="59"/>
      <c r="H661" s="59"/>
      <c r="I661" s="59"/>
    </row>
    <row r="662" ht="12.75" customHeight="1">
      <c r="A662" s="27"/>
      <c r="D662" s="59"/>
      <c r="E662" s="59"/>
      <c r="F662" s="59"/>
      <c r="G662" s="59"/>
      <c r="H662" s="59"/>
      <c r="I662" s="59"/>
    </row>
    <row r="663" ht="12.75" customHeight="1">
      <c r="A663" s="27"/>
      <c r="D663" s="59"/>
      <c r="E663" s="59"/>
      <c r="F663" s="59"/>
      <c r="G663" s="59"/>
      <c r="H663" s="59"/>
      <c r="I663" s="59"/>
    </row>
    <row r="664" ht="12.75" customHeight="1">
      <c r="A664" s="27"/>
      <c r="D664" s="59"/>
      <c r="E664" s="59"/>
      <c r="F664" s="59"/>
      <c r="G664" s="59"/>
      <c r="H664" s="59"/>
      <c r="I664" s="59"/>
    </row>
    <row r="665" ht="12.75" customHeight="1">
      <c r="A665" s="27"/>
      <c r="D665" s="59"/>
      <c r="E665" s="59"/>
      <c r="F665" s="59"/>
      <c r="G665" s="59"/>
      <c r="H665" s="59"/>
      <c r="I665" s="59"/>
    </row>
    <row r="666" ht="12.75" customHeight="1">
      <c r="A666" s="27"/>
      <c r="D666" s="59"/>
      <c r="E666" s="59"/>
      <c r="F666" s="59"/>
      <c r="G666" s="59"/>
      <c r="H666" s="59"/>
      <c r="I666" s="59"/>
    </row>
    <row r="667" ht="12.75" customHeight="1">
      <c r="A667" s="27"/>
      <c r="D667" s="59"/>
      <c r="E667" s="59"/>
      <c r="F667" s="59"/>
      <c r="G667" s="59"/>
      <c r="H667" s="59"/>
      <c r="I667" s="59"/>
    </row>
    <row r="668" ht="12.75" customHeight="1">
      <c r="A668" s="27"/>
      <c r="D668" s="59"/>
      <c r="E668" s="59"/>
      <c r="F668" s="59"/>
      <c r="G668" s="59"/>
      <c r="H668" s="59"/>
      <c r="I668" s="59"/>
    </row>
    <row r="669" ht="12.75" customHeight="1">
      <c r="A669" s="27"/>
      <c r="D669" s="59"/>
      <c r="E669" s="59"/>
      <c r="F669" s="59"/>
      <c r="G669" s="59"/>
      <c r="H669" s="59"/>
      <c r="I669" s="59"/>
    </row>
    <row r="670" ht="12.75" customHeight="1">
      <c r="A670" s="27"/>
      <c r="D670" s="59"/>
      <c r="E670" s="59"/>
      <c r="F670" s="59"/>
      <c r="G670" s="59"/>
      <c r="H670" s="59"/>
      <c r="I670" s="59"/>
    </row>
    <row r="671" ht="12.75" customHeight="1">
      <c r="A671" s="27"/>
      <c r="D671" s="59"/>
      <c r="E671" s="59"/>
      <c r="F671" s="59"/>
      <c r="G671" s="59"/>
      <c r="H671" s="59"/>
      <c r="I671" s="59"/>
    </row>
    <row r="672" ht="12.75" customHeight="1">
      <c r="A672" s="27"/>
      <c r="D672" s="59"/>
      <c r="E672" s="59"/>
      <c r="F672" s="59"/>
      <c r="G672" s="59"/>
      <c r="H672" s="59"/>
      <c r="I672" s="59"/>
    </row>
    <row r="673" ht="12.75" customHeight="1">
      <c r="A673" s="27"/>
      <c r="D673" s="59"/>
      <c r="E673" s="59"/>
      <c r="F673" s="59"/>
      <c r="G673" s="59"/>
      <c r="H673" s="59"/>
      <c r="I673" s="59"/>
    </row>
    <row r="674" ht="12.75" customHeight="1">
      <c r="A674" s="27"/>
      <c r="D674" s="59"/>
      <c r="E674" s="59"/>
      <c r="F674" s="59"/>
      <c r="G674" s="59"/>
      <c r="H674" s="59"/>
      <c r="I674" s="59"/>
    </row>
    <row r="675" ht="12.75" customHeight="1">
      <c r="A675" s="27"/>
      <c r="D675" s="59"/>
      <c r="E675" s="59"/>
      <c r="F675" s="59"/>
      <c r="G675" s="59"/>
      <c r="H675" s="59"/>
      <c r="I675" s="59"/>
    </row>
    <row r="676" ht="12.75" customHeight="1">
      <c r="A676" s="27"/>
      <c r="D676" s="59"/>
      <c r="E676" s="59"/>
      <c r="F676" s="59"/>
      <c r="G676" s="59"/>
      <c r="H676" s="59"/>
      <c r="I676" s="59"/>
    </row>
    <row r="677" ht="12.75" customHeight="1">
      <c r="A677" s="27"/>
      <c r="D677" s="59"/>
      <c r="E677" s="59"/>
      <c r="F677" s="59"/>
      <c r="G677" s="59"/>
      <c r="H677" s="59"/>
      <c r="I677" s="59"/>
    </row>
    <row r="678" ht="12.75" customHeight="1">
      <c r="A678" s="27"/>
      <c r="D678" s="59"/>
      <c r="E678" s="59"/>
      <c r="F678" s="59"/>
      <c r="G678" s="59"/>
      <c r="H678" s="59"/>
      <c r="I678" s="59"/>
    </row>
    <row r="679" ht="12.75" customHeight="1">
      <c r="A679" s="27"/>
      <c r="D679" s="59"/>
      <c r="E679" s="59"/>
      <c r="F679" s="59"/>
      <c r="G679" s="59"/>
      <c r="H679" s="59"/>
      <c r="I679" s="59"/>
    </row>
    <row r="680" ht="12.75" customHeight="1">
      <c r="A680" s="27"/>
      <c r="D680" s="59"/>
      <c r="E680" s="59"/>
      <c r="F680" s="59"/>
      <c r="G680" s="59"/>
      <c r="H680" s="59"/>
      <c r="I680" s="59"/>
    </row>
    <row r="681" ht="12.75" customHeight="1">
      <c r="A681" s="27"/>
      <c r="D681" s="59"/>
      <c r="E681" s="59"/>
      <c r="F681" s="59"/>
      <c r="G681" s="59"/>
      <c r="H681" s="59"/>
      <c r="I681" s="59"/>
    </row>
    <row r="682" ht="12.75" customHeight="1">
      <c r="A682" s="27"/>
      <c r="D682" s="59"/>
      <c r="E682" s="59"/>
      <c r="F682" s="59"/>
      <c r="G682" s="59"/>
      <c r="H682" s="59"/>
      <c r="I682" s="59"/>
    </row>
    <row r="683" ht="12.75" customHeight="1">
      <c r="A683" s="27"/>
      <c r="D683" s="59"/>
      <c r="E683" s="59"/>
      <c r="F683" s="59"/>
      <c r="G683" s="59"/>
      <c r="H683" s="59"/>
      <c r="I683" s="59"/>
    </row>
    <row r="684" ht="12.75" customHeight="1">
      <c r="A684" s="27"/>
      <c r="D684" s="59"/>
      <c r="E684" s="59"/>
      <c r="F684" s="59"/>
      <c r="G684" s="59"/>
      <c r="H684" s="59"/>
      <c r="I684" s="59"/>
    </row>
    <row r="685" ht="12.75" customHeight="1">
      <c r="A685" s="27"/>
      <c r="D685" s="59"/>
      <c r="E685" s="59"/>
      <c r="F685" s="59"/>
      <c r="G685" s="59"/>
      <c r="H685" s="59"/>
      <c r="I685" s="59"/>
    </row>
    <row r="686" ht="12.75" customHeight="1">
      <c r="A686" s="27"/>
      <c r="D686" s="59"/>
      <c r="E686" s="59"/>
      <c r="F686" s="59"/>
      <c r="G686" s="59"/>
      <c r="H686" s="59"/>
      <c r="I686" s="59"/>
    </row>
    <row r="687" ht="12.75" customHeight="1">
      <c r="A687" s="27"/>
      <c r="D687" s="59"/>
      <c r="E687" s="59"/>
      <c r="F687" s="59"/>
      <c r="G687" s="59"/>
      <c r="H687" s="59"/>
      <c r="I687" s="59"/>
    </row>
    <row r="688" ht="12.75" customHeight="1">
      <c r="A688" s="27"/>
      <c r="D688" s="59"/>
      <c r="E688" s="59"/>
      <c r="F688" s="59"/>
      <c r="G688" s="59"/>
      <c r="H688" s="59"/>
      <c r="I688" s="59"/>
    </row>
    <row r="689" ht="12.75" customHeight="1">
      <c r="A689" s="27"/>
      <c r="D689" s="59"/>
      <c r="E689" s="59"/>
      <c r="F689" s="59"/>
      <c r="G689" s="59"/>
      <c r="H689" s="59"/>
      <c r="I689" s="59"/>
    </row>
    <row r="690" ht="12.75" customHeight="1">
      <c r="A690" s="27"/>
      <c r="D690" s="59"/>
      <c r="E690" s="59"/>
      <c r="F690" s="59"/>
      <c r="G690" s="59"/>
      <c r="H690" s="59"/>
      <c r="I690" s="59"/>
    </row>
    <row r="691" ht="12.75" customHeight="1">
      <c r="A691" s="27"/>
      <c r="D691" s="59"/>
      <c r="E691" s="59"/>
      <c r="F691" s="59"/>
      <c r="G691" s="59"/>
      <c r="H691" s="59"/>
      <c r="I691" s="59"/>
    </row>
    <row r="692" ht="12.75" customHeight="1">
      <c r="A692" s="27"/>
      <c r="D692" s="59"/>
      <c r="E692" s="59"/>
      <c r="F692" s="59"/>
      <c r="G692" s="59"/>
      <c r="H692" s="59"/>
      <c r="I692" s="59"/>
    </row>
    <row r="693" ht="12.75" customHeight="1">
      <c r="A693" s="27"/>
      <c r="D693" s="59"/>
      <c r="E693" s="59"/>
      <c r="F693" s="59"/>
      <c r="G693" s="59"/>
      <c r="H693" s="59"/>
      <c r="I693" s="59"/>
    </row>
    <row r="694" ht="12.75" customHeight="1">
      <c r="A694" s="27"/>
      <c r="D694" s="59"/>
      <c r="E694" s="59"/>
      <c r="F694" s="59"/>
      <c r="G694" s="59"/>
      <c r="H694" s="59"/>
      <c r="I694" s="59"/>
    </row>
    <row r="695" ht="12.75" customHeight="1">
      <c r="A695" s="27"/>
      <c r="D695" s="59"/>
      <c r="E695" s="59"/>
      <c r="F695" s="59"/>
      <c r="G695" s="59"/>
      <c r="H695" s="59"/>
      <c r="I695" s="59"/>
    </row>
    <row r="696" ht="12.75" customHeight="1">
      <c r="A696" s="27"/>
      <c r="D696" s="59"/>
      <c r="E696" s="59"/>
      <c r="F696" s="59"/>
      <c r="G696" s="59"/>
      <c r="H696" s="59"/>
      <c r="I696" s="59"/>
    </row>
    <row r="697" ht="12.75" customHeight="1">
      <c r="A697" s="27"/>
      <c r="D697" s="59"/>
      <c r="E697" s="59"/>
      <c r="F697" s="59"/>
      <c r="G697" s="59"/>
      <c r="H697" s="59"/>
      <c r="I697" s="59"/>
    </row>
    <row r="698" ht="12.75" customHeight="1">
      <c r="A698" s="27"/>
      <c r="D698" s="59"/>
      <c r="E698" s="59"/>
      <c r="F698" s="59"/>
      <c r="G698" s="59"/>
      <c r="H698" s="59"/>
      <c r="I698" s="59"/>
    </row>
    <row r="699" ht="12.75" customHeight="1">
      <c r="A699" s="27"/>
      <c r="D699" s="59"/>
      <c r="E699" s="59"/>
      <c r="F699" s="59"/>
      <c r="G699" s="59"/>
      <c r="H699" s="59"/>
      <c r="I699" s="59"/>
    </row>
    <row r="700" ht="12.75" customHeight="1">
      <c r="A700" s="27"/>
      <c r="D700" s="59"/>
      <c r="E700" s="59"/>
      <c r="F700" s="59"/>
      <c r="G700" s="59"/>
      <c r="H700" s="59"/>
      <c r="I700" s="59"/>
    </row>
    <row r="701" ht="12.75" customHeight="1">
      <c r="A701" s="27"/>
      <c r="D701" s="59"/>
      <c r="E701" s="59"/>
      <c r="F701" s="59"/>
      <c r="G701" s="59"/>
      <c r="H701" s="59"/>
      <c r="I701" s="59"/>
    </row>
    <row r="702" ht="12.75" customHeight="1">
      <c r="A702" s="27"/>
      <c r="D702" s="59"/>
      <c r="E702" s="59"/>
      <c r="F702" s="59"/>
      <c r="G702" s="59"/>
      <c r="H702" s="59"/>
      <c r="I702" s="59"/>
    </row>
    <row r="703" ht="12.75" customHeight="1">
      <c r="A703" s="27"/>
      <c r="D703" s="59"/>
      <c r="E703" s="59"/>
      <c r="F703" s="59"/>
      <c r="G703" s="59"/>
      <c r="H703" s="59"/>
      <c r="I703" s="59"/>
    </row>
    <row r="704" ht="12.75" customHeight="1">
      <c r="A704" s="27"/>
      <c r="D704" s="59"/>
      <c r="E704" s="59"/>
      <c r="F704" s="59"/>
      <c r="G704" s="59"/>
      <c r="H704" s="59"/>
      <c r="I704" s="59"/>
    </row>
    <row r="705" ht="12.75" customHeight="1">
      <c r="A705" s="27"/>
      <c r="D705" s="59"/>
      <c r="E705" s="59"/>
      <c r="F705" s="59"/>
      <c r="G705" s="59"/>
      <c r="H705" s="59"/>
      <c r="I705" s="59"/>
    </row>
    <row r="706" ht="12.75" customHeight="1">
      <c r="A706" s="27"/>
      <c r="D706" s="59"/>
      <c r="E706" s="59"/>
      <c r="F706" s="59"/>
      <c r="G706" s="59"/>
      <c r="H706" s="59"/>
      <c r="I706" s="59"/>
    </row>
    <row r="707" ht="12.75" customHeight="1">
      <c r="A707" s="27"/>
      <c r="D707" s="59"/>
      <c r="E707" s="59"/>
      <c r="F707" s="59"/>
      <c r="G707" s="59"/>
      <c r="H707" s="59"/>
      <c r="I707" s="59"/>
    </row>
    <row r="708" ht="12.75" customHeight="1">
      <c r="A708" s="27"/>
      <c r="D708" s="59"/>
      <c r="E708" s="59"/>
      <c r="F708" s="59"/>
      <c r="G708" s="59"/>
      <c r="H708" s="59"/>
      <c r="I708" s="59"/>
    </row>
    <row r="709" ht="12.75" customHeight="1">
      <c r="A709" s="27"/>
      <c r="D709" s="59"/>
      <c r="E709" s="59"/>
      <c r="F709" s="59"/>
      <c r="G709" s="59"/>
      <c r="H709" s="59"/>
      <c r="I709" s="59"/>
    </row>
    <row r="710" ht="12.75" customHeight="1">
      <c r="A710" s="27"/>
      <c r="D710" s="59"/>
      <c r="E710" s="59"/>
      <c r="F710" s="59"/>
      <c r="G710" s="59"/>
      <c r="H710" s="59"/>
      <c r="I710" s="59"/>
    </row>
    <row r="711" ht="12.75" customHeight="1">
      <c r="A711" s="27"/>
      <c r="D711" s="59"/>
      <c r="E711" s="59"/>
      <c r="F711" s="59"/>
      <c r="G711" s="59"/>
      <c r="H711" s="59"/>
      <c r="I711" s="59"/>
    </row>
    <row r="712" ht="12.75" customHeight="1">
      <c r="A712" s="27"/>
      <c r="D712" s="59"/>
      <c r="E712" s="59"/>
      <c r="F712" s="59"/>
      <c r="G712" s="59"/>
      <c r="H712" s="59"/>
      <c r="I712" s="59"/>
    </row>
    <row r="713" ht="12.75" customHeight="1">
      <c r="A713" s="27"/>
      <c r="D713" s="59"/>
      <c r="E713" s="59"/>
      <c r="F713" s="59"/>
      <c r="G713" s="59"/>
      <c r="H713" s="59"/>
      <c r="I713" s="59"/>
    </row>
    <row r="714" ht="12.75" customHeight="1">
      <c r="A714" s="27"/>
      <c r="D714" s="59"/>
      <c r="E714" s="59"/>
      <c r="F714" s="59"/>
      <c r="G714" s="59"/>
      <c r="H714" s="59"/>
      <c r="I714" s="59"/>
    </row>
    <row r="715" ht="12.75" customHeight="1">
      <c r="A715" s="27"/>
      <c r="D715" s="59"/>
      <c r="E715" s="59"/>
      <c r="F715" s="59"/>
      <c r="G715" s="59"/>
      <c r="H715" s="59"/>
      <c r="I715" s="59"/>
    </row>
    <row r="716" ht="12.75" customHeight="1">
      <c r="A716" s="27"/>
      <c r="D716" s="59"/>
      <c r="E716" s="59"/>
      <c r="F716" s="59"/>
      <c r="G716" s="59"/>
      <c r="H716" s="59"/>
      <c r="I716" s="59"/>
    </row>
    <row r="717" ht="12.75" customHeight="1">
      <c r="A717" s="27"/>
      <c r="D717" s="59"/>
      <c r="E717" s="59"/>
      <c r="F717" s="59"/>
      <c r="G717" s="59"/>
      <c r="H717" s="59"/>
      <c r="I717" s="59"/>
    </row>
    <row r="718" ht="12.75" customHeight="1">
      <c r="A718" s="27"/>
      <c r="D718" s="59"/>
      <c r="E718" s="59"/>
      <c r="F718" s="59"/>
      <c r="G718" s="59"/>
      <c r="H718" s="59"/>
      <c r="I718" s="59"/>
    </row>
    <row r="719" ht="12.75" customHeight="1">
      <c r="A719" s="27"/>
      <c r="D719" s="59"/>
      <c r="E719" s="59"/>
      <c r="F719" s="59"/>
      <c r="G719" s="59"/>
      <c r="H719" s="59"/>
      <c r="I719" s="59"/>
    </row>
    <row r="720" ht="12.75" customHeight="1">
      <c r="A720" s="27"/>
      <c r="D720" s="59"/>
      <c r="E720" s="59"/>
      <c r="F720" s="59"/>
      <c r="G720" s="59"/>
      <c r="H720" s="59"/>
      <c r="I720" s="59"/>
    </row>
    <row r="721" ht="12.75" customHeight="1">
      <c r="A721" s="27"/>
      <c r="D721" s="59"/>
      <c r="E721" s="59"/>
      <c r="F721" s="59"/>
      <c r="G721" s="59"/>
      <c r="H721" s="59"/>
      <c r="I721" s="59"/>
    </row>
    <row r="722" ht="12.75" customHeight="1">
      <c r="A722" s="27"/>
      <c r="D722" s="59"/>
      <c r="E722" s="59"/>
      <c r="F722" s="59"/>
      <c r="G722" s="59"/>
      <c r="H722" s="59"/>
      <c r="I722" s="59"/>
    </row>
    <row r="723" ht="12.75" customHeight="1">
      <c r="A723" s="27"/>
      <c r="D723" s="59"/>
      <c r="E723" s="59"/>
      <c r="F723" s="59"/>
      <c r="G723" s="59"/>
      <c r="H723" s="59"/>
      <c r="I723" s="59"/>
    </row>
    <row r="724" ht="12.75" customHeight="1">
      <c r="A724" s="27"/>
      <c r="D724" s="59"/>
      <c r="E724" s="59"/>
      <c r="F724" s="59"/>
      <c r="G724" s="59"/>
      <c r="H724" s="59"/>
      <c r="I724" s="59"/>
    </row>
    <row r="725" ht="12.75" customHeight="1">
      <c r="A725" s="27"/>
      <c r="D725" s="59"/>
      <c r="E725" s="59"/>
      <c r="F725" s="59"/>
      <c r="G725" s="59"/>
      <c r="H725" s="59"/>
      <c r="I725" s="59"/>
    </row>
    <row r="726" ht="12.75" customHeight="1">
      <c r="A726" s="27"/>
      <c r="D726" s="59"/>
      <c r="E726" s="59"/>
      <c r="F726" s="59"/>
      <c r="G726" s="59"/>
      <c r="H726" s="59"/>
      <c r="I726" s="59"/>
    </row>
    <row r="727" ht="12.75" customHeight="1">
      <c r="A727" s="27"/>
      <c r="D727" s="59"/>
      <c r="E727" s="59"/>
      <c r="F727" s="59"/>
      <c r="G727" s="59"/>
      <c r="H727" s="59"/>
      <c r="I727" s="59"/>
    </row>
    <row r="728" ht="12.75" customHeight="1">
      <c r="A728" s="27"/>
      <c r="D728" s="59"/>
      <c r="E728" s="59"/>
      <c r="F728" s="59"/>
      <c r="G728" s="59"/>
      <c r="H728" s="59"/>
      <c r="I728" s="59"/>
    </row>
    <row r="729" ht="12.75" customHeight="1">
      <c r="A729" s="27"/>
      <c r="D729" s="59"/>
      <c r="E729" s="59"/>
      <c r="F729" s="59"/>
      <c r="G729" s="59"/>
      <c r="H729" s="59"/>
      <c r="I729" s="59"/>
    </row>
    <row r="730" ht="12.75" customHeight="1">
      <c r="A730" s="27"/>
      <c r="D730" s="59"/>
      <c r="E730" s="59"/>
      <c r="F730" s="59"/>
      <c r="G730" s="59"/>
      <c r="H730" s="59"/>
      <c r="I730" s="59"/>
    </row>
    <row r="731" ht="12.75" customHeight="1">
      <c r="A731" s="27"/>
      <c r="D731" s="59"/>
      <c r="E731" s="59"/>
      <c r="F731" s="59"/>
      <c r="G731" s="59"/>
      <c r="H731" s="59"/>
      <c r="I731" s="59"/>
    </row>
    <row r="732" ht="12.75" customHeight="1">
      <c r="A732" s="27"/>
      <c r="D732" s="59"/>
      <c r="E732" s="59"/>
      <c r="F732" s="59"/>
      <c r="G732" s="59"/>
      <c r="H732" s="59"/>
      <c r="I732" s="59"/>
    </row>
    <row r="733" ht="12.75" customHeight="1">
      <c r="A733" s="27"/>
      <c r="D733" s="59"/>
      <c r="E733" s="59"/>
      <c r="F733" s="59"/>
      <c r="G733" s="59"/>
      <c r="H733" s="59"/>
      <c r="I733" s="59"/>
    </row>
    <row r="734" ht="12.75" customHeight="1">
      <c r="A734" s="27"/>
      <c r="D734" s="59"/>
      <c r="E734" s="59"/>
      <c r="F734" s="59"/>
      <c r="G734" s="59"/>
      <c r="H734" s="59"/>
      <c r="I734" s="59"/>
    </row>
    <row r="735" ht="12.75" customHeight="1">
      <c r="A735" s="27"/>
      <c r="D735" s="59"/>
      <c r="E735" s="59"/>
      <c r="F735" s="59"/>
      <c r="G735" s="59"/>
      <c r="H735" s="59"/>
      <c r="I735" s="59"/>
    </row>
    <row r="736" ht="12.75" customHeight="1">
      <c r="A736" s="27"/>
      <c r="D736" s="59"/>
      <c r="E736" s="59"/>
      <c r="F736" s="59"/>
      <c r="G736" s="59"/>
      <c r="H736" s="59"/>
      <c r="I736" s="59"/>
    </row>
    <row r="737" ht="12.75" customHeight="1">
      <c r="A737" s="27"/>
      <c r="D737" s="59"/>
      <c r="E737" s="59"/>
      <c r="F737" s="59"/>
      <c r="G737" s="59"/>
      <c r="H737" s="59"/>
      <c r="I737" s="59"/>
    </row>
    <row r="738" ht="12.75" customHeight="1">
      <c r="A738" s="27"/>
      <c r="D738" s="59"/>
      <c r="E738" s="59"/>
      <c r="F738" s="59"/>
      <c r="G738" s="59"/>
      <c r="H738" s="59"/>
      <c r="I738" s="59"/>
    </row>
    <row r="739" ht="12.75" customHeight="1">
      <c r="A739" s="27"/>
      <c r="D739" s="59"/>
      <c r="E739" s="59"/>
      <c r="F739" s="59"/>
      <c r="G739" s="59"/>
      <c r="H739" s="59"/>
      <c r="I739" s="59"/>
    </row>
    <row r="740" ht="12.75" customHeight="1">
      <c r="A740" s="27"/>
      <c r="D740" s="59"/>
      <c r="E740" s="59"/>
      <c r="F740" s="59"/>
      <c r="G740" s="59"/>
      <c r="H740" s="59"/>
      <c r="I740" s="59"/>
    </row>
    <row r="741" ht="12.75" customHeight="1">
      <c r="A741" s="27"/>
      <c r="D741" s="59"/>
      <c r="E741" s="59"/>
      <c r="F741" s="59"/>
      <c r="G741" s="59"/>
      <c r="H741" s="59"/>
      <c r="I741" s="59"/>
    </row>
    <row r="742" ht="12.75" customHeight="1">
      <c r="A742" s="27"/>
      <c r="D742" s="59"/>
      <c r="E742" s="59"/>
      <c r="F742" s="59"/>
      <c r="G742" s="59"/>
      <c r="H742" s="59"/>
      <c r="I742" s="59"/>
    </row>
    <row r="743" ht="12.75" customHeight="1">
      <c r="A743" s="27"/>
      <c r="D743" s="59"/>
      <c r="E743" s="59"/>
      <c r="F743" s="59"/>
      <c r="G743" s="59"/>
      <c r="H743" s="59"/>
      <c r="I743" s="59"/>
    </row>
    <row r="744" ht="12.75" customHeight="1">
      <c r="A744" s="27"/>
      <c r="D744" s="59"/>
      <c r="E744" s="59"/>
      <c r="F744" s="59"/>
      <c r="G744" s="59"/>
      <c r="H744" s="59"/>
      <c r="I744" s="59"/>
    </row>
    <row r="745" ht="12.75" customHeight="1">
      <c r="A745" s="27"/>
      <c r="D745" s="59"/>
      <c r="E745" s="59"/>
      <c r="F745" s="59"/>
      <c r="G745" s="59"/>
      <c r="H745" s="59"/>
      <c r="I745" s="59"/>
    </row>
    <row r="746" ht="12.75" customHeight="1">
      <c r="A746" s="27"/>
      <c r="D746" s="59"/>
      <c r="E746" s="59"/>
      <c r="F746" s="59"/>
      <c r="G746" s="59"/>
      <c r="H746" s="59"/>
      <c r="I746" s="59"/>
    </row>
    <row r="747" ht="12.75" customHeight="1">
      <c r="A747" s="27"/>
      <c r="D747" s="59"/>
      <c r="E747" s="59"/>
      <c r="F747" s="59"/>
      <c r="G747" s="59"/>
      <c r="H747" s="59"/>
      <c r="I747" s="59"/>
    </row>
    <row r="748" ht="12.75" customHeight="1">
      <c r="A748" s="27"/>
      <c r="D748" s="59"/>
      <c r="E748" s="59"/>
      <c r="F748" s="59"/>
      <c r="G748" s="59"/>
      <c r="H748" s="59"/>
      <c r="I748" s="59"/>
    </row>
    <row r="749" ht="12.75" customHeight="1">
      <c r="A749" s="27"/>
      <c r="D749" s="59"/>
      <c r="E749" s="59"/>
      <c r="F749" s="59"/>
      <c r="G749" s="59"/>
      <c r="H749" s="59"/>
      <c r="I749" s="59"/>
    </row>
    <row r="750" ht="12.75" customHeight="1">
      <c r="A750" s="27"/>
      <c r="D750" s="59"/>
      <c r="E750" s="59"/>
      <c r="F750" s="59"/>
      <c r="G750" s="59"/>
      <c r="H750" s="59"/>
      <c r="I750" s="59"/>
    </row>
    <row r="751" ht="12.75" customHeight="1">
      <c r="A751" s="27"/>
      <c r="D751" s="59"/>
      <c r="E751" s="59"/>
      <c r="F751" s="59"/>
      <c r="G751" s="59"/>
      <c r="H751" s="59"/>
      <c r="I751" s="59"/>
    </row>
    <row r="752" ht="12.75" customHeight="1">
      <c r="A752" s="27"/>
      <c r="D752" s="59"/>
      <c r="E752" s="59"/>
      <c r="F752" s="59"/>
      <c r="G752" s="59"/>
      <c r="H752" s="59"/>
      <c r="I752" s="59"/>
    </row>
    <row r="753" ht="12.75" customHeight="1">
      <c r="A753" s="27"/>
      <c r="D753" s="59"/>
      <c r="E753" s="59"/>
      <c r="F753" s="59"/>
      <c r="G753" s="59"/>
      <c r="H753" s="59"/>
      <c r="I753" s="59"/>
    </row>
    <row r="754" ht="12.75" customHeight="1">
      <c r="A754" s="27"/>
      <c r="D754" s="59"/>
      <c r="E754" s="59"/>
      <c r="F754" s="59"/>
      <c r="G754" s="59"/>
      <c r="H754" s="59"/>
      <c r="I754" s="59"/>
    </row>
    <row r="755" ht="12.75" customHeight="1">
      <c r="A755" s="27"/>
      <c r="D755" s="59"/>
      <c r="E755" s="59"/>
      <c r="F755" s="59"/>
      <c r="G755" s="59"/>
      <c r="H755" s="59"/>
      <c r="I755" s="59"/>
    </row>
    <row r="756" ht="12.75" customHeight="1">
      <c r="A756" s="27"/>
      <c r="D756" s="59"/>
      <c r="E756" s="59"/>
      <c r="F756" s="59"/>
      <c r="G756" s="59"/>
      <c r="H756" s="59"/>
      <c r="I756" s="59"/>
    </row>
    <row r="757" ht="12.75" customHeight="1">
      <c r="A757" s="27"/>
      <c r="D757" s="59"/>
      <c r="E757" s="59"/>
      <c r="F757" s="59"/>
      <c r="G757" s="59"/>
      <c r="H757" s="59"/>
      <c r="I757" s="59"/>
    </row>
    <row r="758" ht="12.75" customHeight="1">
      <c r="A758" s="27"/>
      <c r="D758" s="59"/>
      <c r="E758" s="59"/>
      <c r="F758" s="59"/>
      <c r="G758" s="59"/>
      <c r="H758" s="59"/>
      <c r="I758" s="59"/>
    </row>
    <row r="759" ht="12.75" customHeight="1">
      <c r="A759" s="27"/>
      <c r="D759" s="59"/>
      <c r="E759" s="59"/>
      <c r="F759" s="59"/>
      <c r="G759" s="59"/>
      <c r="H759" s="59"/>
      <c r="I759" s="59"/>
    </row>
    <row r="760" ht="12.75" customHeight="1">
      <c r="A760" s="27"/>
      <c r="D760" s="59"/>
      <c r="E760" s="59"/>
      <c r="F760" s="59"/>
      <c r="G760" s="59"/>
      <c r="H760" s="59"/>
      <c r="I760" s="59"/>
    </row>
    <row r="761" ht="12.75" customHeight="1">
      <c r="A761" s="27"/>
      <c r="D761" s="59"/>
      <c r="E761" s="59"/>
      <c r="F761" s="59"/>
      <c r="G761" s="59"/>
      <c r="H761" s="59"/>
      <c r="I761" s="59"/>
    </row>
    <row r="762" ht="12.75" customHeight="1">
      <c r="A762" s="27"/>
      <c r="D762" s="59"/>
      <c r="E762" s="59"/>
      <c r="F762" s="59"/>
      <c r="G762" s="59"/>
      <c r="H762" s="59"/>
      <c r="I762" s="59"/>
    </row>
    <row r="763" ht="12.75" customHeight="1">
      <c r="A763" s="27"/>
      <c r="D763" s="59"/>
      <c r="E763" s="59"/>
      <c r="F763" s="59"/>
      <c r="G763" s="59"/>
      <c r="H763" s="59"/>
      <c r="I763" s="59"/>
    </row>
    <row r="764" ht="12.75" customHeight="1">
      <c r="A764" s="27"/>
      <c r="D764" s="59"/>
      <c r="E764" s="59"/>
      <c r="F764" s="59"/>
      <c r="G764" s="59"/>
      <c r="H764" s="59"/>
      <c r="I764" s="59"/>
    </row>
    <row r="765" ht="12.75" customHeight="1">
      <c r="A765" s="27"/>
      <c r="D765" s="59"/>
      <c r="E765" s="59"/>
      <c r="F765" s="59"/>
      <c r="G765" s="59"/>
      <c r="H765" s="59"/>
      <c r="I765" s="59"/>
    </row>
    <row r="766" ht="12.75" customHeight="1">
      <c r="A766" s="27"/>
      <c r="D766" s="59"/>
      <c r="E766" s="59"/>
      <c r="F766" s="59"/>
      <c r="G766" s="59"/>
      <c r="H766" s="59"/>
      <c r="I766" s="59"/>
    </row>
    <row r="767" ht="12.75" customHeight="1">
      <c r="A767" s="27"/>
      <c r="D767" s="59"/>
      <c r="E767" s="59"/>
      <c r="F767" s="59"/>
      <c r="G767" s="59"/>
      <c r="H767" s="59"/>
      <c r="I767" s="59"/>
    </row>
    <row r="768" ht="12.75" customHeight="1">
      <c r="A768" s="27"/>
      <c r="D768" s="59"/>
      <c r="E768" s="59"/>
      <c r="F768" s="59"/>
      <c r="G768" s="59"/>
      <c r="H768" s="59"/>
      <c r="I768" s="59"/>
    </row>
    <row r="769" ht="12.75" customHeight="1">
      <c r="A769" s="27"/>
      <c r="D769" s="59"/>
      <c r="E769" s="59"/>
      <c r="F769" s="59"/>
      <c r="G769" s="59"/>
      <c r="H769" s="59"/>
      <c r="I769" s="59"/>
    </row>
    <row r="770" ht="12.75" customHeight="1">
      <c r="A770" s="27"/>
      <c r="D770" s="59"/>
      <c r="E770" s="59"/>
      <c r="F770" s="59"/>
      <c r="G770" s="59"/>
      <c r="H770" s="59"/>
      <c r="I770" s="59"/>
    </row>
    <row r="771" ht="12.75" customHeight="1">
      <c r="A771" s="27"/>
      <c r="D771" s="59"/>
      <c r="E771" s="59"/>
      <c r="F771" s="59"/>
      <c r="G771" s="59"/>
      <c r="H771" s="59"/>
      <c r="I771" s="59"/>
    </row>
    <row r="772" ht="12.75" customHeight="1">
      <c r="A772" s="27"/>
      <c r="D772" s="59"/>
      <c r="E772" s="59"/>
      <c r="F772" s="59"/>
      <c r="G772" s="59"/>
      <c r="H772" s="59"/>
      <c r="I772" s="59"/>
    </row>
    <row r="773" ht="12.75" customHeight="1">
      <c r="A773" s="27"/>
      <c r="D773" s="59"/>
      <c r="E773" s="59"/>
      <c r="F773" s="59"/>
      <c r="G773" s="59"/>
      <c r="H773" s="59"/>
      <c r="I773" s="59"/>
    </row>
    <row r="774" ht="12.75" customHeight="1">
      <c r="A774" s="27"/>
      <c r="D774" s="59"/>
      <c r="E774" s="59"/>
      <c r="F774" s="59"/>
      <c r="G774" s="59"/>
      <c r="H774" s="59"/>
      <c r="I774" s="59"/>
    </row>
    <row r="775" ht="12.75" customHeight="1">
      <c r="A775" s="27"/>
      <c r="D775" s="59"/>
      <c r="E775" s="59"/>
      <c r="F775" s="59"/>
      <c r="G775" s="59"/>
      <c r="H775" s="59"/>
      <c r="I775" s="59"/>
    </row>
    <row r="776" ht="12.75" customHeight="1">
      <c r="A776" s="27"/>
      <c r="D776" s="59"/>
      <c r="E776" s="59"/>
      <c r="F776" s="59"/>
      <c r="G776" s="59"/>
      <c r="H776" s="59"/>
      <c r="I776" s="59"/>
    </row>
    <row r="777" ht="12.75" customHeight="1">
      <c r="A777" s="27"/>
      <c r="D777" s="59"/>
      <c r="E777" s="59"/>
      <c r="F777" s="59"/>
      <c r="G777" s="59"/>
      <c r="H777" s="59"/>
      <c r="I777" s="59"/>
    </row>
    <row r="778" ht="12.75" customHeight="1">
      <c r="A778" s="27"/>
      <c r="D778" s="59"/>
      <c r="E778" s="59"/>
      <c r="F778" s="59"/>
      <c r="G778" s="59"/>
      <c r="H778" s="59"/>
      <c r="I778" s="59"/>
    </row>
    <row r="779" ht="12.75" customHeight="1">
      <c r="A779" s="27"/>
      <c r="D779" s="59"/>
      <c r="E779" s="59"/>
      <c r="F779" s="59"/>
      <c r="G779" s="59"/>
      <c r="H779" s="59"/>
      <c r="I779" s="59"/>
    </row>
    <row r="780" ht="12.75" customHeight="1">
      <c r="A780" s="27"/>
      <c r="D780" s="59"/>
      <c r="E780" s="59"/>
      <c r="F780" s="59"/>
      <c r="G780" s="59"/>
      <c r="H780" s="59"/>
      <c r="I780" s="59"/>
    </row>
    <row r="781" ht="12.75" customHeight="1">
      <c r="A781" s="27"/>
      <c r="D781" s="59"/>
      <c r="E781" s="59"/>
      <c r="F781" s="59"/>
      <c r="G781" s="59"/>
      <c r="H781" s="59"/>
      <c r="I781" s="59"/>
    </row>
    <row r="782" ht="12.75" customHeight="1">
      <c r="A782" s="27"/>
      <c r="D782" s="59"/>
      <c r="E782" s="59"/>
      <c r="F782" s="59"/>
      <c r="G782" s="59"/>
      <c r="H782" s="59"/>
      <c r="I782" s="59"/>
    </row>
    <row r="783" ht="12.75" customHeight="1">
      <c r="A783" s="27"/>
      <c r="D783" s="59"/>
      <c r="E783" s="59"/>
      <c r="F783" s="59"/>
      <c r="G783" s="59"/>
      <c r="H783" s="59"/>
      <c r="I783" s="59"/>
    </row>
    <row r="784" ht="12.75" customHeight="1">
      <c r="A784" s="27"/>
      <c r="D784" s="59"/>
      <c r="E784" s="59"/>
      <c r="F784" s="59"/>
      <c r="G784" s="59"/>
      <c r="H784" s="59"/>
      <c r="I784" s="59"/>
    </row>
    <row r="785" ht="12.75" customHeight="1">
      <c r="A785" s="27"/>
      <c r="D785" s="59"/>
      <c r="E785" s="59"/>
      <c r="F785" s="59"/>
      <c r="G785" s="59"/>
      <c r="H785" s="59"/>
      <c r="I785" s="59"/>
    </row>
    <row r="786" ht="12.75" customHeight="1">
      <c r="A786" s="27"/>
      <c r="D786" s="59"/>
      <c r="E786" s="59"/>
      <c r="F786" s="59"/>
      <c r="G786" s="59"/>
      <c r="H786" s="59"/>
      <c r="I786" s="59"/>
    </row>
    <row r="787" ht="12.75" customHeight="1">
      <c r="A787" s="27"/>
      <c r="D787" s="59"/>
      <c r="E787" s="59"/>
      <c r="F787" s="59"/>
      <c r="G787" s="59"/>
      <c r="H787" s="59"/>
      <c r="I787" s="59"/>
    </row>
    <row r="788" ht="12.75" customHeight="1">
      <c r="A788" s="27"/>
      <c r="D788" s="59"/>
      <c r="E788" s="59"/>
      <c r="F788" s="59"/>
      <c r="G788" s="59"/>
      <c r="H788" s="59"/>
      <c r="I788" s="59"/>
    </row>
    <row r="789" ht="12.75" customHeight="1">
      <c r="A789" s="27"/>
      <c r="D789" s="59"/>
      <c r="E789" s="59"/>
      <c r="F789" s="59"/>
      <c r="G789" s="59"/>
      <c r="H789" s="59"/>
      <c r="I789" s="59"/>
    </row>
    <row r="790" ht="12.75" customHeight="1">
      <c r="A790" s="27"/>
      <c r="D790" s="59"/>
      <c r="E790" s="59"/>
      <c r="F790" s="59"/>
      <c r="G790" s="59"/>
      <c r="H790" s="59"/>
      <c r="I790" s="59"/>
    </row>
    <row r="791" ht="12.75" customHeight="1">
      <c r="A791" s="27"/>
      <c r="D791" s="59"/>
      <c r="E791" s="59"/>
      <c r="F791" s="59"/>
      <c r="G791" s="59"/>
      <c r="H791" s="59"/>
      <c r="I791" s="59"/>
    </row>
    <row r="792" ht="12.75" customHeight="1">
      <c r="A792" s="27"/>
      <c r="D792" s="59"/>
      <c r="E792" s="59"/>
      <c r="F792" s="59"/>
      <c r="G792" s="59"/>
      <c r="H792" s="59"/>
      <c r="I792" s="59"/>
    </row>
    <row r="793" ht="12.75" customHeight="1">
      <c r="A793" s="27"/>
      <c r="D793" s="59"/>
      <c r="E793" s="59"/>
      <c r="F793" s="59"/>
      <c r="G793" s="59"/>
      <c r="H793" s="59"/>
      <c r="I793" s="59"/>
    </row>
    <row r="794" ht="12.75" customHeight="1">
      <c r="A794" s="27"/>
      <c r="D794" s="59"/>
      <c r="E794" s="59"/>
      <c r="F794" s="59"/>
      <c r="G794" s="59"/>
      <c r="H794" s="59"/>
      <c r="I794" s="59"/>
    </row>
    <row r="795" ht="12.75" customHeight="1">
      <c r="A795" s="27"/>
      <c r="D795" s="59"/>
      <c r="E795" s="59"/>
      <c r="F795" s="59"/>
      <c r="G795" s="59"/>
      <c r="H795" s="59"/>
      <c r="I795" s="59"/>
    </row>
    <row r="796" ht="12.75" customHeight="1">
      <c r="A796" s="27"/>
      <c r="D796" s="59"/>
      <c r="E796" s="59"/>
      <c r="F796" s="59"/>
      <c r="G796" s="59"/>
      <c r="H796" s="59"/>
      <c r="I796" s="59"/>
    </row>
    <row r="797" ht="12.75" customHeight="1">
      <c r="A797" s="27"/>
      <c r="D797" s="59"/>
      <c r="E797" s="59"/>
      <c r="F797" s="59"/>
      <c r="G797" s="59"/>
      <c r="H797" s="59"/>
      <c r="I797" s="59"/>
    </row>
    <row r="798" ht="12.75" customHeight="1">
      <c r="A798" s="27"/>
      <c r="D798" s="59"/>
      <c r="E798" s="59"/>
      <c r="F798" s="59"/>
      <c r="G798" s="59"/>
      <c r="H798" s="59"/>
      <c r="I798" s="59"/>
    </row>
    <row r="799" ht="12.75" customHeight="1">
      <c r="A799" s="27"/>
      <c r="D799" s="59"/>
      <c r="E799" s="59"/>
      <c r="F799" s="59"/>
      <c r="G799" s="59"/>
      <c r="H799" s="59"/>
      <c r="I799" s="59"/>
    </row>
    <row r="800" ht="12.75" customHeight="1">
      <c r="A800" s="27"/>
      <c r="D800" s="59"/>
      <c r="E800" s="59"/>
      <c r="F800" s="59"/>
      <c r="G800" s="59"/>
      <c r="H800" s="59"/>
      <c r="I800" s="59"/>
    </row>
    <row r="801" ht="12.75" customHeight="1">
      <c r="A801" s="27"/>
      <c r="D801" s="59"/>
      <c r="E801" s="59"/>
      <c r="F801" s="59"/>
      <c r="G801" s="59"/>
      <c r="H801" s="59"/>
      <c r="I801" s="59"/>
    </row>
    <row r="802" ht="12.75" customHeight="1">
      <c r="A802" s="27"/>
      <c r="D802" s="59"/>
      <c r="E802" s="59"/>
      <c r="F802" s="59"/>
      <c r="G802" s="59"/>
      <c r="H802" s="59"/>
      <c r="I802" s="59"/>
    </row>
    <row r="803" ht="12.75" customHeight="1">
      <c r="A803" s="27"/>
      <c r="D803" s="59"/>
      <c r="E803" s="59"/>
      <c r="F803" s="59"/>
      <c r="G803" s="59"/>
      <c r="H803" s="59"/>
      <c r="I803" s="59"/>
    </row>
    <row r="804" ht="12.75" customHeight="1">
      <c r="A804" s="27"/>
      <c r="D804" s="59"/>
      <c r="E804" s="59"/>
      <c r="F804" s="59"/>
      <c r="G804" s="59"/>
      <c r="H804" s="59"/>
      <c r="I804" s="59"/>
    </row>
    <row r="805" ht="12.75" customHeight="1">
      <c r="A805" s="27"/>
      <c r="D805" s="59"/>
      <c r="E805" s="59"/>
      <c r="F805" s="59"/>
      <c r="G805" s="59"/>
      <c r="H805" s="59"/>
      <c r="I805" s="59"/>
    </row>
    <row r="806" ht="12.75" customHeight="1">
      <c r="A806" s="27"/>
      <c r="D806" s="59"/>
      <c r="E806" s="59"/>
      <c r="F806" s="59"/>
      <c r="G806" s="59"/>
      <c r="H806" s="59"/>
      <c r="I806" s="59"/>
    </row>
    <row r="807" ht="12.75" customHeight="1">
      <c r="A807" s="27"/>
      <c r="D807" s="59"/>
      <c r="E807" s="59"/>
      <c r="F807" s="59"/>
      <c r="G807" s="59"/>
      <c r="H807" s="59"/>
      <c r="I807" s="59"/>
    </row>
    <row r="808" ht="12.75" customHeight="1">
      <c r="A808" s="27"/>
      <c r="D808" s="59"/>
      <c r="E808" s="59"/>
      <c r="F808" s="59"/>
      <c r="G808" s="59"/>
      <c r="H808" s="59"/>
      <c r="I808" s="59"/>
    </row>
    <row r="809" ht="12.75" customHeight="1">
      <c r="A809" s="27"/>
      <c r="D809" s="59"/>
      <c r="E809" s="59"/>
      <c r="F809" s="59"/>
      <c r="G809" s="59"/>
      <c r="H809" s="59"/>
      <c r="I809" s="59"/>
    </row>
    <row r="810" ht="12.75" customHeight="1">
      <c r="A810" s="27"/>
      <c r="D810" s="59"/>
      <c r="E810" s="59"/>
      <c r="F810" s="59"/>
      <c r="G810" s="59"/>
      <c r="H810" s="59"/>
      <c r="I810" s="59"/>
    </row>
    <row r="811" ht="12.75" customHeight="1">
      <c r="A811" s="27"/>
      <c r="D811" s="59"/>
      <c r="E811" s="59"/>
      <c r="F811" s="59"/>
      <c r="G811" s="59"/>
      <c r="H811" s="59"/>
      <c r="I811" s="59"/>
    </row>
    <row r="812" ht="12.75" customHeight="1">
      <c r="A812" s="27"/>
      <c r="D812" s="59"/>
      <c r="E812" s="59"/>
      <c r="F812" s="59"/>
      <c r="G812" s="59"/>
      <c r="H812" s="59"/>
      <c r="I812" s="59"/>
    </row>
    <row r="813" ht="12.75" customHeight="1">
      <c r="A813" s="27"/>
      <c r="D813" s="59"/>
      <c r="E813" s="59"/>
      <c r="F813" s="59"/>
      <c r="G813" s="59"/>
      <c r="H813" s="59"/>
      <c r="I813" s="59"/>
    </row>
    <row r="814" ht="12.75" customHeight="1">
      <c r="A814" s="27"/>
      <c r="D814" s="59"/>
      <c r="E814" s="59"/>
      <c r="F814" s="59"/>
      <c r="G814" s="59"/>
      <c r="H814" s="59"/>
      <c r="I814" s="59"/>
    </row>
    <row r="815" ht="12.75" customHeight="1">
      <c r="A815" s="27"/>
      <c r="D815" s="59"/>
      <c r="E815" s="59"/>
      <c r="F815" s="59"/>
      <c r="G815" s="59"/>
      <c r="H815" s="59"/>
      <c r="I815" s="59"/>
    </row>
    <row r="816" ht="12.75" customHeight="1">
      <c r="A816" s="27"/>
      <c r="D816" s="59"/>
      <c r="E816" s="59"/>
      <c r="F816" s="59"/>
      <c r="G816" s="59"/>
      <c r="H816" s="59"/>
      <c r="I816" s="59"/>
    </row>
    <row r="817" ht="12.75" customHeight="1">
      <c r="A817" s="27"/>
      <c r="D817" s="59"/>
      <c r="E817" s="59"/>
      <c r="F817" s="59"/>
      <c r="G817" s="59"/>
      <c r="H817" s="59"/>
      <c r="I817" s="59"/>
    </row>
    <row r="818" ht="12.75" customHeight="1">
      <c r="A818" s="27"/>
      <c r="D818" s="59"/>
      <c r="E818" s="59"/>
      <c r="F818" s="59"/>
      <c r="G818" s="59"/>
      <c r="H818" s="59"/>
      <c r="I818" s="59"/>
    </row>
    <row r="819" ht="12.75" customHeight="1">
      <c r="A819" s="27"/>
      <c r="D819" s="59"/>
      <c r="E819" s="59"/>
      <c r="F819" s="59"/>
      <c r="G819" s="59"/>
      <c r="H819" s="59"/>
      <c r="I819" s="59"/>
    </row>
    <row r="820" ht="12.75" customHeight="1">
      <c r="A820" s="27"/>
      <c r="D820" s="59"/>
      <c r="E820" s="59"/>
      <c r="F820" s="59"/>
      <c r="G820" s="59"/>
      <c r="H820" s="59"/>
      <c r="I820" s="59"/>
    </row>
    <row r="821" ht="12.75" customHeight="1">
      <c r="A821" s="27"/>
      <c r="D821" s="59"/>
      <c r="E821" s="59"/>
      <c r="F821" s="59"/>
      <c r="G821" s="59"/>
      <c r="H821" s="59"/>
      <c r="I821" s="59"/>
    </row>
    <row r="822" ht="12.75" customHeight="1">
      <c r="A822" s="27"/>
      <c r="D822" s="59"/>
      <c r="E822" s="59"/>
      <c r="F822" s="59"/>
      <c r="G822" s="59"/>
      <c r="H822" s="59"/>
      <c r="I822" s="59"/>
    </row>
    <row r="823" ht="12.75" customHeight="1">
      <c r="A823" s="27"/>
      <c r="D823" s="59"/>
      <c r="E823" s="59"/>
      <c r="F823" s="59"/>
      <c r="G823" s="59"/>
      <c r="H823" s="59"/>
      <c r="I823" s="59"/>
    </row>
    <row r="824" ht="12.75" customHeight="1">
      <c r="A824" s="27"/>
      <c r="D824" s="59"/>
      <c r="E824" s="59"/>
      <c r="F824" s="59"/>
      <c r="G824" s="59"/>
      <c r="H824" s="59"/>
      <c r="I824" s="59"/>
    </row>
    <row r="825" ht="12.75" customHeight="1">
      <c r="A825" s="27"/>
      <c r="D825" s="59"/>
      <c r="E825" s="59"/>
      <c r="F825" s="59"/>
      <c r="G825" s="59"/>
      <c r="H825" s="59"/>
      <c r="I825" s="59"/>
    </row>
    <row r="826" ht="12.75" customHeight="1">
      <c r="A826" s="27"/>
      <c r="D826" s="59"/>
      <c r="E826" s="59"/>
      <c r="F826" s="59"/>
      <c r="G826" s="59"/>
      <c r="H826" s="59"/>
      <c r="I826" s="59"/>
    </row>
    <row r="827" ht="12.75" customHeight="1">
      <c r="A827" s="27"/>
      <c r="D827" s="59"/>
      <c r="E827" s="59"/>
      <c r="F827" s="59"/>
      <c r="G827" s="59"/>
      <c r="H827" s="59"/>
      <c r="I827" s="59"/>
    </row>
    <row r="828" ht="12.75" customHeight="1">
      <c r="A828" s="27"/>
      <c r="D828" s="59"/>
      <c r="E828" s="59"/>
      <c r="F828" s="59"/>
      <c r="G828" s="59"/>
      <c r="H828" s="59"/>
      <c r="I828" s="59"/>
    </row>
    <row r="829" ht="12.75" customHeight="1">
      <c r="A829" s="27"/>
      <c r="D829" s="59"/>
      <c r="E829" s="59"/>
      <c r="F829" s="59"/>
      <c r="G829" s="59"/>
      <c r="H829" s="59"/>
      <c r="I829" s="59"/>
    </row>
    <row r="830" ht="12.75" customHeight="1">
      <c r="A830" s="27"/>
      <c r="D830" s="59"/>
      <c r="E830" s="59"/>
      <c r="F830" s="59"/>
      <c r="G830" s="59"/>
      <c r="H830" s="59"/>
      <c r="I830" s="59"/>
    </row>
    <row r="831" ht="12.75" customHeight="1">
      <c r="A831" s="27"/>
      <c r="D831" s="59"/>
      <c r="E831" s="59"/>
      <c r="F831" s="59"/>
      <c r="G831" s="59"/>
      <c r="H831" s="59"/>
      <c r="I831" s="59"/>
    </row>
    <row r="832" ht="12.75" customHeight="1">
      <c r="A832" s="27"/>
      <c r="D832" s="59"/>
      <c r="E832" s="59"/>
      <c r="F832" s="59"/>
      <c r="G832" s="59"/>
      <c r="H832" s="59"/>
      <c r="I832" s="59"/>
    </row>
    <row r="833" ht="12.75" customHeight="1">
      <c r="A833" s="27"/>
      <c r="D833" s="59"/>
      <c r="E833" s="59"/>
      <c r="F833" s="59"/>
      <c r="G833" s="59"/>
      <c r="H833" s="59"/>
      <c r="I833" s="59"/>
    </row>
    <row r="834" ht="12.75" customHeight="1">
      <c r="A834" s="27"/>
      <c r="D834" s="59"/>
      <c r="E834" s="59"/>
      <c r="F834" s="59"/>
      <c r="G834" s="59"/>
      <c r="H834" s="59"/>
      <c r="I834" s="59"/>
    </row>
    <row r="835" ht="12.75" customHeight="1">
      <c r="A835" s="27"/>
      <c r="D835" s="59"/>
      <c r="E835" s="59"/>
      <c r="F835" s="59"/>
      <c r="G835" s="59"/>
      <c r="H835" s="59"/>
      <c r="I835" s="59"/>
    </row>
    <row r="836" ht="12.75" customHeight="1">
      <c r="A836" s="27"/>
      <c r="D836" s="59"/>
      <c r="E836" s="59"/>
      <c r="F836" s="59"/>
      <c r="G836" s="59"/>
      <c r="H836" s="59"/>
      <c r="I836" s="59"/>
    </row>
    <row r="837" ht="12.75" customHeight="1">
      <c r="A837" s="27"/>
      <c r="D837" s="59"/>
      <c r="E837" s="59"/>
      <c r="F837" s="59"/>
      <c r="G837" s="59"/>
      <c r="H837" s="59"/>
      <c r="I837" s="59"/>
    </row>
    <row r="838" ht="12.75" customHeight="1">
      <c r="A838" s="27"/>
      <c r="D838" s="59"/>
      <c r="E838" s="59"/>
      <c r="F838" s="59"/>
      <c r="G838" s="59"/>
      <c r="H838" s="59"/>
      <c r="I838" s="59"/>
    </row>
    <row r="839" ht="12.75" customHeight="1">
      <c r="A839" s="27"/>
      <c r="D839" s="59"/>
      <c r="E839" s="59"/>
      <c r="F839" s="59"/>
      <c r="G839" s="59"/>
      <c r="H839" s="59"/>
      <c r="I839" s="59"/>
    </row>
    <row r="840" ht="12.75" customHeight="1">
      <c r="A840" s="27"/>
      <c r="D840" s="59"/>
      <c r="E840" s="59"/>
      <c r="F840" s="59"/>
      <c r="G840" s="59"/>
      <c r="H840" s="59"/>
      <c r="I840" s="59"/>
    </row>
    <row r="841" ht="12.75" customHeight="1">
      <c r="A841" s="27"/>
      <c r="D841" s="59"/>
      <c r="E841" s="59"/>
      <c r="F841" s="59"/>
      <c r="G841" s="59"/>
      <c r="H841" s="59"/>
      <c r="I841" s="59"/>
    </row>
    <row r="842" ht="12.75" customHeight="1">
      <c r="A842" s="27"/>
      <c r="D842" s="59"/>
      <c r="E842" s="59"/>
      <c r="F842" s="59"/>
      <c r="G842" s="59"/>
      <c r="H842" s="59"/>
      <c r="I842" s="59"/>
    </row>
    <row r="843" ht="12.75" customHeight="1">
      <c r="A843" s="27"/>
      <c r="D843" s="59"/>
      <c r="E843" s="59"/>
      <c r="F843" s="59"/>
      <c r="G843" s="59"/>
      <c r="H843" s="59"/>
      <c r="I843" s="59"/>
    </row>
    <row r="844" ht="12.75" customHeight="1">
      <c r="A844" s="27"/>
      <c r="D844" s="59"/>
      <c r="E844" s="59"/>
      <c r="F844" s="59"/>
      <c r="G844" s="59"/>
      <c r="H844" s="59"/>
      <c r="I844" s="59"/>
    </row>
    <row r="845" ht="12.75" customHeight="1">
      <c r="A845" s="27"/>
      <c r="D845" s="59"/>
      <c r="E845" s="59"/>
      <c r="F845" s="59"/>
      <c r="G845" s="59"/>
      <c r="H845" s="59"/>
      <c r="I845" s="59"/>
    </row>
    <row r="846" ht="12.75" customHeight="1">
      <c r="A846" s="27"/>
      <c r="D846" s="59"/>
      <c r="E846" s="59"/>
      <c r="F846" s="59"/>
      <c r="G846" s="59"/>
      <c r="H846" s="59"/>
      <c r="I846" s="59"/>
    </row>
    <row r="847" ht="12.75" customHeight="1">
      <c r="A847" s="27"/>
      <c r="D847" s="59"/>
      <c r="E847" s="59"/>
      <c r="F847" s="59"/>
      <c r="G847" s="59"/>
      <c r="H847" s="59"/>
      <c r="I847" s="59"/>
    </row>
    <row r="848" ht="12.75" customHeight="1">
      <c r="A848" s="27"/>
      <c r="D848" s="59"/>
      <c r="E848" s="59"/>
      <c r="F848" s="59"/>
      <c r="G848" s="59"/>
      <c r="H848" s="59"/>
      <c r="I848" s="59"/>
    </row>
    <row r="849" ht="12.75" customHeight="1">
      <c r="A849" s="27"/>
      <c r="D849" s="59"/>
      <c r="E849" s="59"/>
      <c r="F849" s="59"/>
      <c r="G849" s="59"/>
      <c r="H849" s="59"/>
      <c r="I849" s="59"/>
    </row>
    <row r="850" ht="12.75" customHeight="1">
      <c r="A850" s="27"/>
      <c r="D850" s="59"/>
      <c r="E850" s="59"/>
      <c r="F850" s="59"/>
      <c r="G850" s="59"/>
      <c r="H850" s="59"/>
      <c r="I850" s="59"/>
    </row>
    <row r="851" ht="12.75" customHeight="1">
      <c r="A851" s="27"/>
      <c r="D851" s="59"/>
      <c r="E851" s="59"/>
      <c r="F851" s="59"/>
      <c r="G851" s="59"/>
      <c r="H851" s="59"/>
      <c r="I851" s="59"/>
    </row>
    <row r="852" ht="12.75" customHeight="1">
      <c r="A852" s="27"/>
      <c r="D852" s="59"/>
      <c r="E852" s="59"/>
      <c r="F852" s="59"/>
      <c r="G852" s="59"/>
      <c r="H852" s="59"/>
      <c r="I852" s="59"/>
    </row>
    <row r="853" ht="12.75" customHeight="1">
      <c r="A853" s="27"/>
      <c r="D853" s="59"/>
      <c r="E853" s="59"/>
      <c r="F853" s="59"/>
      <c r="G853" s="59"/>
      <c r="H853" s="59"/>
      <c r="I853" s="59"/>
    </row>
    <row r="854" ht="12.75" customHeight="1">
      <c r="A854" s="27"/>
      <c r="D854" s="59"/>
      <c r="E854" s="59"/>
      <c r="F854" s="59"/>
      <c r="G854" s="59"/>
      <c r="H854" s="59"/>
      <c r="I854" s="59"/>
    </row>
    <row r="855" ht="12.75" customHeight="1">
      <c r="A855" s="27"/>
      <c r="D855" s="59"/>
      <c r="E855" s="59"/>
      <c r="F855" s="59"/>
      <c r="G855" s="59"/>
      <c r="H855" s="59"/>
      <c r="I855" s="59"/>
    </row>
    <row r="856" ht="12.75" customHeight="1">
      <c r="A856" s="27"/>
      <c r="D856" s="59"/>
      <c r="E856" s="59"/>
      <c r="F856" s="59"/>
      <c r="G856" s="59"/>
      <c r="H856" s="59"/>
      <c r="I856" s="59"/>
    </row>
    <row r="857" ht="12.75" customHeight="1">
      <c r="A857" s="27"/>
      <c r="D857" s="59"/>
      <c r="E857" s="59"/>
      <c r="F857" s="59"/>
      <c r="G857" s="59"/>
      <c r="H857" s="59"/>
      <c r="I857" s="59"/>
    </row>
    <row r="858" ht="12.75" customHeight="1">
      <c r="A858" s="27"/>
      <c r="D858" s="59"/>
      <c r="E858" s="59"/>
      <c r="F858" s="59"/>
      <c r="G858" s="59"/>
      <c r="H858" s="59"/>
      <c r="I858" s="59"/>
    </row>
    <row r="859" ht="12.75" customHeight="1">
      <c r="A859" s="27"/>
      <c r="D859" s="59"/>
      <c r="E859" s="59"/>
      <c r="F859" s="59"/>
      <c r="G859" s="59"/>
      <c r="H859" s="59"/>
      <c r="I859" s="59"/>
    </row>
    <row r="860" ht="12.75" customHeight="1">
      <c r="A860" s="27"/>
      <c r="D860" s="59"/>
      <c r="E860" s="59"/>
      <c r="F860" s="59"/>
      <c r="G860" s="59"/>
      <c r="H860" s="59"/>
      <c r="I860" s="59"/>
    </row>
    <row r="861" ht="12.75" customHeight="1">
      <c r="A861" s="27"/>
      <c r="D861" s="59"/>
      <c r="E861" s="59"/>
      <c r="F861" s="59"/>
      <c r="G861" s="59"/>
      <c r="H861" s="59"/>
      <c r="I861" s="59"/>
    </row>
    <row r="862" ht="12.75" customHeight="1">
      <c r="A862" s="27"/>
      <c r="D862" s="59"/>
      <c r="E862" s="59"/>
      <c r="F862" s="59"/>
      <c r="G862" s="59"/>
      <c r="H862" s="59"/>
      <c r="I862" s="59"/>
    </row>
    <row r="863" ht="12.75" customHeight="1">
      <c r="A863" s="27"/>
      <c r="D863" s="59"/>
      <c r="E863" s="59"/>
      <c r="F863" s="59"/>
      <c r="G863" s="59"/>
      <c r="H863" s="59"/>
      <c r="I863" s="59"/>
    </row>
    <row r="864" ht="12.75" customHeight="1">
      <c r="A864" s="27"/>
      <c r="D864" s="59"/>
      <c r="E864" s="59"/>
      <c r="F864" s="59"/>
      <c r="G864" s="59"/>
      <c r="H864" s="59"/>
      <c r="I864" s="59"/>
    </row>
    <row r="865" ht="12.75" customHeight="1">
      <c r="A865" s="27"/>
      <c r="D865" s="59"/>
      <c r="E865" s="59"/>
      <c r="F865" s="59"/>
      <c r="G865" s="59"/>
      <c r="H865" s="59"/>
      <c r="I865" s="59"/>
    </row>
    <row r="866" ht="12.75" customHeight="1">
      <c r="A866" s="27"/>
      <c r="D866" s="59"/>
      <c r="E866" s="59"/>
      <c r="F866" s="59"/>
      <c r="G866" s="59"/>
      <c r="H866" s="59"/>
      <c r="I866" s="59"/>
    </row>
    <row r="867" ht="12.75" customHeight="1">
      <c r="A867" s="27"/>
      <c r="D867" s="59"/>
      <c r="E867" s="59"/>
      <c r="F867" s="59"/>
      <c r="G867" s="59"/>
      <c r="H867" s="59"/>
      <c r="I867" s="59"/>
    </row>
    <row r="868" ht="12.75" customHeight="1">
      <c r="A868" s="27"/>
      <c r="D868" s="59"/>
      <c r="E868" s="59"/>
      <c r="F868" s="59"/>
      <c r="G868" s="59"/>
      <c r="H868" s="59"/>
      <c r="I868" s="59"/>
    </row>
    <row r="869" ht="12.75" customHeight="1">
      <c r="A869" s="27"/>
      <c r="D869" s="59"/>
      <c r="E869" s="59"/>
      <c r="F869" s="59"/>
      <c r="G869" s="59"/>
      <c r="H869" s="59"/>
      <c r="I869" s="59"/>
    </row>
    <row r="870" ht="12.75" customHeight="1">
      <c r="A870" s="27"/>
      <c r="D870" s="59"/>
      <c r="E870" s="59"/>
      <c r="F870" s="59"/>
      <c r="G870" s="59"/>
      <c r="H870" s="59"/>
      <c r="I870" s="59"/>
    </row>
    <row r="871" ht="12.75" customHeight="1">
      <c r="A871" s="27"/>
      <c r="D871" s="59"/>
      <c r="E871" s="59"/>
      <c r="F871" s="59"/>
      <c r="G871" s="59"/>
      <c r="H871" s="59"/>
      <c r="I871" s="59"/>
    </row>
    <row r="872" ht="12.75" customHeight="1">
      <c r="A872" s="27"/>
      <c r="D872" s="59"/>
      <c r="E872" s="59"/>
      <c r="F872" s="59"/>
      <c r="G872" s="59"/>
      <c r="H872" s="59"/>
      <c r="I872" s="59"/>
    </row>
    <row r="873" ht="12.75" customHeight="1">
      <c r="A873" s="27"/>
      <c r="D873" s="59"/>
      <c r="E873" s="59"/>
      <c r="F873" s="59"/>
      <c r="G873" s="59"/>
      <c r="H873" s="59"/>
      <c r="I873" s="59"/>
    </row>
    <row r="874" ht="12.75" customHeight="1">
      <c r="A874" s="27"/>
      <c r="D874" s="59"/>
      <c r="E874" s="59"/>
      <c r="F874" s="59"/>
      <c r="G874" s="59"/>
      <c r="H874" s="59"/>
      <c r="I874" s="59"/>
    </row>
    <row r="875" ht="12.75" customHeight="1">
      <c r="A875" s="27"/>
      <c r="D875" s="59"/>
      <c r="E875" s="59"/>
      <c r="F875" s="59"/>
      <c r="G875" s="59"/>
      <c r="H875" s="59"/>
      <c r="I875" s="59"/>
    </row>
    <row r="876" ht="12.75" customHeight="1">
      <c r="A876" s="27"/>
      <c r="D876" s="59"/>
      <c r="E876" s="59"/>
      <c r="F876" s="59"/>
      <c r="G876" s="59"/>
      <c r="H876" s="59"/>
      <c r="I876" s="59"/>
    </row>
    <row r="877" ht="12.75" customHeight="1">
      <c r="A877" s="27"/>
      <c r="D877" s="59"/>
      <c r="E877" s="59"/>
      <c r="F877" s="59"/>
      <c r="G877" s="59"/>
      <c r="H877" s="59"/>
      <c r="I877" s="59"/>
    </row>
    <row r="878" ht="12.75" customHeight="1">
      <c r="A878" s="27"/>
      <c r="D878" s="59"/>
      <c r="E878" s="59"/>
      <c r="F878" s="59"/>
      <c r="G878" s="59"/>
      <c r="H878" s="59"/>
      <c r="I878" s="59"/>
    </row>
    <row r="879" ht="12.75" customHeight="1">
      <c r="A879" s="27"/>
      <c r="D879" s="59"/>
      <c r="E879" s="59"/>
      <c r="F879" s="59"/>
      <c r="G879" s="59"/>
      <c r="H879" s="59"/>
      <c r="I879" s="59"/>
    </row>
    <row r="880" ht="12.75" customHeight="1">
      <c r="A880" s="27"/>
      <c r="D880" s="59"/>
      <c r="E880" s="59"/>
      <c r="F880" s="59"/>
      <c r="G880" s="59"/>
      <c r="H880" s="59"/>
      <c r="I880" s="59"/>
    </row>
    <row r="881" ht="12.75" customHeight="1">
      <c r="A881" s="27"/>
      <c r="D881" s="59"/>
      <c r="E881" s="59"/>
      <c r="F881" s="59"/>
      <c r="G881" s="59"/>
      <c r="H881" s="59"/>
      <c r="I881" s="59"/>
    </row>
    <row r="882" ht="12.75" customHeight="1">
      <c r="A882" s="27"/>
      <c r="D882" s="59"/>
      <c r="E882" s="59"/>
      <c r="F882" s="59"/>
      <c r="G882" s="59"/>
      <c r="H882" s="59"/>
      <c r="I882" s="59"/>
    </row>
    <row r="883" ht="12.75" customHeight="1">
      <c r="A883" s="27"/>
      <c r="D883" s="59"/>
      <c r="E883" s="59"/>
      <c r="F883" s="59"/>
      <c r="G883" s="59"/>
      <c r="H883" s="59"/>
      <c r="I883" s="59"/>
    </row>
    <row r="884" ht="12.75" customHeight="1">
      <c r="A884" s="27"/>
      <c r="D884" s="59"/>
      <c r="E884" s="59"/>
      <c r="F884" s="59"/>
      <c r="G884" s="59"/>
      <c r="H884" s="59"/>
      <c r="I884" s="59"/>
    </row>
    <row r="885" ht="12.75" customHeight="1">
      <c r="A885" s="27"/>
      <c r="D885" s="59"/>
      <c r="E885" s="59"/>
      <c r="F885" s="59"/>
      <c r="G885" s="59"/>
      <c r="H885" s="59"/>
      <c r="I885" s="59"/>
    </row>
    <row r="886" ht="12.75" customHeight="1">
      <c r="A886" s="27"/>
      <c r="D886" s="59"/>
      <c r="E886" s="59"/>
      <c r="F886" s="59"/>
      <c r="G886" s="59"/>
      <c r="H886" s="59"/>
      <c r="I886" s="59"/>
    </row>
    <row r="887" ht="12.75" customHeight="1">
      <c r="A887" s="27"/>
      <c r="D887" s="59"/>
      <c r="E887" s="59"/>
      <c r="F887" s="59"/>
      <c r="G887" s="59"/>
      <c r="H887" s="59"/>
      <c r="I887" s="59"/>
    </row>
    <row r="888" ht="12.75" customHeight="1">
      <c r="A888" s="27"/>
      <c r="D888" s="59"/>
      <c r="E888" s="59"/>
      <c r="F888" s="59"/>
      <c r="G888" s="59"/>
      <c r="H888" s="59"/>
      <c r="I888" s="59"/>
    </row>
    <row r="889" ht="12.75" customHeight="1">
      <c r="A889" s="27"/>
      <c r="D889" s="59"/>
      <c r="E889" s="59"/>
      <c r="F889" s="59"/>
      <c r="G889" s="59"/>
      <c r="H889" s="59"/>
      <c r="I889" s="59"/>
    </row>
    <row r="890" ht="12.75" customHeight="1">
      <c r="A890" s="27"/>
      <c r="D890" s="59"/>
      <c r="E890" s="59"/>
      <c r="F890" s="59"/>
      <c r="G890" s="59"/>
      <c r="H890" s="59"/>
      <c r="I890" s="59"/>
    </row>
    <row r="891" ht="12.75" customHeight="1">
      <c r="A891" s="27"/>
      <c r="D891" s="59"/>
      <c r="E891" s="59"/>
      <c r="F891" s="59"/>
      <c r="G891" s="59"/>
      <c r="H891" s="59"/>
      <c r="I891" s="59"/>
    </row>
    <row r="892" ht="12.75" customHeight="1">
      <c r="A892" s="27"/>
      <c r="D892" s="59"/>
      <c r="E892" s="59"/>
      <c r="F892" s="59"/>
      <c r="G892" s="59"/>
      <c r="H892" s="59"/>
      <c r="I892" s="59"/>
    </row>
    <row r="893" ht="12.75" customHeight="1">
      <c r="A893" s="27"/>
      <c r="D893" s="59"/>
      <c r="E893" s="59"/>
      <c r="F893" s="59"/>
      <c r="G893" s="59"/>
      <c r="H893" s="59"/>
      <c r="I893" s="59"/>
    </row>
    <row r="894" ht="12.75" customHeight="1">
      <c r="A894" s="27"/>
      <c r="D894" s="59"/>
      <c r="E894" s="59"/>
      <c r="F894" s="59"/>
      <c r="G894" s="59"/>
      <c r="H894" s="59"/>
      <c r="I894" s="59"/>
    </row>
    <row r="895" ht="12.75" customHeight="1">
      <c r="A895" s="27"/>
      <c r="D895" s="59"/>
      <c r="E895" s="59"/>
      <c r="F895" s="59"/>
      <c r="G895" s="59"/>
      <c r="H895" s="59"/>
      <c r="I895" s="59"/>
    </row>
    <row r="896" ht="12.75" customHeight="1">
      <c r="A896" s="27"/>
      <c r="D896" s="59"/>
      <c r="E896" s="59"/>
      <c r="F896" s="59"/>
      <c r="G896" s="59"/>
      <c r="H896" s="59"/>
      <c r="I896" s="59"/>
    </row>
    <row r="897" ht="12.75" customHeight="1">
      <c r="A897" s="27"/>
      <c r="D897" s="59"/>
      <c r="E897" s="59"/>
      <c r="F897" s="59"/>
      <c r="G897" s="59"/>
      <c r="H897" s="59"/>
      <c r="I897" s="59"/>
    </row>
    <row r="898" ht="12.75" customHeight="1">
      <c r="A898" s="27"/>
      <c r="D898" s="59"/>
      <c r="E898" s="59"/>
      <c r="F898" s="59"/>
      <c r="G898" s="59"/>
      <c r="H898" s="59"/>
      <c r="I898" s="59"/>
    </row>
    <row r="899" ht="12.75" customHeight="1">
      <c r="A899" s="27"/>
      <c r="D899" s="59"/>
      <c r="E899" s="59"/>
      <c r="F899" s="59"/>
      <c r="G899" s="59"/>
      <c r="H899" s="59"/>
      <c r="I899" s="59"/>
    </row>
    <row r="900" ht="12.75" customHeight="1">
      <c r="A900" s="27"/>
      <c r="D900" s="59"/>
      <c r="E900" s="59"/>
      <c r="F900" s="59"/>
      <c r="G900" s="59"/>
      <c r="H900" s="59"/>
      <c r="I900" s="59"/>
    </row>
    <row r="901" ht="12.75" customHeight="1">
      <c r="A901" s="27"/>
      <c r="D901" s="59"/>
      <c r="E901" s="59"/>
      <c r="F901" s="59"/>
      <c r="G901" s="59"/>
      <c r="H901" s="59"/>
      <c r="I901" s="59"/>
    </row>
    <row r="902" ht="12.75" customHeight="1">
      <c r="A902" s="27"/>
      <c r="D902" s="59"/>
      <c r="E902" s="59"/>
      <c r="F902" s="59"/>
      <c r="G902" s="59"/>
      <c r="H902" s="59"/>
      <c r="I902" s="59"/>
    </row>
    <row r="903" ht="12.75" customHeight="1">
      <c r="A903" s="27"/>
      <c r="D903" s="59"/>
      <c r="E903" s="59"/>
      <c r="F903" s="59"/>
      <c r="G903" s="59"/>
      <c r="H903" s="59"/>
      <c r="I903" s="59"/>
    </row>
    <row r="904" ht="12.75" customHeight="1">
      <c r="A904" s="27"/>
      <c r="D904" s="59"/>
      <c r="E904" s="59"/>
      <c r="F904" s="59"/>
      <c r="G904" s="59"/>
      <c r="H904" s="59"/>
      <c r="I904" s="59"/>
    </row>
    <row r="905" ht="12.75" customHeight="1">
      <c r="A905" s="27"/>
      <c r="D905" s="59"/>
      <c r="E905" s="59"/>
      <c r="F905" s="59"/>
      <c r="G905" s="59"/>
      <c r="H905" s="59"/>
      <c r="I905" s="59"/>
    </row>
    <row r="906" ht="12.75" customHeight="1">
      <c r="A906" s="27"/>
      <c r="D906" s="59"/>
      <c r="E906" s="59"/>
      <c r="F906" s="59"/>
      <c r="G906" s="59"/>
      <c r="H906" s="59"/>
      <c r="I906" s="59"/>
    </row>
    <row r="907" ht="12.75" customHeight="1">
      <c r="A907" s="27"/>
      <c r="D907" s="59"/>
      <c r="E907" s="59"/>
      <c r="F907" s="59"/>
      <c r="G907" s="59"/>
      <c r="H907" s="59"/>
      <c r="I907" s="59"/>
    </row>
    <row r="908" ht="12.75" customHeight="1">
      <c r="A908" s="27"/>
      <c r="D908" s="59"/>
      <c r="E908" s="59"/>
      <c r="F908" s="59"/>
      <c r="G908" s="59"/>
      <c r="H908" s="59"/>
      <c r="I908" s="59"/>
    </row>
    <row r="909" ht="12.75" customHeight="1">
      <c r="A909" s="27"/>
      <c r="D909" s="59"/>
      <c r="E909" s="59"/>
      <c r="F909" s="59"/>
      <c r="G909" s="59"/>
      <c r="H909" s="59"/>
      <c r="I909" s="59"/>
    </row>
    <row r="910" ht="12.75" customHeight="1">
      <c r="A910" s="27"/>
      <c r="D910" s="59"/>
      <c r="E910" s="59"/>
      <c r="F910" s="59"/>
      <c r="G910" s="59"/>
      <c r="H910" s="59"/>
      <c r="I910" s="59"/>
    </row>
    <row r="911" ht="12.75" customHeight="1">
      <c r="A911" s="27"/>
      <c r="D911" s="59"/>
      <c r="E911" s="59"/>
      <c r="F911" s="59"/>
      <c r="G911" s="59"/>
      <c r="H911" s="59"/>
      <c r="I911" s="59"/>
    </row>
    <row r="912" ht="12.75" customHeight="1">
      <c r="A912" s="27"/>
      <c r="D912" s="59"/>
      <c r="E912" s="59"/>
      <c r="F912" s="59"/>
      <c r="G912" s="59"/>
      <c r="H912" s="59"/>
      <c r="I912" s="59"/>
    </row>
    <row r="913" ht="12.75" customHeight="1">
      <c r="A913" s="27"/>
      <c r="D913" s="59"/>
      <c r="E913" s="59"/>
      <c r="F913" s="59"/>
      <c r="G913" s="59"/>
      <c r="H913" s="59"/>
      <c r="I913" s="59"/>
    </row>
    <row r="914" ht="12.75" customHeight="1">
      <c r="A914" s="27"/>
      <c r="D914" s="59"/>
      <c r="E914" s="59"/>
      <c r="F914" s="59"/>
      <c r="G914" s="59"/>
      <c r="H914" s="59"/>
      <c r="I914" s="59"/>
    </row>
    <row r="915" ht="12.75" customHeight="1">
      <c r="A915" s="27"/>
      <c r="D915" s="59"/>
      <c r="E915" s="59"/>
      <c r="F915" s="59"/>
      <c r="G915" s="59"/>
      <c r="H915" s="59"/>
      <c r="I915" s="59"/>
    </row>
    <row r="916" ht="12.75" customHeight="1">
      <c r="A916" s="27"/>
      <c r="D916" s="59"/>
      <c r="E916" s="59"/>
      <c r="F916" s="59"/>
      <c r="G916" s="59"/>
      <c r="H916" s="59"/>
      <c r="I916" s="59"/>
    </row>
    <row r="917" ht="12.75" customHeight="1">
      <c r="A917" s="27"/>
      <c r="D917" s="59"/>
      <c r="E917" s="59"/>
      <c r="F917" s="59"/>
      <c r="G917" s="59"/>
      <c r="H917" s="59"/>
      <c r="I917" s="59"/>
    </row>
    <row r="918" ht="12.75" customHeight="1">
      <c r="A918" s="27"/>
      <c r="D918" s="59"/>
      <c r="E918" s="59"/>
      <c r="F918" s="59"/>
      <c r="G918" s="59"/>
      <c r="H918" s="59"/>
      <c r="I918" s="59"/>
    </row>
    <row r="919" ht="12.75" customHeight="1">
      <c r="A919" s="27"/>
      <c r="D919" s="59"/>
      <c r="E919" s="59"/>
      <c r="F919" s="59"/>
      <c r="G919" s="59"/>
      <c r="H919" s="59"/>
      <c r="I919" s="59"/>
    </row>
    <row r="920" ht="12.75" customHeight="1">
      <c r="A920" s="27"/>
      <c r="D920" s="59"/>
      <c r="E920" s="59"/>
      <c r="F920" s="59"/>
      <c r="G920" s="59"/>
      <c r="H920" s="59"/>
      <c r="I920" s="59"/>
    </row>
    <row r="921" ht="12.75" customHeight="1">
      <c r="A921" s="27"/>
      <c r="D921" s="59"/>
      <c r="E921" s="59"/>
      <c r="F921" s="59"/>
      <c r="G921" s="59"/>
      <c r="H921" s="59"/>
      <c r="I921" s="59"/>
    </row>
    <row r="922" ht="12.75" customHeight="1">
      <c r="A922" s="27"/>
      <c r="D922" s="59"/>
      <c r="E922" s="59"/>
      <c r="F922" s="59"/>
      <c r="G922" s="59"/>
      <c r="H922" s="59"/>
      <c r="I922" s="59"/>
    </row>
    <row r="923" ht="12.75" customHeight="1">
      <c r="A923" s="27"/>
      <c r="D923" s="59"/>
      <c r="E923" s="59"/>
      <c r="F923" s="59"/>
      <c r="G923" s="59"/>
      <c r="H923" s="59"/>
      <c r="I923" s="59"/>
    </row>
    <row r="924" ht="12.75" customHeight="1">
      <c r="A924" s="27"/>
      <c r="D924" s="59"/>
      <c r="E924" s="59"/>
      <c r="F924" s="59"/>
      <c r="G924" s="59"/>
      <c r="H924" s="59"/>
      <c r="I924" s="59"/>
    </row>
    <row r="925" ht="12.75" customHeight="1">
      <c r="A925" s="27"/>
      <c r="D925" s="59"/>
      <c r="E925" s="59"/>
      <c r="F925" s="59"/>
      <c r="G925" s="59"/>
      <c r="H925" s="59"/>
      <c r="I925" s="59"/>
    </row>
    <row r="926" ht="12.75" customHeight="1">
      <c r="A926" s="27"/>
      <c r="D926" s="59"/>
      <c r="E926" s="59"/>
      <c r="F926" s="59"/>
      <c r="G926" s="59"/>
      <c r="H926" s="59"/>
      <c r="I926" s="59"/>
    </row>
    <row r="927" ht="12.75" customHeight="1">
      <c r="A927" s="27"/>
      <c r="D927" s="59"/>
      <c r="E927" s="59"/>
      <c r="F927" s="59"/>
      <c r="G927" s="59"/>
      <c r="H927" s="59"/>
      <c r="I927" s="59"/>
    </row>
    <row r="928" ht="12.75" customHeight="1">
      <c r="A928" s="27"/>
      <c r="D928" s="59"/>
      <c r="E928" s="59"/>
      <c r="F928" s="59"/>
      <c r="G928" s="59"/>
      <c r="H928" s="59"/>
      <c r="I928" s="59"/>
    </row>
    <row r="929" ht="12.75" customHeight="1">
      <c r="A929" s="27"/>
      <c r="D929" s="59"/>
      <c r="E929" s="59"/>
      <c r="F929" s="59"/>
      <c r="G929" s="59"/>
      <c r="H929" s="59"/>
      <c r="I929" s="59"/>
    </row>
    <row r="930" ht="12.75" customHeight="1">
      <c r="A930" s="27"/>
      <c r="D930" s="59"/>
      <c r="E930" s="59"/>
      <c r="F930" s="59"/>
      <c r="G930" s="59"/>
      <c r="H930" s="59"/>
      <c r="I930" s="59"/>
    </row>
    <row r="931" ht="12.75" customHeight="1">
      <c r="A931" s="27"/>
      <c r="D931" s="59"/>
      <c r="E931" s="59"/>
      <c r="F931" s="59"/>
      <c r="G931" s="59"/>
      <c r="H931" s="59"/>
      <c r="I931" s="59"/>
    </row>
    <row r="932" ht="12.75" customHeight="1">
      <c r="A932" s="27"/>
      <c r="D932" s="59"/>
      <c r="E932" s="59"/>
      <c r="F932" s="59"/>
      <c r="G932" s="59"/>
      <c r="H932" s="59"/>
      <c r="I932" s="59"/>
    </row>
    <row r="933" ht="12.75" customHeight="1">
      <c r="A933" s="27"/>
      <c r="D933" s="59"/>
      <c r="E933" s="59"/>
      <c r="F933" s="59"/>
      <c r="G933" s="59"/>
      <c r="H933" s="59"/>
      <c r="I933" s="59"/>
    </row>
    <row r="934" ht="12.75" customHeight="1">
      <c r="A934" s="27"/>
      <c r="D934" s="59"/>
      <c r="E934" s="59"/>
      <c r="F934" s="59"/>
      <c r="G934" s="59"/>
      <c r="H934" s="59"/>
      <c r="I934" s="59"/>
    </row>
    <row r="935" ht="12.75" customHeight="1">
      <c r="A935" s="27"/>
      <c r="D935" s="59"/>
      <c r="E935" s="59"/>
      <c r="F935" s="59"/>
      <c r="G935" s="59"/>
      <c r="H935" s="59"/>
      <c r="I935" s="59"/>
    </row>
    <row r="936" ht="12.75" customHeight="1">
      <c r="A936" s="27"/>
      <c r="D936" s="59"/>
      <c r="E936" s="59"/>
      <c r="F936" s="59"/>
      <c r="G936" s="59"/>
      <c r="H936" s="59"/>
      <c r="I936" s="59"/>
    </row>
    <row r="937" ht="12.75" customHeight="1">
      <c r="A937" s="27"/>
      <c r="D937" s="59"/>
      <c r="E937" s="59"/>
      <c r="F937" s="59"/>
      <c r="G937" s="59"/>
      <c r="H937" s="59"/>
      <c r="I937" s="59"/>
    </row>
    <row r="938" ht="12.75" customHeight="1">
      <c r="A938" s="27"/>
      <c r="D938" s="59"/>
      <c r="E938" s="59"/>
      <c r="F938" s="59"/>
      <c r="G938" s="59"/>
      <c r="H938" s="59"/>
      <c r="I938" s="59"/>
    </row>
    <row r="939" ht="12.75" customHeight="1">
      <c r="A939" s="27"/>
      <c r="D939" s="59"/>
      <c r="E939" s="59"/>
      <c r="F939" s="59"/>
      <c r="G939" s="59"/>
      <c r="H939" s="59"/>
      <c r="I939" s="59"/>
    </row>
    <row r="940" ht="12.75" customHeight="1">
      <c r="A940" s="27"/>
      <c r="D940" s="59"/>
      <c r="E940" s="59"/>
      <c r="F940" s="59"/>
      <c r="G940" s="59"/>
      <c r="H940" s="59"/>
      <c r="I940" s="59"/>
    </row>
    <row r="941" ht="12.75" customHeight="1">
      <c r="A941" s="27"/>
      <c r="D941" s="59"/>
      <c r="E941" s="59"/>
      <c r="F941" s="59"/>
      <c r="G941" s="59"/>
      <c r="H941" s="59"/>
      <c r="I941" s="59"/>
    </row>
    <row r="942" ht="12.75" customHeight="1">
      <c r="A942" s="27"/>
      <c r="D942" s="59"/>
      <c r="E942" s="59"/>
      <c r="F942" s="59"/>
      <c r="G942" s="59"/>
      <c r="H942" s="59"/>
      <c r="I942" s="59"/>
    </row>
    <row r="943" ht="12.75" customHeight="1">
      <c r="A943" s="27"/>
      <c r="D943" s="59"/>
      <c r="E943" s="59"/>
      <c r="F943" s="59"/>
      <c r="G943" s="59"/>
      <c r="H943" s="59"/>
      <c r="I943" s="59"/>
    </row>
    <row r="944" ht="12.75" customHeight="1">
      <c r="A944" s="27"/>
      <c r="D944" s="59"/>
      <c r="E944" s="59"/>
      <c r="F944" s="59"/>
      <c r="G944" s="59"/>
      <c r="H944" s="59"/>
      <c r="I944" s="59"/>
    </row>
    <row r="945" ht="12.75" customHeight="1">
      <c r="A945" s="27"/>
      <c r="D945" s="59"/>
      <c r="E945" s="59"/>
      <c r="F945" s="59"/>
      <c r="G945" s="59"/>
      <c r="H945" s="59"/>
      <c r="I945" s="59"/>
    </row>
    <row r="946" ht="12.75" customHeight="1">
      <c r="A946" s="27"/>
      <c r="D946" s="59"/>
      <c r="E946" s="59"/>
      <c r="F946" s="59"/>
      <c r="G946" s="59"/>
      <c r="H946" s="59"/>
      <c r="I946" s="59"/>
    </row>
    <row r="947" ht="12.75" customHeight="1">
      <c r="A947" s="27"/>
      <c r="D947" s="59"/>
      <c r="E947" s="59"/>
      <c r="F947" s="59"/>
      <c r="G947" s="59"/>
      <c r="H947" s="59"/>
      <c r="I947" s="59"/>
    </row>
    <row r="948" ht="12.75" customHeight="1">
      <c r="A948" s="27"/>
      <c r="D948" s="59"/>
      <c r="E948" s="59"/>
      <c r="F948" s="59"/>
      <c r="G948" s="59"/>
      <c r="H948" s="59"/>
      <c r="I948" s="59"/>
    </row>
    <row r="949" ht="12.75" customHeight="1">
      <c r="A949" s="27"/>
      <c r="D949" s="59"/>
      <c r="E949" s="59"/>
      <c r="F949" s="59"/>
      <c r="G949" s="59"/>
      <c r="H949" s="59"/>
      <c r="I949" s="59"/>
    </row>
    <row r="950" ht="12.75" customHeight="1">
      <c r="A950" s="27"/>
      <c r="D950" s="59"/>
      <c r="E950" s="59"/>
      <c r="F950" s="59"/>
      <c r="G950" s="59"/>
      <c r="H950" s="59"/>
      <c r="I950" s="59"/>
    </row>
    <row r="951" ht="12.75" customHeight="1">
      <c r="A951" s="27"/>
      <c r="D951" s="59"/>
      <c r="E951" s="59"/>
      <c r="F951" s="59"/>
      <c r="G951" s="59"/>
      <c r="H951" s="59"/>
      <c r="I951" s="59"/>
    </row>
    <row r="952" ht="12.75" customHeight="1">
      <c r="A952" s="27"/>
      <c r="D952" s="59"/>
      <c r="E952" s="59"/>
      <c r="F952" s="59"/>
      <c r="G952" s="59"/>
      <c r="H952" s="59"/>
      <c r="I952" s="59"/>
    </row>
    <row r="953" ht="12.75" customHeight="1">
      <c r="A953" s="27"/>
      <c r="D953" s="59"/>
      <c r="E953" s="59"/>
      <c r="F953" s="59"/>
      <c r="G953" s="59"/>
      <c r="H953" s="59"/>
      <c r="I953" s="59"/>
    </row>
    <row r="954" ht="12.75" customHeight="1">
      <c r="A954" s="27"/>
      <c r="D954" s="59"/>
      <c r="E954" s="59"/>
      <c r="F954" s="59"/>
      <c r="G954" s="59"/>
      <c r="H954" s="59"/>
      <c r="I954" s="59"/>
    </row>
    <row r="955" ht="12.75" customHeight="1">
      <c r="A955" s="27"/>
      <c r="D955" s="59"/>
      <c r="E955" s="59"/>
      <c r="F955" s="59"/>
      <c r="G955" s="59"/>
      <c r="H955" s="59"/>
      <c r="I955" s="59"/>
    </row>
    <row r="956" ht="12.75" customHeight="1">
      <c r="A956" s="27"/>
      <c r="D956" s="59"/>
      <c r="E956" s="59"/>
      <c r="F956" s="59"/>
      <c r="G956" s="59"/>
      <c r="H956" s="59"/>
      <c r="I956" s="59"/>
    </row>
    <row r="957" ht="12.75" customHeight="1">
      <c r="A957" s="27"/>
      <c r="D957" s="59"/>
      <c r="E957" s="59"/>
      <c r="F957" s="59"/>
      <c r="G957" s="59"/>
      <c r="H957" s="59"/>
      <c r="I957" s="59"/>
    </row>
    <row r="958" ht="12.75" customHeight="1">
      <c r="A958" s="27"/>
      <c r="D958" s="59"/>
      <c r="E958" s="59"/>
      <c r="F958" s="59"/>
      <c r="G958" s="59"/>
      <c r="H958" s="59"/>
      <c r="I958" s="59"/>
    </row>
    <row r="959" ht="12.75" customHeight="1">
      <c r="A959" s="27"/>
      <c r="D959" s="59"/>
      <c r="E959" s="59"/>
      <c r="F959" s="59"/>
      <c r="G959" s="59"/>
      <c r="H959" s="59"/>
      <c r="I959" s="59"/>
    </row>
    <row r="960" ht="12.75" customHeight="1">
      <c r="A960" s="27"/>
      <c r="D960" s="59"/>
      <c r="E960" s="59"/>
      <c r="F960" s="59"/>
      <c r="G960" s="59"/>
      <c r="H960" s="59"/>
      <c r="I960" s="59"/>
    </row>
    <row r="961" ht="12.75" customHeight="1">
      <c r="A961" s="27"/>
      <c r="D961" s="59"/>
      <c r="E961" s="59"/>
      <c r="F961" s="59"/>
      <c r="G961" s="59"/>
      <c r="H961" s="59"/>
      <c r="I961" s="59"/>
    </row>
    <row r="962" ht="12.75" customHeight="1">
      <c r="A962" s="27"/>
      <c r="D962" s="59"/>
      <c r="E962" s="59"/>
      <c r="F962" s="59"/>
      <c r="G962" s="59"/>
      <c r="H962" s="59"/>
      <c r="I962" s="59"/>
    </row>
    <row r="963" ht="12.75" customHeight="1">
      <c r="A963" s="27"/>
      <c r="D963" s="59"/>
      <c r="E963" s="59"/>
      <c r="F963" s="59"/>
      <c r="G963" s="59"/>
      <c r="H963" s="59"/>
      <c r="I963" s="59"/>
    </row>
    <row r="964" ht="12.75" customHeight="1">
      <c r="A964" s="27"/>
      <c r="D964" s="59"/>
      <c r="E964" s="59"/>
      <c r="F964" s="59"/>
      <c r="G964" s="59"/>
      <c r="H964" s="59"/>
      <c r="I964" s="59"/>
    </row>
    <row r="965" ht="12.75" customHeight="1">
      <c r="A965" s="27"/>
      <c r="D965" s="59"/>
      <c r="E965" s="59"/>
      <c r="F965" s="59"/>
      <c r="G965" s="59"/>
      <c r="H965" s="59"/>
      <c r="I965" s="59"/>
    </row>
    <row r="966" ht="12.75" customHeight="1">
      <c r="A966" s="27"/>
      <c r="D966" s="59"/>
      <c r="E966" s="59"/>
      <c r="F966" s="59"/>
      <c r="G966" s="59"/>
      <c r="H966" s="59"/>
      <c r="I966" s="59"/>
    </row>
    <row r="967" ht="12.75" customHeight="1">
      <c r="A967" s="27"/>
      <c r="D967" s="59"/>
      <c r="E967" s="59"/>
      <c r="F967" s="59"/>
      <c r="G967" s="59"/>
      <c r="H967" s="59"/>
      <c r="I967" s="59"/>
    </row>
    <row r="968" ht="12.75" customHeight="1">
      <c r="A968" s="27"/>
      <c r="D968" s="59"/>
      <c r="E968" s="59"/>
      <c r="F968" s="59"/>
      <c r="G968" s="59"/>
      <c r="H968" s="59"/>
      <c r="I968" s="59"/>
    </row>
    <row r="969" ht="12.75" customHeight="1">
      <c r="A969" s="27"/>
      <c r="D969" s="59"/>
      <c r="E969" s="59"/>
      <c r="F969" s="59"/>
      <c r="G969" s="59"/>
      <c r="H969" s="59"/>
      <c r="I969" s="59"/>
    </row>
    <row r="970" ht="12.75" customHeight="1">
      <c r="A970" s="27"/>
      <c r="D970" s="59"/>
      <c r="E970" s="59"/>
      <c r="F970" s="59"/>
      <c r="G970" s="59"/>
      <c r="H970" s="59"/>
      <c r="I970" s="59"/>
    </row>
    <row r="971" ht="12.75" customHeight="1">
      <c r="A971" s="27"/>
      <c r="D971" s="59"/>
      <c r="E971" s="59"/>
      <c r="F971" s="59"/>
      <c r="G971" s="59"/>
      <c r="H971" s="59"/>
      <c r="I971" s="59"/>
    </row>
    <row r="972" ht="12.75" customHeight="1">
      <c r="A972" s="27"/>
      <c r="D972" s="59"/>
      <c r="E972" s="59"/>
      <c r="F972" s="59"/>
      <c r="G972" s="59"/>
      <c r="H972" s="59"/>
      <c r="I972" s="59"/>
    </row>
    <row r="973" ht="12.75" customHeight="1">
      <c r="A973" s="27"/>
      <c r="D973" s="59"/>
      <c r="E973" s="59"/>
      <c r="F973" s="59"/>
      <c r="G973" s="59"/>
      <c r="H973" s="59"/>
      <c r="I973" s="59"/>
    </row>
    <row r="974" ht="12.75" customHeight="1">
      <c r="A974" s="27"/>
      <c r="D974" s="59"/>
      <c r="E974" s="59"/>
      <c r="F974" s="59"/>
      <c r="G974" s="59"/>
      <c r="H974" s="59"/>
      <c r="I974" s="59"/>
    </row>
    <row r="975" ht="12.75" customHeight="1">
      <c r="A975" s="27"/>
      <c r="D975" s="59"/>
      <c r="E975" s="59"/>
      <c r="F975" s="59"/>
      <c r="G975" s="59"/>
      <c r="H975" s="59"/>
      <c r="I975" s="59"/>
    </row>
    <row r="976" ht="12.75" customHeight="1">
      <c r="A976" s="27"/>
      <c r="D976" s="59"/>
      <c r="E976" s="59"/>
      <c r="F976" s="59"/>
      <c r="G976" s="59"/>
      <c r="H976" s="59"/>
      <c r="I976" s="59"/>
    </row>
    <row r="977" ht="12.75" customHeight="1">
      <c r="A977" s="27"/>
      <c r="D977" s="59"/>
      <c r="E977" s="59"/>
      <c r="F977" s="59"/>
      <c r="G977" s="59"/>
      <c r="H977" s="59"/>
      <c r="I977" s="59"/>
    </row>
    <row r="978" ht="12.75" customHeight="1">
      <c r="A978" s="27"/>
      <c r="D978" s="59"/>
      <c r="E978" s="59"/>
      <c r="F978" s="59"/>
      <c r="G978" s="59"/>
      <c r="H978" s="59"/>
      <c r="I978" s="59"/>
    </row>
    <row r="979" ht="12.75" customHeight="1">
      <c r="A979" s="27"/>
      <c r="D979" s="59"/>
      <c r="E979" s="59"/>
      <c r="F979" s="59"/>
      <c r="G979" s="59"/>
      <c r="H979" s="59"/>
      <c r="I979" s="59"/>
    </row>
    <row r="980" ht="12.75" customHeight="1">
      <c r="A980" s="27"/>
      <c r="D980" s="59"/>
      <c r="E980" s="59"/>
      <c r="F980" s="59"/>
      <c r="G980" s="59"/>
      <c r="H980" s="59"/>
      <c r="I980" s="59"/>
    </row>
    <row r="981" ht="12.75" customHeight="1">
      <c r="A981" s="27"/>
      <c r="D981" s="59"/>
      <c r="E981" s="59"/>
      <c r="F981" s="59"/>
      <c r="G981" s="59"/>
      <c r="H981" s="59"/>
      <c r="I981" s="59"/>
    </row>
    <row r="982" ht="12.75" customHeight="1">
      <c r="A982" s="27"/>
      <c r="D982" s="59"/>
      <c r="E982" s="59"/>
      <c r="F982" s="59"/>
      <c r="G982" s="59"/>
      <c r="H982" s="59"/>
      <c r="I982" s="59"/>
    </row>
    <row r="983" ht="12.75" customHeight="1">
      <c r="A983" s="27"/>
      <c r="D983" s="59"/>
      <c r="E983" s="59"/>
      <c r="F983" s="59"/>
      <c r="G983" s="59"/>
      <c r="H983" s="59"/>
      <c r="I983" s="59"/>
    </row>
    <row r="984" ht="12.75" customHeight="1">
      <c r="A984" s="27"/>
      <c r="D984" s="59"/>
      <c r="E984" s="59"/>
      <c r="F984" s="59"/>
      <c r="G984" s="59"/>
      <c r="H984" s="59"/>
      <c r="I984" s="59"/>
    </row>
    <row r="985" ht="12.75" customHeight="1">
      <c r="A985" s="27"/>
      <c r="D985" s="59"/>
      <c r="E985" s="59"/>
      <c r="F985" s="59"/>
      <c r="G985" s="59"/>
      <c r="H985" s="59"/>
      <c r="I985" s="59"/>
    </row>
    <row r="986" ht="12.75" customHeight="1">
      <c r="A986" s="27"/>
      <c r="D986" s="59"/>
      <c r="E986" s="59"/>
      <c r="F986" s="59"/>
      <c r="G986" s="59"/>
      <c r="H986" s="59"/>
      <c r="I986" s="59"/>
    </row>
    <row r="987" ht="12.75" customHeight="1">
      <c r="A987" s="27"/>
      <c r="D987" s="59"/>
      <c r="E987" s="59"/>
      <c r="F987" s="59"/>
      <c r="G987" s="59"/>
      <c r="H987" s="59"/>
      <c r="I987" s="59"/>
    </row>
    <row r="988" ht="12.75" customHeight="1">
      <c r="A988" s="27"/>
      <c r="D988" s="59"/>
      <c r="E988" s="59"/>
      <c r="F988" s="59"/>
      <c r="G988" s="59"/>
      <c r="H988" s="59"/>
      <c r="I988" s="59"/>
    </row>
    <row r="989" ht="12.75" customHeight="1">
      <c r="A989" s="27"/>
      <c r="D989" s="59"/>
      <c r="E989" s="59"/>
      <c r="F989" s="59"/>
      <c r="G989" s="59"/>
      <c r="H989" s="59"/>
      <c r="I989" s="59"/>
    </row>
    <row r="990" ht="12.75" customHeight="1">
      <c r="A990" s="27"/>
      <c r="D990" s="59"/>
      <c r="E990" s="59"/>
      <c r="F990" s="59"/>
      <c r="G990" s="59"/>
      <c r="H990" s="59"/>
      <c r="I990" s="59"/>
    </row>
    <row r="991" ht="12.75" customHeight="1">
      <c r="A991" s="27"/>
      <c r="D991" s="59"/>
      <c r="E991" s="59"/>
      <c r="F991" s="59"/>
      <c r="G991" s="59"/>
      <c r="H991" s="59"/>
      <c r="I991" s="59"/>
    </row>
    <row r="992" ht="12.75" customHeight="1">
      <c r="A992" s="27"/>
      <c r="D992" s="59"/>
      <c r="E992" s="59"/>
      <c r="F992" s="59"/>
      <c r="G992" s="59"/>
      <c r="H992" s="59"/>
      <c r="I992" s="59"/>
    </row>
    <row r="993" ht="12.75" customHeight="1">
      <c r="A993" s="27"/>
      <c r="D993" s="59"/>
      <c r="E993" s="59"/>
      <c r="F993" s="59"/>
      <c r="G993" s="59"/>
      <c r="H993" s="59"/>
      <c r="I993" s="59"/>
    </row>
    <row r="994" ht="12.75" customHeight="1">
      <c r="A994" s="27"/>
      <c r="D994" s="59"/>
      <c r="E994" s="59"/>
      <c r="F994" s="59"/>
      <c r="G994" s="59"/>
      <c r="H994" s="59"/>
      <c r="I994" s="59"/>
    </row>
    <row r="995" ht="12.75" customHeight="1">
      <c r="A995" s="27"/>
      <c r="D995" s="59"/>
      <c r="E995" s="59"/>
      <c r="F995" s="59"/>
      <c r="G995" s="59"/>
      <c r="H995" s="59"/>
      <c r="I995" s="59"/>
    </row>
    <row r="996" ht="12.75" customHeight="1">
      <c r="A996" s="27"/>
      <c r="D996" s="59"/>
      <c r="E996" s="59"/>
      <c r="F996" s="59"/>
      <c r="G996" s="59"/>
      <c r="H996" s="59"/>
      <c r="I996" s="59"/>
    </row>
    <row r="997" ht="12.75" customHeight="1">
      <c r="A997" s="27"/>
      <c r="D997" s="59"/>
      <c r="E997" s="59"/>
      <c r="F997" s="59"/>
      <c r="G997" s="59"/>
      <c r="H997" s="59"/>
      <c r="I997" s="59"/>
    </row>
    <row r="998" ht="12.75" customHeight="1">
      <c r="A998" s="27"/>
      <c r="D998" s="59"/>
      <c r="E998" s="59"/>
      <c r="F998" s="59"/>
      <c r="G998" s="59"/>
      <c r="H998" s="59"/>
      <c r="I998" s="59"/>
    </row>
    <row r="999" ht="12.75" customHeight="1">
      <c r="A999" s="27"/>
      <c r="D999" s="59"/>
      <c r="E999" s="59"/>
      <c r="F999" s="59"/>
      <c r="G999" s="59"/>
      <c r="H999" s="59"/>
      <c r="I999" s="59"/>
    </row>
    <row r="1000" ht="12.75" customHeight="1">
      <c r="A1000" s="27"/>
      <c r="D1000" s="59"/>
      <c r="E1000" s="59"/>
      <c r="F1000" s="59"/>
      <c r="G1000" s="59"/>
      <c r="H1000" s="59"/>
      <c r="I1000" s="59"/>
    </row>
  </sheetData>
  <printOptions/>
  <pageMargins bottom="0.75" footer="0.0" header="0.0" left="0.7" right="0.7" top="0.75"/>
  <pageSetup orientation="landscape"/>
  <drawing r:id="rId1"/>
</worksheet>
</file>